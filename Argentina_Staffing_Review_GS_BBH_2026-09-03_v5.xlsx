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taffing Detail" sheetId="2" state="visible" r:id="rId4"/>
    <sheet name="Proposed Hours" sheetId="3" state="visible" r:id="rId5"/>
    <sheet name="Forecast &amp; Budget Control" sheetId="4" state="visible" r:id="rId6"/>
    <sheet name="Movement Log" sheetId="5" state="visible" r:id="rId7"/>
    <sheet name="Retained Data" sheetId="6" state="visible" r:id="rId8"/>
  </sheets>
  <definedNames>
    <definedName function="false" hidden="true" localSheetId="3" name="_xlnm._FilterDatabase" vbProcedure="false">'Forecast &amp; Budget Control'!$A$6:$H$30</definedName>
    <definedName function="false" hidden="true" localSheetId="4" name="_xlnm._FilterDatabase" vbProcedure="false">'Movement Log'!$A$1:$L$1</definedName>
    <definedName function="false" hidden="true" localSheetId="2" name="_xlnm._FilterDatabase" vbProcedure="false">'Proposed Hours'!$A$1:$AS$1</definedName>
    <definedName function="false" hidden="true" localSheetId="1" name="_xlnm._FilterDatabase" vbProcedure="false">'Staffing Detail'!$A$1:$AW$1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<sst xmlns="http://schemas.openxmlformats.org/spreadsheetml/2006/main" count="11413" uniqueCount="377">
  <si>
    <t xml:space="preserve">GS + BBH Weekly Staffing &amp; Overbooking Review</t>
  </si>
  <si>
    <t xml:space="preserve">As of 03-Sep-2026 | Capacity evaluated across both clients</t>
  </si>
  <si>
    <t xml:space="preserve">Resource Name</t>
  </si>
  <si>
    <t xml:space="preserve">Staff Category</t>
  </si>
  <si>
    <t xml:space="preserve">Weeks &gt; threshold</t>
  </si>
  <si>
    <t xml:space="preserve">Max Weekly Hours</t>
  </si>
  <si>
    <t xml:space="preserve">First Overbook Week</t>
  </si>
  <si>
    <t xml:space="preserve">Severity</t>
  </si>
  <si>
    <t xml:space="preserve">Clients</t>
  </si>
  <si>
    <t xml:space="preserve">Camila Vargas</t>
  </si>
  <si>
    <t xml:space="preserve">Senior</t>
  </si>
  <si>
    <t xml:space="preserve">Red</t>
  </si>
  <si>
    <t xml:space="preserve">GS</t>
  </si>
  <si>
    <t xml:space="preserve">Alan gabriel Gonzalez</t>
  </si>
  <si>
    <t xml:space="preserve">Staff</t>
  </si>
  <si>
    <t xml:space="preserve">Lacey Tovar Roa</t>
  </si>
  <si>
    <t xml:space="preserve">Manager</t>
  </si>
  <si>
    <t xml:space="preserve">Ignacio Borda</t>
  </si>
  <si>
    <t xml:space="preserve">Sofía Daniela Rodriguez</t>
  </si>
  <si>
    <t xml:space="preserve">GS + BBH</t>
  </si>
  <si>
    <t xml:space="preserve">Gaston Sales</t>
  </si>
  <si>
    <t xml:space="preserve">Nahuel Niglio</t>
  </si>
  <si>
    <t xml:space="preserve">Fiorella Cuervo</t>
  </si>
  <si>
    <t xml:space="preserve">Gonzalo Enzo Monti</t>
  </si>
  <si>
    <t xml:space="preserve">Katerine Garcia Macias</t>
  </si>
  <si>
    <t xml:space="preserve">Yanina Judith Peralta</t>
  </si>
  <si>
    <t xml:space="preserve">Catalina Renata Cuesso</t>
  </si>
  <si>
    <t xml:space="preserve">Micaela Lapuente</t>
  </si>
  <si>
    <t xml:space="preserve">Pilar Navarro</t>
  </si>
  <si>
    <t xml:space="preserve">BBH</t>
  </si>
  <si>
    <t xml:space="preserve">Sebastian Fauve Raul</t>
  </si>
  <si>
    <t xml:space="preserve">Eugenia Trezza</t>
  </si>
  <si>
    <t xml:space="preserve">Pedro Rattagan</t>
  </si>
  <si>
    <t xml:space="preserve">Juan Pirez</t>
  </si>
  <si>
    <t xml:space="preserve">Orange</t>
  </si>
  <si>
    <t xml:space="preserve">Juan Vicente</t>
  </si>
  <si>
    <t xml:space="preserve">Ezequiel Francisco Basualdo</t>
  </si>
  <si>
    <t xml:space="preserve">Argentina Team members not found in Flex Hours</t>
  </si>
  <si>
    <t xml:space="preserve">Argentina TBDs in Flex not included in Team List</t>
  </si>
  <si>
    <t xml:space="preserve">TBD-RR-2469563</t>
  </si>
  <si>
    <t xml:space="preserve">GS Bank USA Audit Dec26</t>
  </si>
  <si>
    <t xml:space="preserve">TBD-RR-2469563 (TBD ASR AC Argentina BCM Senior)</t>
  </si>
  <si>
    <t xml:space="preserve">TBD-RR-2469864</t>
  </si>
  <si>
    <t xml:space="preserve">GS J. Aron &amp; Company Financial Aud Dec26</t>
  </si>
  <si>
    <t xml:space="preserve">TBD-RR-2469864 (TBD ASR AC Argentina BCM Senior)</t>
  </si>
  <si>
    <t xml:space="preserve">TBD-RR-2602502</t>
  </si>
  <si>
    <t xml:space="preserve">GS Corp Financial Reporting Audit Dec26</t>
  </si>
  <si>
    <t xml:space="preserve">TBD-RR-2602502 (TBD ASR AC Argentina BCM Associate)</t>
  </si>
  <si>
    <t xml:space="preserve">Run controls</t>
  </si>
  <si>
    <t xml:space="preserve">Current week logic</t>
  </si>
  <si>
    <t xml:space="preserve">Actual + ETC for week of 31-Aug-2026</t>
  </si>
  <si>
    <t xml:space="preserve">Future week logic</t>
  </si>
  <si>
    <t xml:space="preserve">ETC</t>
  </si>
  <si>
    <t xml:space="preserve">Capacity scope</t>
  </si>
  <si>
    <t xml:space="preserve">Combined GS + BBH per real person</t>
  </si>
  <si>
    <t xml:space="preserve">Redistribution eligibility</t>
  </si>
  <si>
    <t xml:space="preserve">Target must be listed on the relevant client team</t>
  </si>
  <si>
    <t xml:space="preserve">Human review</t>
  </si>
  <si>
    <t xml:space="preserve">Required before any production staffing changes</t>
  </si>
  <si>
    <t xml:space="preserve">Rules applied in v2</t>
  </si>
  <si>
    <t xml:space="preserve">Staffing Detail consolidates each person across GS and BBH under a single TOTAL.</t>
  </si>
  <si>
    <t xml:space="preserve">Juan Manuel Anit Pirez, Fiorella Cuervo and Ezequiel Francisco Basualdo are treated as Senior effective July 2026.</t>
  </si>
  <si>
    <t xml:space="preserve">Orange proposal rows = hours proposed to remove; green proposal rows = hours proposed to add.</t>
  </si>
  <si>
    <t xml:space="preserve">Overbooking is evaluated on combined GS + BBH weekly hours.</t>
  </si>
  <si>
    <t xml:space="preserve">v3 readability changes</t>
  </si>
  <si>
    <t xml:space="preserve">Excluded TBD detail rows with Projected Total Hours = 0: 68</t>
  </si>
  <si>
    <t xml:space="preserve">Single-code TBDs renamed using Project Line Name; zero-PTH TBD targets replaced with project-specific TBDs.</t>
  </si>
  <si>
    <t xml:space="preserve">Proposed Hours now shows the final proposed staffing matrix; Movement Log preserves transfer-level traceability.</t>
  </si>
  <si>
    <t xml:space="preserve">Client</t>
  </si>
  <si>
    <t xml:space="preserve">Row Type</t>
  </si>
  <si>
    <t xml:space="preserve">Project Line Name</t>
  </si>
  <si>
    <t xml:space="preserve">Budget Hours To Date</t>
  </si>
  <si>
    <t xml:space="preserve">Budget Hours</t>
  </si>
  <si>
    <t xml:space="preserve">Projected Total Hours</t>
  </si>
  <si>
    <t xml:space="preserve">Variance</t>
  </si>
  <si>
    <t xml:space="preserve">Joaquin Lorenzo</t>
  </si>
  <si>
    <t xml:space="preserve">TOTAL</t>
  </si>
  <si>
    <t xml:space="preserve">All Projects</t>
  </si>
  <si>
    <t xml:space="preserve">Detail</t>
  </si>
  <si>
    <t xml:space="preserve">GS AC Management Dec26</t>
  </si>
  <si>
    <t xml:space="preserve">GS AM Subsidiaries Audit Dec26</t>
  </si>
  <si>
    <t xml:space="preserve">GS BD Financials GS&amp;Co Audit Dec26</t>
  </si>
  <si>
    <t xml:space="preserve">GS Bank USA - Q1 Review Dec26</t>
  </si>
  <si>
    <t xml:space="preserve">GS Bank USA - Q2 Review Dec26</t>
  </si>
  <si>
    <t xml:space="preserve">GS Bank USA - Q3 Review Dec26</t>
  </si>
  <si>
    <t xml:space="preserve">GS Centralized Testing - Pod 3 Dec26</t>
  </si>
  <si>
    <t xml:space="preserve">GS First Quarter 10-Q Audit Dec26</t>
  </si>
  <si>
    <t xml:space="preserve">GS Second Quarter 10-Q Audit Dec26</t>
  </si>
  <si>
    <t xml:space="preserve">GS Third Quarter 10-Q Audit Dec26</t>
  </si>
  <si>
    <t xml:space="preserve">BBH / GS</t>
  </si>
  <si>
    <t xml:space="preserve">Julian Martin Oliva</t>
  </si>
  <si>
    <t xml:space="preserve">BBH&amp;Co. Audit - Trust Companies Dec26</t>
  </si>
  <si>
    <t xml:space="preserve">BBH&amp;Co. Audit Dec26</t>
  </si>
  <si>
    <t xml:space="preserve">GS Lending Ptnrs Financials Audit Dec26</t>
  </si>
  <si>
    <t xml:space="preserve">GS BD Net Capital Regulatory Dec26</t>
  </si>
  <si>
    <t xml:space="preserve">GS BHC Regulatory Capital Dec26</t>
  </si>
  <si>
    <t xml:space="preserve">GS Centralized Testing - Pod 1 Dec26</t>
  </si>
  <si>
    <t xml:space="preserve">GS Centralized Testing - Pod 2 Dec26</t>
  </si>
  <si>
    <t xml:space="preserve">GS Folio Dec26</t>
  </si>
  <si>
    <t xml:space="preserve">GS GSFM Sub Audit Dec26</t>
  </si>
  <si>
    <t xml:space="preserve">GS MMDP Audit Dec26</t>
  </si>
  <si>
    <t xml:space="preserve">Martin Ogara</t>
  </si>
  <si>
    <t xml:space="preserve">GS BD Regulatory Procedures Dec26</t>
  </si>
  <si>
    <t xml:space="preserve">GS Centralized Testing SLC Dec26</t>
  </si>
  <si>
    <t xml:space="preserve">TBD GS Vals (Derivs MIDA PV &amp; Models) Dec26</t>
  </si>
  <si>
    <t xml:space="preserve">GS Vals (Derivs MIDA PV &amp; Models) Dec26</t>
  </si>
  <si>
    <t xml:space="preserve">GS IMD Audit Dec26</t>
  </si>
  <si>
    <t xml:space="preserve">GS Trust Dec26</t>
  </si>
  <si>
    <t xml:space="preserve">GS BD CFTC Regulatory Dec26</t>
  </si>
  <si>
    <t xml:space="preserve">GS BD Possession Dec26</t>
  </si>
  <si>
    <t xml:space="preserve">GS BD Reserve Requirement Regulato Dec26</t>
  </si>
  <si>
    <t xml:space="preserve">GS MBD Group Audit Dec26</t>
  </si>
  <si>
    <t xml:space="preserve">GS Mercer Allied Audit Dec26</t>
  </si>
  <si>
    <t xml:space="preserve">GS Ayco Company LP Dec26</t>
  </si>
  <si>
    <t xml:space="preserve">GS Mortgage Sub Financials Audits Dec26</t>
  </si>
  <si>
    <t xml:space="preserve">Juan Manuel Anit Pirez</t>
  </si>
  <si>
    <t xml:space="preserve">María Ferreira</t>
  </si>
  <si>
    <t xml:space="preserve">María Isabel Martinez Ferreira</t>
  </si>
  <si>
    <t xml:space="preserve">TBD GS Third Quarter 10-Q Audit Dec26 1</t>
  </si>
  <si>
    <t xml:space="preserve">TBD GS Third Quarter 10-Q Audit Dec26 2</t>
  </si>
  <si>
    <t xml:space="preserve">Fiorella Caterina Rosenbach</t>
  </si>
  <si>
    <t xml:space="preserve">GS Audit (Tax ) - (FinReg) Dec26</t>
  </si>
  <si>
    <t xml:space="preserve">GS Transfer Pricing Audit Dec26</t>
  </si>
  <si>
    <t xml:space="preserve">Jackson Da Silva</t>
  </si>
  <si>
    <t xml:space="preserve">Magali Alvarez</t>
  </si>
  <si>
    <t xml:space="preserve">Maria Guadalupe Musa</t>
  </si>
  <si>
    <t xml:space="preserve">TBD GS Bank USA - Q3 Review Dec26</t>
  </si>
  <si>
    <t xml:space="preserve">TBD GS Bank USA Audit Dec26</t>
  </si>
  <si>
    <t xml:space="preserve">TBD GS BD CFTC Regulatory Dec26</t>
  </si>
  <si>
    <t xml:space="preserve">TBD GS BD Regulatory Procedures Dec26</t>
  </si>
  <si>
    <t xml:space="preserve">TBD GS Centralized Testing - Pod 3 Dec26</t>
  </si>
  <si>
    <t xml:space="preserve">TBD GS Centralized Testing SLC Dec26 1</t>
  </si>
  <si>
    <t xml:space="preserve">TBD GS Centralized Testing SLC Dec26 2</t>
  </si>
  <si>
    <t xml:space="preserve">TBD GS Corp Financial Reporting Audit Dec26</t>
  </si>
  <si>
    <t xml:space="preserve">TBD GS GSFM Sub Audit Dec26</t>
  </si>
  <si>
    <t xml:space="preserve">TBD GS J. Aron &amp; Company Financial Aud Dec26 1</t>
  </si>
  <si>
    <t xml:space="preserve">TBD GS J. Aron &amp; Company Financial Aud Dec26 2</t>
  </si>
  <si>
    <t xml:space="preserve">TBD GS MMDP Audit Dec26</t>
  </si>
  <si>
    <t xml:space="preserve">TBD-0002</t>
  </si>
  <si>
    <t xml:space="preserve">TBD-REG</t>
  </si>
  <si>
    <t xml:space="preserve">BBH Proposed TBD Manager 01</t>
  </si>
  <si>
    <t xml:space="preserve">Proposed</t>
  </si>
  <si>
    <t xml:space="preserve">GS Proposed TBD Manager 01</t>
  </si>
  <si>
    <t xml:space="preserve">BBH Proposed TBD Senior 01</t>
  </si>
  <si>
    <t xml:space="preserve">GS Proposed TBD Senior 01</t>
  </si>
  <si>
    <t xml:space="preserve">GS Proposed TBD Senior 02</t>
  </si>
  <si>
    <t xml:space="preserve">GS Proposed TBD Staff 01</t>
  </si>
  <si>
    <t xml:space="preserve">GS Proposed TBD Staff 02</t>
  </si>
  <si>
    <t xml:space="preserve">GS Proposed TBD Staff 03</t>
  </si>
  <si>
    <t xml:space="preserve">GS Proposed TBD Staff 04</t>
  </si>
  <si>
    <t xml:space="preserve">GS Proposed TBD Staff 05</t>
  </si>
  <si>
    <t xml:space="preserve">GS Proposed TBD Staff 06</t>
  </si>
  <si>
    <t xml:space="preserve">GS Proposed TBD Staff 07</t>
  </si>
  <si>
    <t xml:space="preserve">GS Proposed TBD Staff 08</t>
  </si>
  <si>
    <t xml:space="preserve">GS Proposed TBD Staff 09</t>
  </si>
  <si>
    <t xml:space="preserve">GS Proposed TBD Staff 10</t>
  </si>
  <si>
    <t xml:space="preserve">GS Proposed TBD Staff 11</t>
  </si>
  <si>
    <t xml:space="preserve">GS Proposed TBD Staff 12</t>
  </si>
  <si>
    <t xml:space="preserve">TBD GS Audit (Tax ) - (FinReg) Dec26</t>
  </si>
  <si>
    <t xml:space="preserve">TBD GS BD Financials GS&amp;Co Audit Dec26</t>
  </si>
  <si>
    <t xml:space="preserve">TBD GS BD Net Capital Regulatory Dec26</t>
  </si>
  <si>
    <t xml:space="preserve">TBD GS Centralized Testing - Pod 2 Dec26</t>
  </si>
  <si>
    <t xml:space="preserve">TBD GS Centralized Testing SLC Dec26</t>
  </si>
  <si>
    <t xml:space="preserve">TBD GS Folio Dec26</t>
  </si>
  <si>
    <t xml:space="preserve">TBD GS Mercer Allied Audit Dec26</t>
  </si>
  <si>
    <t xml:space="preserve">TBD GS Transfer Pricing Audit Dec26</t>
  </si>
  <si>
    <t xml:space="preserve">Forecast Accuracy &amp; Budget Control — GS + BBH</t>
  </si>
  <si>
    <t xml:space="preserve">Current GS/BBH data date: 02-Sep-2026 | Prior GS snapshot: 26-Aug-2026 | All controls restricted to Argentina staffing population; active TBDs only.</t>
  </si>
  <si>
    <t xml:space="preserve">Positive variance means Actual / Actual+ETC is above prior ETC or Budget.</t>
  </si>
  <si>
    <t xml:space="preserve">1. Prior ETC vs subsequent Actual — by WBS / Project Line</t>
  </si>
  <si>
    <t xml:space="preserve">GS comparison available: prior report week 24-Aug-2026 ETC vs current report 24-Aug-2026 Actual. BBH prior snapshot was not provided, so BBH is not included in this block.</t>
  </si>
  <si>
    <t xml:space="preserve">Week</t>
  </si>
  <si>
    <t xml:space="preserve">WBS / Project Line Name</t>
  </si>
  <si>
    <t xml:space="preserve">Prior ETC</t>
  </si>
  <si>
    <t xml:space="preserve">Current Actual</t>
  </si>
  <si>
    <t xml:space="preserve">Difference</t>
  </si>
  <si>
    <t xml:space="preserve">Variance %</t>
  </si>
  <si>
    <t xml:space="preserve">Status</t>
  </si>
  <si>
    <t xml:space="preserve">GS TOTAL</t>
  </si>
  <si>
    <t xml:space="preserve">All Argentina WBS</t>
  </si>
  <si>
    <t xml:space="preserve">2. Budget Hours To Date vs Actual Hours To Date — by WBS / Project Line</t>
  </si>
  <si>
    <t xml:space="preserve">Data Date</t>
  </si>
  <si>
    <t xml:space="preserve">Budget HTD</t>
  </si>
  <si>
    <t xml:space="preserve">Actual HTD</t>
  </si>
  <si>
    <t xml:space="preserve">3. Total Budget vs Current Actual + ETC — by WBS / Project Line</t>
  </si>
  <si>
    <t xml:space="preserve">Actual + ETC uses Flex field: Current Forecasted Total (Actual+ETC - current week actuals).</t>
  </si>
  <si>
    <t xml:space="preserve">Actual + ETC</t>
  </si>
  <si>
    <t xml:space="preserve">Source Resource</t>
  </si>
  <si>
    <t xml:space="preserve">Source Staff Category</t>
  </si>
  <si>
    <t xml:space="preserve">Target Resource</t>
  </si>
  <si>
    <t xml:space="preserve">Target Staff Category</t>
  </si>
  <si>
    <t xml:space="preserve">Hours to Move</t>
  </si>
  <si>
    <t xml:space="preserve">Reason</t>
  </si>
  <si>
    <t xml:space="preserve">Continuity</t>
  </si>
  <si>
    <t xml:space="preserve">Resulting Weekly Hours</t>
  </si>
  <si>
    <t xml:space="preserve">Target Type</t>
  </si>
  <si>
    <t xml:space="preserve">Overbooking reduction</t>
  </si>
  <si>
    <t xml:space="preserve">Yes</t>
  </si>
  <si>
    <t xml:space="preserve">Existing Resource</t>
  </si>
  <si>
    <t xml:space="preserve">Overbooking reduction / zero-PTH TBD replaced</t>
  </si>
  <si>
    <t xml:space="preserve">No</t>
  </si>
  <si>
    <t xml:space="preserve">Proposed TBD</t>
  </si>
  <si>
    <t xml:space="preserve">Existing TBD coverage</t>
  </si>
  <si>
    <t xml:space="preserve">Existing TBD coverage / zero-PTH TBD replaced</t>
  </si>
  <si>
    <t xml:space="preserve">Unlisted Argentina TBD coverage</t>
  </si>
  <si>
    <t xml:space="preserve">TBD consolidation</t>
  </si>
  <si>
    <t xml:space="preserve">Sebastian OOO</t>
  </si>
  <si>
    <t xml:space="preserve">Resource Match ID</t>
  </si>
  <si>
    <t xml:space="preserve">Staff Level</t>
  </si>
  <si>
    <t xml:space="preserve">01/05/2026 Actual</t>
  </si>
  <si>
    <t xml:space="preserve">01/12/2026 Actual</t>
  </si>
  <si>
    <t xml:space="preserve">01/19/2026 Actual</t>
  </si>
  <si>
    <t xml:space="preserve">01/26/2026 Actual</t>
  </si>
  <si>
    <t xml:space="preserve">02/02/2026 Actual</t>
  </si>
  <si>
    <t xml:space="preserve">02/09/2026 Actual</t>
  </si>
  <si>
    <t xml:space="preserve">02/16/2026 Actual</t>
  </si>
  <si>
    <t xml:space="preserve">02/23/2026 Actual</t>
  </si>
  <si>
    <t xml:space="preserve">03/02/2026 Actual</t>
  </si>
  <si>
    <t xml:space="preserve">03/09/2026 Actual</t>
  </si>
  <si>
    <t xml:space="preserve">03/16/2026 Actual</t>
  </si>
  <si>
    <t xml:space="preserve">03/23/2026 Actual</t>
  </si>
  <si>
    <t xml:space="preserve">03/30/2026 Actual</t>
  </si>
  <si>
    <t xml:space="preserve">04/06/2026 Actual</t>
  </si>
  <si>
    <t xml:space="preserve">04/13/2026 Actual</t>
  </si>
  <si>
    <t xml:space="preserve">04/20/2026 Actual</t>
  </si>
  <si>
    <t xml:space="preserve">04/27/2026 Actual</t>
  </si>
  <si>
    <t xml:space="preserve">05/04/2026 Actual</t>
  </si>
  <si>
    <t xml:space="preserve">05/11/2026 Actual</t>
  </si>
  <si>
    <t xml:space="preserve">05/18/2026 Actual</t>
  </si>
  <si>
    <t xml:space="preserve">05/25/2026 Actual</t>
  </si>
  <si>
    <t xml:space="preserve">06/01/2026 Actual</t>
  </si>
  <si>
    <t xml:space="preserve">06/08/2026 Actual</t>
  </si>
  <si>
    <t xml:space="preserve">06/15/2026 Actual</t>
  </si>
  <si>
    <t xml:space="preserve">06/22/2026 Actual</t>
  </si>
  <si>
    <t xml:space="preserve">06/29/2026 Actual</t>
  </si>
  <si>
    <t xml:space="preserve">07/06/2026 Actual</t>
  </si>
  <si>
    <t xml:space="preserve">07/13/2026 Actual</t>
  </si>
  <si>
    <t xml:space="preserve">07/20/2026 Actual</t>
  </si>
  <si>
    <t xml:space="preserve">07/27/2026 Actual</t>
  </si>
  <si>
    <t xml:space="preserve">08/03/2026 Actual</t>
  </si>
  <si>
    <t xml:space="preserve">08/10/2026 Actual</t>
  </si>
  <si>
    <t xml:space="preserve">08/17/2026 Actual</t>
  </si>
  <si>
    <t xml:space="preserve">08/24/2026 Actual</t>
  </si>
  <si>
    <t xml:space="preserve">08/31/2026 Actual</t>
  </si>
  <si>
    <t xml:space="preserve">09/07/2026 Actual</t>
  </si>
  <si>
    <t xml:space="preserve">09/14/2026 Actual</t>
  </si>
  <si>
    <t xml:space="preserve">09/21/2026 Actual</t>
  </si>
  <si>
    <t xml:space="preserve">09/28/2026 Actual</t>
  </si>
  <si>
    <t xml:space="preserve">10/05/2026 Actual</t>
  </si>
  <si>
    <t xml:space="preserve">10/12/2026 Actual</t>
  </si>
  <si>
    <t xml:space="preserve">10/19/2026 Actual</t>
  </si>
  <si>
    <t xml:space="preserve">10/26/2026 Actual</t>
  </si>
  <si>
    <t xml:space="preserve">11/02/2026 Actual</t>
  </si>
  <si>
    <t xml:space="preserve">11/09/2026 Actual</t>
  </si>
  <si>
    <t xml:space="preserve">11/16/2026 Actual</t>
  </si>
  <si>
    <t xml:space="preserve">11/23/2026 Actual</t>
  </si>
  <si>
    <t xml:space="preserve">11/30/2026 Actual</t>
  </si>
  <si>
    <t xml:space="preserve">12/07/2026 Actual</t>
  </si>
  <si>
    <t xml:space="preserve">12/14/2026 Actual</t>
  </si>
  <si>
    <t xml:space="preserve">12/21/2026 Actual</t>
  </si>
  <si>
    <t xml:space="preserve">12/28/2026 Actual</t>
  </si>
  <si>
    <t xml:space="preserve">01/05/2026 ETC</t>
  </si>
  <si>
    <t xml:space="preserve">01/12/2026 ETC</t>
  </si>
  <si>
    <t xml:space="preserve">01/19/2026 ETC</t>
  </si>
  <si>
    <t xml:space="preserve">01/26/2026 ETC</t>
  </si>
  <si>
    <t xml:space="preserve">02/02/2026 ETC</t>
  </si>
  <si>
    <t xml:space="preserve">02/09/2026 ETC</t>
  </si>
  <si>
    <t xml:space="preserve">02/16/2026 ETC</t>
  </si>
  <si>
    <t xml:space="preserve">02/23/2026 ETC</t>
  </si>
  <si>
    <t xml:space="preserve">03/02/2026 ETC</t>
  </si>
  <si>
    <t xml:space="preserve">03/09/2026 ETC</t>
  </si>
  <si>
    <t xml:space="preserve">03/16/2026 ETC</t>
  </si>
  <si>
    <t xml:space="preserve">03/23/2026 ETC</t>
  </si>
  <si>
    <t xml:space="preserve">03/30/2026 ETC</t>
  </si>
  <si>
    <t xml:space="preserve">04/06/2026 ETC</t>
  </si>
  <si>
    <t xml:space="preserve">04/13/2026 ETC</t>
  </si>
  <si>
    <t xml:space="preserve">04/20/2026 ETC</t>
  </si>
  <si>
    <t xml:space="preserve">04/27/2026 ETC</t>
  </si>
  <si>
    <t xml:space="preserve">05/04/2026 ETC</t>
  </si>
  <si>
    <t xml:space="preserve">05/11/2026 ETC</t>
  </si>
  <si>
    <t xml:space="preserve">05/18/2026 ETC</t>
  </si>
  <si>
    <t xml:space="preserve">05/25/2026 ETC</t>
  </si>
  <si>
    <t xml:space="preserve">06/01/2026 ETC</t>
  </si>
  <si>
    <t xml:space="preserve">06/08/2026 ETC</t>
  </si>
  <si>
    <t xml:space="preserve">06/15/2026 ETC</t>
  </si>
  <si>
    <t xml:space="preserve">06/22/2026 ETC</t>
  </si>
  <si>
    <t xml:space="preserve">06/29/2026 ETC</t>
  </si>
  <si>
    <t xml:space="preserve">07/06/2026 ETC</t>
  </si>
  <si>
    <t xml:space="preserve">07/13/2026 ETC</t>
  </si>
  <si>
    <t xml:space="preserve">07/20/2026 ETC</t>
  </si>
  <si>
    <t xml:space="preserve">07/27/2026 ETC</t>
  </si>
  <si>
    <t xml:space="preserve">08/03/2026 ETC</t>
  </si>
  <si>
    <t xml:space="preserve">08/10/2026 ETC</t>
  </si>
  <si>
    <t xml:space="preserve">08/17/2026 ETC</t>
  </si>
  <si>
    <t xml:space="preserve">08/24/2026 ETC</t>
  </si>
  <si>
    <t xml:space="preserve">08/31/2026 ETC</t>
  </si>
  <si>
    <t xml:space="preserve">09/07/2026 ETC</t>
  </si>
  <si>
    <t xml:space="preserve">09/14/2026 ETC</t>
  </si>
  <si>
    <t xml:space="preserve">09/21/2026 ETC</t>
  </si>
  <si>
    <t xml:space="preserve">09/28/2026 ETC</t>
  </si>
  <si>
    <t xml:space="preserve">10/05/2026 ETC</t>
  </si>
  <si>
    <t xml:space="preserve">10/12/2026 ETC</t>
  </si>
  <si>
    <t xml:space="preserve">10/19/2026 ETC</t>
  </si>
  <si>
    <t xml:space="preserve">10/26/2026 ETC</t>
  </si>
  <si>
    <t xml:space="preserve">11/02/2026 ETC</t>
  </si>
  <si>
    <t xml:space="preserve">11/09/2026 ETC</t>
  </si>
  <si>
    <t xml:space="preserve">11/16/2026 ETC</t>
  </si>
  <si>
    <t xml:space="preserve">11/23/2026 ETC</t>
  </si>
  <si>
    <t xml:space="preserve">11/30/2026 ETC</t>
  </si>
  <si>
    <t xml:space="preserve">12/07/2026 ETC</t>
  </si>
  <si>
    <t xml:space="preserve">12/14/2026 ETC</t>
  </si>
  <si>
    <t xml:space="preserve">12/21/2026 ETC</t>
  </si>
  <si>
    <t xml:space="preserve">12/28/2026 ETC</t>
  </si>
  <si>
    <t xml:space="preserve">01/04/2027 ETC</t>
  </si>
  <si>
    <t xml:space="preserve">01/11/2027 ETC</t>
  </si>
  <si>
    <t xml:space="preserve">01/18/2027 ETC</t>
  </si>
  <si>
    <t xml:space="preserve">01/25/2027 ETC</t>
  </si>
  <si>
    <t xml:space="preserve">02/01/2027 ETC</t>
  </si>
  <si>
    <t xml:space="preserve">02/08/2027 ETC</t>
  </si>
  <si>
    <t xml:space="preserve">02/15/2027 ETC</t>
  </si>
  <si>
    <t xml:space="preserve">02/22/2027 ETC</t>
  </si>
  <si>
    <t xml:space="preserve">03/01/2027 ETC</t>
  </si>
  <si>
    <t xml:space="preserve">03/08/2027 ETC</t>
  </si>
  <si>
    <t xml:space="preserve">03/15/2027 ETC</t>
  </si>
  <si>
    <t xml:space="preserve">03/22/2027 ETC</t>
  </si>
  <si>
    <t xml:space="preserve">03/29/2027 ETC</t>
  </si>
  <si>
    <t xml:space="preserve">04/05/2027 ETC</t>
  </si>
  <si>
    <t xml:space="preserve">04/12/2027 ETC</t>
  </si>
  <si>
    <t xml:space="preserve">04/19/2027 ETC</t>
  </si>
  <si>
    <t xml:space="preserve">04/26/2027 ETC</t>
  </si>
  <si>
    <t xml:space="preserve">05/03/2027 ETC</t>
  </si>
  <si>
    <t xml:space="preserve">05/10/2027 ETC</t>
  </si>
  <si>
    <t xml:space="preserve">05/17/2027 ETC</t>
  </si>
  <si>
    <t xml:space="preserve">05/24/2027 ETC</t>
  </si>
  <si>
    <t xml:space="preserve">05/31/2027 ETC</t>
  </si>
  <si>
    <t xml:space="preserve">AC - Staff - Experienced</t>
  </si>
  <si>
    <t xml:space="preserve">AC - Non-equity Owned -Staff</t>
  </si>
  <si>
    <t xml:space="preserve">AC - Senior</t>
  </si>
  <si>
    <t xml:space="preserve">AC - Non-equity Owned -Senior</t>
  </si>
  <si>
    <t xml:space="preserve">AC - Manager</t>
  </si>
  <si>
    <t xml:space="preserve">AC - Non-equity Owned -Manager</t>
  </si>
  <si>
    <t xml:space="preserve">AC - Senior Manager</t>
  </si>
  <si>
    <t xml:space="preserve">AC - Staff</t>
  </si>
  <si>
    <t xml:space="preserve">TBD-0001 (TBD ASR AC Argentina BCM Senior)</t>
  </si>
  <si>
    <t xml:space="preserve">TBD-0001</t>
  </si>
  <si>
    <t xml:space="preserve">TBD-0002 (TBD ASR AC Argentina BCM Experienced Associate)</t>
  </si>
  <si>
    <t xml:space="preserve">TBD-0002 (TBD ASR AC Argentina BCM Associate)</t>
  </si>
  <si>
    <t xml:space="preserve">TBD-0002 (TBD ASR AC Argentina BCM Senior Manager)</t>
  </si>
  <si>
    <t xml:space="preserve">TBD-0003 (TBD ASR AC Argentina BCM Senior)</t>
  </si>
  <si>
    <t xml:space="preserve">TBD-0003</t>
  </si>
  <si>
    <t xml:space="preserve">TBD-0004 (TBD ASR AC Argentina BCM Associate)</t>
  </si>
  <si>
    <t xml:space="preserve">TBD-0004</t>
  </si>
  <si>
    <t xml:space="preserve">TBD-0005 (TBD ASR AC Argentina BCM Senior)</t>
  </si>
  <si>
    <t xml:space="preserve">TBD-0005</t>
  </si>
  <si>
    <t xml:space="preserve">TBD-2 AC POD 3 Intern (TBD ASR AC Argentina BCM Associate)</t>
  </si>
  <si>
    <t xml:space="preserve">TBD-2 AC POD 3 Intern</t>
  </si>
  <si>
    <t xml:space="preserve">TBD-3613 (TBD ASR AC Argentina BCM Experienced Associate)</t>
  </si>
  <si>
    <t xml:space="preserve">TBD-3613</t>
  </si>
  <si>
    <t xml:space="preserve">TBD-ACBA1 (TBD ASR AC Argentina BCM Experienced Associate)</t>
  </si>
  <si>
    <t xml:space="preserve">TBD-ACBA1</t>
  </si>
  <si>
    <t xml:space="preserve">TBD-Associate (TBD ASR AC Argentina BCM Associate)</t>
  </si>
  <si>
    <t xml:space="preserve">TBD-Associate</t>
  </si>
  <si>
    <t xml:space="preserve">TBD-REG (TBD ASR AC Argentina BCM Associate)</t>
  </si>
  <si>
    <t xml:space="preserve">TBD-RR-1072962 (TBD ASR AC Argentina BCM Associate)</t>
  </si>
  <si>
    <t xml:space="preserve">TBD-RR-1072962</t>
  </si>
  <si>
    <t xml:space="preserve">TBD-RR-2725857 (TBD ASR AC Argentina BCM Associate)</t>
  </si>
  <si>
    <t xml:space="preserve">TBD-RR-2725857</t>
  </si>
  <si>
    <t xml:space="preserve">TBD-RR-2931057 (TBD ASR AC Argentina BCM Associate)</t>
  </si>
  <si>
    <t xml:space="preserve">TBD-RR-2931057</t>
  </si>
  <si>
    <t xml:space="preserve">TBD-Rec&amp;Pay (TBD ASR AC Argentina BCM Associate)</t>
  </si>
  <si>
    <t xml:space="preserve">TBD-Rec&amp;Pay</t>
  </si>
  <si>
    <t xml:space="preserve">TBD-Rec&amp;Pay-PLCs (TBD ASR AC Argentina BCM Associate)</t>
  </si>
  <si>
    <t xml:space="preserve">TBD-Rec&amp;Pay-PLCs</t>
  </si>
  <si>
    <t xml:space="preserve">TBD-nahue replacement (TBD ASR AC Argentina BCM Associate)</t>
  </si>
  <si>
    <t xml:space="preserve">TBD-nahue replacement</t>
  </si>
  <si>
    <t xml:space="preserve">TBD-rec&amp;pay (TBD ASR AC Argentina BCM Associate)</t>
  </si>
  <si>
    <t xml:space="preserve">TBD-rec&amp;pay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</si>
</sst>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0.0;\-0.0;\-"/>
    <numFmt numFmtId="167" formatCode="dd\-mmm\-yyyy"/>
    <numFmt numFmtId="168" formatCode="#,##0.0;[RED]\(#,##0.0\);\-"/>
    <numFmt numFmtId="169" formatCode="0.0%;[RED]\(0.0%\);\-"/>
    <numFmt numFmtId="170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CE4D6"/>
        <bgColor rgb="FFE2F0D9"/>
      </patternFill>
    </fill>
    <fill>
      <patternFill patternType="solid">
        <fgColor rgb="FFF4CC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5B9BD5"/>
        <bgColor rgb="FF969696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EAF3F8"/>
      </patternFill>
    </fill>
    <fill>
      <patternFill patternType="solid">
        <fgColor rgb="FFEAF3F8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CE4D6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" t="s">
        <v>1</v>
      </c>
    </row>
    <row r="4" customFormat="false" ht="15" hidden="false" customHeight="tru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customFormat="false" ht="15" hidden="false" customHeight="true" outlineLevel="0" collapsed="false">
      <c r="A5" s="1" t="s">
        <v>9</v>
      </c>
      <c r="B5" s="1" t="s">
        <v>10</v>
      </c>
      <c r="C5" s="1" t="n">
        <v>5</v>
      </c>
      <c r="D5" s="1" t="n">
        <v>190</v>
      </c>
      <c r="E5" s="3" t="n">
        <v>46356</v>
      </c>
      <c r="F5" s="1" t="s">
        <v>11</v>
      </c>
      <c r="G5" s="1" t="s">
        <v>12</v>
      </c>
    </row>
    <row r="6" customFormat="false" ht="15" hidden="false" customHeight="true" outlineLevel="0" collapsed="false">
      <c r="A6" s="1" t="s">
        <v>13</v>
      </c>
      <c r="B6" s="1" t="s">
        <v>14</v>
      </c>
      <c r="C6" s="1" t="n">
        <v>7</v>
      </c>
      <c r="D6" s="1" t="n">
        <v>132</v>
      </c>
      <c r="E6" s="3" t="n">
        <v>46265</v>
      </c>
      <c r="F6" s="1" t="s">
        <v>11</v>
      </c>
      <c r="G6" s="1" t="s">
        <v>12</v>
      </c>
    </row>
    <row r="7" customFormat="false" ht="15" hidden="false" customHeight="true" outlineLevel="0" collapsed="false">
      <c r="A7" s="1" t="s">
        <v>15</v>
      </c>
      <c r="B7" s="1" t="s">
        <v>16</v>
      </c>
      <c r="C7" s="1" t="n">
        <v>4</v>
      </c>
      <c r="D7" s="1" t="n">
        <v>95.203509</v>
      </c>
      <c r="E7" s="3" t="n">
        <v>46356</v>
      </c>
      <c r="F7" s="1" t="s">
        <v>11</v>
      </c>
      <c r="G7" s="1" t="s">
        <v>12</v>
      </c>
    </row>
    <row r="8" customFormat="false" ht="15" hidden="false" customHeight="true" outlineLevel="0" collapsed="false">
      <c r="A8" s="1" t="s">
        <v>17</v>
      </c>
      <c r="B8" s="1" t="s">
        <v>14</v>
      </c>
      <c r="C8" s="1" t="n">
        <v>6</v>
      </c>
      <c r="D8" s="1" t="n">
        <v>90</v>
      </c>
      <c r="E8" s="3" t="n">
        <v>46314</v>
      </c>
      <c r="F8" s="1" t="s">
        <v>11</v>
      </c>
      <c r="G8" s="1" t="s">
        <v>12</v>
      </c>
    </row>
    <row r="9" customFormat="false" ht="15" hidden="false" customHeight="true" outlineLevel="0" collapsed="false">
      <c r="A9" s="1" t="s">
        <v>18</v>
      </c>
      <c r="B9" s="1" t="s">
        <v>16</v>
      </c>
      <c r="C9" s="1" t="n">
        <v>10</v>
      </c>
      <c r="D9" s="1" t="n">
        <v>73.403509</v>
      </c>
      <c r="E9" s="3" t="n">
        <v>46314</v>
      </c>
      <c r="F9" s="1" t="s">
        <v>11</v>
      </c>
      <c r="G9" s="1" t="s">
        <v>19</v>
      </c>
    </row>
    <row r="10" customFormat="false" ht="15" hidden="false" customHeight="true" outlineLevel="0" collapsed="false">
      <c r="A10" s="1" t="s">
        <v>20</v>
      </c>
      <c r="B10" s="1" t="s">
        <v>10</v>
      </c>
      <c r="C10" s="1" t="n">
        <v>9</v>
      </c>
      <c r="D10" s="1" t="n">
        <v>72.5</v>
      </c>
      <c r="E10" s="3" t="n">
        <v>46265</v>
      </c>
      <c r="F10" s="1" t="s">
        <v>11</v>
      </c>
      <c r="G10" s="1" t="s">
        <v>12</v>
      </c>
    </row>
    <row r="11" customFormat="false" ht="15" hidden="false" customHeight="true" outlineLevel="0" collapsed="false">
      <c r="A11" s="1" t="s">
        <v>21</v>
      </c>
      <c r="B11" s="1" t="s">
        <v>14</v>
      </c>
      <c r="C11" s="1" t="n">
        <v>7</v>
      </c>
      <c r="D11" s="1" t="n">
        <v>71</v>
      </c>
      <c r="E11" s="3" t="n">
        <v>46265</v>
      </c>
      <c r="F11" s="1" t="s">
        <v>11</v>
      </c>
      <c r="G11" s="1" t="s">
        <v>12</v>
      </c>
    </row>
    <row r="12" customFormat="false" ht="15" hidden="false" customHeight="true" outlineLevel="0" collapsed="false">
      <c r="A12" s="1" t="s">
        <v>22</v>
      </c>
      <c r="B12" s="1" t="s">
        <v>10</v>
      </c>
      <c r="C12" s="1" t="n">
        <v>5</v>
      </c>
      <c r="D12" s="1" t="n">
        <v>70</v>
      </c>
      <c r="E12" s="3" t="n">
        <v>46405</v>
      </c>
      <c r="F12" s="1" t="s">
        <v>11</v>
      </c>
      <c r="G12" s="1" t="s">
        <v>12</v>
      </c>
    </row>
    <row r="13" customFormat="false" ht="15" hidden="false" customHeight="true" outlineLevel="0" collapsed="false">
      <c r="A13" s="1" t="s">
        <v>23</v>
      </c>
      <c r="B13" s="1" t="s">
        <v>10</v>
      </c>
      <c r="C13" s="1" t="n">
        <v>6</v>
      </c>
      <c r="D13" s="1" t="n">
        <v>69.5</v>
      </c>
      <c r="E13" s="3" t="n">
        <v>46314</v>
      </c>
      <c r="F13" s="1" t="s">
        <v>11</v>
      </c>
      <c r="G13" s="1" t="s">
        <v>12</v>
      </c>
    </row>
    <row r="14" customFormat="false" ht="15" hidden="false" customHeight="true" outlineLevel="0" collapsed="false">
      <c r="A14" s="1" t="s">
        <v>24</v>
      </c>
      <c r="B14" s="1" t="s">
        <v>14</v>
      </c>
      <c r="C14" s="1" t="n">
        <v>8</v>
      </c>
      <c r="D14" s="1" t="n">
        <v>69.5</v>
      </c>
      <c r="E14" s="3" t="n">
        <v>46314</v>
      </c>
      <c r="F14" s="1" t="s">
        <v>11</v>
      </c>
      <c r="G14" s="1" t="s">
        <v>12</v>
      </c>
    </row>
    <row r="15" customFormat="false" ht="15" hidden="false" customHeight="true" outlineLevel="0" collapsed="false">
      <c r="A15" s="1" t="s">
        <v>25</v>
      </c>
      <c r="B15" s="1" t="s">
        <v>16</v>
      </c>
      <c r="C15" s="1" t="n">
        <v>3</v>
      </c>
      <c r="D15" s="1" t="n">
        <v>69.403509</v>
      </c>
      <c r="E15" s="3" t="n">
        <v>46398</v>
      </c>
      <c r="F15" s="1" t="s">
        <v>11</v>
      </c>
      <c r="G15" s="1" t="s">
        <v>12</v>
      </c>
    </row>
    <row r="16" customFormat="false" ht="15" hidden="false" customHeight="true" outlineLevel="0" collapsed="false">
      <c r="A16" s="1" t="s">
        <v>26</v>
      </c>
      <c r="B16" s="1" t="s">
        <v>14</v>
      </c>
      <c r="C16" s="1" t="n">
        <v>5</v>
      </c>
      <c r="D16" s="1" t="n">
        <v>65.5</v>
      </c>
      <c r="E16" s="3" t="n">
        <v>46265</v>
      </c>
      <c r="F16" s="1" t="s">
        <v>11</v>
      </c>
      <c r="G16" s="1" t="s">
        <v>12</v>
      </c>
    </row>
    <row r="17" customFormat="false" ht="15" hidden="false" customHeight="true" outlineLevel="0" collapsed="false">
      <c r="A17" s="1" t="s">
        <v>27</v>
      </c>
      <c r="B17" s="1" t="s">
        <v>14</v>
      </c>
      <c r="C17" s="1" t="n">
        <v>5</v>
      </c>
      <c r="D17" s="1" t="n">
        <v>60</v>
      </c>
      <c r="E17" s="3" t="n">
        <v>46342</v>
      </c>
      <c r="F17" s="1" t="s">
        <v>11</v>
      </c>
      <c r="G17" s="1" t="s">
        <v>12</v>
      </c>
    </row>
    <row r="18" customFormat="false" ht="15" hidden="false" customHeight="true" outlineLevel="0" collapsed="false">
      <c r="A18" s="1" t="s">
        <v>28</v>
      </c>
      <c r="B18" s="1" t="s">
        <v>10</v>
      </c>
      <c r="C18" s="1" t="n">
        <v>7</v>
      </c>
      <c r="D18" s="1" t="n">
        <v>60</v>
      </c>
      <c r="E18" s="3" t="n">
        <v>46293</v>
      </c>
      <c r="F18" s="1" t="s">
        <v>11</v>
      </c>
      <c r="G18" s="1" t="s">
        <v>29</v>
      </c>
    </row>
    <row r="19" customFormat="false" ht="15" hidden="false" customHeight="true" outlineLevel="0" collapsed="false">
      <c r="A19" s="1" t="s">
        <v>30</v>
      </c>
      <c r="B19" s="1" t="s">
        <v>14</v>
      </c>
      <c r="C19" s="1" t="n">
        <v>1</v>
      </c>
      <c r="D19" s="1" t="n">
        <v>55</v>
      </c>
      <c r="E19" s="3" t="n">
        <v>46307</v>
      </c>
      <c r="F19" s="1" t="s">
        <v>11</v>
      </c>
      <c r="G19" s="1" t="s">
        <v>12</v>
      </c>
    </row>
    <row r="20" customFormat="false" ht="15" hidden="false" customHeight="true" outlineLevel="0" collapsed="false">
      <c r="A20" s="1" t="s">
        <v>31</v>
      </c>
      <c r="B20" s="1" t="s">
        <v>14</v>
      </c>
      <c r="C20" s="1" t="n">
        <v>1</v>
      </c>
      <c r="D20" s="1" t="n">
        <v>50</v>
      </c>
      <c r="E20" s="3" t="n">
        <v>46307</v>
      </c>
      <c r="F20" s="1" t="s">
        <v>11</v>
      </c>
      <c r="G20" s="1" t="s">
        <v>29</v>
      </c>
    </row>
    <row r="21" customFormat="false" ht="15" hidden="false" customHeight="true" outlineLevel="0" collapsed="false">
      <c r="A21" s="1" t="s">
        <v>32</v>
      </c>
      <c r="B21" s="1" t="s">
        <v>14</v>
      </c>
      <c r="C21" s="1" t="n">
        <v>1</v>
      </c>
      <c r="D21" s="1" t="n">
        <v>50</v>
      </c>
      <c r="E21" s="3" t="n">
        <v>46307</v>
      </c>
      <c r="F21" s="1" t="s">
        <v>11</v>
      </c>
      <c r="G21" s="1" t="s">
        <v>29</v>
      </c>
    </row>
    <row r="22" customFormat="false" ht="15" hidden="false" customHeight="true" outlineLevel="0" collapsed="false">
      <c r="A22" s="1" t="s">
        <v>33</v>
      </c>
      <c r="B22" s="1" t="s">
        <v>10</v>
      </c>
      <c r="C22" s="1" t="n">
        <v>4</v>
      </c>
      <c r="D22" s="1" t="n">
        <v>65</v>
      </c>
      <c r="E22" s="3" t="n">
        <v>46405</v>
      </c>
      <c r="F22" s="1" t="s">
        <v>34</v>
      </c>
      <c r="G22" s="1" t="s">
        <v>12</v>
      </c>
    </row>
    <row r="23" customFormat="false" ht="15" hidden="false" customHeight="true" outlineLevel="0" collapsed="false">
      <c r="A23" s="1" t="s">
        <v>35</v>
      </c>
      <c r="B23" s="1" t="s">
        <v>10</v>
      </c>
      <c r="C23" s="1" t="n">
        <v>3</v>
      </c>
      <c r="D23" s="1" t="n">
        <v>60</v>
      </c>
      <c r="E23" s="3" t="n">
        <v>46419</v>
      </c>
      <c r="F23" s="1" t="s">
        <v>34</v>
      </c>
      <c r="G23" s="1" t="s">
        <v>29</v>
      </c>
    </row>
    <row r="24" customFormat="false" ht="15" hidden="false" customHeight="true" outlineLevel="0" collapsed="false">
      <c r="A24" s="1" t="s">
        <v>36</v>
      </c>
      <c r="B24" s="1" t="s">
        <v>10</v>
      </c>
      <c r="C24" s="1" t="n">
        <v>1</v>
      </c>
      <c r="D24" s="1" t="n">
        <v>42.5</v>
      </c>
      <c r="E24" s="3" t="n">
        <v>46314</v>
      </c>
      <c r="F24" s="1" t="s">
        <v>34</v>
      </c>
      <c r="G24" s="1" t="s">
        <v>12</v>
      </c>
    </row>
    <row r="27" customFormat="false" ht="15" hidden="false" customHeight="true" outlineLevel="0" collapsed="false">
      <c r="A27" s="1" t="s">
        <v>37</v>
      </c>
    </row>
    <row r="29" customFormat="false" ht="15" hidden="false" customHeight="true" outlineLevel="0" collapsed="false">
      <c r="A29" s="1" t="s">
        <v>38</v>
      </c>
    </row>
    <row r="30" customFormat="false" ht="15" hidden="false" customHeight="true" outlineLevel="0" collapsed="false">
      <c r="A30" s="1" t="s">
        <v>39</v>
      </c>
      <c r="B30" s="1" t="s">
        <v>10</v>
      </c>
      <c r="C30" s="1" t="s">
        <v>12</v>
      </c>
      <c r="D30" s="1" t="s">
        <v>40</v>
      </c>
      <c r="E30" s="1" t="s">
        <v>41</v>
      </c>
    </row>
    <row r="31" customFormat="false" ht="15" hidden="false" customHeight="true" outlineLevel="0" collapsed="false">
      <c r="A31" s="1" t="s">
        <v>42</v>
      </c>
      <c r="B31" s="1" t="s">
        <v>10</v>
      </c>
      <c r="C31" s="1" t="s">
        <v>12</v>
      </c>
      <c r="D31" s="1" t="s">
        <v>43</v>
      </c>
      <c r="E31" s="1" t="s">
        <v>44</v>
      </c>
    </row>
    <row r="32" customFormat="false" ht="15" hidden="false" customHeight="true" outlineLevel="0" collapsed="false">
      <c r="A32" s="1" t="s">
        <v>45</v>
      </c>
      <c r="B32" s="1" t="s">
        <v>14</v>
      </c>
      <c r="C32" s="1" t="s">
        <v>12</v>
      </c>
      <c r="D32" s="1" t="s">
        <v>46</v>
      </c>
      <c r="E32" s="1" t="s">
        <v>47</v>
      </c>
    </row>
    <row r="34" customFormat="false" ht="15" hidden="false" customHeight="true" outlineLevel="0" collapsed="false">
      <c r="A34" s="1" t="s">
        <v>48</v>
      </c>
    </row>
    <row r="35" customFormat="false" ht="15" hidden="false" customHeight="true" outlineLevel="0" collapsed="false">
      <c r="A35" s="1" t="s">
        <v>49</v>
      </c>
      <c r="B35" s="1" t="s">
        <v>50</v>
      </c>
    </row>
    <row r="36" customFormat="false" ht="15" hidden="false" customHeight="true" outlineLevel="0" collapsed="false">
      <c r="A36" s="1" t="s">
        <v>51</v>
      </c>
      <c r="B36" s="1" t="s">
        <v>52</v>
      </c>
    </row>
    <row r="37" customFormat="false" ht="15" hidden="false" customHeight="true" outlineLevel="0" collapsed="false">
      <c r="A37" s="1" t="s">
        <v>53</v>
      </c>
      <c r="B37" s="1" t="s">
        <v>54</v>
      </c>
    </row>
    <row r="38" customFormat="false" ht="15" hidden="false" customHeight="true" outlineLevel="0" collapsed="false">
      <c r="A38" s="1" t="s">
        <v>55</v>
      </c>
      <c r="B38" s="1" t="s">
        <v>56</v>
      </c>
    </row>
    <row r="39" customFormat="false" ht="15" hidden="false" customHeight="true" outlineLevel="0" collapsed="false">
      <c r="A39" s="1" t="s">
        <v>57</v>
      </c>
      <c r="B39" s="1" t="s">
        <v>58</v>
      </c>
    </row>
    <row r="41" customFormat="false" ht="15" hidden="false" customHeight="true" outlineLevel="0" collapsed="false">
      <c r="A41" s="4" t="s">
        <v>59</v>
      </c>
    </row>
    <row r="42" customFormat="false" ht="15" hidden="false" customHeight="true" outlineLevel="0" collapsed="false">
      <c r="A42" s="1" t="s">
        <v>60</v>
      </c>
    </row>
    <row r="43" customFormat="false" ht="15" hidden="false" customHeight="true" outlineLevel="0" collapsed="false">
      <c r="A43" s="1" t="s">
        <v>61</v>
      </c>
    </row>
    <row r="44" customFormat="false" ht="15" hidden="false" customHeight="true" outlineLevel="0" collapsed="false">
      <c r="A44" s="1" t="s">
        <v>62</v>
      </c>
    </row>
    <row r="45" customFormat="false" ht="15" hidden="false" customHeight="true" outlineLevel="0" collapsed="false">
      <c r="A45" s="1" t="s">
        <v>63</v>
      </c>
    </row>
    <row r="47" customFormat="false" ht="15" hidden="false" customHeight="true" outlineLevel="0" collapsed="false">
      <c r="A47" s="2" t="s">
        <v>64</v>
      </c>
    </row>
    <row r="48" customFormat="false" ht="15" hidden="false" customHeight="true" outlineLevel="0" collapsed="false">
      <c r="A48" s="1" t="s">
        <v>65</v>
      </c>
    </row>
    <row r="49" customFormat="false" ht="15" hidden="false" customHeight="true" outlineLevel="0" collapsed="false">
      <c r="A49" s="1" t="s">
        <v>66</v>
      </c>
    </row>
    <row r="50" customFormat="false" ht="15" hidden="false" customHeight="true" outlineLevel="0" collapsed="false">
      <c r="A50" s="1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1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4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13"/>
  </cols>
  <sheetData>
    <row r="1" customFormat="false" ht="31.5" hidden="false" customHeight="true" outlineLevel="0" collapsed="false">
      <c r="A1" s="5" t="s">
        <v>68</v>
      </c>
      <c r="B1" s="5" t="s">
        <v>3</v>
      </c>
      <c r="C1" s="5" t="s">
        <v>2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6" t="n">
        <v>46265</v>
      </c>
      <c r="K1" s="6" t="n">
        <v>46272</v>
      </c>
      <c r="L1" s="6" t="n">
        <v>46279</v>
      </c>
      <c r="M1" s="6" t="n">
        <v>46286</v>
      </c>
      <c r="N1" s="6" t="n">
        <v>46293</v>
      </c>
      <c r="O1" s="6" t="n">
        <v>46300</v>
      </c>
      <c r="P1" s="6" t="n">
        <v>46307</v>
      </c>
      <c r="Q1" s="6" t="n">
        <v>46314</v>
      </c>
      <c r="R1" s="6" t="n">
        <v>46321</v>
      </c>
      <c r="S1" s="6" t="n">
        <v>46328</v>
      </c>
      <c r="T1" s="6" t="n">
        <v>46335</v>
      </c>
      <c r="U1" s="6" t="n">
        <v>46342</v>
      </c>
      <c r="V1" s="6" t="n">
        <v>46349</v>
      </c>
      <c r="W1" s="6" t="n">
        <v>46356</v>
      </c>
      <c r="X1" s="6" t="n">
        <v>46363</v>
      </c>
      <c r="Y1" s="6" t="n">
        <v>46370</v>
      </c>
      <c r="Z1" s="6" t="n">
        <v>46377</v>
      </c>
      <c r="AA1" s="6" t="n">
        <v>46384</v>
      </c>
      <c r="AB1" s="6" t="n">
        <v>46391</v>
      </c>
      <c r="AC1" s="6" t="n">
        <v>46398</v>
      </c>
      <c r="AD1" s="6" t="n">
        <v>46405</v>
      </c>
      <c r="AE1" s="6" t="n">
        <v>46412</v>
      </c>
      <c r="AF1" s="6" t="n">
        <v>46419</v>
      </c>
      <c r="AG1" s="6" t="n">
        <v>46426</v>
      </c>
      <c r="AH1" s="6" t="n">
        <v>46433</v>
      </c>
      <c r="AI1" s="6" t="n">
        <v>46440</v>
      </c>
      <c r="AJ1" s="6" t="n">
        <v>46447</v>
      </c>
      <c r="AK1" s="6" t="n">
        <v>46454</v>
      </c>
      <c r="AL1" s="6" t="n">
        <v>46461</v>
      </c>
      <c r="AM1" s="6" t="n">
        <v>46468</v>
      </c>
      <c r="AN1" s="6" t="n">
        <v>46475</v>
      </c>
      <c r="AO1" s="6" t="n">
        <v>46482</v>
      </c>
      <c r="AP1" s="6" t="n">
        <v>46489</v>
      </c>
      <c r="AQ1" s="6" t="n">
        <v>46496</v>
      </c>
      <c r="AR1" s="6" t="n">
        <v>46503</v>
      </c>
      <c r="AS1" s="6" t="n">
        <v>46510</v>
      </c>
      <c r="AT1" s="6" t="n">
        <v>46517</v>
      </c>
      <c r="AU1" s="6" t="n">
        <v>46524</v>
      </c>
      <c r="AV1" s="6" t="n">
        <v>46531</v>
      </c>
      <c r="AW1" s="6" t="n">
        <v>46538</v>
      </c>
    </row>
    <row r="2" customFormat="false" ht="15" hidden="false" customHeight="true" outlineLevel="0" collapsed="false">
      <c r="A2" s="7" t="s">
        <v>12</v>
      </c>
      <c r="B2" s="7" t="s">
        <v>16</v>
      </c>
      <c r="C2" s="7" t="s">
        <v>75</v>
      </c>
      <c r="D2" s="7" t="s">
        <v>76</v>
      </c>
      <c r="E2" s="7" t="s">
        <v>77</v>
      </c>
      <c r="F2" s="8" t="n">
        <f aca="false">SUM(F3,F4,F5,F6,F7,F8,F9,F10,F11,F12,F13,F14,F15)</f>
        <v>320.9</v>
      </c>
      <c r="G2" s="8" t="n">
        <f aca="false">SUM(G3,G4,G5,G6,G7,G8,G9,G10,G11,G12,G13,G14,G15)</f>
        <v>1063.7</v>
      </c>
      <c r="H2" s="8" t="n">
        <f aca="false">SUM(H3,H4,H5,H6,H7,H8,H9,H10,H11,H12,H13,H14,H15)</f>
        <v>968.9</v>
      </c>
      <c r="I2" s="8" t="n">
        <f aca="false">SUM(I3,I4,I5,I6,I7,I8,I9,I10,I11,I12,I13,I14,I15)</f>
        <v>94.8</v>
      </c>
      <c r="J2" s="8" t="n">
        <f aca="false">SUM(J3,J4,J5,J6,J7,J8,J9,J10,J11,J12,J13,J14,J15)</f>
        <v>22.429825</v>
      </c>
      <c r="K2" s="8" t="n">
        <f aca="false">SUM(K3,K4,K5,K6,K7,K8,K9,K10,K11,K12,K13,K14,K15)</f>
        <v>20.929825</v>
      </c>
      <c r="L2" s="8" t="n">
        <f aca="false">SUM(L3,L4,L5,L6,L7,L8,L9,L10,L11,L12,L13,L14,L15)</f>
        <v>21.929825</v>
      </c>
      <c r="M2" s="8" t="n">
        <f aca="false">SUM(M3,M4,M5,M6,M7,M8,M9,M10,M11,M12,M13,M14,M15)</f>
        <v>9.929825</v>
      </c>
      <c r="N2" s="8" t="n">
        <f aca="false">SUM(N3,N4,N5,N6,N7,N8,N9,N10,N11,N12,N13,N14,N15)</f>
        <v>9.929825</v>
      </c>
      <c r="O2" s="8" t="n">
        <f aca="false">SUM(O3,O4,O5,O6,O7,O8,O9,O10,O11,O12,O13,O14,O15)</f>
        <v>9.929825</v>
      </c>
      <c r="P2" s="8" t="n">
        <f aca="false">SUM(P3,P4,P5,P6,P7,P8,P9,P10,P11,P12,P13,P14,P15)</f>
        <v>9.929825</v>
      </c>
      <c r="Q2" s="8" t="n">
        <f aca="false">SUM(Q3,Q4,Q5,Q6,Q7,Q8,Q9,Q10,Q11,Q12,Q13,Q14,Q15)</f>
        <v>33.929825</v>
      </c>
      <c r="R2" s="8" t="n">
        <f aca="false">SUM(R3,R4,R5,R6,R7,R8,R9,R10,R11,R12,R13,R14,R15)</f>
        <v>33.929825</v>
      </c>
      <c r="S2" s="8" t="n">
        <f aca="false">SUM(S3,S4,S5,S6,S7,S8,S9,S10,S11,S12,S13,S14,S15)</f>
        <v>9.929825</v>
      </c>
      <c r="T2" s="8" t="n">
        <f aca="false">SUM(T3,T4,T5,T6,T7,T8,T9,T10,T11,T12,T13,T14,T15)</f>
        <v>9.929825</v>
      </c>
      <c r="U2" s="8" t="n">
        <f aca="false">SUM(U3,U4,U5,U6,U7,U8,U9,U10,U11,U12,U13,U14,U15)</f>
        <v>13.929825</v>
      </c>
      <c r="V2" s="8" t="n">
        <f aca="false">SUM(V3,V4,V5,V6,V7,V8,V9,V10,V11,V12,V13,V14,V15)</f>
        <v>19.929825</v>
      </c>
      <c r="W2" s="8" t="n">
        <f aca="false">SUM(W3,W4,W5,W6,W7,W8,W9,W10,W11,W12,W13,W14,W15)</f>
        <v>25.929825</v>
      </c>
      <c r="X2" s="8" t="n">
        <f aca="false">SUM(X3,X4,X5,X6,X7,X8,X9,X10,X11,X12,X13,X14,X15)</f>
        <v>15.929825</v>
      </c>
      <c r="Y2" s="8" t="n">
        <f aca="false">SUM(Y3,Y4,Y5,Y6,Y7,Y8,Y9,Y10,Y11,Y12,Y13,Y14,Y15)</f>
        <v>9.929825</v>
      </c>
      <c r="Z2" s="8" t="n">
        <f aca="false">SUM(Z3,Z4,Z5,Z6,Z7,Z8,Z9,Z10,Z11,Z12,Z13,Z14,Z15)</f>
        <v>4.929825</v>
      </c>
      <c r="AA2" s="8" t="n">
        <f aca="false">SUM(AA3,AA4,AA5,AA6,AA7,AA8,AA9,AA10,AA11,AA12,AA13,AA14,AA15)</f>
        <v>1.929825</v>
      </c>
      <c r="AB2" s="8" t="n">
        <f aca="false">SUM(AB3,AB4,AB5,AB6,AB7,AB8,AB9,AB10,AB11,AB12,AB13,AB14,AB15)</f>
        <v>10.903509</v>
      </c>
      <c r="AC2" s="8" t="n">
        <f aca="false">SUM(AC3,AC4,AC5,AC6,AC7,AC8,AC9,AC10,AC11,AC12,AC13,AC14,AC15)</f>
        <v>20.903509</v>
      </c>
      <c r="AD2" s="8" t="n">
        <f aca="false">SUM(AD3,AD4,AD5,AD6,AD7,AD8,AD9,AD10,AD11,AD12,AD13,AD14,AD15)</f>
        <v>31.903509</v>
      </c>
      <c r="AE2" s="8" t="n">
        <f aca="false">SUM(AE3,AE4,AE5,AE6,AE7,AE8,AE9,AE10,AE11,AE12,AE13,AE14,AE15)</f>
        <v>30.903509</v>
      </c>
      <c r="AF2" s="8" t="n">
        <f aca="false">SUM(AF3,AF4,AF5,AF6,AF7,AF8,AF9,AF10,AF11,AF12,AF13,AF14,AF15)</f>
        <v>36.903509</v>
      </c>
      <c r="AG2" s="8" t="n">
        <f aca="false">SUM(AG3,AG4,AG5,AG6,AG7,AG8,AG9,AG10,AG11,AG12,AG13,AG14,AG15)</f>
        <v>47.903509</v>
      </c>
      <c r="AH2" s="8" t="n">
        <f aca="false">SUM(AH3,AH4,AH5,AH6,AH7,AH8,AH9,AH10,AH11,AH12,AH13,AH14,AH15)</f>
        <v>34.903509</v>
      </c>
      <c r="AI2" s="8" t="n">
        <f aca="false">SUM(AI3,AI4,AI5,AI6,AI7,AI8,AI9,AI10,AI11,AI12,AI13,AI14,AI15)</f>
        <v>28.903509</v>
      </c>
      <c r="AJ2" s="8" t="n">
        <f aca="false">SUM(AJ3,AJ4,AJ5,AJ6,AJ7,AJ8,AJ9,AJ10,AJ11,AJ12,AJ13,AJ14,AJ15)</f>
        <v>5.403509</v>
      </c>
      <c r="AK2" s="8" t="n">
        <f aca="false">SUM(AK3,AK4,AK5,AK6,AK7,AK8,AK9,AK10,AK11,AK12,AK13,AK14,AK15)</f>
        <v>5.403509</v>
      </c>
      <c r="AL2" s="8" t="n">
        <f aca="false">SUM(AL3,AL4,AL5,AL6,AL7,AL8,AL9,AL10,AL11,AL12,AL13,AL14,AL15)</f>
        <v>10.403509</v>
      </c>
      <c r="AM2" s="8" t="n">
        <f aca="false">SUM(AM3,AM4,AM5,AM6,AM7,AM8,AM9,AM10,AM11,AM12,AM13,AM14,AM15)</f>
        <v>1.403509</v>
      </c>
      <c r="AN2" s="8" t="n">
        <f aca="false">SUM(AN3,AN4,AN5,AN6,AN7,AN8,AN9,AN10,AN11,AN12,AN13,AN14,AN15)</f>
        <v>1.403509</v>
      </c>
      <c r="AO2" s="8" t="n">
        <f aca="false">SUM(AO3,AO4,AO5,AO6,AO7,AO8,AO9,AO10,AO11,AO12,AO13,AO14,AO15)</f>
        <v>1.403509</v>
      </c>
      <c r="AP2" s="8" t="n">
        <f aca="false">SUM(AP3,AP4,AP5,AP6,AP7,AP8,AP9,AP10,AP11,AP12,AP13,AP14,AP15)</f>
        <v>1.403509</v>
      </c>
      <c r="AQ2" s="8" t="n">
        <f aca="false">SUM(AQ3,AQ4,AQ5,AQ6,AQ7,AQ8,AQ9,AQ10,AQ11,AQ12,AQ13,AQ14,AQ15)</f>
        <v>1.403509</v>
      </c>
      <c r="AR2" s="8" t="n">
        <f aca="false">SUM(AR3,AR4,AR5,AR6,AR7,AR8,AR9,AR10,AR11,AR12,AR13,AR14,AR15)</f>
        <v>1.403509</v>
      </c>
      <c r="AS2" s="8" t="n">
        <f aca="false">SUM(AS3,AS4,AS5,AS6,AS7,AS8,AS9,AS10,AS11,AS12,AS13,AS14,AS15)</f>
        <v>1.403509</v>
      </c>
      <c r="AT2" s="8" t="n">
        <f aca="false">SUM(AT3,AT4,AT5,AT6,AT7,AT8,AT9,AT10,AT11,AT12,AT13,AT14,AT15)</f>
        <v>1.403509</v>
      </c>
      <c r="AU2" s="8" t="n">
        <f aca="false">SUM(AU3,AU4,AU5,AU6,AU7,AU8,AU9,AU10,AU11,AU12,AU13,AU14,AU15)</f>
        <v>0</v>
      </c>
      <c r="AV2" s="8" t="n">
        <f aca="false">SUM(AV3,AV4,AV5,AV6,AV7,AV8,AV9,AV10,AV11,AV12,AV13,AV14,AV15)</f>
        <v>0</v>
      </c>
      <c r="AW2" s="8" t="n">
        <f aca="false">SUM(AW3,AW4,AW5,AW6,AW7,AW8,AW9,AW10,AW11,AW12,AW13,AW14,AW15)</f>
        <v>0</v>
      </c>
    </row>
    <row r="3" customFormat="false" ht="15" hidden="true" customHeight="true" outlineLevel="1" collapsed="false">
      <c r="A3" s="9" t="s">
        <v>12</v>
      </c>
      <c r="B3" s="9" t="s">
        <v>16</v>
      </c>
      <c r="C3" s="9" t="s">
        <v>75</v>
      </c>
      <c r="D3" s="9" t="s">
        <v>78</v>
      </c>
      <c r="E3" s="9" t="s">
        <v>79</v>
      </c>
      <c r="F3" s="10" t="n">
        <v>19.4</v>
      </c>
      <c r="G3" s="10" t="n">
        <v>71.4</v>
      </c>
      <c r="H3" s="10" t="n">
        <v>74.4</v>
      </c>
      <c r="I3" s="10" t="n">
        <v>-2.99999999999999</v>
      </c>
      <c r="J3" s="10" t="n">
        <v>2.403509</v>
      </c>
      <c r="K3" s="10" t="n">
        <v>1.403509</v>
      </c>
      <c r="L3" s="10" t="n">
        <v>1.403509</v>
      </c>
      <c r="M3" s="10" t="n">
        <v>1.403509</v>
      </c>
      <c r="N3" s="10" t="n">
        <v>1.403509</v>
      </c>
      <c r="O3" s="10" t="n">
        <v>1.403509</v>
      </c>
      <c r="P3" s="10" t="n">
        <v>1.403509</v>
      </c>
      <c r="Q3" s="10" t="n">
        <v>1.403509</v>
      </c>
      <c r="R3" s="10" t="n">
        <v>1.403509</v>
      </c>
      <c r="S3" s="10" t="n">
        <v>1.403509</v>
      </c>
      <c r="T3" s="10" t="n">
        <v>1.403509</v>
      </c>
      <c r="U3" s="10" t="n">
        <v>1.403509</v>
      </c>
      <c r="V3" s="10" t="n">
        <v>1.403509</v>
      </c>
      <c r="W3" s="10" t="n">
        <v>1.403509</v>
      </c>
      <c r="X3" s="10" t="n">
        <v>1.403509</v>
      </c>
      <c r="Y3" s="10" t="n">
        <v>1.403509</v>
      </c>
      <c r="Z3" s="10" t="n">
        <v>1.403509</v>
      </c>
      <c r="AA3" s="10" t="n">
        <v>1.403509</v>
      </c>
      <c r="AB3" s="10" t="n">
        <v>1.403509</v>
      </c>
      <c r="AC3" s="10" t="n">
        <v>1.403509</v>
      </c>
      <c r="AD3" s="10" t="n">
        <v>1.403509</v>
      </c>
      <c r="AE3" s="10" t="n">
        <v>1.403509</v>
      </c>
      <c r="AF3" s="10" t="n">
        <v>1.403509</v>
      </c>
      <c r="AG3" s="10" t="n">
        <v>1.403509</v>
      </c>
      <c r="AH3" s="10" t="n">
        <v>1.403509</v>
      </c>
      <c r="AI3" s="10" t="n">
        <v>1.403509</v>
      </c>
      <c r="AJ3" s="10" t="n">
        <v>1.403509</v>
      </c>
      <c r="AK3" s="10" t="n">
        <v>1.403509</v>
      </c>
      <c r="AL3" s="10" t="n">
        <v>1.403509</v>
      </c>
      <c r="AM3" s="10" t="n">
        <v>1.403509</v>
      </c>
      <c r="AN3" s="10" t="n">
        <v>1.403509</v>
      </c>
      <c r="AO3" s="10" t="n">
        <v>1.403509</v>
      </c>
      <c r="AP3" s="10" t="n">
        <v>1.403509</v>
      </c>
      <c r="AQ3" s="10" t="n">
        <v>1.403509</v>
      </c>
      <c r="AR3" s="10" t="n">
        <v>1.403509</v>
      </c>
      <c r="AS3" s="10" t="n">
        <v>1.403509</v>
      </c>
      <c r="AT3" s="10" t="n">
        <v>1.403509</v>
      </c>
      <c r="AU3" s="10" t="n">
        <v>0</v>
      </c>
      <c r="AV3" s="10" t="n">
        <v>0</v>
      </c>
      <c r="AW3" s="10" t="n">
        <v>0</v>
      </c>
    </row>
    <row r="4" customFormat="false" ht="15" hidden="true" customHeight="true" outlineLevel="1" collapsed="false">
      <c r="A4" s="9" t="s">
        <v>12</v>
      </c>
      <c r="B4" s="9" t="s">
        <v>16</v>
      </c>
      <c r="C4" s="9" t="s">
        <v>75</v>
      </c>
      <c r="D4" s="9" t="s">
        <v>78</v>
      </c>
      <c r="E4" s="9" t="s">
        <v>80</v>
      </c>
      <c r="F4" s="10" t="n">
        <v>0</v>
      </c>
      <c r="G4" s="10" t="n">
        <v>5</v>
      </c>
      <c r="H4" s="10" t="n">
        <v>5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10" t="n">
        <v>0</v>
      </c>
      <c r="AK4" s="10" t="n">
        <v>0</v>
      </c>
      <c r="AL4" s="10" t="n">
        <v>5</v>
      </c>
      <c r="AM4" s="10" t="n">
        <v>0</v>
      </c>
      <c r="AN4" s="10" t="n">
        <v>0</v>
      </c>
      <c r="AO4" s="10" t="n">
        <v>0</v>
      </c>
      <c r="AP4" s="10" t="n">
        <v>0</v>
      </c>
      <c r="AQ4" s="10" t="n">
        <v>0</v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10" t="n">
        <v>0</v>
      </c>
    </row>
    <row r="5" customFormat="false" ht="15" hidden="true" customHeight="true" outlineLevel="1" collapsed="false">
      <c r="A5" s="9" t="s">
        <v>12</v>
      </c>
      <c r="B5" s="9" t="s">
        <v>16</v>
      </c>
      <c r="C5" s="9" t="s">
        <v>75</v>
      </c>
      <c r="D5" s="9" t="s">
        <v>78</v>
      </c>
      <c r="E5" s="9" t="s">
        <v>81</v>
      </c>
      <c r="F5" s="10" t="n">
        <v>5.5</v>
      </c>
      <c r="G5" s="10" t="n">
        <v>25.3</v>
      </c>
      <c r="H5" s="10" t="n">
        <v>19.5</v>
      </c>
      <c r="I5" s="10" t="n">
        <v>5.8</v>
      </c>
      <c r="J5" s="10" t="n">
        <v>0.526316</v>
      </c>
      <c r="K5" s="10" t="n">
        <v>0.526316</v>
      </c>
      <c r="L5" s="10" t="n">
        <v>0.526316</v>
      </c>
      <c r="M5" s="10" t="n">
        <v>0.526316</v>
      </c>
      <c r="N5" s="10" t="n">
        <v>0.526316</v>
      </c>
      <c r="O5" s="10" t="n">
        <v>0.526316</v>
      </c>
      <c r="P5" s="10" t="n">
        <v>0.526316</v>
      </c>
      <c r="Q5" s="10" t="n">
        <v>0.526316</v>
      </c>
      <c r="R5" s="10" t="n">
        <v>0.526316</v>
      </c>
      <c r="S5" s="10" t="n">
        <v>0.526316</v>
      </c>
      <c r="T5" s="10" t="n">
        <v>0.526316</v>
      </c>
      <c r="U5" s="10" t="n">
        <v>0.526316</v>
      </c>
      <c r="V5" s="10" t="n">
        <v>0.526316</v>
      </c>
      <c r="W5" s="10" t="n">
        <v>0.526316</v>
      </c>
      <c r="X5" s="10" t="n">
        <v>0.526316</v>
      </c>
      <c r="Y5" s="10" t="n">
        <v>0.526316</v>
      </c>
      <c r="Z5" s="10" t="n">
        <v>0.526316</v>
      </c>
      <c r="AA5" s="10" t="n">
        <v>0.526316</v>
      </c>
      <c r="AB5" s="10" t="n">
        <v>1</v>
      </c>
      <c r="AC5" s="10" t="n">
        <v>1</v>
      </c>
      <c r="AD5" s="10" t="n">
        <v>1</v>
      </c>
      <c r="AE5" s="10" t="n">
        <v>1</v>
      </c>
      <c r="AF5" s="10" t="n">
        <v>1.5</v>
      </c>
      <c r="AG5" s="10" t="n">
        <v>1.5</v>
      </c>
      <c r="AH5" s="10" t="n">
        <v>1.5</v>
      </c>
      <c r="AI5" s="10" t="n">
        <v>1.5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</row>
    <row r="6" customFormat="false" ht="15" hidden="true" customHeight="true" outlineLevel="1" collapsed="false">
      <c r="A6" s="9" t="s">
        <v>12</v>
      </c>
      <c r="B6" s="9" t="s">
        <v>16</v>
      </c>
      <c r="C6" s="9" t="s">
        <v>75</v>
      </c>
      <c r="D6" s="9" t="s">
        <v>78</v>
      </c>
      <c r="E6" s="9" t="s">
        <v>82</v>
      </c>
      <c r="F6" s="10" t="n">
        <v>11</v>
      </c>
      <c r="G6" s="10" t="n">
        <v>11</v>
      </c>
      <c r="H6" s="10" t="n">
        <v>24</v>
      </c>
      <c r="I6" s="10" t="n">
        <v>-13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</row>
    <row r="7" customFormat="false" ht="15" hidden="true" customHeight="true" outlineLevel="1" collapsed="false">
      <c r="A7" s="9" t="s">
        <v>12</v>
      </c>
      <c r="B7" s="9" t="s">
        <v>16</v>
      </c>
      <c r="C7" s="9" t="s">
        <v>75</v>
      </c>
      <c r="D7" s="9" t="s">
        <v>78</v>
      </c>
      <c r="E7" s="9" t="s">
        <v>83</v>
      </c>
      <c r="F7" s="10" t="n">
        <v>10</v>
      </c>
      <c r="G7" s="10" t="n">
        <v>10</v>
      </c>
      <c r="H7" s="10" t="n">
        <v>25</v>
      </c>
      <c r="I7" s="10" t="n">
        <v>-15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</row>
    <row r="8" customFormat="false" ht="15" hidden="true" customHeight="true" outlineLevel="1" collapsed="false">
      <c r="A8" s="9" t="s">
        <v>12</v>
      </c>
      <c r="B8" s="9" t="s">
        <v>16</v>
      </c>
      <c r="C8" s="9" t="s">
        <v>75</v>
      </c>
      <c r="D8" s="9" t="s">
        <v>78</v>
      </c>
      <c r="E8" s="9" t="s">
        <v>84</v>
      </c>
      <c r="F8" s="10" t="n">
        <v>0</v>
      </c>
      <c r="G8" s="10" t="n">
        <v>10</v>
      </c>
      <c r="H8" s="10" t="n">
        <v>10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5</v>
      </c>
      <c r="R8" s="10" t="n">
        <v>5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</row>
    <row r="9" customFormat="false" ht="15" hidden="true" customHeight="true" outlineLevel="1" collapsed="false">
      <c r="A9" s="9" t="s">
        <v>12</v>
      </c>
      <c r="B9" s="9" t="s">
        <v>16</v>
      </c>
      <c r="C9" s="9" t="s">
        <v>75</v>
      </c>
      <c r="D9" s="9" t="s">
        <v>78</v>
      </c>
      <c r="E9" s="9" t="s">
        <v>40</v>
      </c>
      <c r="F9" s="10" t="n">
        <v>0</v>
      </c>
      <c r="G9" s="10" t="n">
        <v>15</v>
      </c>
      <c r="H9" s="10" t="n">
        <v>20.5</v>
      </c>
      <c r="I9" s="10" t="n">
        <v>-5.5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5</v>
      </c>
      <c r="AH9" s="10" t="n">
        <v>5</v>
      </c>
      <c r="AI9" s="10" t="n">
        <v>5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</row>
    <row r="10" customFormat="false" ht="15" hidden="true" customHeight="true" outlineLevel="1" collapsed="false">
      <c r="A10" s="9" t="s">
        <v>12</v>
      </c>
      <c r="B10" s="9" t="s">
        <v>16</v>
      </c>
      <c r="C10" s="9" t="s">
        <v>75</v>
      </c>
      <c r="D10" s="9" t="s">
        <v>78</v>
      </c>
      <c r="E10" s="9" t="s">
        <v>85</v>
      </c>
      <c r="F10" s="10" t="n">
        <v>112</v>
      </c>
      <c r="G10" s="10" t="n">
        <v>458</v>
      </c>
      <c r="H10" s="10" t="n">
        <v>257.5</v>
      </c>
      <c r="I10" s="10" t="n">
        <v>200.5</v>
      </c>
      <c r="J10" s="10" t="n">
        <v>11</v>
      </c>
      <c r="K10" s="10" t="n">
        <v>14</v>
      </c>
      <c r="L10" s="10" t="n">
        <v>14</v>
      </c>
      <c r="M10" s="10" t="n">
        <v>3</v>
      </c>
      <c r="N10" s="10" t="n">
        <v>3</v>
      </c>
      <c r="O10" s="10" t="n">
        <v>3</v>
      </c>
      <c r="P10" s="10" t="n">
        <v>3</v>
      </c>
      <c r="Q10" s="10" t="n">
        <v>3</v>
      </c>
      <c r="R10" s="10" t="n">
        <v>3</v>
      </c>
      <c r="S10" s="10" t="n">
        <v>3</v>
      </c>
      <c r="T10" s="10" t="n">
        <v>3</v>
      </c>
      <c r="U10" s="10" t="n">
        <v>3</v>
      </c>
      <c r="V10" s="10" t="n">
        <v>13</v>
      </c>
      <c r="W10" s="10" t="n">
        <v>19</v>
      </c>
      <c r="X10" s="10" t="n">
        <v>3</v>
      </c>
      <c r="Y10" s="10" t="n">
        <v>3</v>
      </c>
      <c r="Z10" s="10" t="n">
        <v>3</v>
      </c>
      <c r="AA10" s="10" t="n">
        <v>0</v>
      </c>
      <c r="AB10" s="10" t="n">
        <v>4.5</v>
      </c>
      <c r="AC10" s="10" t="n">
        <v>6.5</v>
      </c>
      <c r="AD10" s="10" t="n">
        <v>3.5</v>
      </c>
      <c r="AE10" s="10" t="n">
        <v>3.5</v>
      </c>
      <c r="AF10" s="10" t="n">
        <v>7</v>
      </c>
      <c r="AG10" s="10" t="n">
        <v>12</v>
      </c>
      <c r="AH10" s="10" t="n">
        <v>11</v>
      </c>
      <c r="AI10" s="10" t="n">
        <v>11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</row>
    <row r="11" customFormat="false" ht="15" hidden="true" customHeight="true" outlineLevel="1" collapsed="false">
      <c r="A11" s="9" t="s">
        <v>12</v>
      </c>
      <c r="B11" s="9" t="s">
        <v>16</v>
      </c>
      <c r="C11" s="9" t="s">
        <v>75</v>
      </c>
      <c r="D11" s="9" t="s">
        <v>78</v>
      </c>
      <c r="E11" s="9" t="s">
        <v>46</v>
      </c>
      <c r="F11" s="10" t="n">
        <v>94.5</v>
      </c>
      <c r="G11" s="10" t="n">
        <v>304.5</v>
      </c>
      <c r="H11" s="10" t="n">
        <v>324.5</v>
      </c>
      <c r="I11" s="10" t="n">
        <v>-20</v>
      </c>
      <c r="J11" s="10" t="n">
        <v>7.5</v>
      </c>
      <c r="K11" s="10" t="n">
        <v>4</v>
      </c>
      <c r="L11" s="10" t="n">
        <v>5</v>
      </c>
      <c r="M11" s="10" t="n">
        <v>4</v>
      </c>
      <c r="N11" s="10" t="n">
        <v>4</v>
      </c>
      <c r="O11" s="10" t="n">
        <v>4</v>
      </c>
      <c r="P11" s="10" t="n">
        <v>4</v>
      </c>
      <c r="Q11" s="10" t="n">
        <v>4</v>
      </c>
      <c r="R11" s="10" t="n">
        <v>4</v>
      </c>
      <c r="S11" s="10" t="n">
        <v>4</v>
      </c>
      <c r="T11" s="10" t="n">
        <v>4</v>
      </c>
      <c r="U11" s="10" t="n">
        <v>8</v>
      </c>
      <c r="V11" s="10" t="n">
        <v>4</v>
      </c>
      <c r="W11" s="10" t="n">
        <v>4</v>
      </c>
      <c r="X11" s="10" t="n">
        <v>10</v>
      </c>
      <c r="Y11" s="10" t="n">
        <v>4</v>
      </c>
      <c r="Z11" s="10" t="n">
        <v>0</v>
      </c>
      <c r="AA11" s="10" t="n">
        <v>0</v>
      </c>
      <c r="AB11" s="10" t="n">
        <v>4</v>
      </c>
      <c r="AC11" s="10" t="n">
        <v>11</v>
      </c>
      <c r="AD11" s="10" t="n">
        <v>21</v>
      </c>
      <c r="AE11" s="10" t="n">
        <v>20</v>
      </c>
      <c r="AF11" s="10" t="n">
        <v>21</v>
      </c>
      <c r="AG11" s="10" t="n">
        <v>22</v>
      </c>
      <c r="AH11" s="10" t="n">
        <v>15</v>
      </c>
      <c r="AI11" s="10" t="n">
        <v>9</v>
      </c>
      <c r="AJ11" s="10" t="n">
        <v>4</v>
      </c>
      <c r="AK11" s="10" t="n">
        <v>4</v>
      </c>
      <c r="AL11" s="10" t="n">
        <v>4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0</v>
      </c>
      <c r="AW11" s="10" t="n">
        <v>0</v>
      </c>
    </row>
    <row r="12" customFormat="false" ht="15" hidden="true" customHeight="true" outlineLevel="1" collapsed="false">
      <c r="A12" s="9" t="s">
        <v>12</v>
      </c>
      <c r="B12" s="9" t="s">
        <v>16</v>
      </c>
      <c r="C12" s="9" t="s">
        <v>75</v>
      </c>
      <c r="D12" s="9" t="s">
        <v>78</v>
      </c>
      <c r="E12" s="9" t="s">
        <v>86</v>
      </c>
      <c r="F12" s="10" t="n">
        <v>4.5</v>
      </c>
      <c r="G12" s="10" t="n">
        <v>4.5</v>
      </c>
      <c r="H12" s="10" t="n">
        <v>67.5</v>
      </c>
      <c r="I12" s="10" t="n">
        <v>-63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</row>
    <row r="13" customFormat="false" ht="15" hidden="true" customHeight="true" outlineLevel="1" collapsed="false">
      <c r="A13" s="9" t="s">
        <v>12</v>
      </c>
      <c r="B13" s="9" t="s">
        <v>16</v>
      </c>
      <c r="C13" s="9" t="s">
        <v>75</v>
      </c>
      <c r="D13" s="9" t="s">
        <v>78</v>
      </c>
      <c r="E13" s="9" t="s">
        <v>43</v>
      </c>
      <c r="F13" s="10" t="n">
        <v>4</v>
      </c>
      <c r="G13" s="10" t="n">
        <v>49</v>
      </c>
      <c r="H13" s="10" t="n">
        <v>42</v>
      </c>
      <c r="I13" s="10" t="n">
        <v>7</v>
      </c>
      <c r="J13" s="10" t="n">
        <v>1</v>
      </c>
      <c r="K13" s="10" t="n">
        <v>1</v>
      </c>
      <c r="L13" s="10" t="n">
        <v>1</v>
      </c>
      <c r="M13" s="10" t="n">
        <v>1</v>
      </c>
      <c r="N13" s="10" t="n">
        <v>1</v>
      </c>
      <c r="O13" s="10" t="n">
        <v>1</v>
      </c>
      <c r="P13" s="10" t="n">
        <v>1</v>
      </c>
      <c r="Q13" s="10" t="n">
        <v>0</v>
      </c>
      <c r="R13" s="10" t="n">
        <v>0</v>
      </c>
      <c r="S13" s="10" t="n">
        <v>1</v>
      </c>
      <c r="T13" s="10" t="n">
        <v>1</v>
      </c>
      <c r="U13" s="10" t="n">
        <v>1</v>
      </c>
      <c r="V13" s="10" t="n">
        <v>1</v>
      </c>
      <c r="W13" s="10" t="n">
        <v>1</v>
      </c>
      <c r="X13" s="10" t="n">
        <v>1</v>
      </c>
      <c r="Y13" s="10" t="n">
        <v>1</v>
      </c>
      <c r="Z13" s="10" t="n">
        <v>0</v>
      </c>
      <c r="AA13" s="10" t="n">
        <v>0</v>
      </c>
      <c r="AB13" s="10" t="n">
        <v>0</v>
      </c>
      <c r="AC13" s="10" t="n">
        <v>1</v>
      </c>
      <c r="AD13" s="10" t="n">
        <v>5</v>
      </c>
      <c r="AE13" s="10" t="n">
        <v>5</v>
      </c>
      <c r="AF13" s="10" t="n">
        <v>6</v>
      </c>
      <c r="AG13" s="10" t="n">
        <v>6</v>
      </c>
      <c r="AH13" s="10" t="n">
        <v>1</v>
      </c>
      <c r="AI13" s="10" t="n">
        <v>1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n">
        <v>0</v>
      </c>
      <c r="AW13" s="10" t="n">
        <v>0</v>
      </c>
    </row>
    <row r="14" customFormat="false" ht="15" hidden="true" customHeight="true" outlineLevel="1" collapsed="false">
      <c r="A14" s="9" t="s">
        <v>12</v>
      </c>
      <c r="B14" s="9" t="s">
        <v>16</v>
      </c>
      <c r="C14" s="9" t="s">
        <v>75</v>
      </c>
      <c r="D14" s="9" t="s">
        <v>78</v>
      </c>
      <c r="E14" s="9" t="s">
        <v>87</v>
      </c>
      <c r="F14" s="10" t="n">
        <v>60</v>
      </c>
      <c r="G14" s="10" t="n">
        <v>60</v>
      </c>
      <c r="H14" s="10" t="n">
        <v>59</v>
      </c>
      <c r="I14" s="10" t="n">
        <v>1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</v>
      </c>
    </row>
    <row r="15" customFormat="false" ht="15" hidden="true" customHeight="true" outlineLevel="1" collapsed="false">
      <c r="A15" s="9" t="s">
        <v>12</v>
      </c>
      <c r="B15" s="9" t="s">
        <v>16</v>
      </c>
      <c r="C15" s="9" t="s">
        <v>75</v>
      </c>
      <c r="D15" s="9" t="s">
        <v>78</v>
      </c>
      <c r="E15" s="9" t="s">
        <v>88</v>
      </c>
      <c r="F15" s="10" t="n">
        <v>0</v>
      </c>
      <c r="G15" s="10" t="n">
        <v>40</v>
      </c>
      <c r="H15" s="10" t="n">
        <v>40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20</v>
      </c>
      <c r="R15" s="10" t="n">
        <v>20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  <c r="AT15" s="10" t="n">
        <v>0</v>
      </c>
      <c r="AU15" s="10" t="n">
        <v>0</v>
      </c>
      <c r="AV15" s="10" t="n">
        <v>0</v>
      </c>
      <c r="AW15" s="10" t="n">
        <v>0</v>
      </c>
    </row>
    <row r="16" customFormat="false" ht="15" hidden="false" customHeight="true" outlineLevel="0" collapsed="false">
      <c r="A16" s="7" t="s">
        <v>89</v>
      </c>
      <c r="B16" s="7" t="s">
        <v>16</v>
      </c>
      <c r="C16" s="7" t="s">
        <v>90</v>
      </c>
      <c r="D16" s="7" t="s">
        <v>76</v>
      </c>
      <c r="E16" s="7" t="s">
        <v>77</v>
      </c>
      <c r="F16" s="8" t="n">
        <f aca="false">SUM(F17,F18,F19,F20,F21,F22,F23)</f>
        <v>92</v>
      </c>
      <c r="G16" s="8" t="n">
        <f aca="false">SUM(G17,G18,G19,G20,G21,G22,G23)</f>
        <v>605</v>
      </c>
      <c r="H16" s="8" t="n">
        <f aca="false">SUM(H17,H18,H19,H20,H21,H22,H23)</f>
        <v>754.6</v>
      </c>
      <c r="I16" s="8" t="n">
        <f aca="false">SUM(I17,I18,I19,I20,I21,I22,I23)</f>
        <v>-149.6</v>
      </c>
      <c r="J16" s="8" t="n">
        <f aca="false">SUM(J17,J18,J19,J20,J21,J22,J23)</f>
        <v>10</v>
      </c>
      <c r="K16" s="8" t="n">
        <f aca="false">SUM(K17,K18,K19,K20,K21,K22,K23)</f>
        <v>10</v>
      </c>
      <c r="L16" s="8" t="n">
        <f aca="false">SUM(L17,L18,L19,L20,L21,L22,L23)</f>
        <v>10</v>
      </c>
      <c r="M16" s="8" t="n">
        <f aca="false">SUM(M17,M18,M19,M20,M21,M22,M23)</f>
        <v>10</v>
      </c>
      <c r="N16" s="8" t="n">
        <f aca="false">SUM(N17,N18,N19,N20,N21,N22,N23)</f>
        <v>10</v>
      </c>
      <c r="O16" s="8" t="n">
        <f aca="false">SUM(O17,O18,O19,O20,O21,O22,O23)</f>
        <v>10.5</v>
      </c>
      <c r="P16" s="8" t="n">
        <f aca="false">SUM(P17,P18,P19,P20,P21,P22,P23)</f>
        <v>20.5</v>
      </c>
      <c r="Q16" s="8" t="n">
        <f aca="false">SUM(Q17,Q18,Q19,Q20,Q21,Q22,Q23)</f>
        <v>25.5</v>
      </c>
      <c r="R16" s="8" t="n">
        <f aca="false">SUM(R17,R18,R19,R20,R21,R22,R23)</f>
        <v>25.5</v>
      </c>
      <c r="S16" s="8" t="n">
        <f aca="false">SUM(S17,S18,S19,S20,S21,S22,S23)</f>
        <v>10.5</v>
      </c>
      <c r="T16" s="8" t="n">
        <f aca="false">SUM(T17,T18,T19,T20,T21,T22,T23)</f>
        <v>10.5</v>
      </c>
      <c r="U16" s="8" t="n">
        <f aca="false">SUM(U17,U18,U19,U20,U21,U22,U23)</f>
        <v>10.5</v>
      </c>
      <c r="V16" s="8" t="n">
        <f aca="false">SUM(V17,V18,V19,V20,V21,V22,V23)</f>
        <v>10.5</v>
      </c>
      <c r="W16" s="8" t="n">
        <f aca="false">SUM(W17,W18,W19,W20,W21,W22,W23)</f>
        <v>0.5</v>
      </c>
      <c r="X16" s="8" t="n">
        <f aca="false">SUM(X17,X18,X19,X20,X21,X22,X23)</f>
        <v>0.5</v>
      </c>
      <c r="Y16" s="8" t="n">
        <f aca="false">SUM(Y17,Y18,Y19,Y20,Y21,Y22,Y23)</f>
        <v>3.5</v>
      </c>
      <c r="Z16" s="8" t="n">
        <f aca="false">SUM(Z17,Z18,Z19,Z20,Z21,Z22,Z23)</f>
        <v>0.5</v>
      </c>
      <c r="AA16" s="8" t="n">
        <f aca="false">SUM(AA17,AA18,AA19,AA20,AA21,AA22,AA23)</f>
        <v>0</v>
      </c>
      <c r="AB16" s="8" t="n">
        <f aca="false">SUM(AB17,AB18,AB19,AB20,AB21,AB22,AB23)</f>
        <v>15</v>
      </c>
      <c r="AC16" s="8" t="n">
        <f aca="false">SUM(AC17,AC18,AC19,AC20,AC21,AC22,AC23)</f>
        <v>23</v>
      </c>
      <c r="AD16" s="8" t="n">
        <f aca="false">SUM(AD17,AD18,AD19,AD20,AD21,AD22,AD23)</f>
        <v>43</v>
      </c>
      <c r="AE16" s="8" t="n">
        <f aca="false">SUM(AE17,AE18,AE19,AE20,AE21,AE22,AE23)</f>
        <v>38</v>
      </c>
      <c r="AF16" s="8" t="n">
        <f aca="false">SUM(AF17,AF18,AF19,AF20,AF21,AF22,AF23)</f>
        <v>38</v>
      </c>
      <c r="AG16" s="8" t="n">
        <f aca="false">SUM(AG17,AG18,AG19,AG20,AG21,AG22,AG23)</f>
        <v>38</v>
      </c>
      <c r="AH16" s="8" t="n">
        <f aca="false">SUM(AH17,AH18,AH19,AH20,AH21,AH22,AH23)</f>
        <v>30</v>
      </c>
      <c r="AI16" s="8" t="n">
        <f aca="false">SUM(AI17,AI18,AI19,AI20,AI21,AI22,AI23)</f>
        <v>35</v>
      </c>
      <c r="AJ16" s="8" t="n">
        <f aca="false">SUM(AJ17,AJ18,AJ19,AJ20,AJ21,AJ22,AJ23)</f>
        <v>12</v>
      </c>
      <c r="AK16" s="8" t="n">
        <f aca="false">SUM(AK17,AK18,AK19,AK20,AK21,AK22,AK23)</f>
        <v>23.5</v>
      </c>
      <c r="AL16" s="8" t="n">
        <f aca="false">SUM(AL17,AL18,AL19,AL20,AL21,AL22,AL23)</f>
        <v>23.5</v>
      </c>
      <c r="AM16" s="8" t="n">
        <f aca="false">SUM(AM17,AM18,AM19,AM20,AM21,AM22,AM23)</f>
        <v>24</v>
      </c>
      <c r="AN16" s="8" t="n">
        <f aca="false">SUM(AN17,AN18,AN19,AN20,AN21,AN22,AN23)</f>
        <v>24.8</v>
      </c>
      <c r="AO16" s="8" t="n">
        <f aca="false">SUM(AO17,AO18,AO19,AO20,AO21,AO22,AO23)</f>
        <v>19</v>
      </c>
      <c r="AP16" s="8" t="n">
        <f aca="false">SUM(AP17,AP18,AP19,AP20,AP21,AP22,AP23)</f>
        <v>25</v>
      </c>
      <c r="AQ16" s="8" t="n">
        <f aca="false">SUM(AQ17,AQ18,AQ19,AQ20,AQ21,AQ22,AQ23)</f>
        <v>18.5</v>
      </c>
      <c r="AR16" s="8" t="n">
        <f aca="false">SUM(AR17,AR18,AR19,AR20,AR21,AR22,AR23)</f>
        <v>17.8</v>
      </c>
      <c r="AS16" s="8" t="n">
        <f aca="false">SUM(AS17,AS18,AS19,AS20,AS21,AS22,AS23)</f>
        <v>15</v>
      </c>
      <c r="AT16" s="8" t="n">
        <f aca="false">SUM(AT17,AT18,AT19,AT20,AT21,AT22,AT23)</f>
        <v>5</v>
      </c>
      <c r="AU16" s="8" t="n">
        <f aca="false">SUM(AU17,AU18,AU19,AU20,AU21,AU22,AU23)</f>
        <v>0</v>
      </c>
      <c r="AV16" s="8" t="n">
        <f aca="false">SUM(AV17,AV18,AV19,AV20,AV21,AV22,AV23)</f>
        <v>0</v>
      </c>
      <c r="AW16" s="8" t="n">
        <f aca="false">SUM(AW17,AW18,AW19,AW20,AW21,AW22,AW23)</f>
        <v>0</v>
      </c>
    </row>
    <row r="17" customFormat="false" ht="15" hidden="true" customHeight="true" outlineLevel="1" collapsed="false">
      <c r="A17" s="9" t="s">
        <v>29</v>
      </c>
      <c r="B17" s="9" t="s">
        <v>16</v>
      </c>
      <c r="C17" s="9" t="s">
        <v>90</v>
      </c>
      <c r="D17" s="9" t="s">
        <v>78</v>
      </c>
      <c r="E17" s="9" t="s">
        <v>91</v>
      </c>
      <c r="F17" s="10" t="n">
        <v>0</v>
      </c>
      <c r="G17" s="10" t="n">
        <v>165</v>
      </c>
      <c r="H17" s="10" t="n">
        <v>183</v>
      </c>
      <c r="I17" s="10" t="n">
        <v>-18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12</v>
      </c>
      <c r="AK17" s="10" t="n">
        <v>22</v>
      </c>
      <c r="AL17" s="10" t="n">
        <v>17</v>
      </c>
      <c r="AM17" s="10" t="n">
        <v>22</v>
      </c>
      <c r="AN17" s="10" t="n">
        <v>22</v>
      </c>
      <c r="AO17" s="10" t="n">
        <v>17</v>
      </c>
      <c r="AP17" s="10" t="n">
        <v>17</v>
      </c>
      <c r="AQ17" s="10" t="n">
        <v>17</v>
      </c>
      <c r="AR17" s="10" t="n">
        <v>17</v>
      </c>
      <c r="AS17" s="10" t="n">
        <v>15</v>
      </c>
      <c r="AT17" s="10" t="n">
        <v>5</v>
      </c>
      <c r="AU17" s="10" t="n">
        <v>0</v>
      </c>
      <c r="AV17" s="10" t="n">
        <v>0</v>
      </c>
      <c r="AW17" s="10" t="n">
        <v>0</v>
      </c>
    </row>
    <row r="18" customFormat="false" ht="15" hidden="true" customHeight="true" outlineLevel="1" collapsed="false">
      <c r="A18" s="9" t="s">
        <v>29</v>
      </c>
      <c r="B18" s="9" t="s">
        <v>16</v>
      </c>
      <c r="C18" s="9" t="s">
        <v>90</v>
      </c>
      <c r="D18" s="9" t="s">
        <v>78</v>
      </c>
      <c r="E18" s="9" t="s">
        <v>92</v>
      </c>
      <c r="F18" s="10" t="n">
        <v>60</v>
      </c>
      <c r="G18" s="10" t="n">
        <v>398</v>
      </c>
      <c r="H18" s="10" t="n">
        <v>540.6</v>
      </c>
      <c r="I18" s="10" t="n">
        <v>-142.6</v>
      </c>
      <c r="J18" s="10" t="n">
        <v>10</v>
      </c>
      <c r="K18" s="10" t="n">
        <v>10</v>
      </c>
      <c r="L18" s="10" t="n">
        <v>10</v>
      </c>
      <c r="M18" s="10" t="n">
        <v>10</v>
      </c>
      <c r="N18" s="10" t="n">
        <v>10</v>
      </c>
      <c r="O18" s="10" t="n">
        <v>10.5</v>
      </c>
      <c r="P18" s="10" t="n">
        <v>20.5</v>
      </c>
      <c r="Q18" s="10" t="n">
        <v>20.5</v>
      </c>
      <c r="R18" s="10" t="n">
        <v>20.5</v>
      </c>
      <c r="S18" s="10" t="n">
        <v>10.5</v>
      </c>
      <c r="T18" s="10" t="n">
        <v>10.5</v>
      </c>
      <c r="U18" s="10" t="n">
        <v>10.5</v>
      </c>
      <c r="V18" s="10" t="n">
        <v>10.5</v>
      </c>
      <c r="W18" s="10" t="n">
        <v>0.5</v>
      </c>
      <c r="X18" s="10" t="n">
        <v>0.5</v>
      </c>
      <c r="Y18" s="10" t="n">
        <v>3.5</v>
      </c>
      <c r="Z18" s="10" t="n">
        <v>0.5</v>
      </c>
      <c r="AA18" s="10" t="n">
        <v>0</v>
      </c>
      <c r="AB18" s="10" t="n">
        <v>15</v>
      </c>
      <c r="AC18" s="10" t="n">
        <v>23</v>
      </c>
      <c r="AD18" s="10" t="n">
        <v>43</v>
      </c>
      <c r="AE18" s="10" t="n">
        <v>38</v>
      </c>
      <c r="AF18" s="10" t="n">
        <v>38</v>
      </c>
      <c r="AG18" s="10" t="n">
        <v>38</v>
      </c>
      <c r="AH18" s="10" t="n">
        <v>30</v>
      </c>
      <c r="AI18" s="10" t="n">
        <v>35</v>
      </c>
      <c r="AJ18" s="10" t="n">
        <v>0</v>
      </c>
      <c r="AK18" s="10" t="n">
        <v>1.5</v>
      </c>
      <c r="AL18" s="10" t="n">
        <v>6.5</v>
      </c>
      <c r="AM18" s="10" t="n">
        <v>2</v>
      </c>
      <c r="AN18" s="10" t="n">
        <v>2.8</v>
      </c>
      <c r="AO18" s="10" t="n">
        <v>2</v>
      </c>
      <c r="AP18" s="10" t="n">
        <v>8</v>
      </c>
      <c r="AQ18" s="10" t="n">
        <v>1.5</v>
      </c>
      <c r="AR18" s="10" t="n">
        <v>0.8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</row>
    <row r="19" customFormat="false" ht="15" hidden="true" customHeight="true" outlineLevel="1" collapsed="false">
      <c r="A19" s="9" t="s">
        <v>12</v>
      </c>
      <c r="B19" s="9" t="s">
        <v>16</v>
      </c>
      <c r="C19" s="9" t="s">
        <v>90</v>
      </c>
      <c r="D19" s="9" t="s">
        <v>78</v>
      </c>
      <c r="E19" s="9" t="s">
        <v>82</v>
      </c>
      <c r="F19" s="10" t="n">
        <v>6</v>
      </c>
      <c r="G19" s="10" t="n">
        <v>6</v>
      </c>
      <c r="H19" s="10" t="n">
        <v>6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10" t="n">
        <v>0</v>
      </c>
    </row>
    <row r="20" customFormat="false" ht="15" hidden="true" customHeight="true" outlineLevel="1" collapsed="false">
      <c r="A20" s="9" t="s">
        <v>12</v>
      </c>
      <c r="B20" s="9" t="s">
        <v>16</v>
      </c>
      <c r="C20" s="9" t="s">
        <v>90</v>
      </c>
      <c r="D20" s="9" t="s">
        <v>78</v>
      </c>
      <c r="E20" s="9" t="s">
        <v>84</v>
      </c>
      <c r="F20" s="10" t="n">
        <v>0</v>
      </c>
      <c r="G20" s="10" t="n">
        <v>10</v>
      </c>
      <c r="H20" s="10" t="n">
        <v>10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5</v>
      </c>
      <c r="R20" s="10" t="n">
        <v>5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  <c r="AU20" s="10" t="n">
        <v>0</v>
      </c>
      <c r="AV20" s="10" t="n">
        <v>0</v>
      </c>
      <c r="AW20" s="10" t="n">
        <v>0</v>
      </c>
    </row>
    <row r="21" customFormat="false" ht="15" hidden="true" customHeight="true" outlineLevel="1" collapsed="false">
      <c r="A21" s="9" t="s">
        <v>12</v>
      </c>
      <c r="B21" s="9" t="s">
        <v>16</v>
      </c>
      <c r="C21" s="9" t="s">
        <v>90</v>
      </c>
      <c r="D21" s="9" t="s">
        <v>78</v>
      </c>
      <c r="E21" s="9" t="s">
        <v>86</v>
      </c>
      <c r="F21" s="10" t="n">
        <v>0</v>
      </c>
      <c r="G21" s="10" t="n">
        <v>0</v>
      </c>
      <c r="H21" s="10" t="n">
        <v>13</v>
      </c>
      <c r="I21" s="10" t="n">
        <v>-13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10" t="n">
        <v>0</v>
      </c>
    </row>
    <row r="22" customFormat="false" ht="15" hidden="true" customHeight="true" outlineLevel="1" collapsed="false">
      <c r="A22" s="9" t="s">
        <v>12</v>
      </c>
      <c r="B22" s="9" t="s">
        <v>16</v>
      </c>
      <c r="C22" s="9" t="s">
        <v>90</v>
      </c>
      <c r="D22" s="9" t="s">
        <v>78</v>
      </c>
      <c r="E22" s="9" t="s">
        <v>93</v>
      </c>
      <c r="F22" s="10" t="n">
        <v>2</v>
      </c>
      <c r="G22" s="10" t="n">
        <v>2</v>
      </c>
      <c r="H22" s="10" t="n">
        <v>2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  <c r="AU22" s="10" t="n">
        <v>0</v>
      </c>
      <c r="AV22" s="10" t="n">
        <v>0</v>
      </c>
      <c r="AW22" s="10" t="n">
        <v>0</v>
      </c>
    </row>
    <row r="23" customFormat="false" ht="15" hidden="true" customHeight="true" outlineLevel="1" collapsed="false">
      <c r="A23" s="9" t="s">
        <v>12</v>
      </c>
      <c r="B23" s="9" t="s">
        <v>16</v>
      </c>
      <c r="C23" s="9" t="s">
        <v>90</v>
      </c>
      <c r="D23" s="9" t="s">
        <v>78</v>
      </c>
      <c r="E23" s="9" t="s">
        <v>87</v>
      </c>
      <c r="F23" s="10" t="n">
        <v>24</v>
      </c>
      <c r="G23" s="10" t="n">
        <v>24</v>
      </c>
      <c r="H23" s="10" t="n">
        <v>0</v>
      </c>
      <c r="I23" s="10" t="n">
        <v>24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0</v>
      </c>
      <c r="AG23" s="10" t="n">
        <v>0</v>
      </c>
      <c r="AH23" s="10" t="n">
        <v>0</v>
      </c>
      <c r="AI23" s="10" t="n">
        <v>0</v>
      </c>
      <c r="AJ23" s="10" t="n">
        <v>0</v>
      </c>
      <c r="AK23" s="10" t="n">
        <v>0</v>
      </c>
      <c r="AL23" s="10" t="n">
        <v>0</v>
      </c>
      <c r="AM23" s="10" t="n">
        <v>0</v>
      </c>
      <c r="AN23" s="10" t="n">
        <v>0</v>
      </c>
      <c r="AO23" s="10" t="n">
        <v>0</v>
      </c>
      <c r="AP23" s="10" t="n">
        <v>0</v>
      </c>
      <c r="AQ23" s="10" t="n">
        <v>0</v>
      </c>
      <c r="AR23" s="10" t="n">
        <v>0</v>
      </c>
      <c r="AS23" s="10" t="n">
        <v>0</v>
      </c>
      <c r="AT23" s="10" t="n">
        <v>0</v>
      </c>
      <c r="AU23" s="10" t="n">
        <v>0</v>
      </c>
      <c r="AV23" s="10" t="n">
        <v>0</v>
      </c>
      <c r="AW23" s="10" t="n">
        <v>0</v>
      </c>
    </row>
    <row r="24" customFormat="false" ht="15" hidden="false" customHeight="true" outlineLevel="0" collapsed="false">
      <c r="A24" s="7" t="s">
        <v>12</v>
      </c>
      <c r="B24" s="7" t="s">
        <v>16</v>
      </c>
      <c r="C24" s="7" t="s">
        <v>15</v>
      </c>
      <c r="D24" s="7" t="s">
        <v>76</v>
      </c>
      <c r="E24" s="7" t="s">
        <v>77</v>
      </c>
      <c r="F24" s="8" t="n">
        <f aca="false">SUM(F25,F26,F27,F28,F29,F30,F31,F32,F33,F34,F35,F36,F37,F38)</f>
        <v>337.6</v>
      </c>
      <c r="G24" s="8" t="n">
        <f aca="false">SUM(G25,G26,G27,G28,G29,G30,G31,G32,G33,G34,G35,G36,G37,G38)</f>
        <v>959.2</v>
      </c>
      <c r="H24" s="8" t="n">
        <f aca="false">SUM(H25,H26,H27,H28,H29,H30,H31,H32,H33,H34,H35,H36,H37,H38)</f>
        <v>898</v>
      </c>
      <c r="I24" s="8" t="n">
        <f aca="false">SUM(I25,I26,I27,I28,I29,I30,I31,I32,I33,I34,I35,I36,I37,I38)</f>
        <v>61.2</v>
      </c>
      <c r="J24" s="8" t="n">
        <f aca="false">SUM(J25,J26,J27,J28,J29,J30,J31,J32,J33,J34,J35,J36,J37,J38)</f>
        <v>39.203509</v>
      </c>
      <c r="K24" s="8" t="n">
        <f aca="false">SUM(K25,K26,K27,K28,K29,K30,K31,K32,K33,K34,K35,K36,K37,K38)</f>
        <v>16.203509</v>
      </c>
      <c r="L24" s="8" t="n">
        <f aca="false">SUM(L25,L26,L27,L28,L29,L30,L31,L32,L33,L34,L35,L36,L37,L38)</f>
        <v>7.403509</v>
      </c>
      <c r="M24" s="8" t="n">
        <f aca="false">SUM(M25,M26,M27,M28,M29,M30,M31,M32,M33,M34,M35,M36,M37,M38)</f>
        <v>7.403509</v>
      </c>
      <c r="N24" s="8" t="n">
        <f aca="false">SUM(N25,N26,N27,N28,N29,N30,N31,N32,N33,N34,N35,N36,N37,N38)</f>
        <v>5.403509</v>
      </c>
      <c r="O24" s="8" t="n">
        <f aca="false">SUM(O25,O26,O27,O28,O29,O30,O31,O32,O33,O34,O35,O36,O37,O38)</f>
        <v>12.603509</v>
      </c>
      <c r="P24" s="8" t="n">
        <f aca="false">SUM(P25,P26,P27,P28,P29,P30,P31,P32,P33,P34,P35,P36,P37,P38)</f>
        <v>12.903509</v>
      </c>
      <c r="Q24" s="8" t="n">
        <f aca="false">SUM(Q25,Q26,Q27,Q28,Q29,Q30,Q31,Q32,Q33,Q34,Q35,Q36,Q37,Q38)</f>
        <v>12.403509</v>
      </c>
      <c r="R24" s="8" t="n">
        <f aca="false">SUM(R25,R26,R27,R28,R29,R30,R31,R32,R33,R34,R35,R36,R37,R38)</f>
        <v>8.403509</v>
      </c>
      <c r="S24" s="8" t="n">
        <f aca="false">SUM(S25,S26,S27,S28,S29,S30,S31,S32,S33,S34,S35,S36,S37,S38)</f>
        <v>12.503509</v>
      </c>
      <c r="T24" s="8" t="n">
        <f aca="false">SUM(T25,T26,T27,T28,T29,T30,T31,T32,T33,T34,T35,T36,T37,T38)</f>
        <v>21.003509</v>
      </c>
      <c r="U24" s="8" t="n">
        <f aca="false">SUM(U25,U26,U27,U28,U29,U30,U31,U32,U33,U34,U35,U36,U37,U38)</f>
        <v>19.203509</v>
      </c>
      <c r="V24" s="8" t="n">
        <f aca="false">SUM(V25,V26,V27,V28,V29,V30,V31,V32,V33,V34,V35,V36,V37,V38)</f>
        <v>20.803509</v>
      </c>
      <c r="W24" s="11" t="n">
        <f aca="false">SUM(W25,W26,W27,W28,W29,W30,W31,W32,W33,W34,W35,W36,W37,W38)</f>
        <v>44.903509</v>
      </c>
      <c r="X24" s="8" t="n">
        <f aca="false">SUM(X25,X26,X27,X28,X29,X30,X31,X32,X33,X34,X35,X36,X37,X38)</f>
        <v>34.503509</v>
      </c>
      <c r="Y24" s="11" t="n">
        <f aca="false">SUM(Y25,Y26,Y27,Y28,Y29,Y30,Y31,Y32,Y33,Y34,Y35,Y36,Y37,Y38)</f>
        <v>44.903509</v>
      </c>
      <c r="Z24" s="8" t="n">
        <f aca="false">SUM(Z25,Z26,Z27,Z28,Z29,Z30,Z31,Z32,Z33,Z34,Z35,Z36,Z37,Z38)</f>
        <v>10.403509</v>
      </c>
      <c r="AA24" s="8" t="n">
        <f aca="false">SUM(AA25,AA26,AA27,AA28,AA29,AA30,AA31,AA32,AA33,AA34,AA35,AA36,AA37,AA38)</f>
        <v>2.403509</v>
      </c>
      <c r="AB24" s="8" t="n">
        <f aca="false">SUM(AB25,AB26,AB27,AB28,AB29,AB30,AB31,AB32,AB33,AB34,AB35,AB36,AB37,AB38)</f>
        <v>2.403509</v>
      </c>
      <c r="AC24" s="8" t="n">
        <f aca="false">SUM(AC25,AC26,AC27,AC28,AC29,AC30,AC31,AC32,AC33,AC34,AC35,AC36,AC37,AC38)</f>
        <v>6.903509</v>
      </c>
      <c r="AD24" s="8" t="n">
        <f aca="false">SUM(AD25,AD26,AD27,AD28,AD29,AD30,AD31,AD32,AD33,AD34,AD35,AD36,AD37,AD38)</f>
        <v>11.103509</v>
      </c>
      <c r="AE24" s="8" t="n">
        <f aca="false">SUM(AE25,AE26,AE27,AE28,AE29,AE30,AE31,AE32,AE33,AE34,AE35,AE36,AE37,AE38)</f>
        <v>23.403509</v>
      </c>
      <c r="AF24" s="8" t="n">
        <f aca="false">SUM(AF25,AF26,AF27,AF28,AF29,AF30,AF31,AF32,AF33,AF34,AF35,AF36,AF37,AF38)</f>
        <v>41.503509</v>
      </c>
      <c r="AG24" s="12" t="n">
        <f aca="false">SUM(AG25,AG26,AG27,AG28,AG29,AG30,AG31,AG32,AG33,AG34,AG35,AG36,AG37,AG38)</f>
        <v>79.203509</v>
      </c>
      <c r="AH24" s="12" t="n">
        <f aca="false">SUM(AH25,AH26,AH27,AH28,AH29,AH30,AH31,AH32,AH33,AH34,AH35,AH36,AH37,AH38)</f>
        <v>95.203509</v>
      </c>
      <c r="AI24" s="8" t="n">
        <f aca="false">SUM(AI25,AI26,AI27,AI28,AI29,AI30,AI31,AI32,AI33,AI34,AI35,AI36,AI37,AI38)</f>
        <v>32.903509</v>
      </c>
      <c r="AJ24" s="8" t="n">
        <f aca="false">SUM(AJ25,AJ26,AJ27,AJ28,AJ29,AJ30,AJ31,AJ32,AJ33,AJ34,AJ35,AJ36,AJ37,AJ38)</f>
        <v>2.603509</v>
      </c>
      <c r="AK24" s="8" t="n">
        <f aca="false">SUM(AK25,AK26,AK27,AK28,AK29,AK30,AK31,AK32,AK33,AK34,AK35,AK36,AK37,AK38)</f>
        <v>1.403509</v>
      </c>
      <c r="AL24" s="8" t="n">
        <f aca="false">SUM(AL25,AL26,AL27,AL28,AL29,AL30,AL31,AL32,AL33,AL34,AL35,AL36,AL37,AL38)</f>
        <v>1.403509</v>
      </c>
      <c r="AM24" s="8" t="n">
        <f aca="false">SUM(AM25,AM26,AM27,AM28,AM29,AM30,AM31,AM32,AM33,AM34,AM35,AM36,AM37,AM38)</f>
        <v>1.403509</v>
      </c>
      <c r="AN24" s="8" t="n">
        <f aca="false">SUM(AN25,AN26,AN27,AN28,AN29,AN30,AN31,AN32,AN33,AN34,AN35,AN36,AN37,AN38)</f>
        <v>1.403509</v>
      </c>
      <c r="AO24" s="8" t="n">
        <f aca="false">SUM(AO25,AO26,AO27,AO28,AO29,AO30,AO31,AO32,AO33,AO34,AO35,AO36,AO37,AO38)</f>
        <v>1.403509</v>
      </c>
      <c r="AP24" s="8" t="n">
        <f aca="false">SUM(AP25,AP26,AP27,AP28,AP29,AP30,AP31,AP32,AP33,AP34,AP35,AP36,AP37,AP38)</f>
        <v>1.403509</v>
      </c>
      <c r="AQ24" s="8" t="n">
        <f aca="false">SUM(AQ25,AQ26,AQ27,AQ28,AQ29,AQ30,AQ31,AQ32,AQ33,AQ34,AQ35,AQ36,AQ37,AQ38)</f>
        <v>1.403509</v>
      </c>
      <c r="AR24" s="8" t="n">
        <f aca="false">SUM(AR25,AR26,AR27,AR28,AR29,AR30,AR31,AR32,AR33,AR34,AR35,AR36,AR37,AR38)</f>
        <v>1.403509</v>
      </c>
      <c r="AS24" s="8" t="n">
        <f aca="false">SUM(AS25,AS26,AS27,AS28,AS29,AS30,AS31,AS32,AS33,AS34,AS35,AS36,AS37,AS38)</f>
        <v>1.403509</v>
      </c>
      <c r="AT24" s="8" t="n">
        <f aca="false">SUM(AT25,AT26,AT27,AT28,AT29,AT30,AT31,AT32,AT33,AT34,AT35,AT36,AT37,AT38)</f>
        <v>1.403509</v>
      </c>
      <c r="AU24" s="8" t="n">
        <f aca="false">SUM(AU25,AU26,AU27,AU28,AU29,AU30,AU31,AU32,AU33,AU34,AU35,AU36,AU37,AU38)</f>
        <v>0</v>
      </c>
      <c r="AV24" s="8" t="n">
        <f aca="false">SUM(AV25,AV26,AV27,AV28,AV29,AV30,AV31,AV32,AV33,AV34,AV35,AV36,AV37,AV38)</f>
        <v>0</v>
      </c>
      <c r="AW24" s="8" t="n">
        <f aca="false">SUM(AW25,AW26,AW27,AW28,AW29,AW30,AW31,AW32,AW33,AW34,AW35,AW36,AW37,AW38)</f>
        <v>0</v>
      </c>
    </row>
    <row r="25" customFormat="false" ht="15" hidden="true" customHeight="true" outlineLevel="1" collapsed="false">
      <c r="A25" s="9" t="s">
        <v>12</v>
      </c>
      <c r="B25" s="9" t="s">
        <v>16</v>
      </c>
      <c r="C25" s="9" t="s">
        <v>15</v>
      </c>
      <c r="D25" s="9" t="s">
        <v>78</v>
      </c>
      <c r="E25" s="9" t="s">
        <v>79</v>
      </c>
      <c r="F25" s="10" t="n">
        <v>42.9</v>
      </c>
      <c r="G25" s="10" t="n">
        <v>94.9</v>
      </c>
      <c r="H25" s="10" t="n">
        <v>84.9</v>
      </c>
      <c r="I25" s="10" t="n">
        <v>10</v>
      </c>
      <c r="J25" s="10" t="n">
        <v>1.903509</v>
      </c>
      <c r="K25" s="10" t="n">
        <v>1.403509</v>
      </c>
      <c r="L25" s="10" t="n">
        <v>1.403509</v>
      </c>
      <c r="M25" s="10" t="n">
        <v>1.403509</v>
      </c>
      <c r="N25" s="10" t="n">
        <v>1.403509</v>
      </c>
      <c r="O25" s="10" t="n">
        <v>1.403509</v>
      </c>
      <c r="P25" s="10" t="n">
        <v>1.403509</v>
      </c>
      <c r="Q25" s="10" t="n">
        <v>1.403509</v>
      </c>
      <c r="R25" s="10" t="n">
        <v>1.403509</v>
      </c>
      <c r="S25" s="10" t="n">
        <v>1.403509</v>
      </c>
      <c r="T25" s="10" t="n">
        <v>1.403509</v>
      </c>
      <c r="U25" s="10" t="n">
        <v>1.403509</v>
      </c>
      <c r="V25" s="10" t="n">
        <v>1.403509</v>
      </c>
      <c r="W25" s="10" t="n">
        <v>1.403509</v>
      </c>
      <c r="X25" s="10" t="n">
        <v>1.403509</v>
      </c>
      <c r="Y25" s="10" t="n">
        <v>1.403509</v>
      </c>
      <c r="Z25" s="10" t="n">
        <v>1.403509</v>
      </c>
      <c r="AA25" s="10" t="n">
        <v>1.403509</v>
      </c>
      <c r="AB25" s="10" t="n">
        <v>1.403509</v>
      </c>
      <c r="AC25" s="10" t="n">
        <v>1.403509</v>
      </c>
      <c r="AD25" s="10" t="n">
        <v>1.403509</v>
      </c>
      <c r="AE25" s="10" t="n">
        <v>1.403509</v>
      </c>
      <c r="AF25" s="10" t="n">
        <v>1.403509</v>
      </c>
      <c r="AG25" s="10" t="n">
        <v>1.403509</v>
      </c>
      <c r="AH25" s="10" t="n">
        <v>1.403509</v>
      </c>
      <c r="AI25" s="10" t="n">
        <v>1.403509</v>
      </c>
      <c r="AJ25" s="10" t="n">
        <v>1.403509</v>
      </c>
      <c r="AK25" s="10" t="n">
        <v>1.403509</v>
      </c>
      <c r="AL25" s="10" t="n">
        <v>1.403509</v>
      </c>
      <c r="AM25" s="10" t="n">
        <v>1.403509</v>
      </c>
      <c r="AN25" s="10" t="n">
        <v>1.403509</v>
      </c>
      <c r="AO25" s="10" t="n">
        <v>1.403509</v>
      </c>
      <c r="AP25" s="10" t="n">
        <v>1.403509</v>
      </c>
      <c r="AQ25" s="10" t="n">
        <v>1.403509</v>
      </c>
      <c r="AR25" s="10" t="n">
        <v>1.403509</v>
      </c>
      <c r="AS25" s="10" t="n">
        <v>1.403509</v>
      </c>
      <c r="AT25" s="10" t="n">
        <v>1.403509</v>
      </c>
      <c r="AU25" s="10" t="n">
        <v>0</v>
      </c>
      <c r="AV25" s="10" t="n">
        <v>0</v>
      </c>
      <c r="AW25" s="10" t="n">
        <v>0</v>
      </c>
    </row>
    <row r="26" customFormat="false" ht="15" hidden="true" customHeight="true" outlineLevel="1" collapsed="false">
      <c r="A26" s="9" t="s">
        <v>12</v>
      </c>
      <c r="B26" s="9" t="s">
        <v>16</v>
      </c>
      <c r="C26" s="9" t="s">
        <v>15</v>
      </c>
      <c r="D26" s="9" t="s">
        <v>78</v>
      </c>
      <c r="E26" s="9" t="s">
        <v>81</v>
      </c>
      <c r="F26" s="10" t="n">
        <v>21.1</v>
      </c>
      <c r="G26" s="10" t="n">
        <v>93.1</v>
      </c>
      <c r="H26" s="10" t="n">
        <v>73.5</v>
      </c>
      <c r="I26" s="10" t="n">
        <v>19.6</v>
      </c>
      <c r="J26" s="10" t="n">
        <v>1.3</v>
      </c>
      <c r="K26" s="10" t="n">
        <v>11.5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2</v>
      </c>
      <c r="S26" s="10" t="n">
        <v>0</v>
      </c>
      <c r="T26" s="10" t="n">
        <v>2.3</v>
      </c>
      <c r="U26" s="10" t="n">
        <v>1.9</v>
      </c>
      <c r="V26" s="10" t="n">
        <v>1</v>
      </c>
      <c r="W26" s="10" t="n">
        <v>8.8</v>
      </c>
      <c r="X26" s="10" t="n">
        <v>1.4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1</v>
      </c>
      <c r="AF26" s="10" t="n">
        <v>3.4</v>
      </c>
      <c r="AG26" s="10" t="n">
        <v>7.9</v>
      </c>
      <c r="AH26" s="10" t="n">
        <v>13.7</v>
      </c>
      <c r="AI26" s="10" t="n">
        <v>15.8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0</v>
      </c>
    </row>
    <row r="27" customFormat="false" ht="15" hidden="true" customHeight="true" outlineLevel="1" collapsed="false">
      <c r="A27" s="9" t="s">
        <v>12</v>
      </c>
      <c r="B27" s="9" t="s">
        <v>16</v>
      </c>
      <c r="C27" s="9" t="s">
        <v>15</v>
      </c>
      <c r="D27" s="9" t="s">
        <v>78</v>
      </c>
      <c r="E27" s="9" t="s">
        <v>94</v>
      </c>
      <c r="F27" s="10" t="n">
        <v>25.1</v>
      </c>
      <c r="G27" s="10" t="n">
        <v>70.8</v>
      </c>
      <c r="H27" s="10" t="n">
        <v>63.2</v>
      </c>
      <c r="I27" s="10" t="n">
        <v>7.59999999999999</v>
      </c>
      <c r="J27" s="10" t="n">
        <v>0</v>
      </c>
      <c r="K27" s="10" t="n">
        <v>0.3</v>
      </c>
      <c r="L27" s="10" t="n">
        <v>0</v>
      </c>
      <c r="M27" s="10" t="n">
        <v>0</v>
      </c>
      <c r="N27" s="10" t="n">
        <v>0</v>
      </c>
      <c r="O27" s="10" t="n">
        <v>0.2</v>
      </c>
      <c r="P27" s="10" t="n">
        <v>0</v>
      </c>
      <c r="Q27" s="10" t="n">
        <v>0</v>
      </c>
      <c r="R27" s="10" t="n">
        <v>1</v>
      </c>
      <c r="S27" s="10" t="n">
        <v>0</v>
      </c>
      <c r="T27" s="10" t="n">
        <v>0</v>
      </c>
      <c r="U27" s="10" t="n">
        <v>2</v>
      </c>
      <c r="V27" s="10" t="n">
        <v>0</v>
      </c>
      <c r="W27" s="10" t="n">
        <v>1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1</v>
      </c>
      <c r="AD27" s="10" t="n">
        <v>5.2</v>
      </c>
      <c r="AE27" s="10" t="n">
        <v>8</v>
      </c>
      <c r="AF27" s="10" t="n">
        <v>8</v>
      </c>
      <c r="AG27" s="10" t="n">
        <v>5</v>
      </c>
      <c r="AH27" s="10" t="n">
        <v>14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0</v>
      </c>
      <c r="AT27" s="10" t="n">
        <v>0</v>
      </c>
      <c r="AU27" s="10" t="n">
        <v>0</v>
      </c>
      <c r="AV27" s="10" t="n">
        <v>0</v>
      </c>
      <c r="AW27" s="10" t="n">
        <v>0</v>
      </c>
    </row>
    <row r="28" customFormat="false" ht="15" hidden="true" customHeight="true" outlineLevel="1" collapsed="false">
      <c r="A28" s="9" t="s">
        <v>12</v>
      </c>
      <c r="B28" s="9" t="s">
        <v>16</v>
      </c>
      <c r="C28" s="9" t="s">
        <v>15</v>
      </c>
      <c r="D28" s="9" t="s">
        <v>78</v>
      </c>
      <c r="E28" s="9" t="s">
        <v>95</v>
      </c>
      <c r="F28" s="10" t="n">
        <v>117.5</v>
      </c>
      <c r="G28" s="10" t="n">
        <v>245</v>
      </c>
      <c r="H28" s="10" t="n">
        <v>214.5</v>
      </c>
      <c r="I28" s="10" t="n">
        <v>30.5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6</v>
      </c>
      <c r="V28" s="10" t="n">
        <v>10</v>
      </c>
      <c r="W28" s="10" t="n">
        <v>12</v>
      </c>
      <c r="X28" s="10" t="n">
        <v>10</v>
      </c>
      <c r="Y28" s="10" t="n">
        <v>21</v>
      </c>
      <c r="Z28" s="10" t="n">
        <v>4</v>
      </c>
      <c r="AA28" s="10" t="n">
        <v>1</v>
      </c>
      <c r="AB28" s="10" t="n">
        <v>1</v>
      </c>
      <c r="AC28" s="10" t="n">
        <v>2.5</v>
      </c>
      <c r="AD28" s="10" t="n">
        <v>2.5</v>
      </c>
      <c r="AE28" s="10" t="n">
        <v>9</v>
      </c>
      <c r="AF28" s="10" t="n">
        <v>11.5</v>
      </c>
      <c r="AG28" s="10" t="n">
        <v>12</v>
      </c>
      <c r="AH28" s="10" t="n">
        <v>25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</row>
    <row r="29" customFormat="false" ht="15" hidden="true" customHeight="true" outlineLevel="1" collapsed="false">
      <c r="A29" s="9" t="s">
        <v>12</v>
      </c>
      <c r="B29" s="9" t="s">
        <v>16</v>
      </c>
      <c r="C29" s="9" t="s">
        <v>15</v>
      </c>
      <c r="D29" s="9" t="s">
        <v>78</v>
      </c>
      <c r="E29" s="9" t="s">
        <v>82</v>
      </c>
      <c r="F29" s="10" t="n">
        <v>3</v>
      </c>
      <c r="G29" s="10" t="n">
        <v>3</v>
      </c>
      <c r="H29" s="10" t="n">
        <v>3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0</v>
      </c>
    </row>
    <row r="30" customFormat="false" ht="15" hidden="true" customHeight="true" outlineLevel="1" collapsed="false">
      <c r="A30" s="9" t="s">
        <v>12</v>
      </c>
      <c r="B30" s="9" t="s">
        <v>16</v>
      </c>
      <c r="C30" s="9" t="s">
        <v>15</v>
      </c>
      <c r="D30" s="9" t="s">
        <v>78</v>
      </c>
      <c r="E30" s="9" t="s">
        <v>83</v>
      </c>
      <c r="F30" s="10" t="n">
        <v>0</v>
      </c>
      <c r="G30" s="10" t="n">
        <v>0</v>
      </c>
      <c r="H30" s="10" t="n">
        <v>10</v>
      </c>
      <c r="I30" s="10" t="n">
        <v>-10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</row>
    <row r="31" customFormat="false" ht="15" hidden="true" customHeight="true" outlineLevel="1" collapsed="false">
      <c r="A31" s="9" t="s">
        <v>12</v>
      </c>
      <c r="B31" s="9" t="s">
        <v>16</v>
      </c>
      <c r="C31" s="9" t="s">
        <v>15</v>
      </c>
      <c r="D31" s="9" t="s">
        <v>78</v>
      </c>
      <c r="E31" s="9" t="s">
        <v>40</v>
      </c>
      <c r="F31" s="10" t="n">
        <v>11.8</v>
      </c>
      <c r="G31" s="10" t="n">
        <v>64.9</v>
      </c>
      <c r="H31" s="10" t="n">
        <v>55.1</v>
      </c>
      <c r="I31" s="10" t="n">
        <v>9.8</v>
      </c>
      <c r="J31" s="10" t="n">
        <v>7.9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1.8</v>
      </c>
      <c r="T31" s="10" t="n">
        <v>1.4</v>
      </c>
      <c r="U31" s="10" t="n">
        <v>0</v>
      </c>
      <c r="V31" s="10" t="n">
        <v>6.4</v>
      </c>
      <c r="W31" s="10" t="n">
        <v>3.8</v>
      </c>
      <c r="X31" s="10" t="n">
        <v>0</v>
      </c>
      <c r="Y31" s="10" t="n">
        <v>6</v>
      </c>
      <c r="Z31" s="10" t="n">
        <v>5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6.9</v>
      </c>
      <c r="AG31" s="10" t="n">
        <v>2.9</v>
      </c>
      <c r="AH31" s="10" t="n">
        <v>9.8</v>
      </c>
      <c r="AI31" s="10" t="n">
        <v>1.2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0</v>
      </c>
      <c r="AT31" s="10" t="n">
        <v>0</v>
      </c>
      <c r="AU31" s="10" t="n">
        <v>0</v>
      </c>
      <c r="AV31" s="10" t="n">
        <v>0</v>
      </c>
      <c r="AW31" s="10" t="n">
        <v>0</v>
      </c>
    </row>
    <row r="32" customFormat="false" ht="15" hidden="true" customHeight="true" outlineLevel="1" collapsed="false">
      <c r="A32" s="9" t="s">
        <v>12</v>
      </c>
      <c r="B32" s="9" t="s">
        <v>16</v>
      </c>
      <c r="C32" s="9" t="s">
        <v>15</v>
      </c>
      <c r="D32" s="9" t="s">
        <v>78</v>
      </c>
      <c r="E32" s="9" t="s">
        <v>96</v>
      </c>
      <c r="F32" s="10" t="n">
        <v>55.8</v>
      </c>
      <c r="G32" s="10" t="n">
        <v>168.6</v>
      </c>
      <c r="H32" s="10" t="n">
        <v>166.1</v>
      </c>
      <c r="I32" s="10" t="n">
        <v>2.5</v>
      </c>
      <c r="J32" s="10" t="n">
        <v>12</v>
      </c>
      <c r="K32" s="10" t="n">
        <v>1</v>
      </c>
      <c r="L32" s="10" t="n">
        <v>0</v>
      </c>
      <c r="M32" s="10" t="n">
        <v>0</v>
      </c>
      <c r="N32" s="10" t="n">
        <v>0</v>
      </c>
      <c r="O32" s="10" t="n">
        <v>11</v>
      </c>
      <c r="P32" s="10" t="n">
        <v>10.5</v>
      </c>
      <c r="Q32" s="10" t="n">
        <v>11</v>
      </c>
      <c r="R32" s="10" t="n">
        <v>0</v>
      </c>
      <c r="S32" s="10" t="n">
        <v>0</v>
      </c>
      <c r="T32" s="10" t="n">
        <v>7.4</v>
      </c>
      <c r="U32" s="10" t="n">
        <v>1</v>
      </c>
      <c r="V32" s="10" t="n">
        <v>0</v>
      </c>
      <c r="W32" s="10" t="n">
        <v>2</v>
      </c>
      <c r="X32" s="10" t="n">
        <v>14.5</v>
      </c>
      <c r="Y32" s="10" t="n">
        <v>11.5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15</v>
      </c>
      <c r="AH32" s="10" t="n">
        <v>20.2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0</v>
      </c>
    </row>
    <row r="33" customFormat="false" ht="15" hidden="true" customHeight="true" outlineLevel="1" collapsed="false">
      <c r="A33" s="9" t="s">
        <v>12</v>
      </c>
      <c r="B33" s="9" t="s">
        <v>16</v>
      </c>
      <c r="C33" s="9" t="s">
        <v>15</v>
      </c>
      <c r="D33" s="9" t="s">
        <v>78</v>
      </c>
      <c r="E33" s="9" t="s">
        <v>97</v>
      </c>
      <c r="F33" s="10" t="n">
        <v>30.5</v>
      </c>
      <c r="G33" s="10" t="n">
        <v>102.5</v>
      </c>
      <c r="H33" s="10" t="n">
        <v>106.2</v>
      </c>
      <c r="I33" s="10" t="n">
        <v>-3.7</v>
      </c>
      <c r="J33" s="10" t="n">
        <v>6.5</v>
      </c>
      <c r="K33" s="10" t="n">
        <v>0</v>
      </c>
      <c r="L33" s="10" t="n">
        <v>4</v>
      </c>
      <c r="M33" s="10" t="n">
        <v>4</v>
      </c>
      <c r="N33" s="10" t="n">
        <v>4</v>
      </c>
      <c r="O33" s="10" t="n">
        <v>0</v>
      </c>
      <c r="P33" s="10" t="n">
        <v>0</v>
      </c>
      <c r="Q33" s="10" t="n">
        <v>0</v>
      </c>
      <c r="R33" s="10" t="n">
        <v>4</v>
      </c>
      <c r="S33" s="10" t="n">
        <v>5</v>
      </c>
      <c r="T33" s="10" t="n">
        <v>5</v>
      </c>
      <c r="U33" s="10" t="n">
        <v>5</v>
      </c>
      <c r="V33" s="10" t="n">
        <v>0</v>
      </c>
      <c r="W33" s="10" t="n">
        <v>5</v>
      </c>
      <c r="X33" s="10" t="n">
        <v>4</v>
      </c>
      <c r="Y33" s="10" t="n">
        <v>4</v>
      </c>
      <c r="Z33" s="10" t="n">
        <v>0</v>
      </c>
      <c r="AA33" s="10" t="n">
        <v>0</v>
      </c>
      <c r="AB33" s="10" t="n">
        <v>0</v>
      </c>
      <c r="AC33" s="10" t="n">
        <v>2</v>
      </c>
      <c r="AD33" s="10" t="n">
        <v>2</v>
      </c>
      <c r="AE33" s="10" t="n">
        <v>4</v>
      </c>
      <c r="AF33" s="10" t="n">
        <v>4</v>
      </c>
      <c r="AG33" s="10" t="n">
        <v>4</v>
      </c>
      <c r="AH33" s="10" t="n">
        <v>4</v>
      </c>
      <c r="AI33" s="10" t="n">
        <v>4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10" t="n">
        <v>0</v>
      </c>
      <c r="AQ33" s="10" t="n">
        <v>0</v>
      </c>
      <c r="AR33" s="10" t="n">
        <v>0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</row>
    <row r="34" customFormat="false" ht="15" hidden="true" customHeight="true" outlineLevel="1" collapsed="false">
      <c r="A34" s="9" t="s">
        <v>12</v>
      </c>
      <c r="B34" s="9" t="s">
        <v>16</v>
      </c>
      <c r="C34" s="9" t="s">
        <v>15</v>
      </c>
      <c r="D34" s="9" t="s">
        <v>78</v>
      </c>
      <c r="E34" s="9" t="s">
        <v>98</v>
      </c>
      <c r="F34" s="10" t="n">
        <v>0</v>
      </c>
      <c r="G34" s="10" t="n">
        <v>0</v>
      </c>
      <c r="H34" s="10" t="n">
        <v>13</v>
      </c>
      <c r="I34" s="10" t="n">
        <v>-13</v>
      </c>
      <c r="J34" s="10" t="n">
        <v>0</v>
      </c>
      <c r="K34" s="10" t="n">
        <v>2</v>
      </c>
      <c r="L34" s="10" t="n">
        <v>2</v>
      </c>
      <c r="M34" s="10" t="n">
        <v>2</v>
      </c>
      <c r="N34" s="10" t="n">
        <v>0</v>
      </c>
      <c r="O34" s="10" t="n">
        <v>0</v>
      </c>
      <c r="P34" s="10" t="n">
        <v>1</v>
      </c>
      <c r="Q34" s="10" t="n">
        <v>0</v>
      </c>
      <c r="R34" s="10" t="n">
        <v>0</v>
      </c>
      <c r="S34" s="10" t="n">
        <v>1</v>
      </c>
      <c r="T34" s="10" t="n">
        <v>1</v>
      </c>
      <c r="U34" s="10" t="n">
        <v>1</v>
      </c>
      <c r="V34" s="10" t="n">
        <v>0</v>
      </c>
      <c r="W34" s="10" t="n">
        <v>1</v>
      </c>
      <c r="X34" s="10" t="n">
        <v>1</v>
      </c>
      <c r="Y34" s="10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0</v>
      </c>
    </row>
    <row r="35" customFormat="false" ht="15" hidden="true" customHeight="true" outlineLevel="1" collapsed="false">
      <c r="A35" s="9" t="s">
        <v>12</v>
      </c>
      <c r="B35" s="9" t="s">
        <v>16</v>
      </c>
      <c r="C35" s="9" t="s">
        <v>15</v>
      </c>
      <c r="D35" s="9" t="s">
        <v>78</v>
      </c>
      <c r="E35" s="9" t="s">
        <v>99</v>
      </c>
      <c r="F35" s="10" t="n">
        <v>25.2</v>
      </c>
      <c r="G35" s="10" t="n">
        <v>55.6</v>
      </c>
      <c r="H35" s="10" t="n">
        <v>30.4</v>
      </c>
      <c r="I35" s="10" t="n">
        <v>25.2</v>
      </c>
      <c r="J35" s="10" t="n">
        <v>2.4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  <c r="S35" s="10" t="n">
        <v>1.4</v>
      </c>
      <c r="T35" s="10" t="n">
        <v>1.2</v>
      </c>
      <c r="U35" s="10" t="n">
        <v>0</v>
      </c>
      <c r="V35" s="10" t="n">
        <v>2</v>
      </c>
      <c r="W35" s="10" t="n">
        <v>1.4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2</v>
      </c>
      <c r="AG35" s="10" t="n">
        <v>16.7</v>
      </c>
      <c r="AH35" s="10" t="n">
        <v>2.1</v>
      </c>
      <c r="AI35" s="10" t="n">
        <v>1.2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0</v>
      </c>
    </row>
    <row r="36" customFormat="false" ht="15" hidden="true" customHeight="true" outlineLevel="1" collapsed="false">
      <c r="A36" s="9" t="s">
        <v>12</v>
      </c>
      <c r="B36" s="9" t="s">
        <v>16</v>
      </c>
      <c r="C36" s="9" t="s">
        <v>15</v>
      </c>
      <c r="D36" s="9" t="s">
        <v>78</v>
      </c>
      <c r="E36" s="9" t="s">
        <v>43</v>
      </c>
      <c r="F36" s="10" t="n">
        <v>1.4</v>
      </c>
      <c r="G36" s="10" t="n">
        <v>33.2</v>
      </c>
      <c r="H36" s="10" t="n">
        <v>31.8</v>
      </c>
      <c r="I36" s="10" t="n">
        <v>1.4</v>
      </c>
      <c r="J36" s="10" t="n">
        <v>3.6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1.3</v>
      </c>
      <c r="U36" s="10" t="n">
        <v>0.9</v>
      </c>
      <c r="V36" s="10" t="n">
        <v>0</v>
      </c>
      <c r="W36" s="10" t="n">
        <v>4</v>
      </c>
      <c r="X36" s="10" t="n">
        <v>2.2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4.3</v>
      </c>
      <c r="AH36" s="10" t="n">
        <v>5</v>
      </c>
      <c r="AI36" s="10" t="n">
        <v>9.3</v>
      </c>
      <c r="AJ36" s="10" t="n">
        <v>1.2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  <c r="AT36" s="10" t="n">
        <v>0</v>
      </c>
      <c r="AU36" s="10" t="n">
        <v>0</v>
      </c>
      <c r="AV36" s="10" t="n">
        <v>0</v>
      </c>
      <c r="AW36" s="10" t="n">
        <v>0</v>
      </c>
    </row>
    <row r="37" customFormat="false" ht="15" hidden="true" customHeight="true" outlineLevel="1" collapsed="false">
      <c r="A37" s="9" t="s">
        <v>12</v>
      </c>
      <c r="B37" s="9" t="s">
        <v>16</v>
      </c>
      <c r="C37" s="9" t="s">
        <v>15</v>
      </c>
      <c r="D37" s="9" t="s">
        <v>78</v>
      </c>
      <c r="E37" s="9" t="s">
        <v>100</v>
      </c>
      <c r="F37" s="10" t="n">
        <v>3.3</v>
      </c>
      <c r="G37" s="10" t="n">
        <v>27.6</v>
      </c>
      <c r="H37" s="10" t="n">
        <v>25.3</v>
      </c>
      <c r="I37" s="10" t="n">
        <v>2.3</v>
      </c>
      <c r="J37" s="10" t="n">
        <v>3.6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1.9</v>
      </c>
      <c r="T37" s="10" t="n">
        <v>0</v>
      </c>
      <c r="U37" s="10" t="n">
        <v>0</v>
      </c>
      <c r="V37" s="10" t="n">
        <v>0</v>
      </c>
      <c r="W37" s="10" t="n">
        <v>4.5</v>
      </c>
      <c r="X37" s="10" t="n">
        <v>0</v>
      </c>
      <c r="Y37" s="10" t="n">
        <v>0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4.3</v>
      </c>
      <c r="AG37" s="10" t="n">
        <v>10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0</v>
      </c>
    </row>
    <row r="38" customFormat="false" ht="15" hidden="true" customHeight="true" outlineLevel="1" collapsed="false">
      <c r="A38" s="9" t="s">
        <v>12</v>
      </c>
      <c r="B38" s="9" t="s">
        <v>16</v>
      </c>
      <c r="C38" s="9" t="s">
        <v>15</v>
      </c>
      <c r="D38" s="9" t="s">
        <v>78</v>
      </c>
      <c r="E38" s="9" t="s">
        <v>87</v>
      </c>
      <c r="F38" s="10" t="n">
        <v>0</v>
      </c>
      <c r="G38" s="10" t="n">
        <v>0</v>
      </c>
      <c r="H38" s="10" t="n">
        <v>21</v>
      </c>
      <c r="I38" s="10" t="n">
        <v>-21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</row>
    <row r="39" customFormat="false" ht="15" hidden="false" customHeight="true" outlineLevel="0" collapsed="false">
      <c r="A39" s="7" t="s">
        <v>12</v>
      </c>
      <c r="B39" s="7" t="s">
        <v>16</v>
      </c>
      <c r="C39" s="7" t="s">
        <v>101</v>
      </c>
      <c r="D39" s="7" t="s">
        <v>76</v>
      </c>
      <c r="E39" s="7" t="s">
        <v>77</v>
      </c>
      <c r="F39" s="8" t="n">
        <f aca="false">SUM(F40,F41,F42,F43)</f>
        <v>15.5</v>
      </c>
      <c r="G39" s="8" t="n">
        <f aca="false">SUM(G40,G41,G42,G43)</f>
        <v>196.5</v>
      </c>
      <c r="H39" s="8" t="n">
        <f aca="false">SUM(H40,H41,H42,H43)</f>
        <v>249.5</v>
      </c>
      <c r="I39" s="8" t="n">
        <f aca="false">SUM(I40,I41,I42,I43)</f>
        <v>-53</v>
      </c>
      <c r="J39" s="8" t="n">
        <f aca="false">SUM(J40,J41,J42,J43)</f>
        <v>3</v>
      </c>
      <c r="K39" s="8" t="n">
        <f aca="false">SUM(K40,K41,K42,K43)</f>
        <v>6</v>
      </c>
      <c r="L39" s="8" t="n">
        <f aca="false">SUM(L40,L41,L42,L43)</f>
        <v>8</v>
      </c>
      <c r="M39" s="8" t="n">
        <f aca="false">SUM(M40,M41,M42,M43)</f>
        <v>8</v>
      </c>
      <c r="N39" s="8" t="n">
        <f aca="false">SUM(N40,N41,N42,N43)</f>
        <v>5</v>
      </c>
      <c r="O39" s="8" t="n">
        <f aca="false">SUM(O40,O41,O42,O43)</f>
        <v>2</v>
      </c>
      <c r="P39" s="8" t="n">
        <f aca="false">SUM(P40,P41,P42,P43)</f>
        <v>2</v>
      </c>
      <c r="Q39" s="8" t="n">
        <f aca="false">SUM(Q40,Q41,Q42,Q43)</f>
        <v>4</v>
      </c>
      <c r="R39" s="8" t="n">
        <f aca="false">SUM(R40,R41,R42,R43)</f>
        <v>4</v>
      </c>
      <c r="S39" s="8" t="n">
        <f aca="false">SUM(S40,S41,S42,S43)</f>
        <v>4</v>
      </c>
      <c r="T39" s="8" t="n">
        <f aca="false">SUM(T40,T41,T42,T43)</f>
        <v>7</v>
      </c>
      <c r="U39" s="8" t="n">
        <f aca="false">SUM(U40,U41,U42,U43)</f>
        <v>5</v>
      </c>
      <c r="V39" s="8" t="n">
        <f aca="false">SUM(V40,V41,V42,V43)</f>
        <v>4</v>
      </c>
      <c r="W39" s="8" t="n">
        <f aca="false">SUM(W40,W41,W42,W43)</f>
        <v>2</v>
      </c>
      <c r="X39" s="8" t="n">
        <f aca="false">SUM(X40,X41,X42,X43)</f>
        <v>3</v>
      </c>
      <c r="Y39" s="8" t="n">
        <f aca="false">SUM(Y40,Y41,Y42,Y43)</f>
        <v>5</v>
      </c>
      <c r="Z39" s="8" t="n">
        <f aca="false">SUM(Z40,Z41,Z42,Z43)</f>
        <v>0</v>
      </c>
      <c r="AA39" s="8" t="n">
        <f aca="false">SUM(AA40,AA41,AA42,AA43)</f>
        <v>0</v>
      </c>
      <c r="AB39" s="8" t="n">
        <f aca="false">SUM(AB40,AB41,AB42,AB43)</f>
        <v>10</v>
      </c>
      <c r="AC39" s="8" t="n">
        <f aca="false">SUM(AC40,AC41,AC42,AC43)</f>
        <v>10</v>
      </c>
      <c r="AD39" s="8" t="n">
        <f aca="false">SUM(AD40,AD41,AD42,AD43)</f>
        <v>17</v>
      </c>
      <c r="AE39" s="8" t="n">
        <f aca="false">SUM(AE40,AE41,AE42,AE43)</f>
        <v>25</v>
      </c>
      <c r="AF39" s="8" t="n">
        <f aca="false">SUM(AF40,AF41,AF42,AF43)</f>
        <v>30</v>
      </c>
      <c r="AG39" s="8" t="n">
        <f aca="false">SUM(AG40,AG41,AG42,AG43)</f>
        <v>30</v>
      </c>
      <c r="AH39" s="8" t="n">
        <f aca="false">SUM(AH40,AH41,AH42,AH43)</f>
        <v>30</v>
      </c>
      <c r="AI39" s="8" t="n">
        <f aca="false">SUM(AI40,AI41,AI42,AI43)</f>
        <v>10</v>
      </c>
      <c r="AJ39" s="8" t="n">
        <f aca="false">SUM(AJ40,AJ41,AJ42,AJ43)</f>
        <v>0</v>
      </c>
      <c r="AK39" s="8" t="n">
        <f aca="false">SUM(AK40,AK41,AK42,AK43)</f>
        <v>0</v>
      </c>
      <c r="AL39" s="8" t="n">
        <f aca="false">SUM(AL40,AL41,AL42,AL43)</f>
        <v>0</v>
      </c>
      <c r="AM39" s="8" t="n">
        <f aca="false">SUM(AM40,AM41,AM42,AM43)</f>
        <v>0</v>
      </c>
      <c r="AN39" s="8" t="n">
        <f aca="false">SUM(AN40,AN41,AN42,AN43)</f>
        <v>0</v>
      </c>
      <c r="AO39" s="8" t="n">
        <f aca="false">SUM(AO40,AO41,AO42,AO43)</f>
        <v>0</v>
      </c>
      <c r="AP39" s="8" t="n">
        <f aca="false">SUM(AP40,AP41,AP42,AP43)</f>
        <v>0</v>
      </c>
      <c r="AQ39" s="8" t="n">
        <f aca="false">SUM(AQ40,AQ41,AQ42,AQ43)</f>
        <v>0</v>
      </c>
      <c r="AR39" s="8" t="n">
        <f aca="false">SUM(AR40,AR41,AR42,AR43)</f>
        <v>0</v>
      </c>
      <c r="AS39" s="8" t="n">
        <f aca="false">SUM(AS40,AS41,AS42,AS43)</f>
        <v>0</v>
      </c>
      <c r="AT39" s="8" t="n">
        <f aca="false">SUM(AT40,AT41,AT42,AT43)</f>
        <v>0</v>
      </c>
      <c r="AU39" s="8" t="n">
        <f aca="false">SUM(AU40,AU41,AU42,AU43)</f>
        <v>0</v>
      </c>
      <c r="AV39" s="8" t="n">
        <f aca="false">SUM(AV40,AV41,AV42,AV43)</f>
        <v>0</v>
      </c>
      <c r="AW39" s="8" t="n">
        <f aca="false">SUM(AW40,AW41,AW42,AW43)</f>
        <v>0</v>
      </c>
    </row>
    <row r="40" customFormat="false" ht="15" hidden="true" customHeight="true" outlineLevel="1" collapsed="false">
      <c r="A40" s="9" t="s">
        <v>12</v>
      </c>
      <c r="B40" s="9" t="s">
        <v>16</v>
      </c>
      <c r="C40" s="9" t="s">
        <v>101</v>
      </c>
      <c r="D40" s="9" t="s">
        <v>78</v>
      </c>
      <c r="E40" s="9" t="s">
        <v>79</v>
      </c>
      <c r="F40" s="10" t="n">
        <v>1.5</v>
      </c>
      <c r="G40" s="10" t="n">
        <v>1.5</v>
      </c>
      <c r="H40" s="10" t="n">
        <v>18.5</v>
      </c>
      <c r="I40" s="10" t="n">
        <v>-17</v>
      </c>
      <c r="J40" s="10" t="n">
        <v>3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0</v>
      </c>
    </row>
    <row r="41" customFormat="false" ht="15" hidden="true" customHeight="true" outlineLevel="1" collapsed="false">
      <c r="A41" s="9" t="s">
        <v>12</v>
      </c>
      <c r="B41" s="9" t="s">
        <v>16</v>
      </c>
      <c r="C41" s="9" t="s">
        <v>101</v>
      </c>
      <c r="D41" s="9" t="s">
        <v>78</v>
      </c>
      <c r="E41" s="9" t="s">
        <v>102</v>
      </c>
      <c r="F41" s="10" t="n">
        <v>4</v>
      </c>
      <c r="G41" s="10" t="n">
        <v>185</v>
      </c>
      <c r="H41" s="10" t="n">
        <v>181</v>
      </c>
      <c r="I41" s="10" t="n">
        <v>4</v>
      </c>
      <c r="J41" s="10" t="n">
        <v>0</v>
      </c>
      <c r="K41" s="10" t="n">
        <v>6</v>
      </c>
      <c r="L41" s="10" t="n">
        <v>8</v>
      </c>
      <c r="M41" s="10" t="n">
        <v>8</v>
      </c>
      <c r="N41" s="10" t="n">
        <v>5</v>
      </c>
      <c r="O41" s="10" t="n">
        <v>2</v>
      </c>
      <c r="P41" s="10" t="n">
        <v>2</v>
      </c>
      <c r="Q41" s="10" t="n">
        <v>4</v>
      </c>
      <c r="R41" s="10" t="n">
        <v>4</v>
      </c>
      <c r="S41" s="10" t="n">
        <v>4</v>
      </c>
      <c r="T41" s="10" t="n">
        <v>7</v>
      </c>
      <c r="U41" s="10" t="n">
        <v>5</v>
      </c>
      <c r="V41" s="10" t="n">
        <v>4</v>
      </c>
      <c r="W41" s="10" t="n">
        <v>2</v>
      </c>
      <c r="X41" s="10" t="n">
        <v>3</v>
      </c>
      <c r="Y41" s="10" t="n">
        <v>5</v>
      </c>
      <c r="Z41" s="10" t="n">
        <v>0</v>
      </c>
      <c r="AA41" s="10" t="n">
        <v>0</v>
      </c>
      <c r="AB41" s="10" t="n">
        <v>10</v>
      </c>
      <c r="AC41" s="10" t="n">
        <v>10</v>
      </c>
      <c r="AD41" s="10" t="n">
        <v>12</v>
      </c>
      <c r="AE41" s="10" t="n">
        <v>15</v>
      </c>
      <c r="AF41" s="10" t="n">
        <v>20</v>
      </c>
      <c r="AG41" s="10" t="n">
        <v>20</v>
      </c>
      <c r="AH41" s="10" t="n">
        <v>15</v>
      </c>
      <c r="AI41" s="10" t="n">
        <v>10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</row>
    <row r="42" customFormat="false" ht="15" hidden="true" customHeight="true" outlineLevel="1" collapsed="false">
      <c r="A42" s="9" t="s">
        <v>12</v>
      </c>
      <c r="B42" s="9" t="s">
        <v>16</v>
      </c>
      <c r="C42" s="9" t="s">
        <v>101</v>
      </c>
      <c r="D42" s="9" t="s">
        <v>78</v>
      </c>
      <c r="E42" s="9" t="s">
        <v>83</v>
      </c>
      <c r="F42" s="10" t="n">
        <v>10</v>
      </c>
      <c r="G42" s="10" t="n">
        <v>10</v>
      </c>
      <c r="H42" s="10" t="n">
        <v>0</v>
      </c>
      <c r="I42" s="10" t="n">
        <v>10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0</v>
      </c>
      <c r="AT42" s="10" t="n">
        <v>0</v>
      </c>
      <c r="AU42" s="10" t="n">
        <v>0</v>
      </c>
      <c r="AV42" s="10" t="n">
        <v>0</v>
      </c>
      <c r="AW42" s="10" t="n">
        <v>0</v>
      </c>
    </row>
    <row r="43" customFormat="false" ht="15" hidden="true" customHeight="true" outlineLevel="1" collapsed="false">
      <c r="A43" s="9" t="s">
        <v>12</v>
      </c>
      <c r="B43" s="9" t="s">
        <v>16</v>
      </c>
      <c r="C43" s="9" t="s">
        <v>101</v>
      </c>
      <c r="D43" s="9" t="s">
        <v>78</v>
      </c>
      <c r="E43" s="9" t="s">
        <v>103</v>
      </c>
      <c r="F43" s="10" t="n">
        <v>0</v>
      </c>
      <c r="G43" s="10" t="n">
        <v>0</v>
      </c>
      <c r="H43" s="10" t="n">
        <v>50</v>
      </c>
      <c r="I43" s="10" t="n">
        <v>-50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5</v>
      </c>
      <c r="AE43" s="10" t="n">
        <v>10</v>
      </c>
      <c r="AF43" s="10" t="n">
        <v>10</v>
      </c>
      <c r="AG43" s="10" t="n">
        <v>10</v>
      </c>
      <c r="AH43" s="10" t="n">
        <v>15</v>
      </c>
      <c r="AI43" s="10" t="n">
        <v>0</v>
      </c>
      <c r="AJ43" s="10" t="n">
        <v>0</v>
      </c>
      <c r="AK43" s="10" t="n">
        <v>0</v>
      </c>
      <c r="AL43" s="10" t="n">
        <v>0</v>
      </c>
      <c r="AM43" s="10" t="n">
        <v>0</v>
      </c>
      <c r="AN43" s="10" t="n">
        <v>0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0</v>
      </c>
      <c r="AT43" s="10" t="n">
        <v>0</v>
      </c>
      <c r="AU43" s="10" t="n">
        <v>0</v>
      </c>
      <c r="AV43" s="10" t="n">
        <v>0</v>
      </c>
      <c r="AW43" s="10" t="n">
        <v>0</v>
      </c>
    </row>
    <row r="44" customFormat="false" ht="15" hidden="false" customHeight="true" outlineLevel="0" collapsed="false">
      <c r="A44" s="7" t="s">
        <v>89</v>
      </c>
      <c r="B44" s="7" t="s">
        <v>16</v>
      </c>
      <c r="C44" s="7" t="s">
        <v>18</v>
      </c>
      <c r="D44" s="7" t="s">
        <v>76</v>
      </c>
      <c r="E44" s="7" t="s">
        <v>77</v>
      </c>
      <c r="F44" s="8" t="n">
        <f aca="false">SUM(F45,F46,F47,F48,F49,F50,F51,F52,F53,F54,F55,F56,F57,F58)</f>
        <v>348.7</v>
      </c>
      <c r="G44" s="8" t="n">
        <f aca="false">SUM(G45,G46,G47,G48,G49,G50,G51,G52,G53,G54,G55,G56,G57,G58)</f>
        <v>1470.5</v>
      </c>
      <c r="H44" s="8" t="n">
        <f aca="false">SUM(H45,H46,H47,H48,H49,H50,H51,H52,H53,H54,H55,H56,H57,H58)</f>
        <v>1393.2</v>
      </c>
      <c r="I44" s="8" t="n">
        <f aca="false">SUM(I45,I46,I47,I48,I49,I50,I51,I52,I53,I54,I55,I56,I57,I58)</f>
        <v>77.3</v>
      </c>
      <c r="J44" s="8" t="n">
        <f aca="false">SUM(J45,J46,J47,J48,J49,J50,J51,J52,J53,J54,J55,J56,J57,J58)</f>
        <v>28.653509</v>
      </c>
      <c r="K44" s="8" t="n">
        <f aca="false">SUM(K45,K46,K47,K48,K49,K50,K51,K52,K53,K54,K55,K56,K57,K58)</f>
        <v>29.653509</v>
      </c>
      <c r="L44" s="8" t="n">
        <f aca="false">SUM(L45,L46,L47,L48,L49,L50,L51,L52,L53,L54,L55,L56,L57,L58)</f>
        <v>23.653509</v>
      </c>
      <c r="M44" s="8" t="n">
        <f aca="false">SUM(M45,M46,M47,M48,M49,M50,M51,M52,M53,M54,M55,M56,M57,M58)</f>
        <v>12.653509</v>
      </c>
      <c r="N44" s="8" t="n">
        <f aca="false">SUM(N45,N46,N47,N48,N49,N50,N51,N52,N53,N54,N55,N56,N57,N58)</f>
        <v>12.653509</v>
      </c>
      <c r="O44" s="8" t="n">
        <f aca="false">SUM(O45,O46,O47,O48,O49,O50,O51,O52,O53,O54,O55,O56,O57,O58)</f>
        <v>17.653509</v>
      </c>
      <c r="P44" s="8" t="n">
        <f aca="false">SUM(P45,P46,P47,P48,P49,P50,P51,P52,P53,P54,P55,P56,P57,P58)</f>
        <v>39.653509</v>
      </c>
      <c r="Q44" s="12" t="n">
        <f aca="false">SUM(Q45,Q46,Q47,Q48,Q49,Q50,Q51,Q52,Q53,Q54,Q55,Q56,Q57,Q58)</f>
        <v>67.653509</v>
      </c>
      <c r="R44" s="12" t="n">
        <f aca="false">SUM(R45,R46,R47,R48,R49,R50,R51,R52,R53,R54,R55,R56,R57,R58)</f>
        <v>69.653509</v>
      </c>
      <c r="S44" s="11" t="n">
        <f aca="false">SUM(S45,S46,S47,S48,S49,S50,S51,S52,S53,S54,S55,S56,S57,S58)</f>
        <v>42.653509</v>
      </c>
      <c r="T44" s="8" t="n">
        <f aca="false">SUM(T45,T46,T47,T48,T49,T50,T51,T52,T53,T54,T55,T56,T57,T58)</f>
        <v>32.653509</v>
      </c>
      <c r="U44" s="12" t="n">
        <f aca="false">SUM(U45,U46,U47,U48,U49,U50,U51,U52,U53,U54,U55,U56,U57,U58)</f>
        <v>49.153509</v>
      </c>
      <c r="V44" s="8" t="n">
        <f aca="false">SUM(V45,V46,V47,V48,V49,V50,V51,V52,V53,V54,V55,V56,V57,V58)</f>
        <v>39.653509</v>
      </c>
      <c r="W44" s="8" t="n">
        <f aca="false">SUM(W45,W46,W47,W48,W49,W50,W51,W52,W53,W54,W55,W56,W57,W58)</f>
        <v>17.153509</v>
      </c>
      <c r="X44" s="8" t="n">
        <f aca="false">SUM(X45,X46,X47,X48,X49,X50,X51,X52,X53,X54,X55,X56,X57,X58)</f>
        <v>2.653509</v>
      </c>
      <c r="Y44" s="8" t="n">
        <f aca="false">SUM(Y45,Y46,Y47,Y48,Y49,Y50,Y51,Y52,Y53,Y54,Y55,Y56,Y57,Y58)</f>
        <v>11.653509</v>
      </c>
      <c r="Z44" s="8" t="n">
        <f aca="false">SUM(Z45,Z46,Z47,Z48,Z49,Z50,Z51,Z52,Z53,Z54,Z55,Z56,Z57,Z58)</f>
        <v>2.653509</v>
      </c>
      <c r="AA44" s="8" t="n">
        <f aca="false">SUM(AA45,AA46,AA47,AA48,AA49,AA50,AA51,AA52,AA53,AA54,AA55,AA56,AA57,AA58)</f>
        <v>1.653509</v>
      </c>
      <c r="AB44" s="11" t="n">
        <f aca="false">SUM(AB45,AB46,AB47,AB48,AB49,AB50,AB51,AB52,AB53,AB54,AB55,AB56,AB57,AB58)</f>
        <v>56.903509</v>
      </c>
      <c r="AC44" s="12" t="n">
        <f aca="false">SUM(AC45,AC46,AC47,AC48,AC49,AC50,AC51,AC52,AC53,AC54,AC55,AC56,AC57,AC58)</f>
        <v>65.903509</v>
      </c>
      <c r="AD44" s="8" t="n">
        <f aca="false">SUM(AD45,AD46,AD47,AD48,AD49,AD50,AD51,AD52,AD53,AD54,AD55,AD56,AD57,AD58)</f>
        <v>50.903509</v>
      </c>
      <c r="AE44" s="11" t="n">
        <f aca="false">SUM(AE45,AE46,AE47,AE48,AE49,AE50,AE51,AE52,AE53,AE54,AE55,AE56,AE57,AE58)</f>
        <v>55.903509</v>
      </c>
      <c r="AF44" s="11" t="n">
        <f aca="false">SUM(AF45,AF46,AF47,AF48,AF49,AF50,AF51,AF52,AF53,AF54,AF55,AF56,AF57,AF58)</f>
        <v>57.003509</v>
      </c>
      <c r="AG44" s="12" t="n">
        <f aca="false">SUM(AG45,AG46,AG47,AG48,AG49,AG50,AG51,AG52,AG53,AG54,AG55,AG56,AG57,AG58)</f>
        <v>69.903509</v>
      </c>
      <c r="AH44" s="12" t="n">
        <f aca="false">SUM(AH45,AH46,AH47,AH48,AH49,AH50,AH51,AH52,AH53,AH54,AH55,AH56,AH57,AH58)</f>
        <v>73.403509</v>
      </c>
      <c r="AI44" s="8" t="n">
        <f aca="false">SUM(AI45,AI46,AI47,AI48,AI49,AI50,AI51,AI52,AI53,AI54,AI55,AI56,AI57,AI58)</f>
        <v>39.103509</v>
      </c>
      <c r="AJ44" s="8" t="n">
        <f aca="false">SUM(AJ45,AJ46,AJ47,AJ48,AJ49,AJ50,AJ51,AJ52,AJ53,AJ54,AJ55,AJ56,AJ57,AJ58)</f>
        <v>11.403509</v>
      </c>
      <c r="AK44" s="8" t="n">
        <f aca="false">SUM(AK45,AK46,AK47,AK48,AK49,AK50,AK51,AK52,AK53,AK54,AK55,AK56,AK57,AK58)</f>
        <v>21.403509</v>
      </c>
      <c r="AL44" s="8" t="n">
        <f aca="false">SUM(AL45,AL46,AL47,AL48,AL49,AL50,AL51,AL52,AL53,AL54,AL55,AL56,AL57,AL58)</f>
        <v>16.403509</v>
      </c>
      <c r="AM44" s="8" t="n">
        <f aca="false">SUM(AM45,AM46,AM47,AM48,AM49,AM50,AM51,AM52,AM53,AM54,AM55,AM56,AM57,AM58)</f>
        <v>21.403509</v>
      </c>
      <c r="AN44" s="8" t="n">
        <f aca="false">SUM(AN45,AN46,AN47,AN48,AN49,AN50,AN51,AN52,AN53,AN54,AN55,AN56,AN57,AN58)</f>
        <v>21.403509</v>
      </c>
      <c r="AO44" s="8" t="n">
        <f aca="false">SUM(AO45,AO46,AO47,AO48,AO49,AO50,AO51,AO52,AO53,AO54,AO55,AO56,AO57,AO58)</f>
        <v>16.403509</v>
      </c>
      <c r="AP44" s="8" t="n">
        <f aca="false">SUM(AP45,AP46,AP47,AP48,AP49,AP50,AP51,AP52,AP53,AP54,AP55,AP56,AP57,AP58)</f>
        <v>16.403509</v>
      </c>
      <c r="AQ44" s="8" t="n">
        <f aca="false">SUM(AQ45,AQ46,AQ47,AQ48,AQ49,AQ50,AQ51,AQ52,AQ53,AQ54,AQ55,AQ56,AQ57,AQ58)</f>
        <v>16.403509</v>
      </c>
      <c r="AR44" s="8" t="n">
        <f aca="false">SUM(AR45,AR46,AR47,AR48,AR49,AR50,AR51,AR52,AR53,AR54,AR55,AR56,AR57,AR58)</f>
        <v>16.403509</v>
      </c>
      <c r="AS44" s="8" t="n">
        <f aca="false">SUM(AS45,AS46,AS47,AS48,AS49,AS50,AS51,AS52,AS53,AS54,AS55,AS56,AS57,AS58)</f>
        <v>16.403509</v>
      </c>
      <c r="AT44" s="8" t="n">
        <f aca="false">SUM(AT45,AT46,AT47,AT48,AT49,AT50,AT51,AT52,AT53,AT54,AT55,AT56,AT57,AT58)</f>
        <v>6.403509</v>
      </c>
      <c r="AU44" s="8" t="n">
        <f aca="false">SUM(AU45,AU46,AU47,AU48,AU49,AU50,AU51,AU52,AU53,AU54,AU55,AU56,AU57,AU58)</f>
        <v>0</v>
      </c>
      <c r="AV44" s="8" t="n">
        <f aca="false">SUM(AV45,AV46,AV47,AV48,AV49,AV50,AV51,AV52,AV53,AV54,AV55,AV56,AV57,AV58)</f>
        <v>0</v>
      </c>
      <c r="AW44" s="8" t="n">
        <f aca="false">SUM(AW45,AW46,AW47,AW48,AW49,AW50,AW51,AW52,AW53,AW54,AW55,AW56,AW57,AW58)</f>
        <v>0</v>
      </c>
    </row>
    <row r="45" customFormat="false" ht="15" hidden="true" customHeight="true" outlineLevel="1" collapsed="false">
      <c r="A45" s="9" t="s">
        <v>29</v>
      </c>
      <c r="B45" s="9" t="s">
        <v>16</v>
      </c>
      <c r="C45" s="9" t="s">
        <v>18</v>
      </c>
      <c r="D45" s="9" t="s">
        <v>78</v>
      </c>
      <c r="E45" s="9" t="s">
        <v>91</v>
      </c>
      <c r="F45" s="10" t="n">
        <v>20</v>
      </c>
      <c r="G45" s="10" t="n">
        <v>250</v>
      </c>
      <c r="H45" s="10" t="n">
        <v>230</v>
      </c>
      <c r="I45" s="10" t="n">
        <v>20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5</v>
      </c>
      <c r="P45" s="10" t="n">
        <v>5</v>
      </c>
      <c r="Q45" s="10" t="n">
        <v>15</v>
      </c>
      <c r="R45" s="10" t="n">
        <v>15</v>
      </c>
      <c r="S45" s="10" t="n">
        <v>5</v>
      </c>
      <c r="T45" s="10" t="n">
        <v>5</v>
      </c>
      <c r="U45" s="10" t="n">
        <v>5</v>
      </c>
      <c r="V45" s="10" t="n">
        <v>5</v>
      </c>
      <c r="W45" s="10" t="n">
        <v>5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</v>
      </c>
      <c r="AG45" s="10" t="n">
        <v>0</v>
      </c>
      <c r="AH45" s="10" t="n">
        <v>0</v>
      </c>
      <c r="AI45" s="10" t="n">
        <v>0</v>
      </c>
      <c r="AJ45" s="10" t="n">
        <v>10</v>
      </c>
      <c r="AK45" s="10" t="n">
        <v>20</v>
      </c>
      <c r="AL45" s="10" t="n">
        <v>15</v>
      </c>
      <c r="AM45" s="10" t="n">
        <v>20</v>
      </c>
      <c r="AN45" s="10" t="n">
        <v>20</v>
      </c>
      <c r="AO45" s="10" t="n">
        <v>15</v>
      </c>
      <c r="AP45" s="10" t="n">
        <v>15</v>
      </c>
      <c r="AQ45" s="10" t="n">
        <v>15</v>
      </c>
      <c r="AR45" s="10" t="n">
        <v>15</v>
      </c>
      <c r="AS45" s="10" t="n">
        <v>15</v>
      </c>
      <c r="AT45" s="10" t="n">
        <v>5</v>
      </c>
      <c r="AU45" s="10" t="n">
        <v>0</v>
      </c>
      <c r="AV45" s="10" t="n">
        <v>0</v>
      </c>
      <c r="AW45" s="10" t="n">
        <v>0</v>
      </c>
    </row>
    <row r="46" customFormat="false" ht="15" hidden="true" customHeight="true" outlineLevel="1" collapsed="false">
      <c r="A46" s="9" t="s">
        <v>29</v>
      </c>
      <c r="B46" s="9" t="s">
        <v>16</v>
      </c>
      <c r="C46" s="9" t="s">
        <v>18</v>
      </c>
      <c r="D46" s="9" t="s">
        <v>78</v>
      </c>
      <c r="E46" s="9" t="s">
        <v>92</v>
      </c>
      <c r="F46" s="10" t="n">
        <v>175</v>
      </c>
      <c r="G46" s="10" t="n">
        <v>693</v>
      </c>
      <c r="H46" s="10" t="n">
        <v>565</v>
      </c>
      <c r="I46" s="10" t="n">
        <v>128</v>
      </c>
      <c r="J46" s="10" t="n">
        <v>10</v>
      </c>
      <c r="K46" s="10" t="n">
        <v>10</v>
      </c>
      <c r="L46" s="10" t="n">
        <v>10</v>
      </c>
      <c r="M46" s="10" t="n">
        <v>10</v>
      </c>
      <c r="N46" s="10" t="n">
        <v>10</v>
      </c>
      <c r="O46" s="10" t="n">
        <v>10</v>
      </c>
      <c r="P46" s="10" t="n">
        <v>30</v>
      </c>
      <c r="Q46" s="10" t="n">
        <v>30</v>
      </c>
      <c r="R46" s="10" t="n">
        <v>30</v>
      </c>
      <c r="S46" s="10" t="n">
        <v>25</v>
      </c>
      <c r="T46" s="10" t="n">
        <v>25</v>
      </c>
      <c r="U46" s="10" t="n">
        <v>25</v>
      </c>
      <c r="V46" s="10" t="n">
        <v>25</v>
      </c>
      <c r="W46" s="10" t="n">
        <v>0</v>
      </c>
      <c r="X46" s="10" t="n">
        <v>0</v>
      </c>
      <c r="Y46" s="10" t="n">
        <v>3</v>
      </c>
      <c r="Z46" s="10" t="n">
        <v>0</v>
      </c>
      <c r="AA46" s="10" t="n">
        <v>0</v>
      </c>
      <c r="AB46" s="10" t="n">
        <v>40</v>
      </c>
      <c r="AC46" s="10" t="n">
        <v>40</v>
      </c>
      <c r="AD46" s="10" t="n">
        <v>30</v>
      </c>
      <c r="AE46" s="10" t="n">
        <v>30</v>
      </c>
      <c r="AF46" s="10" t="n">
        <v>30</v>
      </c>
      <c r="AG46" s="10" t="n">
        <v>25</v>
      </c>
      <c r="AH46" s="10" t="n">
        <v>15</v>
      </c>
      <c r="AI46" s="10" t="n">
        <v>20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</row>
    <row r="47" customFormat="false" ht="15" hidden="true" customHeight="true" outlineLevel="1" collapsed="false">
      <c r="A47" s="9" t="s">
        <v>12</v>
      </c>
      <c r="B47" s="9" t="s">
        <v>16</v>
      </c>
      <c r="C47" s="9" t="s">
        <v>18</v>
      </c>
      <c r="D47" s="9" t="s">
        <v>78</v>
      </c>
      <c r="E47" s="9" t="s">
        <v>79</v>
      </c>
      <c r="F47" s="10" t="n">
        <v>22.9</v>
      </c>
      <c r="G47" s="10" t="n">
        <v>74.9</v>
      </c>
      <c r="H47" s="10" t="n">
        <v>80.9</v>
      </c>
      <c r="I47" s="10" t="n">
        <v>-5.99999999999999</v>
      </c>
      <c r="J47" s="10" t="n">
        <v>1.403509</v>
      </c>
      <c r="K47" s="10" t="n">
        <v>1.403509</v>
      </c>
      <c r="L47" s="10" t="n">
        <v>1.403509</v>
      </c>
      <c r="M47" s="10" t="n">
        <v>1.403509</v>
      </c>
      <c r="N47" s="10" t="n">
        <v>1.403509</v>
      </c>
      <c r="O47" s="10" t="n">
        <v>1.403509</v>
      </c>
      <c r="P47" s="10" t="n">
        <v>1.403509</v>
      </c>
      <c r="Q47" s="10" t="n">
        <v>1.403509</v>
      </c>
      <c r="R47" s="10" t="n">
        <v>1.403509</v>
      </c>
      <c r="S47" s="10" t="n">
        <v>1.403509</v>
      </c>
      <c r="T47" s="10" t="n">
        <v>1.403509</v>
      </c>
      <c r="U47" s="10" t="n">
        <v>1.403509</v>
      </c>
      <c r="V47" s="10" t="n">
        <v>1.403509</v>
      </c>
      <c r="W47" s="10" t="n">
        <v>1.403509</v>
      </c>
      <c r="X47" s="10" t="n">
        <v>1.403509</v>
      </c>
      <c r="Y47" s="10" t="n">
        <v>1.403509</v>
      </c>
      <c r="Z47" s="10" t="n">
        <v>1.403509</v>
      </c>
      <c r="AA47" s="10" t="n">
        <v>1.403509</v>
      </c>
      <c r="AB47" s="10" t="n">
        <v>1.403509</v>
      </c>
      <c r="AC47" s="10" t="n">
        <v>1.403509</v>
      </c>
      <c r="AD47" s="10" t="n">
        <v>1.403509</v>
      </c>
      <c r="AE47" s="10" t="n">
        <v>1.403509</v>
      </c>
      <c r="AF47" s="10" t="n">
        <v>1.403509</v>
      </c>
      <c r="AG47" s="10" t="n">
        <v>1.403509</v>
      </c>
      <c r="AH47" s="10" t="n">
        <v>1.403509</v>
      </c>
      <c r="AI47" s="10" t="n">
        <v>1.403509</v>
      </c>
      <c r="AJ47" s="10" t="n">
        <v>1.403509</v>
      </c>
      <c r="AK47" s="10" t="n">
        <v>1.403509</v>
      </c>
      <c r="AL47" s="10" t="n">
        <v>1.403509</v>
      </c>
      <c r="AM47" s="10" t="n">
        <v>1.403509</v>
      </c>
      <c r="AN47" s="10" t="n">
        <v>1.403509</v>
      </c>
      <c r="AO47" s="10" t="n">
        <v>1.403509</v>
      </c>
      <c r="AP47" s="10" t="n">
        <v>1.403509</v>
      </c>
      <c r="AQ47" s="10" t="n">
        <v>1.403509</v>
      </c>
      <c r="AR47" s="10" t="n">
        <v>1.403509</v>
      </c>
      <c r="AS47" s="10" t="n">
        <v>1.403509</v>
      </c>
      <c r="AT47" s="10" t="n">
        <v>1.403509</v>
      </c>
      <c r="AU47" s="10" t="n">
        <v>0</v>
      </c>
      <c r="AV47" s="10" t="n">
        <v>0</v>
      </c>
      <c r="AW47" s="10" t="n">
        <v>0</v>
      </c>
    </row>
    <row r="48" customFormat="false" ht="15" hidden="true" customHeight="true" outlineLevel="1" collapsed="false">
      <c r="A48" s="9" t="s">
        <v>12</v>
      </c>
      <c r="B48" s="9" t="s">
        <v>16</v>
      </c>
      <c r="C48" s="9" t="s">
        <v>18</v>
      </c>
      <c r="D48" s="9" t="s">
        <v>78</v>
      </c>
      <c r="E48" s="9" t="s">
        <v>81</v>
      </c>
      <c r="F48" s="10" t="n">
        <v>3.3</v>
      </c>
      <c r="G48" s="10" t="n">
        <v>12.1</v>
      </c>
      <c r="H48" s="10" t="n">
        <v>9.3</v>
      </c>
      <c r="I48" s="10" t="n">
        <v>2.8</v>
      </c>
      <c r="J48" s="10" t="n">
        <v>0.25</v>
      </c>
      <c r="K48" s="10" t="n">
        <v>0.25</v>
      </c>
      <c r="L48" s="10" t="n">
        <v>0.25</v>
      </c>
      <c r="M48" s="10" t="n">
        <v>0.25</v>
      </c>
      <c r="N48" s="10" t="n">
        <v>0.25</v>
      </c>
      <c r="O48" s="10" t="n">
        <v>0.25</v>
      </c>
      <c r="P48" s="10" t="n">
        <v>0.25</v>
      </c>
      <c r="Q48" s="10" t="n">
        <v>0.25</v>
      </c>
      <c r="R48" s="10" t="n">
        <v>0.25</v>
      </c>
      <c r="S48" s="10" t="n">
        <v>0.25</v>
      </c>
      <c r="T48" s="10" t="n">
        <v>0.25</v>
      </c>
      <c r="U48" s="10" t="n">
        <v>0.25</v>
      </c>
      <c r="V48" s="10" t="n">
        <v>0.25</v>
      </c>
      <c r="W48" s="10" t="n">
        <v>0.25</v>
      </c>
      <c r="X48" s="10" t="n">
        <v>0.25</v>
      </c>
      <c r="Y48" s="10" t="n">
        <v>0.25</v>
      </c>
      <c r="Z48" s="10" t="n">
        <v>0.25</v>
      </c>
      <c r="AA48" s="10" t="n">
        <v>0.25</v>
      </c>
      <c r="AB48" s="10" t="n">
        <v>0.5</v>
      </c>
      <c r="AC48" s="10" t="n">
        <v>0.5</v>
      </c>
      <c r="AD48" s="10" t="n">
        <v>0.5</v>
      </c>
      <c r="AE48" s="10" t="n">
        <v>0.5</v>
      </c>
      <c r="AF48" s="10" t="n">
        <v>0.6</v>
      </c>
      <c r="AG48" s="10" t="n">
        <v>0.5</v>
      </c>
      <c r="AH48" s="10" t="n">
        <v>1</v>
      </c>
      <c r="AI48" s="10" t="n">
        <v>0.7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</row>
    <row r="49" customFormat="false" ht="15" hidden="true" customHeight="true" outlineLevel="1" collapsed="false">
      <c r="A49" s="9" t="s">
        <v>12</v>
      </c>
      <c r="B49" s="9" t="s">
        <v>16</v>
      </c>
      <c r="C49" s="9" t="s">
        <v>18</v>
      </c>
      <c r="D49" s="9" t="s">
        <v>78</v>
      </c>
      <c r="E49" s="9" t="s">
        <v>82</v>
      </c>
      <c r="F49" s="10" t="n">
        <v>4</v>
      </c>
      <c r="G49" s="10" t="n">
        <v>4</v>
      </c>
      <c r="H49" s="10" t="n">
        <v>4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</row>
    <row r="50" customFormat="false" ht="15" hidden="true" customHeight="true" outlineLevel="1" collapsed="false">
      <c r="A50" s="9" t="s">
        <v>12</v>
      </c>
      <c r="B50" s="9" t="s">
        <v>16</v>
      </c>
      <c r="C50" s="9" t="s">
        <v>18</v>
      </c>
      <c r="D50" s="9" t="s">
        <v>78</v>
      </c>
      <c r="E50" s="9" t="s">
        <v>83</v>
      </c>
      <c r="F50" s="10" t="n">
        <v>3</v>
      </c>
      <c r="G50" s="10" t="n">
        <v>3</v>
      </c>
      <c r="H50" s="10" t="n">
        <v>9</v>
      </c>
      <c r="I50" s="10" t="n">
        <v>-6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</row>
    <row r="51" customFormat="false" ht="15" hidden="true" customHeight="true" outlineLevel="1" collapsed="false">
      <c r="A51" s="9" t="s">
        <v>12</v>
      </c>
      <c r="B51" s="9" t="s">
        <v>16</v>
      </c>
      <c r="C51" s="9" t="s">
        <v>18</v>
      </c>
      <c r="D51" s="9" t="s">
        <v>78</v>
      </c>
      <c r="E51" s="9" t="s">
        <v>84</v>
      </c>
      <c r="F51" s="10" t="n">
        <v>0</v>
      </c>
      <c r="G51" s="10" t="n">
        <v>3</v>
      </c>
      <c r="H51" s="10" t="n">
        <v>3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1</v>
      </c>
      <c r="R51" s="10" t="n">
        <v>2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</row>
    <row r="52" customFormat="false" ht="15" hidden="true" customHeight="true" outlineLevel="1" collapsed="false">
      <c r="A52" s="9" t="s">
        <v>12</v>
      </c>
      <c r="B52" s="9" t="s">
        <v>16</v>
      </c>
      <c r="C52" s="9" t="s">
        <v>18</v>
      </c>
      <c r="D52" s="9" t="s">
        <v>78</v>
      </c>
      <c r="E52" s="9" t="s">
        <v>40</v>
      </c>
      <c r="F52" s="10" t="n">
        <v>0</v>
      </c>
      <c r="G52" s="10" t="n">
        <v>15</v>
      </c>
      <c r="H52" s="10" t="n">
        <v>15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5</v>
      </c>
      <c r="AH52" s="10" t="n">
        <v>5</v>
      </c>
      <c r="AI52" s="10" t="n">
        <v>5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</row>
    <row r="53" customFormat="false" ht="15" hidden="true" customHeight="true" outlineLevel="1" collapsed="false">
      <c r="A53" s="9" t="s">
        <v>12</v>
      </c>
      <c r="B53" s="9" t="s">
        <v>16</v>
      </c>
      <c r="C53" s="9" t="s">
        <v>18</v>
      </c>
      <c r="D53" s="9" t="s">
        <v>78</v>
      </c>
      <c r="E53" s="9" t="s">
        <v>85</v>
      </c>
      <c r="F53" s="10" t="n">
        <v>8</v>
      </c>
      <c r="G53" s="10" t="n">
        <v>8</v>
      </c>
      <c r="H53" s="10" t="n">
        <v>124.5</v>
      </c>
      <c r="I53" s="10" t="n">
        <v>-116.5</v>
      </c>
      <c r="J53" s="10" t="n">
        <v>1</v>
      </c>
      <c r="K53" s="10" t="n">
        <v>8</v>
      </c>
      <c r="L53" s="10" t="n">
        <v>12</v>
      </c>
      <c r="M53" s="10" t="n">
        <v>1</v>
      </c>
      <c r="N53" s="10" t="n">
        <v>1</v>
      </c>
      <c r="O53" s="10" t="n">
        <v>1</v>
      </c>
      <c r="P53" s="10" t="n">
        <v>1</v>
      </c>
      <c r="Q53" s="10" t="n">
        <v>1</v>
      </c>
      <c r="R53" s="10" t="n">
        <v>1</v>
      </c>
      <c r="S53" s="10" t="n">
        <v>1</v>
      </c>
      <c r="T53" s="10" t="n">
        <v>1</v>
      </c>
      <c r="U53" s="10" t="n">
        <v>2.5</v>
      </c>
      <c r="V53" s="10" t="n">
        <v>8</v>
      </c>
      <c r="W53" s="10" t="n">
        <v>10.5</v>
      </c>
      <c r="X53" s="10" t="n">
        <v>1</v>
      </c>
      <c r="Y53" s="10" t="n">
        <v>1</v>
      </c>
      <c r="Z53" s="10" t="n">
        <v>1</v>
      </c>
      <c r="AA53" s="10" t="n">
        <v>0</v>
      </c>
      <c r="AB53" s="10" t="n">
        <v>3</v>
      </c>
      <c r="AC53" s="10" t="n">
        <v>1</v>
      </c>
      <c r="AD53" s="10" t="n">
        <v>1</v>
      </c>
      <c r="AE53" s="10" t="n">
        <v>1</v>
      </c>
      <c r="AF53" s="10" t="n">
        <v>2</v>
      </c>
      <c r="AG53" s="10" t="n">
        <v>10</v>
      </c>
      <c r="AH53" s="10" t="n">
        <v>12</v>
      </c>
      <c r="AI53" s="10" t="n">
        <v>2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</row>
    <row r="54" customFormat="false" ht="15" hidden="true" customHeight="true" outlineLevel="1" collapsed="false">
      <c r="A54" s="9" t="s">
        <v>12</v>
      </c>
      <c r="B54" s="9" t="s">
        <v>16</v>
      </c>
      <c r="C54" s="9" t="s">
        <v>18</v>
      </c>
      <c r="D54" s="9" t="s">
        <v>78</v>
      </c>
      <c r="E54" s="9" t="s">
        <v>103</v>
      </c>
      <c r="F54" s="10" t="n">
        <v>65.5</v>
      </c>
      <c r="G54" s="10" t="n">
        <v>284.5</v>
      </c>
      <c r="H54" s="10" t="n">
        <v>248.5</v>
      </c>
      <c r="I54" s="10" t="n">
        <v>36</v>
      </c>
      <c r="J54" s="10" t="n">
        <v>16</v>
      </c>
      <c r="K54" s="10" t="n">
        <v>10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10</v>
      </c>
      <c r="R54" s="10" t="n">
        <v>10</v>
      </c>
      <c r="S54" s="10" t="n">
        <v>10</v>
      </c>
      <c r="T54" s="10" t="n">
        <v>0</v>
      </c>
      <c r="U54" s="10" t="n">
        <v>15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11</v>
      </c>
      <c r="AC54" s="10" t="n">
        <v>20</v>
      </c>
      <c r="AD54" s="10" t="n">
        <v>13</v>
      </c>
      <c r="AE54" s="10" t="n">
        <v>18</v>
      </c>
      <c r="AF54" s="10" t="n">
        <v>18</v>
      </c>
      <c r="AG54" s="10" t="n">
        <v>18</v>
      </c>
      <c r="AH54" s="10" t="n">
        <v>29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</row>
    <row r="55" customFormat="false" ht="15" hidden="true" customHeight="true" outlineLevel="1" collapsed="false">
      <c r="A55" s="9" t="s">
        <v>12</v>
      </c>
      <c r="B55" s="9" t="s">
        <v>16</v>
      </c>
      <c r="C55" s="9" t="s">
        <v>18</v>
      </c>
      <c r="D55" s="9" t="s">
        <v>78</v>
      </c>
      <c r="E55" s="9" t="s">
        <v>86</v>
      </c>
      <c r="F55" s="10" t="n">
        <v>0</v>
      </c>
      <c r="G55" s="10" t="n">
        <v>0</v>
      </c>
      <c r="H55" s="10" t="n">
        <v>10</v>
      </c>
      <c r="I55" s="10" t="n">
        <v>-10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</row>
    <row r="56" customFormat="false" ht="15" hidden="true" customHeight="true" outlineLevel="1" collapsed="false">
      <c r="A56" s="9" t="s">
        <v>12</v>
      </c>
      <c r="B56" s="9" t="s">
        <v>16</v>
      </c>
      <c r="C56" s="9" t="s">
        <v>18</v>
      </c>
      <c r="D56" s="9" t="s">
        <v>78</v>
      </c>
      <c r="E56" s="9" t="s">
        <v>99</v>
      </c>
      <c r="F56" s="10" t="n">
        <v>39</v>
      </c>
      <c r="G56" s="10" t="n">
        <v>98</v>
      </c>
      <c r="H56" s="10" t="n">
        <v>64</v>
      </c>
      <c r="I56" s="10" t="n">
        <v>34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2</v>
      </c>
      <c r="Q56" s="10" t="n">
        <v>2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6</v>
      </c>
      <c r="Z56" s="10" t="n">
        <v>0</v>
      </c>
      <c r="AA56" s="10" t="n">
        <v>0</v>
      </c>
      <c r="AB56" s="10" t="n">
        <v>1</v>
      </c>
      <c r="AC56" s="10" t="n">
        <v>3</v>
      </c>
      <c r="AD56" s="10" t="n">
        <v>5</v>
      </c>
      <c r="AE56" s="10" t="n">
        <v>5</v>
      </c>
      <c r="AF56" s="10" t="n">
        <v>5</v>
      </c>
      <c r="AG56" s="10" t="n">
        <v>10</v>
      </c>
      <c r="AH56" s="10" t="n">
        <v>10</v>
      </c>
      <c r="AI56" s="10" t="n">
        <v>10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</row>
    <row r="57" customFormat="false" ht="15" hidden="true" customHeight="true" outlineLevel="1" collapsed="false">
      <c r="A57" s="9" t="s">
        <v>12</v>
      </c>
      <c r="B57" s="9" t="s">
        <v>16</v>
      </c>
      <c r="C57" s="9" t="s">
        <v>18</v>
      </c>
      <c r="D57" s="9" t="s">
        <v>78</v>
      </c>
      <c r="E57" s="9" t="s">
        <v>87</v>
      </c>
      <c r="F57" s="10" t="n">
        <v>8</v>
      </c>
      <c r="G57" s="10" t="n">
        <v>8</v>
      </c>
      <c r="H57" s="10" t="n">
        <v>13</v>
      </c>
      <c r="I57" s="10" t="n">
        <v>-5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</row>
    <row r="58" customFormat="false" ht="15" hidden="true" customHeight="true" outlineLevel="1" collapsed="false">
      <c r="A58" s="9" t="s">
        <v>12</v>
      </c>
      <c r="B58" s="9" t="s">
        <v>16</v>
      </c>
      <c r="C58" s="9" t="s">
        <v>18</v>
      </c>
      <c r="D58" s="9" t="s">
        <v>78</v>
      </c>
      <c r="E58" s="9" t="s">
        <v>88</v>
      </c>
      <c r="F58" s="10" t="n">
        <v>0</v>
      </c>
      <c r="G58" s="10" t="n">
        <v>17</v>
      </c>
      <c r="H58" s="10" t="n">
        <v>17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7</v>
      </c>
      <c r="R58" s="10" t="n">
        <v>10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</row>
    <row r="59" customFormat="false" ht="15" hidden="false" customHeight="true" outlineLevel="0" collapsed="false">
      <c r="A59" s="7" t="s">
        <v>12</v>
      </c>
      <c r="B59" s="7" t="s">
        <v>16</v>
      </c>
      <c r="C59" s="7" t="s">
        <v>104</v>
      </c>
      <c r="D59" s="7" t="s">
        <v>76</v>
      </c>
      <c r="E59" s="7" t="s">
        <v>77</v>
      </c>
      <c r="F59" s="8" t="n">
        <f aca="false">SUM(F60)</f>
        <v>4</v>
      </c>
      <c r="G59" s="8" t="n">
        <f aca="false">SUM(G60)</f>
        <v>20</v>
      </c>
      <c r="H59" s="8" t="n">
        <f aca="false">SUM(H60)</f>
        <v>16</v>
      </c>
      <c r="I59" s="8" t="n">
        <f aca="false">SUM(I60)</f>
        <v>4</v>
      </c>
      <c r="J59" s="8" t="n">
        <f aca="false">SUM(J60)</f>
        <v>0</v>
      </c>
      <c r="K59" s="8" t="n">
        <f aca="false">SUM(K60)</f>
        <v>0</v>
      </c>
      <c r="L59" s="8" t="n">
        <f aca="false">SUM(L60)</f>
        <v>0</v>
      </c>
      <c r="M59" s="8" t="n">
        <f aca="false">SUM(M60)</f>
        <v>0</v>
      </c>
      <c r="N59" s="8" t="n">
        <f aca="false">SUM(N60)</f>
        <v>0</v>
      </c>
      <c r="O59" s="8" t="n">
        <f aca="false">SUM(O60)</f>
        <v>0</v>
      </c>
      <c r="P59" s="8" t="n">
        <f aca="false">SUM(P60)</f>
        <v>0</v>
      </c>
      <c r="Q59" s="8" t="n">
        <f aca="false">SUM(Q60)</f>
        <v>0</v>
      </c>
      <c r="R59" s="8" t="n">
        <f aca="false">SUM(R60)</f>
        <v>0</v>
      </c>
      <c r="S59" s="8" t="n">
        <f aca="false">SUM(S60)</f>
        <v>0</v>
      </c>
      <c r="T59" s="8" t="n">
        <f aca="false">SUM(T60)</f>
        <v>0</v>
      </c>
      <c r="U59" s="8" t="n">
        <f aca="false">SUM(U60)</f>
        <v>0</v>
      </c>
      <c r="V59" s="8" t="n">
        <f aca="false">SUM(V60)</f>
        <v>0</v>
      </c>
      <c r="W59" s="8" t="n">
        <f aca="false">SUM(W60)</f>
        <v>0</v>
      </c>
      <c r="X59" s="8" t="n">
        <f aca="false">SUM(X60)</f>
        <v>0</v>
      </c>
      <c r="Y59" s="8" t="n">
        <f aca="false">SUM(Y60)</f>
        <v>0</v>
      </c>
      <c r="Z59" s="8" t="n">
        <f aca="false">SUM(Z60)</f>
        <v>0</v>
      </c>
      <c r="AA59" s="8" t="n">
        <f aca="false">SUM(AA60)</f>
        <v>0</v>
      </c>
      <c r="AB59" s="8" t="n">
        <f aca="false">SUM(AB60)</f>
        <v>0</v>
      </c>
      <c r="AC59" s="8" t="n">
        <f aca="false">SUM(AC60)</f>
        <v>0</v>
      </c>
      <c r="AD59" s="8" t="n">
        <f aca="false">SUM(AD60)</f>
        <v>0</v>
      </c>
      <c r="AE59" s="8" t="n">
        <f aca="false">SUM(AE60)</f>
        <v>4</v>
      </c>
      <c r="AF59" s="8" t="n">
        <f aca="false">SUM(AF60)</f>
        <v>4</v>
      </c>
      <c r="AG59" s="8" t="n">
        <f aca="false">SUM(AG60)</f>
        <v>4</v>
      </c>
      <c r="AH59" s="8" t="n">
        <f aca="false">SUM(AH60)</f>
        <v>4</v>
      </c>
      <c r="AI59" s="8" t="n">
        <f aca="false">SUM(AI60)</f>
        <v>0</v>
      </c>
      <c r="AJ59" s="8" t="n">
        <f aca="false">SUM(AJ60)</f>
        <v>0</v>
      </c>
      <c r="AK59" s="8" t="n">
        <f aca="false">SUM(AK60)</f>
        <v>0</v>
      </c>
      <c r="AL59" s="8" t="n">
        <f aca="false">SUM(AL60)</f>
        <v>0</v>
      </c>
      <c r="AM59" s="8" t="n">
        <f aca="false">SUM(AM60)</f>
        <v>0</v>
      </c>
      <c r="AN59" s="8" t="n">
        <f aca="false">SUM(AN60)</f>
        <v>0</v>
      </c>
      <c r="AO59" s="8" t="n">
        <f aca="false">SUM(AO60)</f>
        <v>0</v>
      </c>
      <c r="AP59" s="8" t="n">
        <f aca="false">SUM(AP60)</f>
        <v>0</v>
      </c>
      <c r="AQ59" s="8" t="n">
        <f aca="false">SUM(AQ60)</f>
        <v>0</v>
      </c>
      <c r="AR59" s="8" t="n">
        <f aca="false">SUM(AR60)</f>
        <v>0</v>
      </c>
      <c r="AS59" s="8" t="n">
        <f aca="false">SUM(AS60)</f>
        <v>0</v>
      </c>
      <c r="AT59" s="8" t="n">
        <f aca="false">SUM(AT60)</f>
        <v>0</v>
      </c>
      <c r="AU59" s="8" t="n">
        <f aca="false">SUM(AU60)</f>
        <v>0</v>
      </c>
      <c r="AV59" s="8" t="n">
        <f aca="false">SUM(AV60)</f>
        <v>0</v>
      </c>
      <c r="AW59" s="8" t="n">
        <f aca="false">SUM(AW60)</f>
        <v>0</v>
      </c>
    </row>
    <row r="60" customFormat="false" ht="15" hidden="true" customHeight="true" outlineLevel="1" collapsed="false">
      <c r="A60" s="9" t="s">
        <v>12</v>
      </c>
      <c r="B60" s="9" t="s">
        <v>16</v>
      </c>
      <c r="C60" s="9" t="s">
        <v>104</v>
      </c>
      <c r="D60" s="9" t="s">
        <v>78</v>
      </c>
      <c r="E60" s="9" t="s">
        <v>105</v>
      </c>
      <c r="F60" s="10" t="n">
        <v>4</v>
      </c>
      <c r="G60" s="10" t="n">
        <v>20</v>
      </c>
      <c r="H60" s="10" t="n">
        <v>16</v>
      </c>
      <c r="I60" s="10" t="n">
        <v>4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4</v>
      </c>
      <c r="AF60" s="10" t="n">
        <v>4</v>
      </c>
      <c r="AG60" s="10" t="n">
        <v>4</v>
      </c>
      <c r="AH60" s="10" t="n">
        <v>4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</row>
    <row r="61" customFormat="false" ht="15" hidden="false" customHeight="true" outlineLevel="0" collapsed="false">
      <c r="A61" s="7" t="s">
        <v>12</v>
      </c>
      <c r="B61" s="7" t="s">
        <v>16</v>
      </c>
      <c r="C61" s="7" t="s">
        <v>25</v>
      </c>
      <c r="D61" s="7" t="s">
        <v>76</v>
      </c>
      <c r="E61" s="7" t="s">
        <v>77</v>
      </c>
      <c r="F61" s="8" t="n">
        <f aca="false">SUM(F62,F63,F64,F65,F66,F67,F68,F69,F70,F71,F72,F73,F74,F75)</f>
        <v>257.2</v>
      </c>
      <c r="G61" s="8" t="n">
        <f aca="false">SUM(G62,G63,G64,G65,G66,G67,G68,G69,G70,G71,G72,G73,G74,G75)</f>
        <v>993.3</v>
      </c>
      <c r="H61" s="8" t="n">
        <f aca="false">SUM(H62,H63,H64,H65,H66,H67,H68,H69,H70,H71,H72,H73,H74,H75)</f>
        <v>1009.6</v>
      </c>
      <c r="I61" s="8" t="n">
        <f aca="false">SUM(I62,I63,I64,I65,I66,I67,I68,I69,I70,I71,I72,I73,I74,I75)</f>
        <v>-16.3</v>
      </c>
      <c r="J61" s="8" t="n">
        <f aca="false">SUM(J62,J63,J64,J65,J66,J67,J68,J69,J70,J71,J72,J73,J74,J75)</f>
        <v>32.850877</v>
      </c>
      <c r="K61" s="8" t="n">
        <f aca="false">SUM(K62,K63,K64,K65,K66,K67,K68,K69,K70,K71,K72,K73,K74,K75)</f>
        <v>25.754386</v>
      </c>
      <c r="L61" s="8" t="n">
        <f aca="false">SUM(L62,L63,L64,L65,L66,L67,L68,L69,L70,L71,L72,L73,L74,L75)</f>
        <v>13.754386</v>
      </c>
      <c r="M61" s="8" t="n">
        <f aca="false">SUM(M62,M63,M64,M65,M66,M67,M68,M69,M70,M71,M72,M73,M74,M75)</f>
        <v>9.754386</v>
      </c>
      <c r="N61" s="8" t="n">
        <f aca="false">SUM(N62,N63,N64,N65,N66,N67,N68,N69,N70,N71,N72,N73,N74,N75)</f>
        <v>4.754386</v>
      </c>
      <c r="O61" s="8" t="n">
        <f aca="false">SUM(O62,O63,O64,O65,O66,O67,O68,O69,O70,O71,O72,O73,O74,O75)</f>
        <v>11.454386</v>
      </c>
      <c r="P61" s="8" t="n">
        <f aca="false">SUM(P62,P63,P64,P65,P66,P67,P68,P69,P70,P71,P72,P73,P74,P75)</f>
        <v>10.854386</v>
      </c>
      <c r="Q61" s="8" t="n">
        <f aca="false">SUM(Q62,Q63,Q64,Q65,Q66,Q67,Q68,Q69,Q70,Q71,Q72,Q73,Q74,Q75)</f>
        <v>34.754386</v>
      </c>
      <c r="R61" s="8" t="n">
        <f aca="false">SUM(R62,R63,R64,R65,R66,R67,R68,R69,R70,R71,R72,R73,R74,R75)</f>
        <v>36.854386</v>
      </c>
      <c r="S61" s="8" t="n">
        <f aca="false">SUM(S62,S63,S64,S65,S66,S67,S68,S69,S70,S71,S72,S73,S74,S75)</f>
        <v>15.854386</v>
      </c>
      <c r="T61" s="8" t="n">
        <f aca="false">SUM(T62,T63,T64,T65,T66,T67,T68,T69,T70,T71,T72,T73,T74,T75)</f>
        <v>7.754386</v>
      </c>
      <c r="U61" s="8" t="n">
        <f aca="false">SUM(U62,U63,U64,U65,U66,U67,U68,U69,U70,U71,U72,U73,U74,U75)</f>
        <v>7.754386</v>
      </c>
      <c r="V61" s="8" t="n">
        <f aca="false">SUM(V62,V63,V64,V65,V66,V67,V68,V69,V70,V71,V72,V73,V74,V75)</f>
        <v>1.754386</v>
      </c>
      <c r="W61" s="8" t="n">
        <f aca="false">SUM(W62,W63,W64,W65,W66,W67,W68,W69,W70,W71,W72,W73,W74,W75)</f>
        <v>14.754386</v>
      </c>
      <c r="X61" s="8" t="n">
        <f aca="false">SUM(X62,X63,X64,X65,X66,X67,X68,X69,X70,X71,X72,X73,X74,X75)</f>
        <v>19.754386</v>
      </c>
      <c r="Y61" s="8" t="n">
        <f aca="false">SUM(Y62,Y63,Y64,Y65,Y66,Y67,Y68,Y69,Y70,Y71,Y72,Y73,Y74,Y75)</f>
        <v>24.754386</v>
      </c>
      <c r="Z61" s="8" t="n">
        <f aca="false">SUM(Z62,Z63,Z64,Z65,Z66,Z67,Z68,Z69,Z70,Z71,Z72,Z73,Z74,Z75)</f>
        <v>1.754386</v>
      </c>
      <c r="AA61" s="8" t="n">
        <f aca="false">SUM(AA62,AA63,AA64,AA65,AA66,AA67,AA68,AA69,AA70,AA71,AA72,AA73,AA74,AA75)</f>
        <v>1.754386</v>
      </c>
      <c r="AB61" s="8" t="n">
        <f aca="false">SUM(AB62,AB63,AB64,AB65,AB66,AB67,AB68,AB69,AB70,AB71,AB72,AB73,AB74,AB75)</f>
        <v>39.103509</v>
      </c>
      <c r="AC61" s="11" t="n">
        <f aca="false">SUM(AC62,AC63,AC64,AC65,AC66,AC67,AC68,AC69,AC70,AC71,AC72,AC73,AC74,AC75)</f>
        <v>57.103509</v>
      </c>
      <c r="AD61" s="8" t="n">
        <f aca="false">SUM(AD62,AD63,AD64,AD65,AD66,AD67,AD68,AD69,AD70,AD71,AD72,AD73,AD74,AD75)</f>
        <v>51.103509</v>
      </c>
      <c r="AE61" s="8" t="n">
        <f aca="false">SUM(AE62,AE63,AE64,AE65,AE66,AE67,AE68,AE69,AE70,AE71,AE72,AE73,AE74,AE75)</f>
        <v>51.403509</v>
      </c>
      <c r="AF61" s="8" t="n">
        <f aca="false">SUM(AF62,AF63,AF64,AF65,AF66,AF67,AF68,AF69,AF70,AF71,AF72,AF73,AF74,AF75)</f>
        <v>49.403509</v>
      </c>
      <c r="AG61" s="11" t="n">
        <f aca="false">SUM(AG62,AG63,AG64,AG65,AG66,AG67,AG68,AG69,AG70,AG71,AG72,AG73,AG74,AG75)</f>
        <v>59.403509</v>
      </c>
      <c r="AH61" s="12" t="n">
        <f aca="false">SUM(AH62,AH63,AH64,AH65,AH66,AH67,AH68,AH69,AH70,AH71,AH72,AH73,AH74,AH75)</f>
        <v>69.403509</v>
      </c>
      <c r="AI61" s="8" t="n">
        <f aca="false">SUM(AI62,AI63,AI64,AI65,AI66,AI67,AI68,AI69,AI70,AI71,AI72,AI73,AI74,AI75)</f>
        <v>34.903509</v>
      </c>
      <c r="AJ61" s="8" t="n">
        <f aca="false">SUM(AJ62,AJ63,AJ64,AJ65,AJ66,AJ67,AJ68,AJ69,AJ70,AJ71,AJ72,AJ73,AJ74,AJ75)</f>
        <v>8.603509</v>
      </c>
      <c r="AK61" s="8" t="n">
        <f aca="false">SUM(AK62,AK63,AK64,AK65,AK66,AK67,AK68,AK69,AK70,AK71,AK72,AK73,AK74,AK75)</f>
        <v>12.503509</v>
      </c>
      <c r="AL61" s="8" t="n">
        <f aca="false">SUM(AL62,AL63,AL64,AL65,AL66,AL67,AL68,AL69,AL70,AL71,AL72,AL73,AL74,AL75)</f>
        <v>14.403509</v>
      </c>
      <c r="AM61" s="8" t="n">
        <f aca="false">SUM(AM62,AM63,AM64,AM65,AM66,AM67,AM68,AM69,AM70,AM71,AM72,AM73,AM74,AM75)</f>
        <v>8.503509</v>
      </c>
      <c r="AN61" s="8" t="n">
        <f aca="false">SUM(AN62,AN63,AN64,AN65,AN66,AN67,AN68,AN69,AN70,AN71,AN72,AN73,AN74,AN75)</f>
        <v>7.003509</v>
      </c>
      <c r="AO61" s="8" t="n">
        <f aca="false">SUM(AO62,AO63,AO64,AO65,AO66,AO67,AO68,AO69,AO70,AO71,AO72,AO73,AO74,AO75)</f>
        <v>5.303509</v>
      </c>
      <c r="AP61" s="8" t="n">
        <f aca="false">SUM(AP62,AP63,AP64,AP65,AP66,AP67,AP68,AP69,AP70,AP71,AP72,AP73,AP74,AP75)</f>
        <v>3.203509</v>
      </c>
      <c r="AQ61" s="8" t="n">
        <f aca="false">SUM(AQ62,AQ63,AQ64,AQ65,AQ66,AQ67,AQ68,AQ69,AQ70,AQ71,AQ72,AQ73,AQ74,AQ75)</f>
        <v>1.403509</v>
      </c>
      <c r="AR61" s="8" t="n">
        <f aca="false">SUM(AR62,AR63,AR64,AR65,AR66,AR67,AR68,AR69,AR70,AR71,AR72,AR73,AR74,AR75)</f>
        <v>1.403509</v>
      </c>
      <c r="AS61" s="8" t="n">
        <f aca="false">SUM(AS62,AS63,AS64,AS65,AS66,AS67,AS68,AS69,AS70,AS71,AS72,AS73,AS74,AS75)</f>
        <v>1.403509</v>
      </c>
      <c r="AT61" s="8" t="n">
        <f aca="false">SUM(AT62,AT63,AT64,AT65,AT66,AT67,AT68,AT69,AT70,AT71,AT72,AT73,AT74,AT75)</f>
        <v>1.403509</v>
      </c>
      <c r="AU61" s="8" t="n">
        <f aca="false">SUM(AU62,AU63,AU64,AU65,AU66,AU67,AU68,AU69,AU70,AU71,AU72,AU73,AU74,AU75)</f>
        <v>0</v>
      </c>
      <c r="AV61" s="8" t="n">
        <f aca="false">SUM(AV62,AV63,AV64,AV65,AV66,AV67,AV68,AV69,AV70,AV71,AV72,AV73,AV74,AV75)</f>
        <v>0</v>
      </c>
      <c r="AW61" s="8" t="n">
        <f aca="false">SUM(AW62,AW63,AW64,AW65,AW66,AW67,AW68,AW69,AW70,AW71,AW72,AW73,AW74,AW75)</f>
        <v>0</v>
      </c>
    </row>
    <row r="62" customFormat="false" ht="15" hidden="true" customHeight="true" outlineLevel="1" collapsed="false">
      <c r="A62" s="9" t="s">
        <v>12</v>
      </c>
      <c r="B62" s="9" t="s">
        <v>16</v>
      </c>
      <c r="C62" s="9" t="s">
        <v>25</v>
      </c>
      <c r="D62" s="9" t="s">
        <v>78</v>
      </c>
      <c r="E62" s="9" t="s">
        <v>79</v>
      </c>
      <c r="F62" s="10" t="n">
        <v>34.4</v>
      </c>
      <c r="G62" s="10" t="n">
        <v>86.4</v>
      </c>
      <c r="H62" s="10" t="n">
        <v>123</v>
      </c>
      <c r="I62" s="10" t="n">
        <v>-36.6</v>
      </c>
      <c r="J62" s="10" t="n">
        <v>5</v>
      </c>
      <c r="K62" s="10" t="n">
        <v>1.403509</v>
      </c>
      <c r="L62" s="10" t="n">
        <v>1.403509</v>
      </c>
      <c r="M62" s="10" t="n">
        <v>1.403509</v>
      </c>
      <c r="N62" s="10" t="n">
        <v>1.403509</v>
      </c>
      <c r="O62" s="10" t="n">
        <v>1.403509</v>
      </c>
      <c r="P62" s="10" t="n">
        <v>1.403509</v>
      </c>
      <c r="Q62" s="10" t="n">
        <v>1.403509</v>
      </c>
      <c r="R62" s="10" t="n">
        <v>1.403509</v>
      </c>
      <c r="S62" s="10" t="n">
        <v>1.403509</v>
      </c>
      <c r="T62" s="10" t="n">
        <v>1.403509</v>
      </c>
      <c r="U62" s="10" t="n">
        <v>1.403509</v>
      </c>
      <c r="V62" s="10" t="n">
        <v>1.403509</v>
      </c>
      <c r="W62" s="10" t="n">
        <v>1.403509</v>
      </c>
      <c r="X62" s="10" t="n">
        <v>1.403509</v>
      </c>
      <c r="Y62" s="10" t="n">
        <v>1.403509</v>
      </c>
      <c r="Z62" s="10" t="n">
        <v>1.403509</v>
      </c>
      <c r="AA62" s="10" t="n">
        <v>1.403509</v>
      </c>
      <c r="AB62" s="10" t="n">
        <v>1.403509</v>
      </c>
      <c r="AC62" s="10" t="n">
        <v>1.403509</v>
      </c>
      <c r="AD62" s="10" t="n">
        <v>1.403509</v>
      </c>
      <c r="AE62" s="10" t="n">
        <v>1.403509</v>
      </c>
      <c r="AF62" s="10" t="n">
        <v>1.403509</v>
      </c>
      <c r="AG62" s="10" t="n">
        <v>1.403509</v>
      </c>
      <c r="AH62" s="10" t="n">
        <v>1.403509</v>
      </c>
      <c r="AI62" s="10" t="n">
        <v>1.403509</v>
      </c>
      <c r="AJ62" s="10" t="n">
        <v>1.403509</v>
      </c>
      <c r="AK62" s="10" t="n">
        <v>1.403509</v>
      </c>
      <c r="AL62" s="10" t="n">
        <v>1.403509</v>
      </c>
      <c r="AM62" s="10" t="n">
        <v>1.403509</v>
      </c>
      <c r="AN62" s="10" t="n">
        <v>1.403509</v>
      </c>
      <c r="AO62" s="10" t="n">
        <v>1.403509</v>
      </c>
      <c r="AP62" s="10" t="n">
        <v>1.403509</v>
      </c>
      <c r="AQ62" s="10" t="n">
        <v>1.403509</v>
      </c>
      <c r="AR62" s="10" t="n">
        <v>1.403509</v>
      </c>
      <c r="AS62" s="10" t="n">
        <v>1.403509</v>
      </c>
      <c r="AT62" s="10" t="n">
        <v>1.403509</v>
      </c>
      <c r="AU62" s="10" t="n">
        <v>0</v>
      </c>
      <c r="AV62" s="10" t="n">
        <v>0</v>
      </c>
      <c r="AW62" s="10" t="n">
        <v>0</v>
      </c>
    </row>
    <row r="63" customFormat="false" ht="15" hidden="true" customHeight="true" outlineLevel="1" collapsed="false">
      <c r="A63" s="9" t="s">
        <v>12</v>
      </c>
      <c r="B63" s="9" t="s">
        <v>16</v>
      </c>
      <c r="C63" s="9" t="s">
        <v>25</v>
      </c>
      <c r="D63" s="9" t="s">
        <v>78</v>
      </c>
      <c r="E63" s="9" t="s">
        <v>80</v>
      </c>
      <c r="F63" s="10" t="n">
        <v>5</v>
      </c>
      <c r="G63" s="10" t="n">
        <v>42</v>
      </c>
      <c r="H63" s="10" t="n">
        <v>37</v>
      </c>
      <c r="I63" s="10" t="n">
        <v>5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2</v>
      </c>
      <c r="S63" s="10" t="n">
        <v>3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2</v>
      </c>
      <c r="AC63" s="10" t="n">
        <v>2</v>
      </c>
      <c r="AD63" s="10" t="n">
        <v>2</v>
      </c>
      <c r="AE63" s="10" t="n">
        <v>2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5</v>
      </c>
      <c r="AK63" s="10" t="n">
        <v>8</v>
      </c>
      <c r="AL63" s="10" t="n">
        <v>9</v>
      </c>
      <c r="AM63" s="10" t="n">
        <v>2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n">
        <v>0</v>
      </c>
      <c r="AW63" s="10" t="n">
        <v>0</v>
      </c>
    </row>
    <row r="64" customFormat="false" ht="15" hidden="true" customHeight="true" outlineLevel="1" collapsed="false">
      <c r="A64" s="9" t="s">
        <v>12</v>
      </c>
      <c r="B64" s="9" t="s">
        <v>16</v>
      </c>
      <c r="C64" s="9" t="s">
        <v>25</v>
      </c>
      <c r="D64" s="9" t="s">
        <v>78</v>
      </c>
      <c r="E64" s="9" t="s">
        <v>81</v>
      </c>
      <c r="F64" s="10" t="n">
        <v>4.4</v>
      </c>
      <c r="G64" s="10" t="n">
        <v>16.9</v>
      </c>
      <c r="H64" s="10" t="n">
        <v>13</v>
      </c>
      <c r="I64" s="10" t="n">
        <v>3.9</v>
      </c>
      <c r="J64" s="10" t="n">
        <v>0.350877</v>
      </c>
      <c r="K64" s="10" t="n">
        <v>0.350877</v>
      </c>
      <c r="L64" s="10" t="n">
        <v>0.350877</v>
      </c>
      <c r="M64" s="10" t="n">
        <v>0.350877</v>
      </c>
      <c r="N64" s="10" t="n">
        <v>0.350877</v>
      </c>
      <c r="O64" s="10" t="n">
        <v>0.350877</v>
      </c>
      <c r="P64" s="10" t="n">
        <v>0.350877</v>
      </c>
      <c r="Q64" s="10" t="n">
        <v>0.350877</v>
      </c>
      <c r="R64" s="10" t="n">
        <v>0.350877</v>
      </c>
      <c r="S64" s="10" t="n">
        <v>0.350877</v>
      </c>
      <c r="T64" s="10" t="n">
        <v>0.350877</v>
      </c>
      <c r="U64" s="10" t="n">
        <v>0.350877</v>
      </c>
      <c r="V64" s="10" t="n">
        <v>0.350877</v>
      </c>
      <c r="W64" s="10" t="n">
        <v>0.350877</v>
      </c>
      <c r="X64" s="10" t="n">
        <v>0.350877</v>
      </c>
      <c r="Y64" s="10" t="n">
        <v>0.350877</v>
      </c>
      <c r="Z64" s="10" t="n">
        <v>0.350877</v>
      </c>
      <c r="AA64" s="10" t="n">
        <v>0.350877</v>
      </c>
      <c r="AB64" s="10" t="n">
        <v>0.6</v>
      </c>
      <c r="AC64" s="10" t="n">
        <v>0.6</v>
      </c>
      <c r="AD64" s="10" t="n">
        <v>0.7</v>
      </c>
      <c r="AE64" s="10" t="n">
        <v>1</v>
      </c>
      <c r="AF64" s="10" t="n">
        <v>1</v>
      </c>
      <c r="AG64" s="10" t="n">
        <v>1</v>
      </c>
      <c r="AH64" s="10" t="n">
        <v>1</v>
      </c>
      <c r="AI64" s="10" t="n">
        <v>0.8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  <c r="AV64" s="10" t="n">
        <v>0</v>
      </c>
      <c r="AW64" s="10" t="n">
        <v>0</v>
      </c>
    </row>
    <row r="65" customFormat="false" ht="15" hidden="true" customHeight="true" outlineLevel="1" collapsed="false">
      <c r="A65" s="9" t="s">
        <v>12</v>
      </c>
      <c r="B65" s="9" t="s">
        <v>16</v>
      </c>
      <c r="C65" s="9" t="s">
        <v>25</v>
      </c>
      <c r="D65" s="9" t="s">
        <v>78</v>
      </c>
      <c r="E65" s="9" t="s">
        <v>102</v>
      </c>
      <c r="F65" s="10" t="n">
        <v>6</v>
      </c>
      <c r="G65" s="10" t="n">
        <v>65</v>
      </c>
      <c r="H65" s="10" t="n">
        <v>65</v>
      </c>
      <c r="I65" s="10" t="n">
        <v>0</v>
      </c>
      <c r="J65" s="10" t="n">
        <v>0</v>
      </c>
      <c r="K65" s="10" t="n">
        <v>6</v>
      </c>
      <c r="L65" s="10" t="n">
        <v>7</v>
      </c>
      <c r="M65" s="10" t="n">
        <v>7</v>
      </c>
      <c r="N65" s="10" t="n">
        <v>2</v>
      </c>
      <c r="O65" s="10" t="n">
        <v>1</v>
      </c>
      <c r="P65" s="10" t="n">
        <v>1</v>
      </c>
      <c r="Q65" s="10" t="n">
        <v>2</v>
      </c>
      <c r="R65" s="10" t="n">
        <v>2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2</v>
      </c>
      <c r="Y65" s="10" t="n">
        <v>2</v>
      </c>
      <c r="Z65" s="10" t="n">
        <v>0</v>
      </c>
      <c r="AA65" s="10" t="n">
        <v>0</v>
      </c>
      <c r="AB65" s="10" t="n">
        <v>2</v>
      </c>
      <c r="AC65" s="10" t="n">
        <v>3</v>
      </c>
      <c r="AD65" s="10" t="n">
        <v>3</v>
      </c>
      <c r="AE65" s="10" t="n">
        <v>5</v>
      </c>
      <c r="AF65" s="10" t="n">
        <v>5</v>
      </c>
      <c r="AG65" s="10" t="n">
        <v>5</v>
      </c>
      <c r="AH65" s="10" t="n">
        <v>5</v>
      </c>
      <c r="AI65" s="10" t="n">
        <v>5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0</v>
      </c>
      <c r="AT65" s="10" t="n">
        <v>0</v>
      </c>
      <c r="AU65" s="10" t="n">
        <v>0</v>
      </c>
      <c r="AV65" s="10" t="n">
        <v>0</v>
      </c>
      <c r="AW65" s="10" t="n">
        <v>0</v>
      </c>
    </row>
    <row r="66" customFormat="false" ht="15" hidden="true" customHeight="true" outlineLevel="1" collapsed="false">
      <c r="A66" s="9" t="s">
        <v>12</v>
      </c>
      <c r="B66" s="9" t="s">
        <v>16</v>
      </c>
      <c r="C66" s="9" t="s">
        <v>25</v>
      </c>
      <c r="D66" s="9" t="s">
        <v>78</v>
      </c>
      <c r="E66" s="9" t="s">
        <v>40</v>
      </c>
      <c r="F66" s="10" t="n">
        <v>0</v>
      </c>
      <c r="G66" s="10" t="n">
        <v>15</v>
      </c>
      <c r="H66" s="10" t="n">
        <v>15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5</v>
      </c>
      <c r="AH66" s="10" t="n">
        <v>5</v>
      </c>
      <c r="AI66" s="10" t="n">
        <v>5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  <c r="AV66" s="10" t="n">
        <v>0</v>
      </c>
      <c r="AW66" s="10" t="n">
        <v>0</v>
      </c>
    </row>
    <row r="67" customFormat="false" ht="15" hidden="true" customHeight="true" outlineLevel="1" collapsed="false">
      <c r="A67" s="9" t="s">
        <v>12</v>
      </c>
      <c r="B67" s="9" t="s">
        <v>16</v>
      </c>
      <c r="C67" s="9" t="s">
        <v>25</v>
      </c>
      <c r="D67" s="9" t="s">
        <v>78</v>
      </c>
      <c r="E67" s="9" t="s">
        <v>103</v>
      </c>
      <c r="F67" s="10" t="n">
        <v>40.5</v>
      </c>
      <c r="G67" s="10" t="n">
        <v>265.5</v>
      </c>
      <c r="H67" s="10" t="n">
        <v>303.5</v>
      </c>
      <c r="I67" s="10" t="n">
        <v>-38</v>
      </c>
      <c r="J67" s="10" t="n">
        <v>8</v>
      </c>
      <c r="K67" s="10" t="n">
        <v>10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15</v>
      </c>
      <c r="R67" s="10" t="n">
        <v>15</v>
      </c>
      <c r="S67" s="10" t="n">
        <v>5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5</v>
      </c>
      <c r="Y67" s="10" t="n">
        <v>5</v>
      </c>
      <c r="Z67" s="10" t="n">
        <v>0</v>
      </c>
      <c r="AA67" s="10" t="n">
        <v>0</v>
      </c>
      <c r="AB67" s="10" t="n">
        <v>17</v>
      </c>
      <c r="AC67" s="10" t="n">
        <v>25</v>
      </c>
      <c r="AD67" s="10" t="n">
        <v>23</v>
      </c>
      <c r="AE67" s="10" t="n">
        <v>25</v>
      </c>
      <c r="AF67" s="10" t="n">
        <v>25</v>
      </c>
      <c r="AG67" s="10" t="n">
        <v>25</v>
      </c>
      <c r="AH67" s="10" t="n">
        <v>35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0</v>
      </c>
      <c r="AT67" s="10" t="n">
        <v>0</v>
      </c>
      <c r="AU67" s="10" t="n">
        <v>0</v>
      </c>
      <c r="AV67" s="10" t="n">
        <v>0</v>
      </c>
      <c r="AW67" s="10" t="n">
        <v>0</v>
      </c>
    </row>
    <row r="68" customFormat="false" ht="15" hidden="true" customHeight="true" outlineLevel="1" collapsed="false">
      <c r="A68" s="9" t="s">
        <v>12</v>
      </c>
      <c r="B68" s="9" t="s">
        <v>16</v>
      </c>
      <c r="C68" s="9" t="s">
        <v>25</v>
      </c>
      <c r="D68" s="9" t="s">
        <v>78</v>
      </c>
      <c r="E68" s="9" t="s">
        <v>86</v>
      </c>
      <c r="F68" s="10" t="n">
        <v>0</v>
      </c>
      <c r="G68" s="10" t="n">
        <v>0</v>
      </c>
      <c r="H68" s="10" t="n">
        <v>4</v>
      </c>
      <c r="I68" s="10" t="n">
        <v>-4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</row>
    <row r="69" customFormat="false" ht="15" hidden="true" customHeight="true" outlineLevel="1" collapsed="false">
      <c r="A69" s="9" t="s">
        <v>12</v>
      </c>
      <c r="B69" s="9" t="s">
        <v>16</v>
      </c>
      <c r="C69" s="9" t="s">
        <v>25</v>
      </c>
      <c r="D69" s="9" t="s">
        <v>78</v>
      </c>
      <c r="E69" s="9" t="s">
        <v>98</v>
      </c>
      <c r="F69" s="10" t="n">
        <v>20</v>
      </c>
      <c r="G69" s="10" t="n">
        <v>48</v>
      </c>
      <c r="H69" s="10" t="n">
        <v>28.5</v>
      </c>
      <c r="I69" s="10" t="n">
        <v>19.5</v>
      </c>
      <c r="J69" s="10" t="n">
        <v>4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10" t="n">
        <v>2</v>
      </c>
      <c r="AC69" s="10" t="n">
        <v>2</v>
      </c>
      <c r="AD69" s="10" t="n">
        <v>2</v>
      </c>
      <c r="AE69" s="10" t="n">
        <v>2</v>
      </c>
      <c r="AF69" s="10" t="n">
        <v>2</v>
      </c>
      <c r="AG69" s="10" t="n">
        <v>2</v>
      </c>
      <c r="AH69" s="10" t="n">
        <v>2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0</v>
      </c>
      <c r="AP69" s="10" t="n">
        <v>0</v>
      </c>
      <c r="AQ69" s="10" t="n">
        <v>0</v>
      </c>
      <c r="AR69" s="10" t="n">
        <v>0</v>
      </c>
      <c r="AS69" s="10" t="n">
        <v>0</v>
      </c>
      <c r="AT69" s="10" t="n">
        <v>0</v>
      </c>
      <c r="AU69" s="10" t="n">
        <v>0</v>
      </c>
      <c r="AV69" s="10" t="n">
        <v>0</v>
      </c>
      <c r="AW69" s="10" t="n">
        <v>0</v>
      </c>
    </row>
    <row r="70" customFormat="false" ht="15" hidden="true" customHeight="true" outlineLevel="1" collapsed="false">
      <c r="A70" s="9" t="s">
        <v>12</v>
      </c>
      <c r="B70" s="9" t="s">
        <v>16</v>
      </c>
      <c r="C70" s="9" t="s">
        <v>25</v>
      </c>
      <c r="D70" s="9" t="s">
        <v>78</v>
      </c>
      <c r="E70" s="9" t="s">
        <v>99</v>
      </c>
      <c r="F70" s="10" t="n">
        <v>64</v>
      </c>
      <c r="G70" s="10" t="n">
        <v>200</v>
      </c>
      <c r="H70" s="10" t="n">
        <v>190.5</v>
      </c>
      <c r="I70" s="10" t="n">
        <v>9.5</v>
      </c>
      <c r="J70" s="10" t="n">
        <v>7.5</v>
      </c>
      <c r="K70" s="10" t="n">
        <v>4</v>
      </c>
      <c r="L70" s="10" t="n">
        <v>3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3</v>
      </c>
      <c r="Z70" s="10" t="n">
        <v>0</v>
      </c>
      <c r="AA70" s="10" t="n">
        <v>0</v>
      </c>
      <c r="AB70" s="10" t="n">
        <v>2</v>
      </c>
      <c r="AC70" s="10" t="n">
        <v>15</v>
      </c>
      <c r="AD70" s="10" t="n">
        <v>15</v>
      </c>
      <c r="AE70" s="10" t="n">
        <v>15</v>
      </c>
      <c r="AF70" s="10" t="n">
        <v>15</v>
      </c>
      <c r="AG70" s="10" t="n">
        <v>20</v>
      </c>
      <c r="AH70" s="10" t="n">
        <v>20</v>
      </c>
      <c r="AI70" s="10" t="n">
        <v>20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  <c r="AU70" s="10" t="n">
        <v>0</v>
      </c>
      <c r="AV70" s="10" t="n">
        <v>0</v>
      </c>
      <c r="AW70" s="10" t="n">
        <v>0</v>
      </c>
    </row>
    <row r="71" customFormat="false" ht="15" hidden="true" customHeight="true" outlineLevel="1" collapsed="false">
      <c r="A71" s="9" t="s">
        <v>12</v>
      </c>
      <c r="B71" s="9" t="s">
        <v>16</v>
      </c>
      <c r="C71" s="9" t="s">
        <v>25</v>
      </c>
      <c r="D71" s="9" t="s">
        <v>78</v>
      </c>
      <c r="E71" s="9" t="s">
        <v>106</v>
      </c>
      <c r="F71" s="10" t="n">
        <v>67</v>
      </c>
      <c r="G71" s="10" t="n">
        <v>145</v>
      </c>
      <c r="H71" s="10" t="n">
        <v>140.5</v>
      </c>
      <c r="I71" s="10" t="n">
        <v>4.5</v>
      </c>
      <c r="J71" s="10" t="n">
        <v>4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8</v>
      </c>
      <c r="P71" s="10" t="n">
        <v>8</v>
      </c>
      <c r="Q71" s="10" t="n">
        <v>6</v>
      </c>
      <c r="R71" s="10" t="n">
        <v>6</v>
      </c>
      <c r="S71" s="10" t="n">
        <v>6</v>
      </c>
      <c r="T71" s="10" t="n">
        <v>6</v>
      </c>
      <c r="U71" s="10" t="n">
        <v>6</v>
      </c>
      <c r="V71" s="10" t="n">
        <v>0</v>
      </c>
      <c r="W71" s="10" t="n">
        <v>6</v>
      </c>
      <c r="X71" s="10" t="n">
        <v>4</v>
      </c>
      <c r="Y71" s="10" t="n">
        <v>6</v>
      </c>
      <c r="Z71" s="10" t="n">
        <v>0</v>
      </c>
      <c r="AA71" s="10" t="n">
        <v>0</v>
      </c>
      <c r="AB71" s="10" t="n">
        <v>8</v>
      </c>
      <c r="AC71" s="10" t="n">
        <v>8</v>
      </c>
      <c r="AD71" s="10" t="n">
        <v>4</v>
      </c>
      <c r="AE71" s="10" t="n">
        <v>0</v>
      </c>
      <c r="AF71" s="10" t="n">
        <v>0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0</v>
      </c>
      <c r="AU71" s="10" t="n">
        <v>0</v>
      </c>
      <c r="AV71" s="10" t="n">
        <v>0</v>
      </c>
      <c r="AW71" s="10" t="n">
        <v>0</v>
      </c>
    </row>
    <row r="72" customFormat="false" ht="15" hidden="true" customHeight="true" outlineLevel="1" collapsed="false">
      <c r="A72" s="9" t="s">
        <v>12</v>
      </c>
      <c r="B72" s="9" t="s">
        <v>16</v>
      </c>
      <c r="C72" s="9" t="s">
        <v>25</v>
      </c>
      <c r="D72" s="9" t="s">
        <v>78</v>
      </c>
      <c r="E72" s="9" t="s">
        <v>100</v>
      </c>
      <c r="F72" s="10" t="n">
        <v>3</v>
      </c>
      <c r="G72" s="10" t="n">
        <v>12</v>
      </c>
      <c r="H72" s="10" t="n">
        <v>2</v>
      </c>
      <c r="I72" s="10" t="n">
        <v>10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2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</row>
    <row r="73" customFormat="false" ht="15" hidden="true" customHeight="true" outlineLevel="1" collapsed="false">
      <c r="A73" s="9" t="s">
        <v>12</v>
      </c>
      <c r="B73" s="9" t="s">
        <v>16</v>
      </c>
      <c r="C73" s="9" t="s">
        <v>25</v>
      </c>
      <c r="D73" s="9" t="s">
        <v>78</v>
      </c>
      <c r="E73" s="9" t="s">
        <v>87</v>
      </c>
      <c r="F73" s="10" t="n">
        <v>8</v>
      </c>
      <c r="G73" s="10" t="n">
        <v>8</v>
      </c>
      <c r="H73" s="10" t="n">
        <v>2</v>
      </c>
      <c r="I73" s="10" t="n">
        <v>6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10" t="n">
        <v>0</v>
      </c>
    </row>
    <row r="74" customFormat="false" ht="15" hidden="true" customHeight="true" outlineLevel="1" collapsed="false">
      <c r="A74" s="9" t="s">
        <v>12</v>
      </c>
      <c r="B74" s="9" t="s">
        <v>16</v>
      </c>
      <c r="C74" s="9" t="s">
        <v>25</v>
      </c>
      <c r="D74" s="9" t="s">
        <v>78</v>
      </c>
      <c r="E74" s="9" t="s">
        <v>88</v>
      </c>
      <c r="F74" s="10" t="n">
        <v>0</v>
      </c>
      <c r="G74" s="10" t="n">
        <v>20</v>
      </c>
      <c r="H74" s="10" t="n">
        <v>20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10</v>
      </c>
      <c r="R74" s="10" t="n">
        <v>10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0</v>
      </c>
      <c r="AT74" s="10" t="n">
        <v>0</v>
      </c>
      <c r="AU74" s="10" t="n">
        <v>0</v>
      </c>
      <c r="AV74" s="10" t="n">
        <v>0</v>
      </c>
      <c r="AW74" s="10" t="n">
        <v>0</v>
      </c>
    </row>
    <row r="75" customFormat="false" ht="15" hidden="true" customHeight="true" outlineLevel="1" collapsed="false">
      <c r="A75" s="9" t="s">
        <v>12</v>
      </c>
      <c r="B75" s="9" t="s">
        <v>16</v>
      </c>
      <c r="C75" s="9" t="s">
        <v>25</v>
      </c>
      <c r="D75" s="9" t="s">
        <v>78</v>
      </c>
      <c r="E75" s="9" t="s">
        <v>107</v>
      </c>
      <c r="F75" s="10" t="n">
        <v>4.9</v>
      </c>
      <c r="G75" s="10" t="n">
        <v>69.5</v>
      </c>
      <c r="H75" s="10" t="n">
        <v>65.6</v>
      </c>
      <c r="I75" s="10" t="n">
        <v>3.90000000000001</v>
      </c>
      <c r="J75" s="10" t="n">
        <v>4</v>
      </c>
      <c r="K75" s="10" t="n">
        <v>4</v>
      </c>
      <c r="L75" s="10" t="n">
        <v>2</v>
      </c>
      <c r="M75" s="10" t="n">
        <v>1</v>
      </c>
      <c r="N75" s="10" t="n">
        <v>1</v>
      </c>
      <c r="O75" s="10" t="n">
        <v>0.7</v>
      </c>
      <c r="P75" s="10" t="n">
        <v>0.1</v>
      </c>
      <c r="Q75" s="10" t="n">
        <v>0</v>
      </c>
      <c r="R75" s="10" t="n">
        <v>0.1</v>
      </c>
      <c r="S75" s="10" t="n">
        <v>0.1</v>
      </c>
      <c r="T75" s="10" t="n">
        <v>0</v>
      </c>
      <c r="U75" s="10" t="n">
        <v>0</v>
      </c>
      <c r="V75" s="10" t="n">
        <v>0</v>
      </c>
      <c r="W75" s="10" t="n">
        <v>7</v>
      </c>
      <c r="X75" s="10" t="n">
        <v>7</v>
      </c>
      <c r="Y75" s="10" t="n">
        <v>7</v>
      </c>
      <c r="Z75" s="10" t="n">
        <v>0</v>
      </c>
      <c r="AA75" s="10" t="n">
        <v>0</v>
      </c>
      <c r="AB75" s="10" t="n">
        <v>4.1</v>
      </c>
      <c r="AC75" s="10" t="n">
        <v>0.1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0.7</v>
      </c>
      <c r="AJ75" s="10" t="n">
        <v>2.2</v>
      </c>
      <c r="AK75" s="10" t="n">
        <v>3.1</v>
      </c>
      <c r="AL75" s="10" t="n">
        <v>4</v>
      </c>
      <c r="AM75" s="10" t="n">
        <v>5.1</v>
      </c>
      <c r="AN75" s="10" t="n">
        <v>5.6</v>
      </c>
      <c r="AO75" s="10" t="n">
        <v>3.9</v>
      </c>
      <c r="AP75" s="10" t="n">
        <v>1.8</v>
      </c>
      <c r="AQ75" s="10" t="n">
        <v>0</v>
      </c>
      <c r="AR75" s="10" t="n">
        <v>0</v>
      </c>
      <c r="AS75" s="10" t="n">
        <v>0</v>
      </c>
      <c r="AT75" s="10" t="n">
        <v>0</v>
      </c>
      <c r="AU75" s="10" t="n">
        <v>0</v>
      </c>
      <c r="AV75" s="10" t="n">
        <v>0</v>
      </c>
      <c r="AW75" s="10" t="n">
        <v>0</v>
      </c>
    </row>
    <row r="76" customFormat="false" ht="15" hidden="false" customHeight="true" outlineLevel="0" collapsed="false">
      <c r="A76" s="7" t="s">
        <v>12</v>
      </c>
      <c r="B76" s="7" t="s">
        <v>10</v>
      </c>
      <c r="C76" s="7" t="s">
        <v>9</v>
      </c>
      <c r="D76" s="7" t="s">
        <v>76</v>
      </c>
      <c r="E76" s="7" t="s">
        <v>77</v>
      </c>
      <c r="F76" s="8" t="n">
        <f aca="false">SUM(F77,F78,F79,F80,F81,F82,F83,F84,F85,F86,F87,F88,F89,F90)</f>
        <v>504.8</v>
      </c>
      <c r="G76" s="8" t="n">
        <f aca="false">SUM(G77,G78,G79,G80,G81,G82,G83,G84,G85,G86,G87,G88,G89,G90)</f>
        <v>1270</v>
      </c>
      <c r="H76" s="8" t="n">
        <f aca="false">SUM(H77,H78,H79,H80,H81,H82,H83,H84,H85,H86,H87,H88,H89,H90)</f>
        <v>1272.3</v>
      </c>
      <c r="I76" s="8" t="n">
        <f aca="false">SUM(I77,I78,I79,I80,I81,I82,I83,I84,I85,I86,I87,I88,I89,I90)</f>
        <v>-2.3</v>
      </c>
      <c r="J76" s="8" t="n">
        <f aca="false">SUM(J77,J78,J79,J80,J81,J82,J83,J84,J85,J86,J87,J88,J89,J90)</f>
        <v>25</v>
      </c>
      <c r="K76" s="8" t="n">
        <f aca="false">SUM(K77,K78,K79,K80,K81,K82,K83,K84,K85,K86,K87,K88,K89,K90)</f>
        <v>22</v>
      </c>
      <c r="L76" s="8" t="n">
        <f aca="false">SUM(L77,L78,L79,L80,L81,L82,L83,L84,L85,L86,L87,L88,L89,L90)</f>
        <v>0</v>
      </c>
      <c r="M76" s="8" t="n">
        <f aca="false">SUM(M77,M78,M79,M80,M81,M82,M83,M84,M85,M86,M87,M88,M89,M90)</f>
        <v>0</v>
      </c>
      <c r="N76" s="8" t="n">
        <f aca="false">SUM(N77,N78,N79,N80,N81,N82,N83,N84,N85,N86,N87,N88,N89,N90)</f>
        <v>8</v>
      </c>
      <c r="O76" s="8" t="n">
        <f aca="false">SUM(O77,O78,O79,O80,O81,O82,O83,O84,O85,O86,O87,O88,O89,O90)</f>
        <v>0.5</v>
      </c>
      <c r="P76" s="8" t="n">
        <f aca="false">SUM(P77,P78,P79,P80,P81,P82,P83,P84,P85,P86,P87,P88,P89,P90)</f>
        <v>3</v>
      </c>
      <c r="Q76" s="8" t="n">
        <f aca="false">SUM(Q77,Q78,Q79,Q80,Q81,Q82,Q83,Q84,Q85,Q86,Q87,Q88,Q89,Q90)</f>
        <v>15</v>
      </c>
      <c r="R76" s="8" t="n">
        <f aca="false">SUM(R77,R78,R79,R80,R81,R82,R83,R84,R85,R86,R87,R88,R89,R90)</f>
        <v>15</v>
      </c>
      <c r="S76" s="8" t="n">
        <f aca="false">SUM(S77,S78,S79,S80,S81,S82,S83,S84,S85,S86,S87,S88,S89,S90)</f>
        <v>20.5</v>
      </c>
      <c r="T76" s="8" t="n">
        <f aca="false">SUM(T77,T78,T79,T80,T81,T82,T83,T84,T85,T86,T87,T88,T89,T90)</f>
        <v>25</v>
      </c>
      <c r="U76" s="8" t="n">
        <f aca="false">SUM(U77,U78,U79,U80,U81,U82,U83,U84,U85,U86,U87,U88,U89,U90)</f>
        <v>24</v>
      </c>
      <c r="V76" s="8" t="n">
        <f aca="false">SUM(V77,V78,V79,V80,V81,V82,V83,V84,V85,V86,V87,V88,V89,V90)</f>
        <v>12</v>
      </c>
      <c r="W76" s="12" t="n">
        <f aca="false">SUM(W77,W78,W79,W80,W81,W82,W83,W84,W85,W86,W87,W88,W89,W90)</f>
        <v>52.4</v>
      </c>
      <c r="X76" s="12" t="n">
        <f aca="false">SUM(X77,X78,X79,X80,X81,X82,X83,X84,X85,X86,X87,X88,X89,X90)</f>
        <v>51.8</v>
      </c>
      <c r="Y76" s="8" t="n">
        <f aca="false">SUM(Y77,Y78,Y79,Y80,Y81,Y82,Y83,Y84,Y85,Y86,Y87,Y88,Y89,Y90)</f>
        <v>15.5</v>
      </c>
      <c r="Z76" s="8" t="n">
        <f aca="false">SUM(Z77,Z78,Z79,Z80,Z81,Z82,Z83,Z84,Z85,Z86,Z87,Z88,Z89,Z90)</f>
        <v>3</v>
      </c>
      <c r="AA76" s="8" t="n">
        <f aca="false">SUM(AA77,AA78,AA79,AA80,AA81,AA82,AA83,AA84,AA85,AA86,AA87,AA88,AA89,AA90)</f>
        <v>0</v>
      </c>
      <c r="AB76" s="8" t="n">
        <f aca="false">SUM(AB77,AB78,AB79,AB80,AB81,AB82,AB83,AB84,AB85,AB86,AB87,AB88,AB89,AB90)</f>
        <v>0</v>
      </c>
      <c r="AC76" s="8" t="n">
        <f aca="false">SUM(AC77,AC78,AC79,AC80,AC81,AC82,AC83,AC84,AC85,AC86,AC87,AC88,AC89,AC90)</f>
        <v>14</v>
      </c>
      <c r="AD76" s="8" t="n">
        <f aca="false">SUM(AD77,AD78,AD79,AD80,AD81,AD82,AD83,AD84,AD85,AD86,AD87,AD88,AD89,AD90)</f>
        <v>30</v>
      </c>
      <c r="AE76" s="8" t="n">
        <f aca="false">SUM(AE77,AE78,AE79,AE80,AE81,AE82,AE83,AE84,AE85,AE86,AE87,AE88,AE89,AE90)</f>
        <v>29</v>
      </c>
      <c r="AF76" s="12" t="n">
        <f aca="false">SUM(AF77,AF78,AF79,AF80,AF81,AF82,AF83,AF84,AF85,AF86,AF87,AF88,AF89,AF90)</f>
        <v>93.5</v>
      </c>
      <c r="AG76" s="12" t="n">
        <f aca="false">SUM(AG77,AG78,AG79,AG80,AG81,AG82,AG83,AG84,AG85,AG86,AG87,AG88,AG89,AG90)</f>
        <v>190</v>
      </c>
      <c r="AH76" s="12" t="n">
        <f aca="false">SUM(AH77,AH78,AH79,AH80,AH81,AH82,AH83,AH84,AH85,AH86,AH87,AH88,AH89,AH90)</f>
        <v>85.9</v>
      </c>
      <c r="AI76" s="8" t="n">
        <f aca="false">SUM(AI77,AI78,AI79,AI80,AI81,AI82,AI83,AI84,AI85,AI86,AI87,AI88,AI89,AI90)</f>
        <v>12.5</v>
      </c>
      <c r="AJ76" s="8" t="n">
        <f aca="false">SUM(AJ77,AJ78,AJ79,AJ80,AJ81,AJ82,AJ83,AJ84,AJ85,AJ86,AJ87,AJ88,AJ89,AJ90)</f>
        <v>0</v>
      </c>
      <c r="AK76" s="8" t="n">
        <f aca="false">SUM(AK77,AK78,AK79,AK80,AK81,AK82,AK83,AK84,AK85,AK86,AK87,AK88,AK89,AK90)</f>
        <v>0</v>
      </c>
      <c r="AL76" s="8" t="n">
        <f aca="false">SUM(AL77,AL78,AL79,AL80,AL81,AL82,AL83,AL84,AL85,AL86,AL87,AL88,AL89,AL90)</f>
        <v>0</v>
      </c>
      <c r="AM76" s="8" t="n">
        <f aca="false">SUM(AM77,AM78,AM79,AM80,AM81,AM82,AM83,AM84,AM85,AM86,AM87,AM88,AM89,AM90)</f>
        <v>0</v>
      </c>
      <c r="AN76" s="8" t="n">
        <f aca="false">SUM(AN77,AN78,AN79,AN80,AN81,AN82,AN83,AN84,AN85,AN86,AN87,AN88,AN89,AN90)</f>
        <v>0</v>
      </c>
      <c r="AO76" s="8" t="n">
        <f aca="false">SUM(AO77,AO78,AO79,AO80,AO81,AO82,AO83,AO84,AO85,AO86,AO87,AO88,AO89,AO90)</f>
        <v>0</v>
      </c>
      <c r="AP76" s="8" t="n">
        <f aca="false">SUM(AP77,AP78,AP79,AP80,AP81,AP82,AP83,AP84,AP85,AP86,AP87,AP88,AP89,AP90)</f>
        <v>0</v>
      </c>
      <c r="AQ76" s="8" t="n">
        <f aca="false">SUM(AQ77,AQ78,AQ79,AQ80,AQ81,AQ82,AQ83,AQ84,AQ85,AQ86,AQ87,AQ88,AQ89,AQ90)</f>
        <v>0</v>
      </c>
      <c r="AR76" s="8" t="n">
        <f aca="false">SUM(AR77,AR78,AR79,AR80,AR81,AR82,AR83,AR84,AR85,AR86,AR87,AR88,AR89,AR90)</f>
        <v>0</v>
      </c>
      <c r="AS76" s="8" t="n">
        <f aca="false">SUM(AS77,AS78,AS79,AS80,AS81,AS82,AS83,AS84,AS85,AS86,AS87,AS88,AS89,AS90)</f>
        <v>0</v>
      </c>
      <c r="AT76" s="8" t="n">
        <f aca="false">SUM(AT77,AT78,AT79,AT80,AT81,AT82,AT83,AT84,AT85,AT86,AT87,AT88,AT89,AT90)</f>
        <v>0</v>
      </c>
      <c r="AU76" s="8" t="n">
        <f aca="false">SUM(AU77,AU78,AU79,AU80,AU81,AU82,AU83,AU84,AU85,AU86,AU87,AU88,AU89,AU90)</f>
        <v>0</v>
      </c>
      <c r="AV76" s="8" t="n">
        <f aca="false">SUM(AV77,AV78,AV79,AV80,AV81,AV82,AV83,AV84,AV85,AV86,AV87,AV88,AV89,AV90)</f>
        <v>0</v>
      </c>
      <c r="AW76" s="8" t="n">
        <f aca="false">SUM(AW77,AW78,AW79,AW80,AW81,AW82,AW83,AW84,AW85,AW86,AW87,AW88,AW89,AW90)</f>
        <v>0</v>
      </c>
    </row>
    <row r="77" customFormat="false" ht="15" hidden="true" customHeight="true" outlineLevel="1" collapsed="false">
      <c r="A77" s="9" t="s">
        <v>12</v>
      </c>
      <c r="B77" s="9" t="s">
        <v>10</v>
      </c>
      <c r="C77" s="9" t="s">
        <v>9</v>
      </c>
      <c r="D77" s="9" t="s">
        <v>78</v>
      </c>
      <c r="E77" s="9" t="s">
        <v>81</v>
      </c>
      <c r="F77" s="10" t="n">
        <v>37.2</v>
      </c>
      <c r="G77" s="10" t="n">
        <v>152.2</v>
      </c>
      <c r="H77" s="10" t="n">
        <v>132.5</v>
      </c>
      <c r="I77" s="10" t="n">
        <v>19.7</v>
      </c>
      <c r="J77" s="10" t="n">
        <v>0</v>
      </c>
      <c r="K77" s="10" t="n">
        <v>1</v>
      </c>
      <c r="L77" s="10" t="n">
        <v>0</v>
      </c>
      <c r="M77" s="10" t="n">
        <v>0</v>
      </c>
      <c r="N77" s="10" t="n">
        <v>8</v>
      </c>
      <c r="O77" s="10" t="n">
        <v>0</v>
      </c>
      <c r="P77" s="10" t="n">
        <v>0</v>
      </c>
      <c r="Q77" s="10" t="n">
        <v>8</v>
      </c>
      <c r="R77" s="10" t="n">
        <v>8</v>
      </c>
      <c r="S77" s="10" t="n">
        <v>8</v>
      </c>
      <c r="T77" s="10" t="n">
        <v>2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8</v>
      </c>
      <c r="AD77" s="10" t="n">
        <v>24</v>
      </c>
      <c r="AE77" s="10" t="n">
        <v>8</v>
      </c>
      <c r="AF77" s="10" t="n">
        <v>8</v>
      </c>
      <c r="AG77" s="10" t="n">
        <v>24</v>
      </c>
      <c r="AH77" s="10" t="n">
        <v>8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n">
        <v>0</v>
      </c>
      <c r="AW77" s="10" t="n">
        <v>0</v>
      </c>
    </row>
    <row r="78" customFormat="false" ht="15" hidden="true" customHeight="true" outlineLevel="1" collapsed="false">
      <c r="A78" s="9" t="s">
        <v>12</v>
      </c>
      <c r="B78" s="9" t="s">
        <v>10</v>
      </c>
      <c r="C78" s="9" t="s">
        <v>9</v>
      </c>
      <c r="D78" s="9" t="s">
        <v>78</v>
      </c>
      <c r="E78" s="9" t="s">
        <v>94</v>
      </c>
      <c r="F78" s="10" t="n">
        <v>76</v>
      </c>
      <c r="G78" s="10" t="n">
        <v>162.5</v>
      </c>
      <c r="H78" s="10" t="n">
        <v>163.2</v>
      </c>
      <c r="I78" s="10" t="n">
        <v>-0.700000000000003</v>
      </c>
      <c r="J78" s="10" t="n">
        <v>0</v>
      </c>
      <c r="K78" s="10" t="n">
        <v>0.5</v>
      </c>
      <c r="L78" s="10" t="n">
        <v>0</v>
      </c>
      <c r="M78" s="10" t="n">
        <v>0</v>
      </c>
      <c r="N78" s="10" t="n">
        <v>0</v>
      </c>
      <c r="O78" s="10" t="n">
        <v>0.5</v>
      </c>
      <c r="P78" s="10" t="n">
        <v>0</v>
      </c>
      <c r="Q78" s="10" t="n">
        <v>2</v>
      </c>
      <c r="R78" s="10" t="n">
        <v>0</v>
      </c>
      <c r="S78" s="10" t="n">
        <v>3</v>
      </c>
      <c r="T78" s="10" t="n">
        <v>3</v>
      </c>
      <c r="U78" s="10" t="n">
        <v>1</v>
      </c>
      <c r="V78" s="10" t="n">
        <v>0</v>
      </c>
      <c r="W78" s="10" t="n">
        <v>7.5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3</v>
      </c>
      <c r="AE78" s="10" t="n">
        <v>7</v>
      </c>
      <c r="AF78" s="10" t="n">
        <v>5</v>
      </c>
      <c r="AG78" s="10" t="n">
        <v>36</v>
      </c>
      <c r="AH78" s="10" t="n">
        <v>18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</row>
    <row r="79" customFormat="false" ht="15" hidden="true" customHeight="true" outlineLevel="1" collapsed="false">
      <c r="A79" s="9" t="s">
        <v>12</v>
      </c>
      <c r="B79" s="9" t="s">
        <v>10</v>
      </c>
      <c r="C79" s="9" t="s">
        <v>9</v>
      </c>
      <c r="D79" s="9" t="s">
        <v>78</v>
      </c>
      <c r="E79" s="9" t="s">
        <v>95</v>
      </c>
      <c r="F79" s="10" t="n">
        <v>206</v>
      </c>
      <c r="G79" s="10" t="n">
        <v>473</v>
      </c>
      <c r="H79" s="10" t="n">
        <v>474</v>
      </c>
      <c r="I79" s="10" t="n">
        <v>-1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3</v>
      </c>
      <c r="Q79" s="10" t="n">
        <v>0</v>
      </c>
      <c r="R79" s="10" t="n">
        <v>2</v>
      </c>
      <c r="S79" s="10" t="n">
        <v>2</v>
      </c>
      <c r="T79" s="10" t="n">
        <v>7</v>
      </c>
      <c r="U79" s="10" t="n">
        <v>16</v>
      </c>
      <c r="V79" s="10" t="n">
        <v>3</v>
      </c>
      <c r="W79" s="10" t="n">
        <v>24</v>
      </c>
      <c r="X79" s="10" t="n">
        <v>36</v>
      </c>
      <c r="Y79" s="10" t="n">
        <v>14</v>
      </c>
      <c r="Z79" s="10" t="n">
        <v>3</v>
      </c>
      <c r="AA79" s="10" t="n">
        <v>0</v>
      </c>
      <c r="AB79" s="10" t="n">
        <v>0</v>
      </c>
      <c r="AC79" s="10" t="n">
        <v>6</v>
      </c>
      <c r="AD79" s="10" t="n">
        <v>3</v>
      </c>
      <c r="AE79" s="10" t="n">
        <v>14</v>
      </c>
      <c r="AF79" s="10" t="n">
        <v>58</v>
      </c>
      <c r="AG79" s="10" t="n">
        <v>67</v>
      </c>
      <c r="AH79" s="10" t="n">
        <v>9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0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</row>
    <row r="80" customFormat="false" ht="15" hidden="true" customHeight="true" outlineLevel="1" collapsed="false">
      <c r="A80" s="9" t="s">
        <v>12</v>
      </c>
      <c r="B80" s="9" t="s">
        <v>10</v>
      </c>
      <c r="C80" s="9" t="s">
        <v>9</v>
      </c>
      <c r="D80" s="9" t="s">
        <v>78</v>
      </c>
      <c r="E80" s="9" t="s">
        <v>82</v>
      </c>
      <c r="F80" s="10" t="n">
        <v>12.1</v>
      </c>
      <c r="G80" s="10" t="n">
        <v>12.1</v>
      </c>
      <c r="H80" s="10" t="n">
        <v>12.1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  <c r="AT80" s="10" t="n">
        <v>0</v>
      </c>
      <c r="AU80" s="10" t="n">
        <v>0</v>
      </c>
      <c r="AV80" s="10" t="n">
        <v>0</v>
      </c>
      <c r="AW80" s="10" t="n">
        <v>0</v>
      </c>
    </row>
    <row r="81" customFormat="false" ht="15" hidden="true" customHeight="true" outlineLevel="1" collapsed="false">
      <c r="A81" s="9" t="s">
        <v>12</v>
      </c>
      <c r="B81" s="9" t="s">
        <v>10</v>
      </c>
      <c r="C81" s="9" t="s">
        <v>9</v>
      </c>
      <c r="D81" s="9" t="s">
        <v>78</v>
      </c>
      <c r="E81" s="9" t="s">
        <v>83</v>
      </c>
      <c r="F81" s="10" t="n">
        <v>10</v>
      </c>
      <c r="G81" s="10" t="n">
        <v>10</v>
      </c>
      <c r="H81" s="10" t="n">
        <v>15.5</v>
      </c>
      <c r="I81" s="10" t="n">
        <v>-5.5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0</v>
      </c>
      <c r="AU81" s="10" t="n">
        <v>0</v>
      </c>
      <c r="AV81" s="10" t="n">
        <v>0</v>
      </c>
      <c r="AW81" s="10" t="n">
        <v>0</v>
      </c>
    </row>
    <row r="82" customFormat="false" ht="15" hidden="true" customHeight="true" outlineLevel="1" collapsed="false">
      <c r="A82" s="9" t="s">
        <v>12</v>
      </c>
      <c r="B82" s="9" t="s">
        <v>10</v>
      </c>
      <c r="C82" s="9" t="s">
        <v>9</v>
      </c>
      <c r="D82" s="9" t="s">
        <v>78</v>
      </c>
      <c r="E82" s="9" t="s">
        <v>84</v>
      </c>
      <c r="F82" s="10" t="n">
        <v>0</v>
      </c>
      <c r="G82" s="10" t="n">
        <v>10</v>
      </c>
      <c r="H82" s="10" t="n">
        <v>10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5</v>
      </c>
      <c r="R82" s="10" t="n">
        <v>5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</v>
      </c>
      <c r="AU82" s="10" t="n">
        <v>0</v>
      </c>
      <c r="AV82" s="10" t="n">
        <v>0</v>
      </c>
      <c r="AW82" s="10" t="n">
        <v>0</v>
      </c>
    </row>
    <row r="83" customFormat="false" ht="15" hidden="true" customHeight="true" outlineLevel="1" collapsed="false">
      <c r="A83" s="9" t="s">
        <v>12</v>
      </c>
      <c r="B83" s="9" t="s">
        <v>10</v>
      </c>
      <c r="C83" s="9" t="s">
        <v>9</v>
      </c>
      <c r="D83" s="9" t="s">
        <v>78</v>
      </c>
      <c r="E83" s="9" t="s">
        <v>40</v>
      </c>
      <c r="F83" s="10" t="n">
        <v>1</v>
      </c>
      <c r="G83" s="10" t="n">
        <v>25</v>
      </c>
      <c r="H83" s="10" t="n">
        <v>36.5</v>
      </c>
      <c r="I83" s="10" t="n">
        <v>-11.5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5.5</v>
      </c>
      <c r="AG83" s="10" t="n">
        <v>1.5</v>
      </c>
      <c r="AH83" s="10" t="n">
        <v>16</v>
      </c>
      <c r="AI83" s="10" t="n">
        <v>1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0</v>
      </c>
      <c r="AT83" s="10" t="n">
        <v>0</v>
      </c>
      <c r="AU83" s="10" t="n">
        <v>0</v>
      </c>
      <c r="AV83" s="10" t="n">
        <v>0</v>
      </c>
      <c r="AW83" s="10" t="n">
        <v>0</v>
      </c>
    </row>
    <row r="84" customFormat="false" ht="15" hidden="true" customHeight="true" outlineLevel="1" collapsed="false">
      <c r="A84" s="9" t="s">
        <v>12</v>
      </c>
      <c r="B84" s="9" t="s">
        <v>10</v>
      </c>
      <c r="C84" s="9" t="s">
        <v>9</v>
      </c>
      <c r="D84" s="9" t="s">
        <v>78</v>
      </c>
      <c r="E84" s="9" t="s">
        <v>96</v>
      </c>
      <c r="F84" s="10" t="n">
        <v>102.5</v>
      </c>
      <c r="G84" s="10" t="n">
        <v>243.2</v>
      </c>
      <c r="H84" s="10" t="n">
        <v>212.6</v>
      </c>
      <c r="I84" s="10" t="n">
        <v>30.6</v>
      </c>
      <c r="J84" s="10" t="n">
        <v>18</v>
      </c>
      <c r="K84" s="10" t="n">
        <v>18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8.5</v>
      </c>
      <c r="U84" s="10" t="n">
        <v>3.5</v>
      </c>
      <c r="V84" s="10" t="n">
        <v>0</v>
      </c>
      <c r="W84" s="10" t="n">
        <v>18.4</v>
      </c>
      <c r="X84" s="10" t="n">
        <v>15.8</v>
      </c>
      <c r="Y84" s="10" t="n">
        <v>1.5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1</v>
      </c>
      <c r="AG84" s="10" t="n">
        <v>21.5</v>
      </c>
      <c r="AH84" s="10" t="n">
        <v>16.9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n">
        <v>0</v>
      </c>
      <c r="AW84" s="10" t="n">
        <v>0</v>
      </c>
    </row>
    <row r="85" customFormat="false" ht="15" hidden="true" customHeight="true" outlineLevel="1" collapsed="false">
      <c r="A85" s="9" t="s">
        <v>12</v>
      </c>
      <c r="B85" s="9" t="s">
        <v>10</v>
      </c>
      <c r="C85" s="9" t="s">
        <v>9</v>
      </c>
      <c r="D85" s="9" t="s">
        <v>78</v>
      </c>
      <c r="E85" s="9" t="s">
        <v>97</v>
      </c>
      <c r="F85" s="10" t="n">
        <v>4.5</v>
      </c>
      <c r="G85" s="10" t="n">
        <v>4.5</v>
      </c>
      <c r="H85" s="10" t="n">
        <v>26</v>
      </c>
      <c r="I85" s="10" t="n">
        <v>-21.5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  <c r="AU85" s="10" t="n">
        <v>0</v>
      </c>
      <c r="AV85" s="10" t="n">
        <v>0</v>
      </c>
      <c r="AW85" s="10" t="n">
        <v>0</v>
      </c>
    </row>
    <row r="86" customFormat="false" ht="15" hidden="true" customHeight="true" outlineLevel="1" collapsed="false">
      <c r="A86" s="9" t="s">
        <v>12</v>
      </c>
      <c r="B86" s="9" t="s">
        <v>10</v>
      </c>
      <c r="C86" s="9" t="s">
        <v>9</v>
      </c>
      <c r="D86" s="9" t="s">
        <v>78</v>
      </c>
      <c r="E86" s="9" t="s">
        <v>86</v>
      </c>
      <c r="F86" s="10" t="n">
        <v>0</v>
      </c>
      <c r="G86" s="10" t="n">
        <v>0</v>
      </c>
      <c r="H86" s="10" t="n">
        <v>26.1</v>
      </c>
      <c r="I86" s="10" t="n">
        <v>-26.1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n">
        <v>0</v>
      </c>
      <c r="AW86" s="10" t="n">
        <v>0</v>
      </c>
    </row>
    <row r="87" customFormat="false" ht="15" hidden="true" customHeight="true" outlineLevel="1" collapsed="false">
      <c r="A87" s="9" t="s">
        <v>12</v>
      </c>
      <c r="B87" s="9" t="s">
        <v>10</v>
      </c>
      <c r="C87" s="9" t="s">
        <v>9</v>
      </c>
      <c r="D87" s="9" t="s">
        <v>78</v>
      </c>
      <c r="E87" s="9" t="s">
        <v>99</v>
      </c>
      <c r="F87" s="10" t="n">
        <v>38</v>
      </c>
      <c r="G87" s="10" t="n">
        <v>77.5</v>
      </c>
      <c r="H87" s="10" t="n">
        <v>45.5</v>
      </c>
      <c r="I87" s="10" t="n">
        <v>32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3</v>
      </c>
      <c r="T87" s="10" t="n">
        <v>1</v>
      </c>
      <c r="U87" s="10" t="n">
        <v>2</v>
      </c>
      <c r="V87" s="10" t="n">
        <v>0</v>
      </c>
      <c r="W87" s="10" t="n">
        <v>0</v>
      </c>
      <c r="X87" s="10" t="n">
        <v>0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10</v>
      </c>
      <c r="AG87" s="10" t="n">
        <v>15</v>
      </c>
      <c r="AH87" s="10" t="n">
        <v>8.5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  <c r="AU87" s="10" t="n">
        <v>0</v>
      </c>
      <c r="AV87" s="10" t="n">
        <v>0</v>
      </c>
      <c r="AW87" s="10" t="n">
        <v>0</v>
      </c>
    </row>
    <row r="88" customFormat="false" ht="15" hidden="true" customHeight="true" outlineLevel="1" collapsed="false">
      <c r="A88" s="9" t="s">
        <v>12</v>
      </c>
      <c r="B88" s="9" t="s">
        <v>10</v>
      </c>
      <c r="C88" s="9" t="s">
        <v>9</v>
      </c>
      <c r="D88" s="9" t="s">
        <v>78</v>
      </c>
      <c r="E88" s="9" t="s">
        <v>43</v>
      </c>
      <c r="F88" s="10" t="n">
        <v>4</v>
      </c>
      <c r="G88" s="10" t="n">
        <v>43</v>
      </c>
      <c r="H88" s="10" t="n">
        <v>41</v>
      </c>
      <c r="I88" s="10" t="n">
        <v>2</v>
      </c>
      <c r="J88" s="10" t="n">
        <v>3.5</v>
      </c>
      <c r="K88" s="10" t="n">
        <v>2.5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3</v>
      </c>
      <c r="U88" s="10" t="n">
        <v>1</v>
      </c>
      <c r="V88" s="10" t="n">
        <v>3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0</v>
      </c>
      <c r="AG88" s="10" t="n">
        <v>6</v>
      </c>
      <c r="AH88" s="10" t="n">
        <v>8.5</v>
      </c>
      <c r="AI88" s="10" t="n">
        <v>11.5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  <c r="AT88" s="10" t="n">
        <v>0</v>
      </c>
      <c r="AU88" s="10" t="n">
        <v>0</v>
      </c>
      <c r="AV88" s="10" t="n">
        <v>0</v>
      </c>
      <c r="AW88" s="10" t="n">
        <v>0</v>
      </c>
    </row>
    <row r="89" customFormat="false" ht="15" hidden="true" customHeight="true" outlineLevel="1" collapsed="false">
      <c r="A89" s="9" t="s">
        <v>12</v>
      </c>
      <c r="B89" s="9" t="s">
        <v>10</v>
      </c>
      <c r="C89" s="9" t="s">
        <v>9</v>
      </c>
      <c r="D89" s="9" t="s">
        <v>78</v>
      </c>
      <c r="E89" s="9" t="s">
        <v>100</v>
      </c>
      <c r="F89" s="10" t="n">
        <v>13.5</v>
      </c>
      <c r="G89" s="10" t="n">
        <v>57</v>
      </c>
      <c r="H89" s="10" t="n">
        <v>50.5</v>
      </c>
      <c r="I89" s="10" t="n">
        <v>6.5</v>
      </c>
      <c r="J89" s="10" t="n">
        <v>3.5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4.5</v>
      </c>
      <c r="T89" s="10" t="n">
        <v>0.5</v>
      </c>
      <c r="U89" s="10" t="n">
        <v>0.5</v>
      </c>
      <c r="V89" s="10" t="n">
        <v>6</v>
      </c>
      <c r="W89" s="10" t="n">
        <v>2.5</v>
      </c>
      <c r="X89" s="10" t="n">
        <v>0</v>
      </c>
      <c r="Y89" s="10" t="n">
        <v>0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10" t="n">
        <v>6</v>
      </c>
      <c r="AG89" s="10" t="n">
        <v>19</v>
      </c>
      <c r="AH89" s="10" t="n">
        <v>1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0</v>
      </c>
      <c r="AU89" s="10" t="n">
        <v>0</v>
      </c>
      <c r="AV89" s="10" t="n">
        <v>0</v>
      </c>
      <c r="AW89" s="10" t="n">
        <v>0</v>
      </c>
    </row>
    <row r="90" customFormat="false" ht="15" hidden="true" customHeight="true" outlineLevel="1" collapsed="false">
      <c r="A90" s="9" t="s">
        <v>12</v>
      </c>
      <c r="B90" s="9" t="s">
        <v>10</v>
      </c>
      <c r="C90" s="9" t="s">
        <v>9</v>
      </c>
      <c r="D90" s="9" t="s">
        <v>78</v>
      </c>
      <c r="E90" s="9" t="s">
        <v>87</v>
      </c>
      <c r="F90" s="10" t="n">
        <v>0</v>
      </c>
      <c r="G90" s="10" t="n">
        <v>0</v>
      </c>
      <c r="H90" s="10" t="n">
        <v>26.8</v>
      </c>
      <c r="I90" s="10" t="n">
        <v>-26.8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  <c r="AU90" s="10" t="n">
        <v>0</v>
      </c>
      <c r="AV90" s="10" t="n">
        <v>0</v>
      </c>
      <c r="AW90" s="10" t="n">
        <v>0</v>
      </c>
    </row>
    <row r="91" customFormat="false" ht="15" hidden="false" customHeight="true" outlineLevel="0" collapsed="false">
      <c r="A91" s="7" t="s">
        <v>12</v>
      </c>
      <c r="B91" s="7" t="s">
        <v>10</v>
      </c>
      <c r="C91" s="7" t="s">
        <v>36</v>
      </c>
      <c r="D91" s="7" t="s">
        <v>76</v>
      </c>
      <c r="E91" s="7" t="s">
        <v>77</v>
      </c>
      <c r="F91" s="8" t="n">
        <f aca="false">SUM(F92,F93,F94,F95,F96,F97,F98,F99,F100,F101,F102,F103,F104,F105,F106,F107)</f>
        <v>311.5</v>
      </c>
      <c r="G91" s="8" t="n">
        <f aca="false">SUM(G92,G93,G94,G95,G96,G97,G98,G99,G100,G101,G102,G103,G104,G105,G106,G107)</f>
        <v>866.7</v>
      </c>
      <c r="H91" s="8" t="n">
        <f aca="false">SUM(H92,H93,H94,H95,H96,H97,H98,H99,H100,H101,H102,H103,H104,H105,H106,H107)</f>
        <v>974.4</v>
      </c>
      <c r="I91" s="8" t="n">
        <f aca="false">SUM(I92,I93,I94,I95,I96,I97,I98,I99,I100,I101,I102,I103,I104,I105,I106,I107)</f>
        <v>-107.7</v>
      </c>
      <c r="J91" s="8" t="n">
        <f aca="false">SUM(J92,J93,J94,J95,J96,J97,J98,J99,J100,J101,J102,J103,J104,J105,J106,J107)</f>
        <v>31</v>
      </c>
      <c r="K91" s="8" t="n">
        <f aca="false">SUM(K92,K93,K94,K95,K96,K97,K98,K99,K100,K101,K102,K103,K104,K105,K106,K107)</f>
        <v>18</v>
      </c>
      <c r="L91" s="8" t="n">
        <f aca="false">SUM(L92,L93,L94,L95,L96,L97,L98,L99,L100,L101,L102,L103,L104,L105,L106,L107)</f>
        <v>8</v>
      </c>
      <c r="M91" s="8" t="n">
        <f aca="false">SUM(M92,M93,M94,M95,M96,M97,M98,M99,M100,M101,M102,M103,M104,M105,M106,M107)</f>
        <v>0</v>
      </c>
      <c r="N91" s="8" t="n">
        <f aca="false">SUM(N92,N93,N94,N95,N96,N97,N98,N99,N100,N101,N102,N103,N104,N105,N106,N107)</f>
        <v>0</v>
      </c>
      <c r="O91" s="8" t="n">
        <f aca="false">SUM(O92,O93,O94,O95,O96,O97,O98,O99,O100,O101,O102,O103,O104,O105,O106,O107)</f>
        <v>0.4</v>
      </c>
      <c r="P91" s="8" t="n">
        <f aca="false">SUM(P92,P93,P94,P95,P96,P97,P98,P99,P100,P101,P102,P103,P104,P105,P106,P107)</f>
        <v>0</v>
      </c>
      <c r="Q91" s="11" t="n">
        <f aca="false">SUM(Q92,Q93,Q94,Q95,Q96,Q97,Q98,Q99,Q100,Q101,Q102,Q103,Q104,Q105,Q106,Q107)</f>
        <v>42.5</v>
      </c>
      <c r="R91" s="8" t="n">
        <f aca="false">SUM(R92,R93,R94,R95,R96,R97,R98,R99,R100,R101,R102,R103,R104,R105,R106,R107)</f>
        <v>31.5</v>
      </c>
      <c r="S91" s="8" t="n">
        <f aca="false">SUM(S92,S93,S94,S95,S96,S97,S98,S99,S100,S101,S102,S103,S104,S105,S106,S107)</f>
        <v>18</v>
      </c>
      <c r="T91" s="8" t="n">
        <f aca="false">SUM(T92,T93,T94,T95,T96,T97,T98,T99,T100,T101,T102,T103,T104,T105,T106,T107)</f>
        <v>28</v>
      </c>
      <c r="U91" s="8" t="n">
        <f aca="false">SUM(U92,U93,U94,U95,U96,U97,U98,U99,U100,U101,U102,U103,U104,U105,U106,U107)</f>
        <v>25</v>
      </c>
      <c r="V91" s="8" t="n">
        <f aca="false">SUM(V92,V93,V94,V95,V96,V97,V98,V99,V100,V101,V102,V103,V104,V105,V106,V107)</f>
        <v>0</v>
      </c>
      <c r="W91" s="8" t="n">
        <f aca="false">SUM(W92,W93,W94,W95,W96,W97,W98,W99,W100,W101,W102,W103,W104,W105,W106,W107)</f>
        <v>5</v>
      </c>
      <c r="X91" s="8" t="n">
        <f aca="false">SUM(X92,X93,X94,X95,X96,X97,X98,X99,X100,X101,X102,X103,X104,X105,X106,X107)</f>
        <v>12</v>
      </c>
      <c r="Y91" s="8" t="n">
        <f aca="false">SUM(Y92,Y93,Y94,Y95,Y96,Y97,Y98,Y99,Y100,Y101,Y102,Y103,Y104,Y105,Y106,Y107)</f>
        <v>12</v>
      </c>
      <c r="Z91" s="8" t="n">
        <f aca="false">SUM(Z92,Z93,Z94,Z95,Z96,Z97,Z98,Z99,Z100,Z101,Z102,Z103,Z104,Z105,Z106,Z107)</f>
        <v>0</v>
      </c>
      <c r="AA91" s="8" t="n">
        <f aca="false">SUM(AA92,AA93,AA94,AA95,AA96,AA97,AA98,AA99,AA100,AA101,AA102,AA103,AA104,AA105,AA106,AA107)</f>
        <v>0</v>
      </c>
      <c r="AB91" s="8" t="n">
        <f aca="false">SUM(AB92,AB93,AB94,AB95,AB96,AB97,AB98,AB99,AB100,AB101,AB102,AB103,AB104,AB105,AB106,AB107)</f>
        <v>7.5</v>
      </c>
      <c r="AC91" s="8" t="n">
        <f aca="false">SUM(AC92,AC93,AC94,AC95,AC96,AC97,AC98,AC99,AC100,AC101,AC102,AC103,AC104,AC105,AC106,AC107)</f>
        <v>33</v>
      </c>
      <c r="AD91" s="8" t="n">
        <f aca="false">SUM(AD92,AD93,AD94,AD95,AD96,AD97,AD98,AD99,AD100,AD101,AD102,AD103,AD104,AD105,AD106,AD107)</f>
        <v>45</v>
      </c>
      <c r="AE91" s="8" t="n">
        <f aca="false">SUM(AE92,AE93,AE94,AE95,AE96,AE97,AE98,AE99,AE100,AE101,AE102,AE103,AE104,AE105,AE106,AE107)</f>
        <v>44</v>
      </c>
      <c r="AF91" s="8" t="n">
        <f aca="false">SUM(AF92,AF93,AF94,AF95,AF96,AF97,AF98,AF99,AF100,AF101,AF102,AF103,AF104,AF105,AF106,AF107)</f>
        <v>49.5</v>
      </c>
      <c r="AG91" s="8" t="n">
        <f aca="false">SUM(AG92,AG93,AG94,AG95,AG96,AG97,AG98,AG99,AG100,AG101,AG102,AG103,AG104,AG105,AG106,AG107)</f>
        <v>45.5</v>
      </c>
      <c r="AH91" s="8" t="n">
        <f aca="false">SUM(AH92,AH93,AH94,AH95,AH96,AH97,AH98,AH99,AH100,AH101,AH102,AH103,AH104,AH105,AH106,AH107)</f>
        <v>42.5</v>
      </c>
      <c r="AI91" s="8" t="n">
        <f aca="false">SUM(AI92,AI93,AI94,AI95,AI96,AI97,AI98,AI99,AI100,AI101,AI102,AI103,AI104,AI105,AI106,AI107)</f>
        <v>28</v>
      </c>
      <c r="AJ91" s="8" t="n">
        <f aca="false">SUM(AJ92,AJ93,AJ94,AJ95,AJ96,AJ97,AJ98,AJ99,AJ100,AJ101,AJ102,AJ103,AJ104,AJ105,AJ106,AJ107)</f>
        <v>0</v>
      </c>
      <c r="AK91" s="8" t="n">
        <f aca="false">SUM(AK92,AK93,AK94,AK95,AK96,AK97,AK98,AK99,AK100,AK101,AK102,AK103,AK104,AK105,AK106,AK107)</f>
        <v>0</v>
      </c>
      <c r="AL91" s="8" t="n">
        <f aca="false">SUM(AL92,AL93,AL94,AL95,AL96,AL97,AL98,AL99,AL100,AL101,AL102,AL103,AL104,AL105,AL106,AL107)</f>
        <v>0</v>
      </c>
      <c r="AM91" s="8" t="n">
        <f aca="false">SUM(AM92,AM93,AM94,AM95,AM96,AM97,AM98,AM99,AM100,AM101,AM102,AM103,AM104,AM105,AM106,AM107)</f>
        <v>0</v>
      </c>
      <c r="AN91" s="8" t="n">
        <f aca="false">SUM(AN92,AN93,AN94,AN95,AN96,AN97,AN98,AN99,AN100,AN101,AN102,AN103,AN104,AN105,AN106,AN107)</f>
        <v>0</v>
      </c>
      <c r="AO91" s="8" t="n">
        <f aca="false">SUM(AO92,AO93,AO94,AO95,AO96,AO97,AO98,AO99,AO100,AO101,AO102,AO103,AO104,AO105,AO106,AO107)</f>
        <v>0</v>
      </c>
      <c r="AP91" s="8" t="n">
        <f aca="false">SUM(AP92,AP93,AP94,AP95,AP96,AP97,AP98,AP99,AP100,AP101,AP102,AP103,AP104,AP105,AP106,AP107)</f>
        <v>0</v>
      </c>
      <c r="AQ91" s="8" t="n">
        <f aca="false">SUM(AQ92,AQ93,AQ94,AQ95,AQ96,AQ97,AQ98,AQ99,AQ100,AQ101,AQ102,AQ103,AQ104,AQ105,AQ106,AQ107)</f>
        <v>0</v>
      </c>
      <c r="AR91" s="8" t="n">
        <f aca="false">SUM(AR92,AR93,AR94,AR95,AR96,AR97,AR98,AR99,AR100,AR101,AR102,AR103,AR104,AR105,AR106,AR107)</f>
        <v>0</v>
      </c>
      <c r="AS91" s="8" t="n">
        <f aca="false">SUM(AS92,AS93,AS94,AS95,AS96,AS97,AS98,AS99,AS100,AS101,AS102,AS103,AS104,AS105,AS106,AS107)</f>
        <v>0</v>
      </c>
      <c r="AT91" s="8" t="n">
        <f aca="false">SUM(AT92,AT93,AT94,AT95,AT96,AT97,AT98,AT99,AT100,AT101,AT102,AT103,AT104,AT105,AT106,AT107)</f>
        <v>0</v>
      </c>
      <c r="AU91" s="8" t="n">
        <f aca="false">SUM(AU92,AU93,AU94,AU95,AU96,AU97,AU98,AU99,AU100,AU101,AU102,AU103,AU104,AU105,AU106,AU107)</f>
        <v>0</v>
      </c>
      <c r="AV91" s="8" t="n">
        <f aca="false">SUM(AV92,AV93,AV94,AV95,AV96,AV97,AV98,AV99,AV100,AV101,AV102,AV103,AV104,AV105,AV106,AV107)</f>
        <v>0</v>
      </c>
      <c r="AW91" s="8" t="n">
        <f aca="false">SUM(AW92,AW93,AW94,AW95,AW96,AW97,AW98,AW99,AW100,AW101,AW102,AW103,AW104,AW105,AW106,AW107)</f>
        <v>0</v>
      </c>
    </row>
    <row r="92" customFormat="false" ht="15" hidden="true" customHeight="true" outlineLevel="1" collapsed="false">
      <c r="A92" s="9" t="s">
        <v>12</v>
      </c>
      <c r="B92" s="9" t="s">
        <v>10</v>
      </c>
      <c r="C92" s="9" t="s">
        <v>36</v>
      </c>
      <c r="D92" s="9" t="s">
        <v>78</v>
      </c>
      <c r="E92" s="9" t="s">
        <v>108</v>
      </c>
      <c r="F92" s="10" t="n">
        <v>39.9</v>
      </c>
      <c r="G92" s="10" t="n">
        <v>135.9</v>
      </c>
      <c r="H92" s="10" t="n">
        <v>73.4</v>
      </c>
      <c r="I92" s="10" t="n">
        <v>62.5</v>
      </c>
      <c r="J92" s="10" t="n">
        <v>4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0.4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1</v>
      </c>
      <c r="Y92" s="10" t="n">
        <v>1</v>
      </c>
      <c r="Z92" s="10" t="n">
        <v>0</v>
      </c>
      <c r="AA92" s="10" t="n">
        <v>0</v>
      </c>
      <c r="AB92" s="10" t="n">
        <v>0.5</v>
      </c>
      <c r="AC92" s="10" t="n">
        <v>11</v>
      </c>
      <c r="AD92" s="10" t="n">
        <v>0.5</v>
      </c>
      <c r="AE92" s="10" t="n">
        <v>5.5</v>
      </c>
      <c r="AF92" s="10" t="n">
        <v>21.5</v>
      </c>
      <c r="AG92" s="10" t="n">
        <v>14.5</v>
      </c>
      <c r="AH92" s="10" t="n">
        <v>11.5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  <c r="AV92" s="10" t="n">
        <v>0</v>
      </c>
      <c r="AW92" s="10" t="n">
        <v>0</v>
      </c>
    </row>
    <row r="93" customFormat="false" ht="15" hidden="true" customHeight="true" outlineLevel="1" collapsed="false">
      <c r="A93" s="9" t="s">
        <v>12</v>
      </c>
      <c r="B93" s="9" t="s">
        <v>10</v>
      </c>
      <c r="C93" s="9" t="s">
        <v>36</v>
      </c>
      <c r="D93" s="9" t="s">
        <v>78</v>
      </c>
      <c r="E93" s="9" t="s">
        <v>81</v>
      </c>
      <c r="F93" s="10" t="n">
        <v>0</v>
      </c>
      <c r="G93" s="10" t="n">
        <v>0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0</v>
      </c>
      <c r="AT93" s="10" t="n">
        <v>0</v>
      </c>
      <c r="AU93" s="10" t="n">
        <v>0</v>
      </c>
      <c r="AV93" s="10" t="n">
        <v>0</v>
      </c>
      <c r="AW93" s="10" t="n">
        <v>0</v>
      </c>
    </row>
    <row r="94" customFormat="false" ht="15" hidden="true" customHeight="true" outlineLevel="1" collapsed="false">
      <c r="A94" s="9" t="s">
        <v>12</v>
      </c>
      <c r="B94" s="9" t="s">
        <v>10</v>
      </c>
      <c r="C94" s="9" t="s">
        <v>36</v>
      </c>
      <c r="D94" s="9" t="s">
        <v>78</v>
      </c>
      <c r="E94" s="9" t="s">
        <v>109</v>
      </c>
      <c r="F94" s="10" t="n">
        <v>59</v>
      </c>
      <c r="G94" s="10" t="n">
        <v>133</v>
      </c>
      <c r="H94" s="10" t="n">
        <v>133</v>
      </c>
      <c r="I94" s="10" t="n">
        <v>0</v>
      </c>
      <c r="J94" s="10" t="n">
        <v>13</v>
      </c>
      <c r="K94" s="10" t="n">
        <v>10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10</v>
      </c>
      <c r="U94" s="10" t="n">
        <v>10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9</v>
      </c>
      <c r="AE94" s="10" t="n">
        <v>7</v>
      </c>
      <c r="AF94" s="10" t="n">
        <v>6</v>
      </c>
      <c r="AG94" s="10" t="n">
        <v>6</v>
      </c>
      <c r="AH94" s="10" t="n">
        <v>6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</row>
    <row r="95" customFormat="false" ht="15" hidden="true" customHeight="true" outlineLevel="1" collapsed="false">
      <c r="A95" s="9" t="s">
        <v>12</v>
      </c>
      <c r="B95" s="9" t="s">
        <v>10</v>
      </c>
      <c r="C95" s="9" t="s">
        <v>36</v>
      </c>
      <c r="D95" s="9" t="s">
        <v>78</v>
      </c>
      <c r="E95" s="9" t="s">
        <v>110</v>
      </c>
      <c r="F95" s="10" t="n">
        <v>52.6</v>
      </c>
      <c r="G95" s="10" t="n">
        <v>204.8</v>
      </c>
      <c r="H95" s="10" t="n">
        <v>180.5</v>
      </c>
      <c r="I95" s="10" t="n">
        <v>24.3</v>
      </c>
      <c r="J95" s="10" t="n">
        <v>4</v>
      </c>
      <c r="K95" s="10" t="n">
        <v>8</v>
      </c>
      <c r="L95" s="10" t="n">
        <v>8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10.5</v>
      </c>
      <c r="R95" s="10" t="n">
        <v>10.5</v>
      </c>
      <c r="S95" s="10" t="n">
        <v>8</v>
      </c>
      <c r="T95" s="10" t="n">
        <v>8</v>
      </c>
      <c r="U95" s="10" t="n">
        <v>0</v>
      </c>
      <c r="V95" s="10" t="n">
        <v>0</v>
      </c>
      <c r="W95" s="10" t="n">
        <v>0</v>
      </c>
      <c r="X95" s="10" t="n">
        <v>6</v>
      </c>
      <c r="Y95" s="10" t="n">
        <v>6</v>
      </c>
      <c r="Z95" s="10" t="n">
        <v>0</v>
      </c>
      <c r="AA95" s="10" t="n">
        <v>0</v>
      </c>
      <c r="AB95" s="10" t="n">
        <v>0</v>
      </c>
      <c r="AC95" s="10" t="n">
        <v>11</v>
      </c>
      <c r="AD95" s="10" t="n">
        <v>22.5</v>
      </c>
      <c r="AE95" s="10" t="n">
        <v>18.5</v>
      </c>
      <c r="AF95" s="10" t="n">
        <v>9</v>
      </c>
      <c r="AG95" s="10" t="n">
        <v>10</v>
      </c>
      <c r="AH95" s="10" t="n">
        <v>10</v>
      </c>
      <c r="AI95" s="10" t="n">
        <v>13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  <c r="AT95" s="10" t="n">
        <v>0</v>
      </c>
      <c r="AU95" s="10" t="n">
        <v>0</v>
      </c>
      <c r="AV95" s="10" t="n">
        <v>0</v>
      </c>
      <c r="AW95" s="10" t="n">
        <v>0</v>
      </c>
    </row>
    <row r="96" customFormat="false" ht="15" hidden="true" customHeight="true" outlineLevel="1" collapsed="false">
      <c r="A96" s="9" t="s">
        <v>12</v>
      </c>
      <c r="B96" s="9" t="s">
        <v>10</v>
      </c>
      <c r="C96" s="9" t="s">
        <v>36</v>
      </c>
      <c r="D96" s="9" t="s">
        <v>78</v>
      </c>
      <c r="E96" s="9" t="s">
        <v>82</v>
      </c>
      <c r="F96" s="10" t="n">
        <v>1</v>
      </c>
      <c r="G96" s="10" t="n">
        <v>1</v>
      </c>
      <c r="H96" s="10" t="n">
        <v>19</v>
      </c>
      <c r="I96" s="10" t="n">
        <v>-18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</row>
    <row r="97" customFormat="false" ht="15" hidden="true" customHeight="true" outlineLevel="1" collapsed="false">
      <c r="A97" s="9" t="s">
        <v>12</v>
      </c>
      <c r="B97" s="9" t="s">
        <v>10</v>
      </c>
      <c r="C97" s="9" t="s">
        <v>36</v>
      </c>
      <c r="D97" s="9" t="s">
        <v>78</v>
      </c>
      <c r="E97" s="9" t="s">
        <v>83</v>
      </c>
      <c r="F97" s="10" t="n">
        <v>15</v>
      </c>
      <c r="G97" s="10" t="n">
        <v>15</v>
      </c>
      <c r="H97" s="10" t="n">
        <v>35</v>
      </c>
      <c r="I97" s="10" t="n">
        <v>-20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0</v>
      </c>
    </row>
    <row r="98" customFormat="false" ht="15" hidden="true" customHeight="true" outlineLevel="1" collapsed="false">
      <c r="A98" s="9" t="s">
        <v>12</v>
      </c>
      <c r="B98" s="9" t="s">
        <v>10</v>
      </c>
      <c r="C98" s="9" t="s">
        <v>36</v>
      </c>
      <c r="D98" s="9" t="s">
        <v>78</v>
      </c>
      <c r="E98" s="9" t="s">
        <v>84</v>
      </c>
      <c r="F98" s="10" t="n">
        <v>0</v>
      </c>
      <c r="G98" s="10" t="n">
        <v>15</v>
      </c>
      <c r="H98" s="10" t="n">
        <v>15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10</v>
      </c>
      <c r="R98" s="10" t="n">
        <v>5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</v>
      </c>
    </row>
    <row r="99" customFormat="false" ht="15" hidden="true" customHeight="true" outlineLevel="1" collapsed="false">
      <c r="A99" s="9" t="s">
        <v>12</v>
      </c>
      <c r="B99" s="9" t="s">
        <v>10</v>
      </c>
      <c r="C99" s="9" t="s">
        <v>36</v>
      </c>
      <c r="D99" s="9" t="s">
        <v>78</v>
      </c>
      <c r="E99" s="9" t="s">
        <v>40</v>
      </c>
      <c r="F99" s="10" t="n">
        <v>0</v>
      </c>
      <c r="G99" s="10" t="n">
        <v>28</v>
      </c>
      <c r="H99" s="10" t="n">
        <v>0</v>
      </c>
      <c r="I99" s="10" t="n">
        <v>28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</row>
    <row r="100" customFormat="false" ht="15" hidden="true" customHeight="true" outlineLevel="1" collapsed="false">
      <c r="A100" s="9" t="s">
        <v>12</v>
      </c>
      <c r="B100" s="9" t="s">
        <v>10</v>
      </c>
      <c r="C100" s="9" t="s">
        <v>36</v>
      </c>
      <c r="D100" s="9" t="s">
        <v>78</v>
      </c>
      <c r="E100" s="9" t="s">
        <v>97</v>
      </c>
      <c r="F100" s="10" t="n">
        <v>85</v>
      </c>
      <c r="G100" s="10" t="n">
        <v>195</v>
      </c>
      <c r="H100" s="10" t="n">
        <v>277.5</v>
      </c>
      <c r="I100" s="10" t="n">
        <v>-82.5</v>
      </c>
      <c r="J100" s="10" t="n">
        <v>8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10</v>
      </c>
      <c r="R100" s="10" t="n">
        <v>10</v>
      </c>
      <c r="S100" s="10" t="n">
        <v>10</v>
      </c>
      <c r="T100" s="10" t="n">
        <v>10</v>
      </c>
      <c r="U100" s="10" t="n">
        <v>15</v>
      </c>
      <c r="V100" s="10" t="n">
        <v>0</v>
      </c>
      <c r="W100" s="10" t="n">
        <v>5</v>
      </c>
      <c r="X100" s="10" t="n">
        <v>5</v>
      </c>
      <c r="Y100" s="10" t="n">
        <v>5</v>
      </c>
      <c r="Z100" s="10" t="n">
        <v>0</v>
      </c>
      <c r="AA100" s="10" t="n">
        <v>0</v>
      </c>
      <c r="AB100" s="10" t="n">
        <v>5</v>
      </c>
      <c r="AC100" s="10" t="n">
        <v>5</v>
      </c>
      <c r="AD100" s="10" t="n">
        <v>5</v>
      </c>
      <c r="AE100" s="10" t="n">
        <v>5</v>
      </c>
      <c r="AF100" s="10" t="n">
        <v>5</v>
      </c>
      <c r="AG100" s="10" t="n">
        <v>5</v>
      </c>
      <c r="AH100" s="10" t="n">
        <v>5</v>
      </c>
      <c r="AI100" s="10" t="n">
        <v>5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</row>
    <row r="101" customFormat="false" ht="15" hidden="true" customHeight="true" outlineLevel="1" collapsed="false">
      <c r="A101" s="9" t="s">
        <v>12</v>
      </c>
      <c r="B101" s="9" t="s">
        <v>10</v>
      </c>
      <c r="C101" s="9" t="s">
        <v>36</v>
      </c>
      <c r="D101" s="9" t="s">
        <v>78</v>
      </c>
      <c r="E101" s="9" t="s">
        <v>85</v>
      </c>
      <c r="F101" s="10" t="n">
        <v>40.5</v>
      </c>
      <c r="G101" s="10" t="n">
        <v>40.5</v>
      </c>
      <c r="H101" s="10" t="n">
        <v>69</v>
      </c>
      <c r="I101" s="10" t="n">
        <v>-28.5</v>
      </c>
      <c r="J101" s="10" t="n">
        <v>2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n">
        <v>0</v>
      </c>
      <c r="AW101" s="10" t="n">
        <v>0</v>
      </c>
    </row>
    <row r="102" customFormat="false" ht="15" hidden="true" customHeight="true" outlineLevel="1" collapsed="false">
      <c r="A102" s="9" t="s">
        <v>12</v>
      </c>
      <c r="B102" s="9" t="s">
        <v>10</v>
      </c>
      <c r="C102" s="9" t="s">
        <v>36</v>
      </c>
      <c r="D102" s="9" t="s">
        <v>78</v>
      </c>
      <c r="E102" s="9" t="s">
        <v>86</v>
      </c>
      <c r="F102" s="10" t="n">
        <v>0</v>
      </c>
      <c r="G102" s="10" t="n">
        <v>0</v>
      </c>
      <c r="H102" s="10" t="n">
        <v>34</v>
      </c>
      <c r="I102" s="10" t="n">
        <v>-34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</row>
    <row r="103" customFormat="false" ht="15" hidden="true" customHeight="true" outlineLevel="1" collapsed="false">
      <c r="A103" s="9" t="s">
        <v>12</v>
      </c>
      <c r="B103" s="9" t="s">
        <v>10</v>
      </c>
      <c r="C103" s="9" t="s">
        <v>36</v>
      </c>
      <c r="D103" s="9" t="s">
        <v>78</v>
      </c>
      <c r="E103" s="9" t="s">
        <v>111</v>
      </c>
      <c r="F103" s="10" t="n">
        <v>0</v>
      </c>
      <c r="G103" s="10" t="n">
        <v>0</v>
      </c>
      <c r="H103" s="10" t="n">
        <v>6.5</v>
      </c>
      <c r="I103" s="10" t="n">
        <v>-6.5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</row>
    <row r="104" customFormat="false" ht="15" hidden="true" customHeight="true" outlineLevel="1" collapsed="false">
      <c r="A104" s="9" t="s">
        <v>12</v>
      </c>
      <c r="B104" s="9" t="s">
        <v>10</v>
      </c>
      <c r="C104" s="9" t="s">
        <v>36</v>
      </c>
      <c r="D104" s="9" t="s">
        <v>78</v>
      </c>
      <c r="E104" s="9" t="s">
        <v>112</v>
      </c>
      <c r="F104" s="10" t="n">
        <v>0</v>
      </c>
      <c r="G104" s="10" t="n">
        <v>62</v>
      </c>
      <c r="H104" s="10" t="n">
        <v>62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2</v>
      </c>
      <c r="AC104" s="10" t="n">
        <v>6</v>
      </c>
      <c r="AD104" s="10" t="n">
        <v>8</v>
      </c>
      <c r="AE104" s="10" t="n">
        <v>8</v>
      </c>
      <c r="AF104" s="10" t="n">
        <v>8</v>
      </c>
      <c r="AG104" s="10" t="n">
        <v>10</v>
      </c>
      <c r="AH104" s="10" t="n">
        <v>10</v>
      </c>
      <c r="AI104" s="10" t="n">
        <v>10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</row>
    <row r="105" customFormat="false" ht="15" hidden="true" customHeight="true" outlineLevel="1" collapsed="false">
      <c r="A105" s="9" t="s">
        <v>12</v>
      </c>
      <c r="B105" s="9" t="s">
        <v>10</v>
      </c>
      <c r="C105" s="9" t="s">
        <v>36</v>
      </c>
      <c r="D105" s="9" t="s">
        <v>78</v>
      </c>
      <c r="E105" s="9" t="s">
        <v>87</v>
      </c>
      <c r="F105" s="10" t="n">
        <v>18</v>
      </c>
      <c r="G105" s="10" t="n">
        <v>18</v>
      </c>
      <c r="H105" s="10" t="n">
        <v>45</v>
      </c>
      <c r="I105" s="10" t="n">
        <v>-27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0</v>
      </c>
      <c r="AK105" s="10" t="n">
        <v>0</v>
      </c>
      <c r="AL105" s="10" t="n">
        <v>0</v>
      </c>
      <c r="AM105" s="10" t="n">
        <v>0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  <c r="AT105" s="10" t="n">
        <v>0</v>
      </c>
      <c r="AU105" s="10" t="n">
        <v>0</v>
      </c>
      <c r="AV105" s="10" t="n">
        <v>0</v>
      </c>
      <c r="AW105" s="10" t="n">
        <v>0</v>
      </c>
    </row>
    <row r="106" customFormat="false" ht="15" hidden="true" customHeight="true" outlineLevel="1" collapsed="false">
      <c r="A106" s="9" t="s">
        <v>12</v>
      </c>
      <c r="B106" s="9" t="s">
        <v>10</v>
      </c>
      <c r="C106" s="9" t="s">
        <v>36</v>
      </c>
      <c r="D106" s="9" t="s">
        <v>78</v>
      </c>
      <c r="E106" s="9" t="s">
        <v>88</v>
      </c>
      <c r="F106" s="10" t="n">
        <v>0</v>
      </c>
      <c r="G106" s="10" t="n">
        <v>18</v>
      </c>
      <c r="H106" s="10" t="n">
        <v>18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12</v>
      </c>
      <c r="R106" s="10" t="n">
        <v>6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</row>
    <row r="107" customFormat="false" ht="15" hidden="true" customHeight="true" outlineLevel="1" collapsed="false">
      <c r="A107" s="9" t="s">
        <v>12</v>
      </c>
      <c r="B107" s="9" t="s">
        <v>10</v>
      </c>
      <c r="C107" s="9" t="s">
        <v>36</v>
      </c>
      <c r="D107" s="9" t="s">
        <v>78</v>
      </c>
      <c r="E107" s="9" t="s">
        <v>105</v>
      </c>
      <c r="F107" s="10" t="n">
        <v>0.5</v>
      </c>
      <c r="G107" s="10" t="n">
        <v>0.5</v>
      </c>
      <c r="H107" s="10" t="n">
        <v>6.5</v>
      </c>
      <c r="I107" s="10" t="n">
        <v>-6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</v>
      </c>
    </row>
    <row r="108" customFormat="false" ht="15" hidden="false" customHeight="true" outlineLevel="0" collapsed="false">
      <c r="A108" s="7" t="s">
        <v>12</v>
      </c>
      <c r="B108" s="7" t="s">
        <v>10</v>
      </c>
      <c r="C108" s="7" t="s">
        <v>22</v>
      </c>
      <c r="D108" s="7" t="s">
        <v>76</v>
      </c>
      <c r="E108" s="7" t="s">
        <v>77</v>
      </c>
      <c r="F108" s="8" t="n">
        <f aca="false">SUM(F109,F110,F111,F112,F113,F114,F115,F116)</f>
        <v>297.5</v>
      </c>
      <c r="G108" s="8" t="n">
        <f aca="false">SUM(G109,G110,G111,G112,G113,G114,G115,G116)</f>
        <v>915.5</v>
      </c>
      <c r="H108" s="8" t="n">
        <f aca="false">SUM(H109,H110,H111,H112,H113,H114,H115,H116)</f>
        <v>923.5</v>
      </c>
      <c r="I108" s="8" t="n">
        <f aca="false">SUM(I109,I110,I111,I112,I113,I114,I115,I116)</f>
        <v>-8</v>
      </c>
      <c r="J108" s="8" t="n">
        <f aca="false">SUM(J109,J110,J111,J112,J113,J114,J115,J116)</f>
        <v>18.5</v>
      </c>
      <c r="K108" s="8" t="n">
        <f aca="false">SUM(K109,K110,K111,K112,K113,K114,K115,K116)</f>
        <v>5</v>
      </c>
      <c r="L108" s="8" t="n">
        <f aca="false">SUM(L109,L110,L111,L112,L113,L114,L115,L116)</f>
        <v>8</v>
      </c>
      <c r="M108" s="8" t="n">
        <f aca="false">SUM(M109,M110,M111,M112,M113,M114,M115,M116)</f>
        <v>3</v>
      </c>
      <c r="N108" s="8" t="n">
        <f aca="false">SUM(N109,N110,N111,N112,N113,N114,N115,N116)</f>
        <v>3</v>
      </c>
      <c r="O108" s="8" t="n">
        <f aca="false">SUM(O109,O110,O111,O112,O113,O114,O115,O116)</f>
        <v>3</v>
      </c>
      <c r="P108" s="8" t="n">
        <f aca="false">SUM(P109,P110,P111,P112,P113,P114,P115,P116)</f>
        <v>13</v>
      </c>
      <c r="Q108" s="8" t="n">
        <f aca="false">SUM(Q109,Q110,Q111,Q112,Q113,Q114,Q115,Q116)</f>
        <v>13</v>
      </c>
      <c r="R108" s="8" t="n">
        <f aca="false">SUM(R109,R110,R111,R112,R113,R114,R115,R116)</f>
        <v>0</v>
      </c>
      <c r="S108" s="8" t="n">
        <f aca="false">SUM(S109,S110,S111,S112,S113,S114,S115,S116)</f>
        <v>5</v>
      </c>
      <c r="T108" s="8" t="n">
        <f aca="false">SUM(T109,T110,T111,T112,T113,T114,T115,T116)</f>
        <v>5</v>
      </c>
      <c r="U108" s="8" t="n">
        <f aca="false">SUM(U109,U110,U111,U112,U113,U114,U115,U116)</f>
        <v>10</v>
      </c>
      <c r="V108" s="8" t="n">
        <f aca="false">SUM(V109,V110,V111,V112,V113,V114,V115,V116)</f>
        <v>10</v>
      </c>
      <c r="W108" s="8" t="n">
        <f aca="false">SUM(W109,W110,W111,W112,W113,W114,W115,W116)</f>
        <v>0</v>
      </c>
      <c r="X108" s="8" t="n">
        <f aca="false">SUM(X109,X110,X111,X112,X113,X114,X115,X116)</f>
        <v>0</v>
      </c>
      <c r="Y108" s="8" t="n">
        <f aca="false">SUM(Y109,Y110,Y111,Y112,Y113,Y114,Y115,Y116)</f>
        <v>8</v>
      </c>
      <c r="Z108" s="8" t="n">
        <f aca="false">SUM(Z109,Z110,Z111,Z112,Z113,Z114,Z115,Z116)</f>
        <v>0</v>
      </c>
      <c r="AA108" s="8" t="n">
        <f aca="false">SUM(AA109,AA110,AA111,AA112,AA113,AA114,AA115,AA116)</f>
        <v>0</v>
      </c>
      <c r="AB108" s="8" t="n">
        <f aca="false">SUM(AB109,AB110,AB111,AB112,AB113,AB114,AB115,AB116)</f>
        <v>23</v>
      </c>
      <c r="AC108" s="8" t="n">
        <f aca="false">SUM(AC109,AC110,AC111,AC112,AC113,AC114,AC115,AC116)</f>
        <v>45</v>
      </c>
      <c r="AD108" s="11" t="n">
        <f aca="false">SUM(AD109,AD110,AD111,AD112,AD113,AD114,AD115,AD116)</f>
        <v>60</v>
      </c>
      <c r="AE108" s="12" t="n">
        <f aca="false">SUM(AE109,AE110,AE111,AE112,AE113,AE114,AE115,AE116)</f>
        <v>70</v>
      </c>
      <c r="AF108" s="12" t="n">
        <f aca="false">SUM(AF109,AF110,AF111,AF112,AF113,AF114,AF115,AF116)</f>
        <v>70</v>
      </c>
      <c r="AG108" s="11" t="n">
        <f aca="false">SUM(AG109,AG110,AG111,AG112,AG113,AG114,AG115,AG116)</f>
        <v>61</v>
      </c>
      <c r="AH108" s="11" t="n">
        <f aca="false">SUM(AH109,AH110,AH111,AH112,AH113,AH114,AH115,AH116)</f>
        <v>57</v>
      </c>
      <c r="AI108" s="8" t="n">
        <f aca="false">SUM(AI109,AI110,AI111,AI112,AI113,AI114,AI115,AI116)</f>
        <v>46</v>
      </c>
      <c r="AJ108" s="8" t="n">
        <f aca="false">SUM(AJ109,AJ110,AJ111,AJ112,AJ113,AJ114,AJ115,AJ116)</f>
        <v>12</v>
      </c>
      <c r="AK108" s="8" t="n">
        <f aca="false">SUM(AK109,AK110,AK111,AK112,AK113,AK114,AK115,AK116)</f>
        <v>16</v>
      </c>
      <c r="AL108" s="8" t="n">
        <f aca="false">SUM(AL109,AL110,AL111,AL112,AL113,AL114,AL115,AL116)</f>
        <v>16</v>
      </c>
      <c r="AM108" s="8" t="n">
        <f aca="false">SUM(AM109,AM110,AM111,AM112,AM113,AM114,AM115,AM116)</f>
        <v>8</v>
      </c>
      <c r="AN108" s="8" t="n">
        <f aca="false">SUM(AN109,AN110,AN111,AN112,AN113,AN114,AN115,AN116)</f>
        <v>0</v>
      </c>
      <c r="AO108" s="8" t="n">
        <f aca="false">SUM(AO109,AO110,AO111,AO112,AO113,AO114,AO115,AO116)</f>
        <v>0</v>
      </c>
      <c r="AP108" s="8" t="n">
        <f aca="false">SUM(AP109,AP110,AP111,AP112,AP113,AP114,AP115,AP116)</f>
        <v>0</v>
      </c>
      <c r="AQ108" s="8" t="n">
        <f aca="false">SUM(AQ109,AQ110,AQ111,AQ112,AQ113,AQ114,AQ115,AQ116)</f>
        <v>0</v>
      </c>
      <c r="AR108" s="8" t="n">
        <f aca="false">SUM(AR109,AR110,AR111,AR112,AR113,AR114,AR115,AR116)</f>
        <v>0</v>
      </c>
      <c r="AS108" s="8" t="n">
        <f aca="false">SUM(AS109,AS110,AS111,AS112,AS113,AS114,AS115,AS116)</f>
        <v>0</v>
      </c>
      <c r="AT108" s="8" t="n">
        <f aca="false">SUM(AT109,AT110,AT111,AT112,AT113,AT114,AT115,AT116)</f>
        <v>0</v>
      </c>
      <c r="AU108" s="8" t="n">
        <f aca="false">SUM(AU109,AU110,AU111,AU112,AU113,AU114,AU115,AU116)</f>
        <v>0</v>
      </c>
      <c r="AV108" s="8" t="n">
        <f aca="false">SUM(AV109,AV110,AV111,AV112,AV113,AV114,AV115,AV116)</f>
        <v>0</v>
      </c>
      <c r="AW108" s="8" t="n">
        <f aca="false">SUM(AW109,AW110,AW111,AW112,AW113,AW114,AW115,AW116)</f>
        <v>0</v>
      </c>
    </row>
    <row r="109" customFormat="false" ht="15" hidden="true" customHeight="true" outlineLevel="1" collapsed="false">
      <c r="A109" s="9" t="s">
        <v>12</v>
      </c>
      <c r="B109" s="9" t="s">
        <v>10</v>
      </c>
      <c r="C109" s="9" t="s">
        <v>22</v>
      </c>
      <c r="D109" s="9" t="s">
        <v>78</v>
      </c>
      <c r="E109" s="9" t="s">
        <v>113</v>
      </c>
      <c r="F109" s="10" t="n">
        <v>0</v>
      </c>
      <c r="G109" s="10" t="n">
        <v>70</v>
      </c>
      <c r="H109" s="10" t="n">
        <v>70</v>
      </c>
      <c r="I109" s="10" t="n">
        <v>0</v>
      </c>
      <c r="J109" s="10" t="n">
        <v>0</v>
      </c>
      <c r="K109" s="10" t="n">
        <v>0</v>
      </c>
      <c r="L109" s="10" t="n">
        <v>3</v>
      </c>
      <c r="M109" s="10" t="n">
        <v>3</v>
      </c>
      <c r="N109" s="10" t="n">
        <v>3</v>
      </c>
      <c r="O109" s="10" t="n">
        <v>3</v>
      </c>
      <c r="P109" s="10" t="n">
        <v>3</v>
      </c>
      <c r="Q109" s="10" t="n">
        <v>3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12</v>
      </c>
      <c r="AK109" s="10" t="n">
        <v>16</v>
      </c>
      <c r="AL109" s="10" t="n">
        <v>16</v>
      </c>
      <c r="AM109" s="10" t="n">
        <v>8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</row>
    <row r="110" customFormat="false" ht="15" hidden="true" customHeight="true" outlineLevel="1" collapsed="false">
      <c r="A110" s="9" t="s">
        <v>12</v>
      </c>
      <c r="B110" s="9" t="s">
        <v>10</v>
      </c>
      <c r="C110" s="9" t="s">
        <v>22</v>
      </c>
      <c r="D110" s="9" t="s">
        <v>78</v>
      </c>
      <c r="E110" s="9" t="s">
        <v>102</v>
      </c>
      <c r="F110" s="10" t="n">
        <v>0</v>
      </c>
      <c r="G110" s="10" t="n">
        <v>122</v>
      </c>
      <c r="H110" s="10" t="n">
        <v>122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8</v>
      </c>
      <c r="AC110" s="10" t="n">
        <v>15</v>
      </c>
      <c r="AD110" s="10" t="n">
        <v>15</v>
      </c>
      <c r="AE110" s="10" t="n">
        <v>20</v>
      </c>
      <c r="AF110" s="10" t="n">
        <v>20</v>
      </c>
      <c r="AG110" s="10" t="n">
        <v>21</v>
      </c>
      <c r="AH110" s="10" t="n">
        <v>17</v>
      </c>
      <c r="AI110" s="10" t="n">
        <v>6</v>
      </c>
      <c r="AJ110" s="10" t="n">
        <v>0</v>
      </c>
      <c r="AK110" s="10" t="n">
        <v>0</v>
      </c>
      <c r="AL110" s="10" t="n">
        <v>0</v>
      </c>
      <c r="AM110" s="10" t="n">
        <v>0</v>
      </c>
      <c r="AN110" s="10" t="n">
        <v>0</v>
      </c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0</v>
      </c>
      <c r="AT110" s="10" t="n">
        <v>0</v>
      </c>
      <c r="AU110" s="10" t="n">
        <v>0</v>
      </c>
      <c r="AV110" s="10" t="n">
        <v>0</v>
      </c>
      <c r="AW110" s="10" t="n">
        <v>0</v>
      </c>
    </row>
    <row r="111" customFormat="false" ht="15" hidden="true" customHeight="true" outlineLevel="1" collapsed="false">
      <c r="A111" s="9" t="s">
        <v>12</v>
      </c>
      <c r="B111" s="9" t="s">
        <v>10</v>
      </c>
      <c r="C111" s="9" t="s">
        <v>22</v>
      </c>
      <c r="D111" s="9" t="s">
        <v>78</v>
      </c>
      <c r="E111" s="9" t="s">
        <v>83</v>
      </c>
      <c r="F111" s="10" t="n">
        <v>10</v>
      </c>
      <c r="G111" s="10" t="n">
        <v>10</v>
      </c>
      <c r="H111" s="10" t="n">
        <v>0</v>
      </c>
      <c r="I111" s="10" t="n">
        <v>10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n">
        <v>0</v>
      </c>
      <c r="AW111" s="10" t="n">
        <v>0</v>
      </c>
    </row>
    <row r="112" customFormat="false" ht="15" hidden="true" customHeight="true" outlineLevel="1" collapsed="false">
      <c r="A112" s="9" t="s">
        <v>12</v>
      </c>
      <c r="B112" s="9" t="s">
        <v>10</v>
      </c>
      <c r="C112" s="9" t="s">
        <v>22</v>
      </c>
      <c r="D112" s="9" t="s">
        <v>78</v>
      </c>
      <c r="E112" s="9" t="s">
        <v>84</v>
      </c>
      <c r="F112" s="10" t="n">
        <v>0</v>
      </c>
      <c r="G112" s="10" t="n">
        <v>10</v>
      </c>
      <c r="H112" s="10" t="n">
        <v>0</v>
      </c>
      <c r="I112" s="10" t="n">
        <v>10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</row>
    <row r="113" customFormat="false" ht="15" hidden="true" customHeight="true" outlineLevel="1" collapsed="false">
      <c r="A113" s="9" t="s">
        <v>12</v>
      </c>
      <c r="B113" s="9" t="s">
        <v>10</v>
      </c>
      <c r="C113" s="9" t="s">
        <v>22</v>
      </c>
      <c r="D113" s="9" t="s">
        <v>78</v>
      </c>
      <c r="E113" s="9" t="s">
        <v>40</v>
      </c>
      <c r="F113" s="10" t="n">
        <v>0</v>
      </c>
      <c r="G113" s="10" t="n">
        <v>28</v>
      </c>
      <c r="H113" s="10" t="n">
        <v>0</v>
      </c>
      <c r="I113" s="10" t="n">
        <v>28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10" t="n">
        <v>0</v>
      </c>
    </row>
    <row r="114" customFormat="false" ht="15" hidden="true" customHeight="true" outlineLevel="1" collapsed="false">
      <c r="A114" s="9" t="s">
        <v>12</v>
      </c>
      <c r="B114" s="9" t="s">
        <v>10</v>
      </c>
      <c r="C114" s="9" t="s">
        <v>22</v>
      </c>
      <c r="D114" s="9" t="s">
        <v>78</v>
      </c>
      <c r="E114" s="9" t="s">
        <v>103</v>
      </c>
      <c r="F114" s="10" t="n">
        <v>180.5</v>
      </c>
      <c r="G114" s="10" t="n">
        <v>270.5</v>
      </c>
      <c r="H114" s="10" t="n">
        <v>301.5</v>
      </c>
      <c r="I114" s="10" t="n">
        <v>-31</v>
      </c>
      <c r="J114" s="10" t="n">
        <v>12.5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5</v>
      </c>
      <c r="T114" s="10" t="n">
        <v>5</v>
      </c>
      <c r="U114" s="10" t="n">
        <v>10</v>
      </c>
      <c r="V114" s="10" t="n">
        <v>10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10</v>
      </c>
      <c r="AD114" s="10" t="n">
        <v>10</v>
      </c>
      <c r="AE114" s="10" t="n">
        <v>10</v>
      </c>
      <c r="AF114" s="10" t="n">
        <v>10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  <c r="AV114" s="10" t="n">
        <v>0</v>
      </c>
      <c r="AW114" s="10" t="n">
        <v>0</v>
      </c>
    </row>
    <row r="115" customFormat="false" ht="15" hidden="true" customHeight="true" outlineLevel="1" collapsed="false">
      <c r="A115" s="9" t="s">
        <v>12</v>
      </c>
      <c r="B115" s="9" t="s">
        <v>10</v>
      </c>
      <c r="C115" s="9" t="s">
        <v>22</v>
      </c>
      <c r="D115" s="9" t="s">
        <v>78</v>
      </c>
      <c r="E115" s="9" t="s">
        <v>99</v>
      </c>
      <c r="F115" s="10" t="n">
        <v>107</v>
      </c>
      <c r="G115" s="10" t="n">
        <v>405</v>
      </c>
      <c r="H115" s="10" t="n">
        <v>428</v>
      </c>
      <c r="I115" s="10" t="n">
        <v>-23</v>
      </c>
      <c r="J115" s="10" t="n">
        <v>6</v>
      </c>
      <c r="K115" s="10" t="n">
        <v>5</v>
      </c>
      <c r="L115" s="10" t="n">
        <v>5</v>
      </c>
      <c r="M115" s="10" t="n">
        <v>0</v>
      </c>
      <c r="N115" s="10" t="n">
        <v>0</v>
      </c>
      <c r="O115" s="10" t="n">
        <v>0</v>
      </c>
      <c r="P115" s="10" t="n">
        <v>10</v>
      </c>
      <c r="Q115" s="10" t="n">
        <v>10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8</v>
      </c>
      <c r="Z115" s="10" t="n">
        <v>0</v>
      </c>
      <c r="AA115" s="10" t="n">
        <v>0</v>
      </c>
      <c r="AB115" s="10" t="n">
        <v>15</v>
      </c>
      <c r="AC115" s="10" t="n">
        <v>20</v>
      </c>
      <c r="AD115" s="10" t="n">
        <v>35</v>
      </c>
      <c r="AE115" s="10" t="n">
        <v>40</v>
      </c>
      <c r="AF115" s="10" t="n">
        <v>40</v>
      </c>
      <c r="AG115" s="10" t="n">
        <v>40</v>
      </c>
      <c r="AH115" s="10" t="n">
        <v>40</v>
      </c>
      <c r="AI115" s="10" t="n">
        <v>40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</row>
    <row r="116" customFormat="false" ht="15" hidden="true" customHeight="true" outlineLevel="1" collapsed="false">
      <c r="A116" s="9" t="s">
        <v>12</v>
      </c>
      <c r="B116" s="9" t="s">
        <v>10</v>
      </c>
      <c r="C116" s="9" t="s">
        <v>22</v>
      </c>
      <c r="D116" s="9" t="s">
        <v>78</v>
      </c>
      <c r="E116" s="9" t="s">
        <v>87</v>
      </c>
      <c r="F116" s="10" t="n">
        <v>0</v>
      </c>
      <c r="G116" s="10" t="n">
        <v>0</v>
      </c>
      <c r="H116" s="10" t="n">
        <v>2</v>
      </c>
      <c r="I116" s="10" t="n">
        <v>-2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  <c r="AV116" s="10" t="n">
        <v>0</v>
      </c>
      <c r="AW116" s="10" t="n">
        <v>0</v>
      </c>
    </row>
    <row r="117" customFormat="false" ht="15" hidden="false" customHeight="true" outlineLevel="0" collapsed="false">
      <c r="A117" s="7" t="s">
        <v>12</v>
      </c>
      <c r="B117" s="7" t="s">
        <v>10</v>
      </c>
      <c r="C117" s="7" t="s">
        <v>20</v>
      </c>
      <c r="D117" s="7" t="s">
        <v>76</v>
      </c>
      <c r="E117" s="7" t="s">
        <v>77</v>
      </c>
      <c r="F117" s="8" t="n">
        <f aca="false">SUM(F118,F119,F120,F121,F122,F123,F124,F125,F126,F127,F128,F129)</f>
        <v>193.5</v>
      </c>
      <c r="G117" s="8" t="n">
        <f aca="false">SUM(G118,G119,G120,G121,G122,G123,G124,G125,G126,G127,G128,G129)</f>
        <v>888.5</v>
      </c>
      <c r="H117" s="8" t="n">
        <f aca="false">SUM(H118,H119,H120,H121,H122,H123,H124,H125,H126,H127,H128,H129)</f>
        <v>1267</v>
      </c>
      <c r="I117" s="8" t="n">
        <f aca="false">SUM(I118,I119,I120,I121,I122,I123,I124,I125,I126,I127,I128,I129)</f>
        <v>-378.5</v>
      </c>
      <c r="J117" s="11" t="n">
        <f aca="false">SUM(J118,J119,J120,J121,J122,J123,J124,J125,J126,J127,J128,J129)</f>
        <v>45</v>
      </c>
      <c r="K117" s="12" t="n">
        <f aca="false">SUM(K118,K119,K120,K121,K122,K123,K124,K125,K126,K127,K128,K129)</f>
        <v>56.5</v>
      </c>
      <c r="L117" s="12" t="n">
        <f aca="false">SUM(L118,L119,L120,L121,L122,L123,L124,L125,L126,L127,L128,L129)</f>
        <v>57.5</v>
      </c>
      <c r="M117" s="8" t="n">
        <f aca="false">SUM(M118,M119,M120,M121,M122,M123,M124,M125,M126,M127,M128,M129)</f>
        <v>16.5</v>
      </c>
      <c r="N117" s="8" t="n">
        <f aca="false">SUM(N118,N119,N120,N121,N122,N123,N124,N125,N126,N127,N128,N129)</f>
        <v>16.5</v>
      </c>
      <c r="O117" s="8" t="n">
        <f aca="false">SUM(O118,O119,O120,O121,O122,O123,O124,O125,O126,O127,O128,O129)</f>
        <v>12.5</v>
      </c>
      <c r="P117" s="8" t="n">
        <f aca="false">SUM(P118,P119,P120,P121,P122,P123,P124,P125,P126,P127,P128,P129)</f>
        <v>20.5</v>
      </c>
      <c r="Q117" s="8" t="n">
        <f aca="false">SUM(Q118,Q119,Q120,Q121,Q122,Q123,Q124,Q125,Q126,Q127,Q128,Q129)</f>
        <v>38.5</v>
      </c>
      <c r="R117" s="8" t="n">
        <f aca="false">SUM(R118,R119,R120,R121,R122,R123,R124,R125,R126,R127,R128,R129)</f>
        <v>30.5</v>
      </c>
      <c r="S117" s="8" t="n">
        <f aca="false">SUM(S118,S119,S120,S121,S122,S123,S124,S125,S126,S127,S128,S129)</f>
        <v>14.5</v>
      </c>
      <c r="T117" s="8" t="n">
        <f aca="false">SUM(T118,T119,T120,T121,T122,T123,T124,T125,T126,T127,T128,T129)</f>
        <v>17.5</v>
      </c>
      <c r="U117" s="8" t="n">
        <f aca="false">SUM(U118,U119,U120,U121,U122,U123,U124,U125,U126,U127,U128,U129)</f>
        <v>25.5</v>
      </c>
      <c r="V117" s="12" t="n">
        <f aca="false">SUM(V118,V119,V120,V121,V122,V123,V124,V125,V126,V127,V128,V129)</f>
        <v>52.5</v>
      </c>
      <c r="W117" s="12" t="n">
        <f aca="false">SUM(W118,W119,W120,W121,W122,W123,W124,W125,W126,W127,W128,W129)</f>
        <v>54.5</v>
      </c>
      <c r="X117" s="8" t="n">
        <f aca="false">SUM(X118,X119,X120,X121,X122,X123,X124,X125,X126,X127,X128,X129)</f>
        <v>25.5</v>
      </c>
      <c r="Y117" s="8" t="n">
        <f aca="false">SUM(Y118,Y119,Y120,Y121,Y122,Y123,Y124,Y125,Y126,Y127,Y128,Y129)</f>
        <v>17</v>
      </c>
      <c r="Z117" s="8" t="n">
        <f aca="false">SUM(Z118,Z119,Z120,Z121,Z122,Z123,Z124,Z125,Z126,Z127,Z128,Z129)</f>
        <v>10</v>
      </c>
      <c r="AA117" s="8" t="n">
        <f aca="false">SUM(AA118,AA119,AA120,AA121,AA122,AA123,AA124,AA125,AA126,AA127,AA128,AA129)</f>
        <v>0</v>
      </c>
      <c r="AB117" s="8" t="n">
        <f aca="false">SUM(AB118,AB119,AB120,AB121,AB122,AB123,AB124,AB125,AB126,AB127,AB128,AB129)</f>
        <v>13.5</v>
      </c>
      <c r="AC117" s="8" t="n">
        <f aca="false">SUM(AC118,AC119,AC120,AC121,AC122,AC123,AC124,AC125,AC126,AC127,AC128,AC129)</f>
        <v>16.5</v>
      </c>
      <c r="AD117" s="8" t="n">
        <f aca="false">SUM(AD118,AD119,AD120,AD121,AD122,AD123,AD124,AD125,AD126,AD127,AD128,AD129)</f>
        <v>28.5</v>
      </c>
      <c r="AE117" s="8" t="n">
        <f aca="false">SUM(AE118,AE119,AE120,AE121,AE122,AE123,AE124,AE125,AE126,AE127,AE128,AE129)</f>
        <v>37.5</v>
      </c>
      <c r="AF117" s="11" t="n">
        <f aca="false">SUM(AF118,AF119,AF120,AF121,AF122,AF123,AF124,AF125,AF126,AF127,AF128,AF129)</f>
        <v>62.5</v>
      </c>
      <c r="AG117" s="11" t="n">
        <f aca="false">SUM(AG118,AG119,AG120,AG121,AG122,AG123,AG124,AG125,AG126,AG127,AG128,AG129)</f>
        <v>59.5</v>
      </c>
      <c r="AH117" s="12" t="n">
        <f aca="false">SUM(AH118,AH119,AH120,AH121,AH122,AH123,AH124,AH125,AH126,AH127,AH128,AH129)</f>
        <v>72.5</v>
      </c>
      <c r="AI117" s="12" t="n">
        <f aca="false">SUM(AI118,AI119,AI120,AI121,AI122,AI123,AI124,AI125,AI126,AI127,AI128,AI129)</f>
        <v>66.5</v>
      </c>
      <c r="AJ117" s="8" t="n">
        <f aca="false">SUM(AJ118,AJ119,AJ120,AJ121,AJ122,AJ123,AJ124,AJ125,AJ126,AJ127,AJ128,AJ129)</f>
        <v>30</v>
      </c>
      <c r="AK117" s="8" t="n">
        <f aca="false">SUM(AK118,AK119,AK120,AK121,AK122,AK123,AK124,AK125,AK126,AK127,AK128,AK129)</f>
        <v>30</v>
      </c>
      <c r="AL117" s="8" t="n">
        <f aca="false">SUM(AL118,AL119,AL120,AL121,AL122,AL123,AL124,AL125,AL126,AL127,AL128,AL129)</f>
        <v>30</v>
      </c>
      <c r="AM117" s="8" t="n">
        <f aca="false">SUM(AM118,AM119,AM120,AM121,AM122,AM123,AM124,AM125,AM126,AM127,AM128,AM129)</f>
        <v>0</v>
      </c>
      <c r="AN117" s="8" t="n">
        <f aca="false">SUM(AN118,AN119,AN120,AN121,AN122,AN123,AN124,AN125,AN126,AN127,AN128,AN129)</f>
        <v>0</v>
      </c>
      <c r="AO117" s="8" t="n">
        <f aca="false">SUM(AO118,AO119,AO120,AO121,AO122,AO123,AO124,AO125,AO126,AO127,AO128,AO129)</f>
        <v>0</v>
      </c>
      <c r="AP117" s="8" t="n">
        <f aca="false">SUM(AP118,AP119,AP120,AP121,AP122,AP123,AP124,AP125,AP126,AP127,AP128,AP129)</f>
        <v>0</v>
      </c>
      <c r="AQ117" s="8" t="n">
        <f aca="false">SUM(AQ118,AQ119,AQ120,AQ121,AQ122,AQ123,AQ124,AQ125,AQ126,AQ127,AQ128,AQ129)</f>
        <v>0</v>
      </c>
      <c r="AR117" s="8" t="n">
        <f aca="false">SUM(AR118,AR119,AR120,AR121,AR122,AR123,AR124,AR125,AR126,AR127,AR128,AR129)</f>
        <v>0</v>
      </c>
      <c r="AS117" s="8" t="n">
        <f aca="false">SUM(AS118,AS119,AS120,AS121,AS122,AS123,AS124,AS125,AS126,AS127,AS128,AS129)</f>
        <v>0</v>
      </c>
      <c r="AT117" s="8" t="n">
        <f aca="false">SUM(AT118,AT119,AT120,AT121,AT122,AT123,AT124,AT125,AT126,AT127,AT128,AT129)</f>
        <v>0</v>
      </c>
      <c r="AU117" s="8" t="n">
        <f aca="false">SUM(AU118,AU119,AU120,AU121,AU122,AU123,AU124,AU125,AU126,AU127,AU128,AU129)</f>
        <v>0</v>
      </c>
      <c r="AV117" s="8" t="n">
        <f aca="false">SUM(AV118,AV119,AV120,AV121,AV122,AV123,AV124,AV125,AV126,AV127,AV128,AV129)</f>
        <v>0</v>
      </c>
      <c r="AW117" s="8" t="n">
        <f aca="false">SUM(AW118,AW119,AW120,AW121,AW122,AW123,AW124,AW125,AW126,AW127,AW128,AW129)</f>
        <v>0</v>
      </c>
    </row>
    <row r="118" customFormat="false" ht="15" hidden="true" customHeight="true" outlineLevel="1" collapsed="false">
      <c r="A118" s="9" t="s">
        <v>12</v>
      </c>
      <c r="B118" s="9" t="s">
        <v>10</v>
      </c>
      <c r="C118" s="9" t="s">
        <v>20</v>
      </c>
      <c r="D118" s="9" t="s">
        <v>78</v>
      </c>
      <c r="E118" s="9" t="s">
        <v>82</v>
      </c>
      <c r="F118" s="10" t="n">
        <v>10</v>
      </c>
      <c r="G118" s="10" t="n">
        <v>10</v>
      </c>
      <c r="H118" s="10" t="n">
        <v>19</v>
      </c>
      <c r="I118" s="10" t="n">
        <v>-9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</row>
    <row r="119" customFormat="false" ht="15" hidden="true" customHeight="true" outlineLevel="1" collapsed="false">
      <c r="A119" s="9" t="s">
        <v>12</v>
      </c>
      <c r="B119" s="9" t="s">
        <v>10</v>
      </c>
      <c r="C119" s="9" t="s">
        <v>20</v>
      </c>
      <c r="D119" s="9" t="s">
        <v>78</v>
      </c>
      <c r="E119" s="9" t="s">
        <v>83</v>
      </c>
      <c r="F119" s="10" t="n">
        <v>8</v>
      </c>
      <c r="G119" s="10" t="n">
        <v>8</v>
      </c>
      <c r="H119" s="10" t="n">
        <v>21</v>
      </c>
      <c r="I119" s="10" t="n">
        <v>-13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n">
        <v>0</v>
      </c>
      <c r="AW119" s="10" t="n">
        <v>0</v>
      </c>
    </row>
    <row r="120" customFormat="false" ht="15" hidden="true" customHeight="true" outlineLevel="1" collapsed="false">
      <c r="A120" s="9" t="s">
        <v>12</v>
      </c>
      <c r="B120" s="9" t="s">
        <v>10</v>
      </c>
      <c r="C120" s="9" t="s">
        <v>20</v>
      </c>
      <c r="D120" s="9" t="s">
        <v>78</v>
      </c>
      <c r="E120" s="9" t="s">
        <v>84</v>
      </c>
      <c r="F120" s="10" t="n">
        <v>0</v>
      </c>
      <c r="G120" s="10" t="n">
        <v>8</v>
      </c>
      <c r="H120" s="10" t="n">
        <v>8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4</v>
      </c>
      <c r="R120" s="10" t="n">
        <v>4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  <c r="AT120" s="10" t="n">
        <v>0</v>
      </c>
      <c r="AU120" s="10" t="n">
        <v>0</v>
      </c>
      <c r="AV120" s="10" t="n">
        <v>0</v>
      </c>
      <c r="AW120" s="10" t="n">
        <v>0</v>
      </c>
    </row>
    <row r="121" customFormat="false" ht="15" hidden="true" customHeight="true" outlineLevel="1" collapsed="false">
      <c r="A121" s="9" t="s">
        <v>12</v>
      </c>
      <c r="B121" s="9" t="s">
        <v>10</v>
      </c>
      <c r="C121" s="9" t="s">
        <v>20</v>
      </c>
      <c r="D121" s="9" t="s">
        <v>78</v>
      </c>
      <c r="E121" s="9" t="s">
        <v>40</v>
      </c>
      <c r="F121" s="10" t="n">
        <v>0</v>
      </c>
      <c r="G121" s="10" t="n">
        <v>18</v>
      </c>
      <c r="H121" s="10" t="n">
        <v>24</v>
      </c>
      <c r="I121" s="10" t="n">
        <v>-6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8</v>
      </c>
      <c r="AG121" s="10" t="n">
        <v>0</v>
      </c>
      <c r="AH121" s="10" t="n">
        <v>6</v>
      </c>
      <c r="AI121" s="10" t="n">
        <v>10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n">
        <v>0</v>
      </c>
      <c r="AW121" s="10" t="n">
        <v>0</v>
      </c>
    </row>
    <row r="122" customFormat="false" ht="15" hidden="true" customHeight="true" outlineLevel="1" collapsed="false">
      <c r="A122" s="9" t="s">
        <v>12</v>
      </c>
      <c r="B122" s="9" t="s">
        <v>10</v>
      </c>
      <c r="C122" s="9" t="s">
        <v>20</v>
      </c>
      <c r="D122" s="9" t="s">
        <v>78</v>
      </c>
      <c r="E122" s="9" t="s">
        <v>85</v>
      </c>
      <c r="F122" s="10" t="n">
        <v>105</v>
      </c>
      <c r="G122" s="10" t="n">
        <v>353</v>
      </c>
      <c r="H122" s="10" t="n">
        <v>477</v>
      </c>
      <c r="I122" s="10" t="n">
        <v>-124</v>
      </c>
      <c r="J122" s="10" t="n">
        <v>27</v>
      </c>
      <c r="K122" s="10" t="n">
        <v>43.5</v>
      </c>
      <c r="L122" s="10" t="n">
        <v>41.5</v>
      </c>
      <c r="M122" s="10" t="n">
        <v>5.5</v>
      </c>
      <c r="N122" s="10" t="n">
        <v>3.5</v>
      </c>
      <c r="O122" s="10" t="n">
        <v>3.5</v>
      </c>
      <c r="P122" s="10" t="n">
        <v>3.5</v>
      </c>
      <c r="Q122" s="10" t="n">
        <v>3.5</v>
      </c>
      <c r="R122" s="10" t="n">
        <v>3.5</v>
      </c>
      <c r="S122" s="10" t="n">
        <v>5.5</v>
      </c>
      <c r="T122" s="10" t="n">
        <v>3.5</v>
      </c>
      <c r="U122" s="10" t="n">
        <v>11.5</v>
      </c>
      <c r="V122" s="10" t="n">
        <v>42.5</v>
      </c>
      <c r="W122" s="10" t="n">
        <v>40.5</v>
      </c>
      <c r="X122" s="10" t="n">
        <v>11.5</v>
      </c>
      <c r="Y122" s="10" t="n">
        <v>0</v>
      </c>
      <c r="Z122" s="10" t="n">
        <v>0</v>
      </c>
      <c r="AA122" s="10" t="n">
        <v>0</v>
      </c>
      <c r="AB122" s="10" t="n">
        <v>13.5</v>
      </c>
      <c r="AC122" s="10" t="n">
        <v>6.5</v>
      </c>
      <c r="AD122" s="10" t="n">
        <v>3.5</v>
      </c>
      <c r="AE122" s="10" t="n">
        <v>7.5</v>
      </c>
      <c r="AF122" s="10" t="n">
        <v>16.5</v>
      </c>
      <c r="AG122" s="10" t="n">
        <v>29.5</v>
      </c>
      <c r="AH122" s="10" t="n">
        <v>21.5</v>
      </c>
      <c r="AI122" s="10" t="n">
        <v>11.5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</row>
    <row r="123" customFormat="false" ht="15" hidden="true" customHeight="true" outlineLevel="1" collapsed="false">
      <c r="A123" s="9" t="s">
        <v>12</v>
      </c>
      <c r="B123" s="9" t="s">
        <v>10</v>
      </c>
      <c r="C123" s="9" t="s">
        <v>20</v>
      </c>
      <c r="D123" s="9" t="s">
        <v>78</v>
      </c>
      <c r="E123" s="9" t="s">
        <v>86</v>
      </c>
      <c r="F123" s="10" t="n">
        <v>0</v>
      </c>
      <c r="G123" s="10" t="n">
        <v>0</v>
      </c>
      <c r="H123" s="10" t="n">
        <v>42</v>
      </c>
      <c r="I123" s="10" t="n">
        <v>-42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10" t="n">
        <v>0</v>
      </c>
    </row>
    <row r="124" customFormat="false" ht="15" hidden="true" customHeight="true" outlineLevel="1" collapsed="false">
      <c r="A124" s="9" t="s">
        <v>12</v>
      </c>
      <c r="B124" s="9" t="s">
        <v>10</v>
      </c>
      <c r="C124" s="9" t="s">
        <v>20</v>
      </c>
      <c r="D124" s="9" t="s">
        <v>78</v>
      </c>
      <c r="E124" s="9" t="s">
        <v>43</v>
      </c>
      <c r="F124" s="10" t="n">
        <v>0</v>
      </c>
      <c r="G124" s="10" t="n">
        <v>0</v>
      </c>
      <c r="H124" s="10" t="n">
        <v>140</v>
      </c>
      <c r="I124" s="10" t="n">
        <v>-140</v>
      </c>
      <c r="J124" s="10" t="n">
        <v>11</v>
      </c>
      <c r="K124" s="10" t="n">
        <v>10</v>
      </c>
      <c r="L124" s="10" t="n">
        <v>10</v>
      </c>
      <c r="M124" s="10" t="n">
        <v>5</v>
      </c>
      <c r="N124" s="10" t="n">
        <v>5</v>
      </c>
      <c r="O124" s="10" t="n">
        <v>5</v>
      </c>
      <c r="P124" s="10" t="n">
        <v>5</v>
      </c>
      <c r="Q124" s="10" t="n">
        <v>5</v>
      </c>
      <c r="R124" s="10" t="n">
        <v>5</v>
      </c>
      <c r="S124" s="10" t="n">
        <v>5</v>
      </c>
      <c r="T124" s="10" t="n">
        <v>10</v>
      </c>
      <c r="U124" s="10" t="n">
        <v>10</v>
      </c>
      <c r="V124" s="10" t="n">
        <v>10</v>
      </c>
      <c r="W124" s="10" t="n">
        <v>10</v>
      </c>
      <c r="X124" s="10" t="n">
        <v>10</v>
      </c>
      <c r="Y124" s="10" t="n">
        <v>10</v>
      </c>
      <c r="Z124" s="10" t="n">
        <v>10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0</v>
      </c>
      <c r="AR124" s="10" t="n">
        <v>0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0</v>
      </c>
    </row>
    <row r="125" customFormat="false" ht="15" hidden="true" customHeight="true" outlineLevel="1" collapsed="false">
      <c r="A125" s="9" t="s">
        <v>12</v>
      </c>
      <c r="B125" s="9" t="s">
        <v>10</v>
      </c>
      <c r="C125" s="9" t="s">
        <v>20</v>
      </c>
      <c r="D125" s="9" t="s">
        <v>78</v>
      </c>
      <c r="E125" s="9" t="s">
        <v>111</v>
      </c>
      <c r="F125" s="10" t="n">
        <v>19.5</v>
      </c>
      <c r="G125" s="10" t="n">
        <v>91.5</v>
      </c>
      <c r="H125" s="10" t="n">
        <v>85.5</v>
      </c>
      <c r="I125" s="10" t="n">
        <v>6</v>
      </c>
      <c r="J125" s="10" t="n">
        <v>5</v>
      </c>
      <c r="K125" s="10" t="n">
        <v>2</v>
      </c>
      <c r="L125" s="10" t="n">
        <v>4</v>
      </c>
      <c r="M125" s="10" t="n">
        <v>4</v>
      </c>
      <c r="N125" s="10" t="n">
        <v>4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4</v>
      </c>
      <c r="T125" s="10" t="n">
        <v>4</v>
      </c>
      <c r="U125" s="10" t="n">
        <v>4</v>
      </c>
      <c r="V125" s="10" t="n">
        <v>0</v>
      </c>
      <c r="W125" s="10" t="n">
        <v>4</v>
      </c>
      <c r="X125" s="10" t="n">
        <v>4</v>
      </c>
      <c r="Y125" s="10" t="n">
        <v>4</v>
      </c>
      <c r="Z125" s="10" t="n">
        <v>0</v>
      </c>
      <c r="AA125" s="10" t="n">
        <v>0</v>
      </c>
      <c r="AB125" s="10" t="n">
        <v>0</v>
      </c>
      <c r="AC125" s="10" t="n">
        <v>4</v>
      </c>
      <c r="AD125" s="10" t="n">
        <v>10</v>
      </c>
      <c r="AE125" s="10" t="n">
        <v>10</v>
      </c>
      <c r="AF125" s="10" t="n">
        <v>8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0" t="n">
        <v>0</v>
      </c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10" t="n">
        <v>0</v>
      </c>
    </row>
    <row r="126" customFormat="false" ht="15" hidden="true" customHeight="true" outlineLevel="1" collapsed="false">
      <c r="A126" s="9" t="s">
        <v>12</v>
      </c>
      <c r="B126" s="9" t="s">
        <v>10</v>
      </c>
      <c r="C126" s="9" t="s">
        <v>20</v>
      </c>
      <c r="D126" s="9" t="s">
        <v>78</v>
      </c>
      <c r="E126" s="9" t="s">
        <v>100</v>
      </c>
      <c r="F126" s="10" t="n">
        <v>39</v>
      </c>
      <c r="G126" s="10" t="n">
        <v>286</v>
      </c>
      <c r="H126" s="10" t="n">
        <v>316.5</v>
      </c>
      <c r="I126" s="10" t="n">
        <v>-30.5</v>
      </c>
      <c r="J126" s="10" t="n">
        <v>2</v>
      </c>
      <c r="K126" s="10" t="n">
        <v>1</v>
      </c>
      <c r="L126" s="10" t="n">
        <v>2</v>
      </c>
      <c r="M126" s="10" t="n">
        <v>2</v>
      </c>
      <c r="N126" s="10" t="n">
        <v>4</v>
      </c>
      <c r="O126" s="10" t="n">
        <v>4</v>
      </c>
      <c r="P126" s="10" t="n">
        <v>12</v>
      </c>
      <c r="Q126" s="10" t="n">
        <v>20</v>
      </c>
      <c r="R126" s="10" t="n">
        <v>12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3</v>
      </c>
      <c r="Z126" s="10" t="n">
        <v>0</v>
      </c>
      <c r="AA126" s="10" t="n">
        <v>0</v>
      </c>
      <c r="AB126" s="10" t="n">
        <v>0</v>
      </c>
      <c r="AC126" s="10" t="n">
        <v>6</v>
      </c>
      <c r="AD126" s="10" t="n">
        <v>15</v>
      </c>
      <c r="AE126" s="10" t="n">
        <v>20</v>
      </c>
      <c r="AF126" s="10" t="n">
        <v>30</v>
      </c>
      <c r="AG126" s="10" t="n">
        <v>30</v>
      </c>
      <c r="AH126" s="10" t="n">
        <v>45</v>
      </c>
      <c r="AI126" s="10" t="n">
        <v>45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0</v>
      </c>
      <c r="AT126" s="10" t="n">
        <v>0</v>
      </c>
      <c r="AU126" s="10" t="n">
        <v>0</v>
      </c>
      <c r="AV126" s="10" t="n">
        <v>0</v>
      </c>
      <c r="AW126" s="10" t="n">
        <v>0</v>
      </c>
    </row>
    <row r="127" customFormat="false" ht="15" hidden="true" customHeight="true" outlineLevel="1" collapsed="false">
      <c r="A127" s="9" t="s">
        <v>12</v>
      </c>
      <c r="B127" s="9" t="s">
        <v>10</v>
      </c>
      <c r="C127" s="9" t="s">
        <v>20</v>
      </c>
      <c r="D127" s="9" t="s">
        <v>78</v>
      </c>
      <c r="E127" s="9" t="s">
        <v>114</v>
      </c>
      <c r="F127" s="10" t="n">
        <v>0</v>
      </c>
      <c r="G127" s="10" t="n">
        <v>90</v>
      </c>
      <c r="H127" s="10" t="n">
        <v>90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30</v>
      </c>
      <c r="AK127" s="10" t="n">
        <v>30</v>
      </c>
      <c r="AL127" s="10" t="n">
        <v>30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n">
        <v>0</v>
      </c>
      <c r="AW127" s="10" t="n">
        <v>0</v>
      </c>
    </row>
    <row r="128" customFormat="false" ht="15" hidden="true" customHeight="true" outlineLevel="1" collapsed="false">
      <c r="A128" s="9" t="s">
        <v>12</v>
      </c>
      <c r="B128" s="9" t="s">
        <v>10</v>
      </c>
      <c r="C128" s="9" t="s">
        <v>20</v>
      </c>
      <c r="D128" s="9" t="s">
        <v>78</v>
      </c>
      <c r="E128" s="9" t="s">
        <v>87</v>
      </c>
      <c r="F128" s="10" t="n">
        <v>12</v>
      </c>
      <c r="G128" s="10" t="n">
        <v>12</v>
      </c>
      <c r="H128" s="10" t="n">
        <v>32</v>
      </c>
      <c r="I128" s="10" t="n">
        <v>-20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10" t="n">
        <v>0</v>
      </c>
    </row>
    <row r="129" customFormat="false" ht="15" hidden="true" customHeight="true" outlineLevel="1" collapsed="false">
      <c r="A129" s="9" t="s">
        <v>12</v>
      </c>
      <c r="B129" s="9" t="s">
        <v>10</v>
      </c>
      <c r="C129" s="9" t="s">
        <v>20</v>
      </c>
      <c r="D129" s="9" t="s">
        <v>78</v>
      </c>
      <c r="E129" s="9" t="s">
        <v>88</v>
      </c>
      <c r="F129" s="10" t="n">
        <v>0</v>
      </c>
      <c r="G129" s="10" t="n">
        <v>12</v>
      </c>
      <c r="H129" s="10" t="n">
        <v>12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6</v>
      </c>
      <c r="R129" s="10" t="n">
        <v>6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  <c r="AU129" s="10" t="n">
        <v>0</v>
      </c>
      <c r="AV129" s="10" t="n">
        <v>0</v>
      </c>
      <c r="AW129" s="10" t="n">
        <v>0</v>
      </c>
    </row>
    <row r="130" customFormat="false" ht="15" hidden="false" customHeight="true" outlineLevel="0" collapsed="false">
      <c r="A130" s="7" t="s">
        <v>12</v>
      </c>
      <c r="B130" s="7" t="s">
        <v>10</v>
      </c>
      <c r="C130" s="7" t="s">
        <v>23</v>
      </c>
      <c r="D130" s="7" t="s">
        <v>76</v>
      </c>
      <c r="E130" s="7" t="s">
        <v>77</v>
      </c>
      <c r="F130" s="8" t="n">
        <f aca="false">SUM(F131,F132,F133,F134,F135,F136,F137,F138,F139,F140,F141,F142,F143,F144)</f>
        <v>315.6</v>
      </c>
      <c r="G130" s="8" t="n">
        <f aca="false">SUM(G131,G132,G133,G134,G135,G136,G137,G138,G139,G140,G141,G142,G143,G144)</f>
        <v>1106.5</v>
      </c>
      <c r="H130" s="8" t="n">
        <f aca="false">SUM(H131,H132,H133,H134,H135,H136,H137,H138,H139,H140,H141,H142,H143,H144)</f>
        <v>1042.2</v>
      </c>
      <c r="I130" s="8" t="n">
        <f aca="false">SUM(I131,I132,I133,I134,I135,I136,I137,I138,I139,I140,I141,I142,I143,I144)</f>
        <v>64.3</v>
      </c>
      <c r="J130" s="8" t="n">
        <f aca="false">SUM(J131,J132,J133,J134,J135,J136,J137,J138,J139,J140,J141,J142,J143,J144)</f>
        <v>0.614035</v>
      </c>
      <c r="K130" s="8" t="n">
        <f aca="false">SUM(K131,K132,K133,K134,K135,K136,K137,K138,K139,K140,K141,K142,K143,K144)</f>
        <v>14.614035</v>
      </c>
      <c r="L130" s="8" t="n">
        <f aca="false">SUM(L131,L132,L133,L134,L135,L136,L137,L138,L139,L140,L141,L142,L143,L144)</f>
        <v>18.614035</v>
      </c>
      <c r="M130" s="8" t="n">
        <f aca="false">SUM(M131,M132,M133,M134,M135,M136,M137,M138,M139,M140,M141,M142,M143,M144)</f>
        <v>18.614035</v>
      </c>
      <c r="N130" s="8" t="n">
        <f aca="false">SUM(N131,N132,N133,N134,N135,N136,N137,N138,N139,N140,N141,N142,N143,N144)</f>
        <v>19.614035</v>
      </c>
      <c r="O130" s="8" t="n">
        <f aca="false">SUM(O131,O132,O133,O134,O135,O136,O137,O138,O139,O140,O141,O142,O143,O144)</f>
        <v>15.614035</v>
      </c>
      <c r="P130" s="8" t="n">
        <f aca="false">SUM(P131,P132,P133,P134,P135,P136,P137,P138,P139,P140,P141,P142,P143,P144)</f>
        <v>32.614035</v>
      </c>
      <c r="Q130" s="12" t="n">
        <f aca="false">SUM(Q131,Q132,Q133,Q134,Q135,Q136,Q137,Q138,Q139,Q140,Q141,Q142,Q143,Q144)</f>
        <v>54.614035</v>
      </c>
      <c r="R130" s="12" t="n">
        <f aca="false">SUM(R131,R132,R133,R134,R135,R136,R137,R138,R139,R140,R141,R142,R143,R144)</f>
        <v>57.614035</v>
      </c>
      <c r="S130" s="8" t="n">
        <f aca="false">SUM(S131,S132,S133,S134,S135,S136,S137,S138,S139,S140,S141,S142,S143,S144)</f>
        <v>17.614035</v>
      </c>
      <c r="T130" s="8" t="n">
        <f aca="false">SUM(T131,T132,T133,T134,T135,T136,T137,T138,T139,T140,T141,T142,T143,T144)</f>
        <v>21.614035</v>
      </c>
      <c r="U130" s="8" t="n">
        <f aca="false">SUM(U131,U132,U133,U134,U135,U136,U137,U138,U139,U140,U141,U142,U143,U144)</f>
        <v>33.614035</v>
      </c>
      <c r="V130" s="8" t="n">
        <f aca="false">SUM(V131,V132,V133,V134,V135,V136,V137,V138,V139,V140,V141,V142,V143,V144)</f>
        <v>8.614035</v>
      </c>
      <c r="W130" s="8" t="n">
        <f aca="false">SUM(W131,W132,W133,W134,W135,W136,W137,W138,W139,W140,W141,W142,W143,W144)</f>
        <v>12.614035</v>
      </c>
      <c r="X130" s="8" t="n">
        <f aca="false">SUM(X131,X132,X133,X134,X135,X136,X137,X138,X139,X140,X141,X142,X143,X144)</f>
        <v>22.614035</v>
      </c>
      <c r="Y130" s="8" t="n">
        <f aca="false">SUM(Y131,Y132,Y133,Y134,Y135,Y136,Y137,Y138,Y139,Y140,Y141,Y142,Y143,Y144)</f>
        <v>19.614035</v>
      </c>
      <c r="Z130" s="8" t="n">
        <f aca="false">SUM(Z131,Z132,Z133,Z134,Z135,Z136,Z137,Z138,Z139,Z140,Z141,Z142,Z143,Z144)</f>
        <v>0.614035</v>
      </c>
      <c r="AA130" s="8" t="n">
        <f aca="false">SUM(AA131,AA132,AA133,AA134,AA135,AA136,AA137,AA138,AA139,AA140,AA141,AA142,AA143,AA144)</f>
        <v>0.8</v>
      </c>
      <c r="AB130" s="8" t="n">
        <f aca="false">SUM(AB131,AB132,AB133,AB134,AB135,AB136,AB137,AB138,AB139,AB140,AB141,AB142,AB143,AB144)</f>
        <v>42.5</v>
      </c>
      <c r="AC130" s="8" t="n">
        <f aca="false">SUM(AC131,AC132,AC133,AC134,AC135,AC136,AC137,AC138,AC139,AC140,AC141,AC142,AC143,AC144)</f>
        <v>47.5</v>
      </c>
      <c r="AD130" s="11" t="n">
        <f aca="false">SUM(AD131,AD132,AD133,AD134,AD135,AD136,AD137,AD138,AD139,AD140,AD141,AD142,AD143,AD144)</f>
        <v>58.5</v>
      </c>
      <c r="AE130" s="11" t="n">
        <f aca="false">SUM(AE131,AE132,AE133,AE134,AE135,AE136,AE137,AE138,AE139,AE140,AE141,AE142,AE143,AE144)</f>
        <v>63.5</v>
      </c>
      <c r="AF130" s="11" t="n">
        <f aca="false">SUM(AF131,AF132,AF133,AF134,AF135,AF136,AF137,AF138,AF139,AF140,AF141,AF142,AF143,AF144)</f>
        <v>56</v>
      </c>
      <c r="AG130" s="12" t="n">
        <f aca="false">SUM(AG131,AG132,AG133,AG134,AG135,AG136,AG137,AG138,AG139,AG140,AG141,AG142,AG143,AG144)</f>
        <v>69.5</v>
      </c>
      <c r="AH130" s="8" t="n">
        <f aca="false">SUM(AH131,AH132,AH133,AH134,AH135,AH136,AH137,AH138,AH139,AH140,AH141,AH142,AH143,AH144)</f>
        <v>46.5</v>
      </c>
      <c r="AI130" s="8" t="n">
        <f aca="false">SUM(AI131,AI132,AI133,AI134,AI135,AI136,AI137,AI138,AI139,AI140,AI141,AI142,AI143,AI144)</f>
        <v>17.5</v>
      </c>
      <c r="AJ130" s="8" t="n">
        <f aca="false">SUM(AJ131,AJ132,AJ133,AJ134,AJ135,AJ136,AJ137,AJ138,AJ139,AJ140,AJ141,AJ142,AJ143,AJ144)</f>
        <v>10</v>
      </c>
      <c r="AK130" s="8" t="n">
        <f aca="false">SUM(AK131,AK132,AK133,AK134,AK135,AK136,AK137,AK138,AK139,AK140,AK141,AK142,AK143,AK144)</f>
        <v>17</v>
      </c>
      <c r="AL130" s="8" t="n">
        <f aca="false">SUM(AL131,AL132,AL133,AL134,AL135,AL136,AL137,AL138,AL139,AL140,AL141,AL142,AL143,AL144)</f>
        <v>15</v>
      </c>
      <c r="AM130" s="8" t="n">
        <f aca="false">SUM(AM131,AM132,AM133,AM134,AM135,AM136,AM137,AM138,AM139,AM140,AM141,AM142,AM143,AM144)</f>
        <v>0</v>
      </c>
      <c r="AN130" s="8" t="n">
        <f aca="false">SUM(AN131,AN132,AN133,AN134,AN135,AN136,AN137,AN138,AN139,AN140,AN141,AN142,AN143,AN144)</f>
        <v>0</v>
      </c>
      <c r="AO130" s="8" t="n">
        <f aca="false">SUM(AO131,AO132,AO133,AO134,AO135,AO136,AO137,AO138,AO139,AO140,AO141,AO142,AO143,AO144)</f>
        <v>0</v>
      </c>
      <c r="AP130" s="8" t="n">
        <f aca="false">SUM(AP131,AP132,AP133,AP134,AP135,AP136,AP137,AP138,AP139,AP140,AP141,AP142,AP143,AP144)</f>
        <v>0</v>
      </c>
      <c r="AQ130" s="8" t="n">
        <f aca="false">SUM(AQ131,AQ132,AQ133,AQ134,AQ135,AQ136,AQ137,AQ138,AQ139,AQ140,AQ141,AQ142,AQ143,AQ144)</f>
        <v>0</v>
      </c>
      <c r="AR130" s="8" t="n">
        <f aca="false">SUM(AR131,AR132,AR133,AR134,AR135,AR136,AR137,AR138,AR139,AR140,AR141,AR142,AR143,AR144)</f>
        <v>0</v>
      </c>
      <c r="AS130" s="8" t="n">
        <f aca="false">SUM(AS131,AS132,AS133,AS134,AS135,AS136,AS137,AS138,AS139,AS140,AS141,AS142,AS143,AS144)</f>
        <v>0</v>
      </c>
      <c r="AT130" s="8" t="n">
        <f aca="false">SUM(AT131,AT132,AT133,AT134,AT135,AT136,AT137,AT138,AT139,AT140,AT141,AT142,AT143,AT144)</f>
        <v>0</v>
      </c>
      <c r="AU130" s="8" t="n">
        <f aca="false">SUM(AU131,AU132,AU133,AU134,AU135,AU136,AU137,AU138,AU139,AU140,AU141,AU142,AU143,AU144)</f>
        <v>0</v>
      </c>
      <c r="AV130" s="8" t="n">
        <f aca="false">SUM(AV131,AV132,AV133,AV134,AV135,AV136,AV137,AV138,AV139,AV140,AV141,AV142,AV143,AV144)</f>
        <v>0</v>
      </c>
      <c r="AW130" s="8" t="n">
        <f aca="false">SUM(AW131,AW132,AW133,AW134,AW135,AW136,AW137,AW138,AW139,AW140,AW141,AW142,AW143,AW144)</f>
        <v>0</v>
      </c>
    </row>
    <row r="131" customFormat="false" ht="15" hidden="true" customHeight="true" outlineLevel="1" collapsed="false">
      <c r="A131" s="9" t="s">
        <v>12</v>
      </c>
      <c r="B131" s="9" t="s">
        <v>10</v>
      </c>
      <c r="C131" s="9" t="s">
        <v>23</v>
      </c>
      <c r="D131" s="9" t="s">
        <v>78</v>
      </c>
      <c r="E131" s="9" t="s">
        <v>80</v>
      </c>
      <c r="F131" s="10" t="n">
        <v>11</v>
      </c>
      <c r="G131" s="10" t="n">
        <v>86</v>
      </c>
      <c r="H131" s="10" t="n">
        <v>79</v>
      </c>
      <c r="I131" s="10" t="n">
        <v>7</v>
      </c>
      <c r="J131" s="10" t="n">
        <v>0</v>
      </c>
      <c r="K131" s="10" t="n">
        <v>1</v>
      </c>
      <c r="L131" s="10" t="n">
        <v>0</v>
      </c>
      <c r="M131" s="10" t="n">
        <v>0</v>
      </c>
      <c r="N131" s="10" t="n">
        <v>2</v>
      </c>
      <c r="O131" s="10" t="n">
        <v>0</v>
      </c>
      <c r="P131" s="10" t="n">
        <v>2</v>
      </c>
      <c r="Q131" s="10" t="n">
        <v>6</v>
      </c>
      <c r="R131" s="10" t="n">
        <v>4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2</v>
      </c>
      <c r="Y131" s="10" t="n">
        <v>2</v>
      </c>
      <c r="Z131" s="10" t="n">
        <v>0</v>
      </c>
      <c r="AA131" s="10" t="n">
        <v>0</v>
      </c>
      <c r="AB131" s="10" t="n">
        <v>3</v>
      </c>
      <c r="AC131" s="10" t="n">
        <v>5</v>
      </c>
      <c r="AD131" s="10" t="n">
        <v>4</v>
      </c>
      <c r="AE131" s="10" t="n">
        <v>2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10</v>
      </c>
      <c r="AK131" s="10" t="n">
        <v>17</v>
      </c>
      <c r="AL131" s="10" t="n">
        <v>15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10" t="n">
        <v>0</v>
      </c>
      <c r="AU131" s="10" t="n">
        <v>0</v>
      </c>
      <c r="AV131" s="10" t="n">
        <v>0</v>
      </c>
      <c r="AW131" s="10" t="n">
        <v>0</v>
      </c>
    </row>
    <row r="132" customFormat="false" ht="15" hidden="true" customHeight="true" outlineLevel="1" collapsed="false">
      <c r="A132" s="9" t="s">
        <v>12</v>
      </c>
      <c r="B132" s="9" t="s">
        <v>10</v>
      </c>
      <c r="C132" s="9" t="s">
        <v>23</v>
      </c>
      <c r="D132" s="9" t="s">
        <v>78</v>
      </c>
      <c r="E132" s="9" t="s">
        <v>81</v>
      </c>
      <c r="F132" s="10" t="n">
        <v>6.6</v>
      </c>
      <c r="G132" s="10" t="n">
        <v>29.5</v>
      </c>
      <c r="H132" s="10" t="n">
        <v>22.7</v>
      </c>
      <c r="I132" s="10" t="n">
        <v>6.8</v>
      </c>
      <c r="J132" s="10" t="n">
        <v>0.614035</v>
      </c>
      <c r="K132" s="10" t="n">
        <v>0.614035</v>
      </c>
      <c r="L132" s="10" t="n">
        <v>0.614035</v>
      </c>
      <c r="M132" s="10" t="n">
        <v>0.614035</v>
      </c>
      <c r="N132" s="10" t="n">
        <v>0.614035</v>
      </c>
      <c r="O132" s="10" t="n">
        <v>0.614035</v>
      </c>
      <c r="P132" s="10" t="n">
        <v>0.614035</v>
      </c>
      <c r="Q132" s="10" t="n">
        <v>0.614035</v>
      </c>
      <c r="R132" s="10" t="n">
        <v>0.614035</v>
      </c>
      <c r="S132" s="10" t="n">
        <v>0.614035</v>
      </c>
      <c r="T132" s="10" t="n">
        <v>0.614035</v>
      </c>
      <c r="U132" s="10" t="n">
        <v>0.614035</v>
      </c>
      <c r="V132" s="10" t="n">
        <v>0.614035</v>
      </c>
      <c r="W132" s="10" t="n">
        <v>0.614035</v>
      </c>
      <c r="X132" s="10" t="n">
        <v>0.614035</v>
      </c>
      <c r="Y132" s="10" t="n">
        <v>0.614035</v>
      </c>
      <c r="Z132" s="10" t="n">
        <v>0.614035</v>
      </c>
      <c r="AA132" s="10" t="n">
        <v>0.8</v>
      </c>
      <c r="AB132" s="10" t="n">
        <v>1.5</v>
      </c>
      <c r="AC132" s="10" t="n">
        <v>1.5</v>
      </c>
      <c r="AD132" s="10" t="n">
        <v>1.5</v>
      </c>
      <c r="AE132" s="10" t="n">
        <v>1.5</v>
      </c>
      <c r="AF132" s="10" t="n">
        <v>1</v>
      </c>
      <c r="AG132" s="10" t="n">
        <v>1.5</v>
      </c>
      <c r="AH132" s="10" t="n">
        <v>1.5</v>
      </c>
      <c r="AI132" s="10" t="n">
        <v>1.5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10" t="n">
        <v>0</v>
      </c>
    </row>
    <row r="133" customFormat="false" ht="15" hidden="true" customHeight="true" outlineLevel="1" collapsed="false">
      <c r="A133" s="9" t="s">
        <v>12</v>
      </c>
      <c r="B133" s="9" t="s">
        <v>10</v>
      </c>
      <c r="C133" s="9" t="s">
        <v>23</v>
      </c>
      <c r="D133" s="9" t="s">
        <v>78</v>
      </c>
      <c r="E133" s="9" t="s">
        <v>102</v>
      </c>
      <c r="F133" s="10" t="n">
        <v>31</v>
      </c>
      <c r="G133" s="10" t="n">
        <v>278</v>
      </c>
      <c r="H133" s="10" t="n">
        <v>270</v>
      </c>
      <c r="I133" s="10" t="n">
        <v>8</v>
      </c>
      <c r="J133" s="10" t="n">
        <v>0</v>
      </c>
      <c r="K133" s="10" t="n">
        <v>13</v>
      </c>
      <c r="L133" s="10" t="n">
        <v>18</v>
      </c>
      <c r="M133" s="10" t="n">
        <v>18</v>
      </c>
      <c r="N133" s="10" t="n">
        <v>17</v>
      </c>
      <c r="O133" s="10" t="n">
        <v>7</v>
      </c>
      <c r="P133" s="10" t="n">
        <v>7</v>
      </c>
      <c r="Q133" s="10" t="n">
        <v>10</v>
      </c>
      <c r="R133" s="10" t="n">
        <v>10</v>
      </c>
      <c r="S133" s="10" t="n">
        <v>7</v>
      </c>
      <c r="T133" s="10" t="n">
        <v>8</v>
      </c>
      <c r="U133" s="10" t="n">
        <v>10</v>
      </c>
      <c r="V133" s="10" t="n">
        <v>8</v>
      </c>
      <c r="W133" s="10" t="n">
        <v>4</v>
      </c>
      <c r="X133" s="10" t="n">
        <v>10</v>
      </c>
      <c r="Y133" s="10" t="n">
        <v>7</v>
      </c>
      <c r="Z133" s="10" t="n">
        <v>0</v>
      </c>
      <c r="AA133" s="10" t="n">
        <v>0</v>
      </c>
      <c r="AB133" s="10" t="n">
        <v>7</v>
      </c>
      <c r="AC133" s="10" t="n">
        <v>10</v>
      </c>
      <c r="AD133" s="10" t="n">
        <v>18</v>
      </c>
      <c r="AE133" s="10" t="n">
        <v>20</v>
      </c>
      <c r="AF133" s="10" t="n">
        <v>20</v>
      </c>
      <c r="AG133" s="10" t="n">
        <v>20</v>
      </c>
      <c r="AH133" s="10" t="n">
        <v>15</v>
      </c>
      <c r="AI133" s="10" t="n">
        <v>6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</row>
    <row r="134" customFormat="false" ht="15" hidden="true" customHeight="true" outlineLevel="1" collapsed="false">
      <c r="A134" s="9" t="s">
        <v>12</v>
      </c>
      <c r="B134" s="9" t="s">
        <v>10</v>
      </c>
      <c r="C134" s="9" t="s">
        <v>23</v>
      </c>
      <c r="D134" s="9" t="s">
        <v>78</v>
      </c>
      <c r="E134" s="9" t="s">
        <v>82</v>
      </c>
      <c r="F134" s="10" t="n">
        <v>15</v>
      </c>
      <c r="G134" s="10" t="n">
        <v>15</v>
      </c>
      <c r="H134" s="10" t="n">
        <v>22</v>
      </c>
      <c r="I134" s="10" t="n">
        <v>-7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</row>
    <row r="135" customFormat="false" ht="15" hidden="true" customHeight="true" outlineLevel="1" collapsed="false">
      <c r="A135" s="9" t="s">
        <v>12</v>
      </c>
      <c r="B135" s="9" t="s">
        <v>10</v>
      </c>
      <c r="C135" s="9" t="s">
        <v>23</v>
      </c>
      <c r="D135" s="9" t="s">
        <v>78</v>
      </c>
      <c r="E135" s="9" t="s">
        <v>83</v>
      </c>
      <c r="F135" s="10" t="n">
        <v>10</v>
      </c>
      <c r="G135" s="10" t="n">
        <v>10</v>
      </c>
      <c r="H135" s="10" t="n">
        <v>5</v>
      </c>
      <c r="I135" s="10" t="n">
        <v>5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0</v>
      </c>
      <c r="AR135" s="10" t="n">
        <v>0</v>
      </c>
      <c r="AS135" s="10" t="n">
        <v>0</v>
      </c>
      <c r="AT135" s="10" t="n">
        <v>0</v>
      </c>
      <c r="AU135" s="10" t="n">
        <v>0</v>
      </c>
      <c r="AV135" s="10" t="n">
        <v>0</v>
      </c>
      <c r="AW135" s="10" t="n">
        <v>0</v>
      </c>
    </row>
    <row r="136" customFormat="false" ht="15" hidden="true" customHeight="true" outlineLevel="1" collapsed="false">
      <c r="A136" s="9" t="s">
        <v>12</v>
      </c>
      <c r="B136" s="9" t="s">
        <v>10</v>
      </c>
      <c r="C136" s="9" t="s">
        <v>23</v>
      </c>
      <c r="D136" s="9" t="s">
        <v>78</v>
      </c>
      <c r="E136" s="9" t="s">
        <v>84</v>
      </c>
      <c r="F136" s="10" t="n">
        <v>0</v>
      </c>
      <c r="G136" s="10" t="n">
        <v>10</v>
      </c>
      <c r="H136" s="10" t="n">
        <v>10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5</v>
      </c>
      <c r="R136" s="10" t="n">
        <v>5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0</v>
      </c>
      <c r="AO136" s="10" t="n">
        <v>0</v>
      </c>
      <c r="AP136" s="10" t="n">
        <v>0</v>
      </c>
      <c r="AQ136" s="10" t="n">
        <v>0</v>
      </c>
      <c r="AR136" s="10" t="n">
        <v>0</v>
      </c>
      <c r="AS136" s="10" t="n">
        <v>0</v>
      </c>
      <c r="AT136" s="10" t="n">
        <v>0</v>
      </c>
      <c r="AU136" s="10" t="n">
        <v>0</v>
      </c>
      <c r="AV136" s="10" t="n">
        <v>0</v>
      </c>
      <c r="AW136" s="10" t="n">
        <v>0</v>
      </c>
    </row>
    <row r="137" customFormat="false" ht="15" hidden="true" customHeight="true" outlineLevel="1" collapsed="false">
      <c r="A137" s="9" t="s">
        <v>12</v>
      </c>
      <c r="B137" s="9" t="s">
        <v>10</v>
      </c>
      <c r="C137" s="9" t="s">
        <v>23</v>
      </c>
      <c r="D137" s="9" t="s">
        <v>78</v>
      </c>
      <c r="E137" s="9" t="s">
        <v>40</v>
      </c>
      <c r="F137" s="10" t="n">
        <v>0</v>
      </c>
      <c r="G137" s="10" t="n">
        <v>18</v>
      </c>
      <c r="H137" s="10" t="n">
        <v>18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3</v>
      </c>
      <c r="AH137" s="10" t="n">
        <v>5</v>
      </c>
      <c r="AI137" s="10" t="n">
        <v>10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n">
        <v>0</v>
      </c>
      <c r="AW137" s="10" t="n">
        <v>0</v>
      </c>
    </row>
    <row r="138" customFormat="false" ht="15" hidden="true" customHeight="true" outlineLevel="1" collapsed="false">
      <c r="A138" s="9" t="s">
        <v>12</v>
      </c>
      <c r="B138" s="9" t="s">
        <v>10</v>
      </c>
      <c r="C138" s="9" t="s">
        <v>23</v>
      </c>
      <c r="D138" s="9" t="s">
        <v>78</v>
      </c>
      <c r="E138" s="9" t="s">
        <v>85</v>
      </c>
      <c r="F138" s="10" t="n">
        <v>1</v>
      </c>
      <c r="G138" s="10" t="n">
        <v>1</v>
      </c>
      <c r="H138" s="10" t="n">
        <v>1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</row>
    <row r="139" customFormat="false" ht="15" hidden="true" customHeight="true" outlineLevel="1" collapsed="false">
      <c r="A139" s="9" t="s">
        <v>12</v>
      </c>
      <c r="B139" s="9" t="s">
        <v>10</v>
      </c>
      <c r="C139" s="9" t="s">
        <v>23</v>
      </c>
      <c r="D139" s="9" t="s">
        <v>78</v>
      </c>
      <c r="E139" s="9" t="s">
        <v>103</v>
      </c>
      <c r="F139" s="10" t="n">
        <v>101</v>
      </c>
      <c r="G139" s="10" t="n">
        <v>401</v>
      </c>
      <c r="H139" s="10" t="n">
        <v>375.5</v>
      </c>
      <c r="I139" s="10" t="n">
        <v>25.5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15</v>
      </c>
      <c r="Q139" s="10" t="n">
        <v>15</v>
      </c>
      <c r="R139" s="10" t="n">
        <v>20</v>
      </c>
      <c r="S139" s="10" t="n">
        <v>0</v>
      </c>
      <c r="T139" s="10" t="n">
        <v>5</v>
      </c>
      <c r="U139" s="10" t="n">
        <v>15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25</v>
      </c>
      <c r="AC139" s="10" t="n">
        <v>25</v>
      </c>
      <c r="AD139" s="10" t="n">
        <v>35</v>
      </c>
      <c r="AE139" s="10" t="n">
        <v>40</v>
      </c>
      <c r="AF139" s="10" t="n">
        <v>35</v>
      </c>
      <c r="AG139" s="10" t="n">
        <v>45</v>
      </c>
      <c r="AH139" s="10" t="n">
        <v>25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</row>
    <row r="140" customFormat="false" ht="15" hidden="true" customHeight="true" outlineLevel="1" collapsed="false">
      <c r="A140" s="9" t="s">
        <v>12</v>
      </c>
      <c r="B140" s="9" t="s">
        <v>10</v>
      </c>
      <c r="C140" s="9" t="s">
        <v>23</v>
      </c>
      <c r="D140" s="9" t="s">
        <v>78</v>
      </c>
      <c r="E140" s="9" t="s">
        <v>86</v>
      </c>
      <c r="F140" s="10" t="n">
        <v>0</v>
      </c>
      <c r="G140" s="10" t="n">
        <v>0</v>
      </c>
      <c r="H140" s="10" t="n">
        <v>32</v>
      </c>
      <c r="I140" s="10" t="n">
        <v>-32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</v>
      </c>
    </row>
    <row r="141" customFormat="false" ht="15" hidden="true" customHeight="true" outlineLevel="1" collapsed="false">
      <c r="A141" s="9" t="s">
        <v>12</v>
      </c>
      <c r="B141" s="9" t="s">
        <v>10</v>
      </c>
      <c r="C141" s="9" t="s">
        <v>23</v>
      </c>
      <c r="D141" s="9" t="s">
        <v>78</v>
      </c>
      <c r="E141" s="9" t="s">
        <v>106</v>
      </c>
      <c r="F141" s="10" t="n">
        <v>126</v>
      </c>
      <c r="G141" s="10" t="n">
        <v>230</v>
      </c>
      <c r="H141" s="10" t="n">
        <v>180</v>
      </c>
      <c r="I141" s="10" t="n">
        <v>50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8</v>
      </c>
      <c r="P141" s="10" t="n">
        <v>8</v>
      </c>
      <c r="Q141" s="10" t="n">
        <v>10</v>
      </c>
      <c r="R141" s="10" t="n">
        <v>12</v>
      </c>
      <c r="S141" s="10" t="n">
        <v>10</v>
      </c>
      <c r="T141" s="10" t="n">
        <v>8</v>
      </c>
      <c r="U141" s="10" t="n">
        <v>8</v>
      </c>
      <c r="V141" s="10" t="n">
        <v>0</v>
      </c>
      <c r="W141" s="10" t="n">
        <v>8</v>
      </c>
      <c r="X141" s="10" t="n">
        <v>10</v>
      </c>
      <c r="Y141" s="10" t="n">
        <v>10</v>
      </c>
      <c r="Z141" s="10" t="n">
        <v>0</v>
      </c>
      <c r="AA141" s="10" t="n">
        <v>0</v>
      </c>
      <c r="AB141" s="10" t="n">
        <v>6</v>
      </c>
      <c r="AC141" s="10" t="n">
        <v>6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</row>
    <row r="142" customFormat="false" ht="15" hidden="true" customHeight="true" outlineLevel="1" collapsed="false">
      <c r="A142" s="9" t="s">
        <v>12</v>
      </c>
      <c r="B142" s="9" t="s">
        <v>10</v>
      </c>
      <c r="C142" s="9" t="s">
        <v>23</v>
      </c>
      <c r="D142" s="9" t="s">
        <v>78</v>
      </c>
      <c r="E142" s="9" t="s">
        <v>111</v>
      </c>
      <c r="F142" s="10" t="n">
        <v>0</v>
      </c>
      <c r="G142" s="10" t="n">
        <v>0</v>
      </c>
      <c r="H142" s="10" t="n">
        <v>1</v>
      </c>
      <c r="I142" s="10" t="n">
        <v>-1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</v>
      </c>
      <c r="AU142" s="10" t="n">
        <v>0</v>
      </c>
      <c r="AV142" s="10" t="n">
        <v>0</v>
      </c>
      <c r="AW142" s="10" t="n">
        <v>0</v>
      </c>
    </row>
    <row r="143" customFormat="false" ht="15" hidden="true" customHeight="true" outlineLevel="1" collapsed="false">
      <c r="A143" s="9" t="s">
        <v>12</v>
      </c>
      <c r="B143" s="9" t="s">
        <v>10</v>
      </c>
      <c r="C143" s="9" t="s">
        <v>23</v>
      </c>
      <c r="D143" s="9" t="s">
        <v>78</v>
      </c>
      <c r="E143" s="9" t="s">
        <v>87</v>
      </c>
      <c r="F143" s="10" t="n">
        <v>14</v>
      </c>
      <c r="G143" s="10" t="n">
        <v>14</v>
      </c>
      <c r="H143" s="10" t="n">
        <v>12</v>
      </c>
      <c r="I143" s="10" t="n">
        <v>2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  <c r="S143" s="10" t="n">
        <v>0</v>
      </c>
      <c r="T143" s="10" t="n">
        <v>0</v>
      </c>
      <c r="U143" s="10" t="n">
        <v>0</v>
      </c>
      <c r="V143" s="10" t="n">
        <v>0</v>
      </c>
      <c r="W143" s="10" t="n">
        <v>0</v>
      </c>
      <c r="X143" s="10" t="n">
        <v>0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0" t="n">
        <v>0</v>
      </c>
      <c r="AO143" s="10" t="n">
        <v>0</v>
      </c>
      <c r="AP143" s="10" t="n">
        <v>0</v>
      </c>
      <c r="AQ143" s="10" t="n">
        <v>0</v>
      </c>
      <c r="AR143" s="10" t="n">
        <v>0</v>
      </c>
      <c r="AS143" s="10" t="n">
        <v>0</v>
      </c>
      <c r="AT143" s="10" t="n">
        <v>0</v>
      </c>
      <c r="AU143" s="10" t="n">
        <v>0</v>
      </c>
      <c r="AV143" s="10" t="n">
        <v>0</v>
      </c>
      <c r="AW143" s="10" t="n">
        <v>0</v>
      </c>
    </row>
    <row r="144" customFormat="false" ht="15" hidden="true" customHeight="true" outlineLevel="1" collapsed="false">
      <c r="A144" s="9" t="s">
        <v>12</v>
      </c>
      <c r="B144" s="9" t="s">
        <v>10</v>
      </c>
      <c r="C144" s="9" t="s">
        <v>23</v>
      </c>
      <c r="D144" s="9" t="s">
        <v>78</v>
      </c>
      <c r="E144" s="9" t="s">
        <v>88</v>
      </c>
      <c r="F144" s="10" t="n">
        <v>0</v>
      </c>
      <c r="G144" s="10" t="n">
        <v>14</v>
      </c>
      <c r="H144" s="10" t="n">
        <v>14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8</v>
      </c>
      <c r="R144" s="10" t="n">
        <v>6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</row>
    <row r="145" customFormat="false" ht="15" hidden="false" customHeight="true" outlineLevel="0" collapsed="false">
      <c r="A145" s="7" t="s">
        <v>12</v>
      </c>
      <c r="B145" s="7" t="s">
        <v>10</v>
      </c>
      <c r="C145" s="7" t="s">
        <v>115</v>
      </c>
      <c r="D145" s="7" t="s">
        <v>76</v>
      </c>
      <c r="E145" s="7" t="s">
        <v>77</v>
      </c>
      <c r="F145" s="8" t="n">
        <f aca="false">SUM(F146,F147,F148)</f>
        <v>0</v>
      </c>
      <c r="G145" s="8" t="n">
        <f aca="false">SUM(G146,G147,G148)</f>
        <v>0</v>
      </c>
      <c r="H145" s="8" t="n">
        <f aca="false">SUM(H146,H147,H148)</f>
        <v>5</v>
      </c>
      <c r="I145" s="8" t="n">
        <f aca="false">SUM(I146,I147,I148)</f>
        <v>-5</v>
      </c>
      <c r="J145" s="8" t="n">
        <f aca="false">SUM(J146,J147,J148)</f>
        <v>0</v>
      </c>
      <c r="K145" s="8" t="n">
        <f aca="false">SUM(K146,K147,K148)</f>
        <v>0</v>
      </c>
      <c r="L145" s="8" t="n">
        <f aca="false">SUM(L146,L147,L148)</f>
        <v>0</v>
      </c>
      <c r="M145" s="8" t="n">
        <f aca="false">SUM(M146,M147,M148)</f>
        <v>0</v>
      </c>
      <c r="N145" s="8" t="n">
        <f aca="false">SUM(N146,N147,N148)</f>
        <v>0</v>
      </c>
      <c r="O145" s="8" t="n">
        <f aca="false">SUM(O146,O147,O148)</f>
        <v>0</v>
      </c>
      <c r="P145" s="8" t="n">
        <f aca="false">SUM(P146,P147,P148)</f>
        <v>0</v>
      </c>
      <c r="Q145" s="8" t="n">
        <f aca="false">SUM(Q146,Q147,Q148)</f>
        <v>0</v>
      </c>
      <c r="R145" s="8" t="n">
        <f aca="false">SUM(R146,R147,R148)</f>
        <v>0</v>
      </c>
      <c r="S145" s="8" t="n">
        <f aca="false">SUM(S146,S147,S148)</f>
        <v>0</v>
      </c>
      <c r="T145" s="8" t="n">
        <f aca="false">SUM(T146,T147,T148)</f>
        <v>0</v>
      </c>
      <c r="U145" s="8" t="n">
        <f aca="false">SUM(U146,U147,U148)</f>
        <v>0</v>
      </c>
      <c r="V145" s="8" t="n">
        <f aca="false">SUM(V146,V147,V148)</f>
        <v>0</v>
      </c>
      <c r="W145" s="8" t="n">
        <f aca="false">SUM(W146,W147,W148)</f>
        <v>0</v>
      </c>
      <c r="X145" s="8" t="n">
        <f aca="false">SUM(X146,X147,X148)</f>
        <v>0</v>
      </c>
      <c r="Y145" s="8" t="n">
        <f aca="false">SUM(Y146,Y147,Y148)</f>
        <v>0</v>
      </c>
      <c r="Z145" s="8" t="n">
        <f aca="false">SUM(Z146,Z147,Z148)</f>
        <v>0</v>
      </c>
      <c r="AA145" s="8" t="n">
        <f aca="false">SUM(AA146,AA147,AA148)</f>
        <v>0</v>
      </c>
      <c r="AB145" s="8" t="n">
        <f aca="false">SUM(AB146,AB147,AB148)</f>
        <v>0</v>
      </c>
      <c r="AC145" s="8" t="n">
        <f aca="false">SUM(AC146,AC147,AC148)</f>
        <v>0</v>
      </c>
      <c r="AD145" s="8" t="n">
        <f aca="false">SUM(AD146,AD147,AD148)</f>
        <v>0</v>
      </c>
      <c r="AE145" s="8" t="n">
        <f aca="false">SUM(AE146,AE147,AE148)</f>
        <v>0</v>
      </c>
      <c r="AF145" s="8" t="n">
        <f aca="false">SUM(AF146,AF147,AF148)</f>
        <v>0</v>
      </c>
      <c r="AG145" s="8" t="n">
        <f aca="false">SUM(AG146,AG147,AG148)</f>
        <v>0</v>
      </c>
      <c r="AH145" s="8" t="n">
        <f aca="false">SUM(AH146,AH147,AH148)</f>
        <v>0</v>
      </c>
      <c r="AI145" s="8" t="n">
        <f aca="false">SUM(AI146,AI147,AI148)</f>
        <v>0</v>
      </c>
      <c r="AJ145" s="8" t="n">
        <f aca="false">SUM(AJ146,AJ147,AJ148)</f>
        <v>0</v>
      </c>
      <c r="AK145" s="8" t="n">
        <f aca="false">SUM(AK146,AK147,AK148)</f>
        <v>0</v>
      </c>
      <c r="AL145" s="8" t="n">
        <f aca="false">SUM(AL146,AL147,AL148)</f>
        <v>0</v>
      </c>
      <c r="AM145" s="8" t="n">
        <f aca="false">SUM(AM146,AM147,AM148)</f>
        <v>0</v>
      </c>
      <c r="AN145" s="8" t="n">
        <f aca="false">SUM(AN146,AN147,AN148)</f>
        <v>0</v>
      </c>
      <c r="AO145" s="8" t="n">
        <f aca="false">SUM(AO146,AO147,AO148)</f>
        <v>0</v>
      </c>
      <c r="AP145" s="8" t="n">
        <f aca="false">SUM(AP146,AP147,AP148)</f>
        <v>0</v>
      </c>
      <c r="AQ145" s="8" t="n">
        <f aca="false">SUM(AQ146,AQ147,AQ148)</f>
        <v>0</v>
      </c>
      <c r="AR145" s="8" t="n">
        <f aca="false">SUM(AR146,AR147,AR148)</f>
        <v>0</v>
      </c>
      <c r="AS145" s="8" t="n">
        <f aca="false">SUM(AS146,AS147,AS148)</f>
        <v>0</v>
      </c>
      <c r="AT145" s="8" t="n">
        <f aca="false">SUM(AT146,AT147,AT148)</f>
        <v>0</v>
      </c>
      <c r="AU145" s="8" t="n">
        <f aca="false">SUM(AU146,AU147,AU148)</f>
        <v>0</v>
      </c>
      <c r="AV145" s="8" t="n">
        <f aca="false">SUM(AV146,AV147,AV148)</f>
        <v>0</v>
      </c>
      <c r="AW145" s="8" t="n">
        <f aca="false">SUM(AW146,AW147,AW148)</f>
        <v>0</v>
      </c>
    </row>
    <row r="146" customFormat="false" ht="15" hidden="true" customHeight="true" outlineLevel="1" collapsed="false">
      <c r="A146" s="9" t="s">
        <v>12</v>
      </c>
      <c r="B146" s="9" t="s">
        <v>10</v>
      </c>
      <c r="C146" s="9" t="s">
        <v>115</v>
      </c>
      <c r="D146" s="9" t="s">
        <v>78</v>
      </c>
      <c r="E146" s="9" t="s">
        <v>103</v>
      </c>
      <c r="F146" s="10" t="n">
        <v>0</v>
      </c>
      <c r="G146" s="10" t="n">
        <v>0</v>
      </c>
      <c r="H146" s="10" t="n">
        <v>1.5</v>
      </c>
      <c r="I146" s="10" t="n">
        <v>-1.5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10" t="n">
        <v>0</v>
      </c>
    </row>
    <row r="147" customFormat="false" ht="15" hidden="true" customHeight="true" outlineLevel="1" collapsed="false">
      <c r="A147" s="9" t="s">
        <v>12</v>
      </c>
      <c r="B147" s="9" t="s">
        <v>10</v>
      </c>
      <c r="C147" s="9" t="s">
        <v>115</v>
      </c>
      <c r="D147" s="9" t="s">
        <v>78</v>
      </c>
      <c r="E147" s="9" t="s">
        <v>86</v>
      </c>
      <c r="F147" s="10" t="n">
        <v>0</v>
      </c>
      <c r="G147" s="10" t="n">
        <v>0</v>
      </c>
      <c r="H147" s="10" t="n">
        <v>2</v>
      </c>
      <c r="I147" s="10" t="n">
        <v>-2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</row>
    <row r="148" customFormat="false" ht="15" hidden="true" customHeight="true" outlineLevel="1" collapsed="false">
      <c r="A148" s="9" t="s">
        <v>12</v>
      </c>
      <c r="B148" s="9" t="s">
        <v>10</v>
      </c>
      <c r="C148" s="9" t="s">
        <v>115</v>
      </c>
      <c r="D148" s="9" t="s">
        <v>78</v>
      </c>
      <c r="E148" s="9" t="s">
        <v>111</v>
      </c>
      <c r="F148" s="10" t="n">
        <v>0</v>
      </c>
      <c r="G148" s="10" t="n">
        <v>0</v>
      </c>
      <c r="H148" s="10" t="n">
        <v>1.5</v>
      </c>
      <c r="I148" s="10" t="n">
        <v>-1.5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</row>
    <row r="149" customFormat="false" ht="15" hidden="false" customHeight="true" outlineLevel="0" collapsed="false">
      <c r="A149" s="7" t="s">
        <v>12</v>
      </c>
      <c r="B149" s="7" t="s">
        <v>10</v>
      </c>
      <c r="C149" s="7" t="s">
        <v>33</v>
      </c>
      <c r="D149" s="7" t="s">
        <v>76</v>
      </c>
      <c r="E149" s="7" t="s">
        <v>77</v>
      </c>
      <c r="F149" s="8" t="n">
        <f aca="false">SUM(F150,F151,F152,F153,F154,F155,F156)</f>
        <v>252.5</v>
      </c>
      <c r="G149" s="8" t="n">
        <f aca="false">SUM(G150,G151,G152,G153,G154,G155,G156)</f>
        <v>1014.2</v>
      </c>
      <c r="H149" s="8" t="n">
        <f aca="false">SUM(H150,H151,H152,H153,H154,H155,H156)</f>
        <v>1039.2</v>
      </c>
      <c r="I149" s="8" t="n">
        <f aca="false">SUM(I150,I151,I152,I153,I154,I155,I156)</f>
        <v>-25</v>
      </c>
      <c r="J149" s="8" t="n">
        <f aca="false">SUM(J150,J151,J152,J153,J154,J155,J156)</f>
        <v>22</v>
      </c>
      <c r="K149" s="8" t="n">
        <f aca="false">SUM(K150,K151,K152,K153,K154,K155,K156)</f>
        <v>7</v>
      </c>
      <c r="L149" s="8" t="n">
        <f aca="false">SUM(L150,L151,L152,L153,L154,L155,L156)</f>
        <v>4</v>
      </c>
      <c r="M149" s="8" t="n">
        <f aca="false">SUM(M150,M151,M152,M153,M154,M155,M156)</f>
        <v>1</v>
      </c>
      <c r="N149" s="8" t="n">
        <f aca="false">SUM(N150,N151,N152,N153,N154,N155,N156)</f>
        <v>1</v>
      </c>
      <c r="O149" s="8" t="n">
        <f aca="false">SUM(O150,O151,O152,O153,O154,O155,O156)</f>
        <v>6</v>
      </c>
      <c r="P149" s="8" t="n">
        <f aca="false">SUM(P150,P151,P152,P153,P154,P155,P156)</f>
        <v>13.2</v>
      </c>
      <c r="Q149" s="8" t="n">
        <f aca="false">SUM(Q150,Q151,Q152,Q153,Q154,Q155,Q156)</f>
        <v>30.1</v>
      </c>
      <c r="R149" s="8" t="n">
        <f aca="false">SUM(R150,R151,R152,R153,R154,R155,R156)</f>
        <v>30.1</v>
      </c>
      <c r="S149" s="8" t="n">
        <f aca="false">SUM(S150,S151,S152,S153,S154,S155,S156)</f>
        <v>13.2</v>
      </c>
      <c r="T149" s="8" t="n">
        <f aca="false">SUM(T150,T151,T152,T153,T154,T155,T156)</f>
        <v>15</v>
      </c>
      <c r="U149" s="8" t="n">
        <f aca="false">SUM(U150,U151,U152,U153,U154,U155,U156)</f>
        <v>15</v>
      </c>
      <c r="V149" s="8" t="n">
        <f aca="false">SUM(V150,V151,V152,V153,V154,V155,V156)</f>
        <v>22</v>
      </c>
      <c r="W149" s="8" t="n">
        <f aca="false">SUM(W150,W151,W152,W153,W154,W155,W156)</f>
        <v>32</v>
      </c>
      <c r="X149" s="8" t="n">
        <f aca="false">SUM(X150,X151,X152,X153,X154,X155,X156)</f>
        <v>22</v>
      </c>
      <c r="Y149" s="8" t="n">
        <f aca="false">SUM(Y150,Y151,Y152,Y153,Y154,Y155,Y156)</f>
        <v>22</v>
      </c>
      <c r="Z149" s="8" t="n">
        <f aca="false">SUM(Z150,Z151,Z152,Z153,Z154,Z155,Z156)</f>
        <v>0</v>
      </c>
      <c r="AA149" s="8" t="n">
        <f aca="false">SUM(AA150,AA151,AA152,AA153,AA154,AA155,AA156)</f>
        <v>0</v>
      </c>
      <c r="AB149" s="8" t="n">
        <f aca="false">SUM(AB150,AB151,AB152,AB153,AB154,AB155,AB156)</f>
        <v>37</v>
      </c>
      <c r="AC149" s="8" t="n">
        <f aca="false">SUM(AC150,AC151,AC152,AC153,AC154,AC155,AC156)</f>
        <v>45.1</v>
      </c>
      <c r="AD149" s="11" t="n">
        <f aca="false">SUM(AD150,AD151,AD152,AD153,AD154,AD155,AD156)</f>
        <v>65</v>
      </c>
      <c r="AE149" s="11" t="n">
        <f aca="false">SUM(AE150,AE151,AE152,AE153,AE154,AE155,AE156)</f>
        <v>63</v>
      </c>
      <c r="AF149" s="11" t="n">
        <f aca="false">SUM(AF150,AF151,AF152,AF153,AF154,AF155,AF156)</f>
        <v>62</v>
      </c>
      <c r="AG149" s="11" t="n">
        <f aca="false">SUM(AG150,AG151,AG152,AG153,AG154,AG155,AG156)</f>
        <v>65</v>
      </c>
      <c r="AH149" s="8" t="n">
        <f aca="false">SUM(AH150,AH151,AH152,AH153,AH154,AH155,AH156)</f>
        <v>25</v>
      </c>
      <c r="AI149" s="8" t="n">
        <f aca="false">SUM(AI150,AI151,AI152,AI153,AI154,AI155,AI156)</f>
        <v>6</v>
      </c>
      <c r="AJ149" s="8" t="n">
        <f aca="false">SUM(AJ150,AJ151,AJ152,AJ153,AJ154,AJ155,AJ156)</f>
        <v>39</v>
      </c>
      <c r="AK149" s="8" t="n">
        <f aca="false">SUM(AK150,AK151,AK152,AK153,AK154,AK155,AK156)</f>
        <v>39</v>
      </c>
      <c r="AL149" s="8" t="n">
        <f aca="false">SUM(AL150,AL151,AL152,AL153,AL154,AL155,AL156)</f>
        <v>39</v>
      </c>
      <c r="AM149" s="8" t="n">
        <f aca="false">SUM(AM150,AM151,AM152,AM153,AM154,AM155,AM156)</f>
        <v>9</v>
      </c>
      <c r="AN149" s="8" t="n">
        <f aca="false">SUM(AN150,AN151,AN152,AN153,AN154,AN155,AN156)</f>
        <v>9</v>
      </c>
      <c r="AO149" s="8" t="n">
        <f aca="false">SUM(AO150,AO151,AO152,AO153,AO154,AO155,AO156)</f>
        <v>9</v>
      </c>
      <c r="AP149" s="8" t="n">
        <f aca="false">SUM(AP150,AP151,AP152,AP153,AP154,AP155,AP156)</f>
        <v>3</v>
      </c>
      <c r="AQ149" s="8" t="n">
        <f aca="false">SUM(AQ150,AQ151,AQ152,AQ153,AQ154,AQ155,AQ156)</f>
        <v>0</v>
      </c>
      <c r="AR149" s="8" t="n">
        <f aca="false">SUM(AR150,AR151,AR152,AR153,AR154,AR155,AR156)</f>
        <v>0</v>
      </c>
      <c r="AS149" s="8" t="n">
        <f aca="false">SUM(AS150,AS151,AS152,AS153,AS154,AS155,AS156)</f>
        <v>0</v>
      </c>
      <c r="AT149" s="8" t="n">
        <f aca="false">SUM(AT150,AT151,AT152,AT153,AT154,AT155,AT156)</f>
        <v>0</v>
      </c>
      <c r="AU149" s="8" t="n">
        <f aca="false">SUM(AU150,AU151,AU152,AU153,AU154,AU155,AU156)</f>
        <v>0</v>
      </c>
      <c r="AV149" s="8" t="n">
        <f aca="false">SUM(AV150,AV151,AV152,AV153,AV154,AV155,AV156)</f>
        <v>0</v>
      </c>
      <c r="AW149" s="8" t="n">
        <f aca="false">SUM(AW150,AW151,AW152,AW153,AW154,AW155,AW156)</f>
        <v>0</v>
      </c>
    </row>
    <row r="150" customFormat="false" ht="15" hidden="true" customHeight="true" outlineLevel="1" collapsed="false">
      <c r="A150" s="9" t="s">
        <v>12</v>
      </c>
      <c r="B150" s="9" t="s">
        <v>10</v>
      </c>
      <c r="C150" s="9" t="s">
        <v>33</v>
      </c>
      <c r="D150" s="9" t="s">
        <v>78</v>
      </c>
      <c r="E150" s="9" t="s">
        <v>81</v>
      </c>
      <c r="F150" s="10" t="n">
        <v>0</v>
      </c>
      <c r="G150" s="10" t="n">
        <v>0</v>
      </c>
      <c r="H150" s="10" t="n">
        <v>3</v>
      </c>
      <c r="I150" s="10" t="n">
        <v>-3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</row>
    <row r="151" customFormat="false" ht="15" hidden="true" customHeight="true" outlineLevel="1" collapsed="false">
      <c r="A151" s="9" t="s">
        <v>12</v>
      </c>
      <c r="B151" s="9" t="s">
        <v>10</v>
      </c>
      <c r="C151" s="9" t="s">
        <v>33</v>
      </c>
      <c r="D151" s="9" t="s">
        <v>78</v>
      </c>
      <c r="E151" s="9" t="s">
        <v>83</v>
      </c>
      <c r="F151" s="10" t="n">
        <v>0</v>
      </c>
      <c r="G151" s="10" t="n">
        <v>0</v>
      </c>
      <c r="H151" s="10" t="n">
        <v>5</v>
      </c>
      <c r="I151" s="10" t="n">
        <v>-5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  <c r="AU151" s="10" t="n">
        <v>0</v>
      </c>
      <c r="AV151" s="10" t="n">
        <v>0</v>
      </c>
      <c r="AW151" s="10" t="n">
        <v>0</v>
      </c>
    </row>
    <row r="152" customFormat="false" ht="15" hidden="true" customHeight="true" outlineLevel="1" collapsed="false">
      <c r="A152" s="9" t="s">
        <v>12</v>
      </c>
      <c r="B152" s="9" t="s">
        <v>10</v>
      </c>
      <c r="C152" s="9" t="s">
        <v>33</v>
      </c>
      <c r="D152" s="9" t="s">
        <v>78</v>
      </c>
      <c r="E152" s="9" t="s">
        <v>103</v>
      </c>
      <c r="F152" s="10" t="n">
        <v>243.5</v>
      </c>
      <c r="G152" s="10" t="n">
        <v>806.5</v>
      </c>
      <c r="H152" s="10" t="n">
        <v>807</v>
      </c>
      <c r="I152" s="10" t="n">
        <v>-0.5</v>
      </c>
      <c r="J152" s="10" t="n">
        <v>15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5</v>
      </c>
      <c r="P152" s="10" t="n">
        <v>13</v>
      </c>
      <c r="Q152" s="10" t="n">
        <v>30</v>
      </c>
      <c r="R152" s="10" t="n">
        <v>30</v>
      </c>
      <c r="S152" s="10" t="n">
        <v>13</v>
      </c>
      <c r="T152" s="10" t="n">
        <v>15</v>
      </c>
      <c r="U152" s="10" t="n">
        <v>15</v>
      </c>
      <c r="V152" s="10" t="n">
        <v>22</v>
      </c>
      <c r="W152" s="10" t="n">
        <v>25</v>
      </c>
      <c r="X152" s="10" t="n">
        <v>15</v>
      </c>
      <c r="Y152" s="10" t="n">
        <v>15</v>
      </c>
      <c r="Z152" s="10" t="n">
        <v>0</v>
      </c>
      <c r="AA152" s="10" t="n">
        <v>0</v>
      </c>
      <c r="AB152" s="10" t="n">
        <v>30</v>
      </c>
      <c r="AC152" s="10" t="n">
        <v>45</v>
      </c>
      <c r="AD152" s="10" t="n">
        <v>65</v>
      </c>
      <c r="AE152" s="10" t="n">
        <v>63</v>
      </c>
      <c r="AF152" s="10" t="n">
        <v>62</v>
      </c>
      <c r="AG152" s="10" t="n">
        <v>65</v>
      </c>
      <c r="AH152" s="10" t="n">
        <v>25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10" t="n">
        <v>0</v>
      </c>
      <c r="AU152" s="10" t="n">
        <v>0</v>
      </c>
      <c r="AV152" s="10" t="n">
        <v>0</v>
      </c>
      <c r="AW152" s="10" t="n">
        <v>0</v>
      </c>
    </row>
    <row r="153" customFormat="false" ht="15" hidden="true" customHeight="true" outlineLevel="1" collapsed="false">
      <c r="A153" s="9" t="s">
        <v>12</v>
      </c>
      <c r="B153" s="9" t="s">
        <v>10</v>
      </c>
      <c r="C153" s="9" t="s">
        <v>33</v>
      </c>
      <c r="D153" s="9" t="s">
        <v>78</v>
      </c>
      <c r="E153" s="9" t="s">
        <v>100</v>
      </c>
      <c r="F153" s="10" t="n">
        <v>0</v>
      </c>
      <c r="G153" s="10" t="n">
        <v>0</v>
      </c>
      <c r="H153" s="10" t="n">
        <v>21</v>
      </c>
      <c r="I153" s="10" t="n">
        <v>-21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0</v>
      </c>
      <c r="AD153" s="10" t="n">
        <v>0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4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10" t="n">
        <v>0</v>
      </c>
      <c r="AU153" s="10" t="n">
        <v>0</v>
      </c>
      <c r="AV153" s="10" t="n">
        <v>0</v>
      </c>
      <c r="AW153" s="10" t="n">
        <v>0</v>
      </c>
    </row>
    <row r="154" customFormat="false" ht="15" hidden="true" customHeight="true" outlineLevel="1" collapsed="false">
      <c r="A154" s="9" t="s">
        <v>12</v>
      </c>
      <c r="B154" s="9" t="s">
        <v>10</v>
      </c>
      <c r="C154" s="9" t="s">
        <v>33</v>
      </c>
      <c r="D154" s="9" t="s">
        <v>78</v>
      </c>
      <c r="E154" s="9" t="s">
        <v>114</v>
      </c>
      <c r="F154" s="10" t="n">
        <v>0</v>
      </c>
      <c r="G154" s="10" t="n">
        <v>90</v>
      </c>
      <c r="H154" s="10" t="n">
        <v>90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30</v>
      </c>
      <c r="AK154" s="10" t="n">
        <v>30</v>
      </c>
      <c r="AL154" s="10" t="n">
        <v>30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</row>
    <row r="155" customFormat="false" ht="15" hidden="true" customHeight="true" outlineLevel="1" collapsed="false">
      <c r="A155" s="9" t="s">
        <v>12</v>
      </c>
      <c r="B155" s="9" t="s">
        <v>10</v>
      </c>
      <c r="C155" s="9" t="s">
        <v>33</v>
      </c>
      <c r="D155" s="9" t="s">
        <v>78</v>
      </c>
      <c r="E155" s="9" t="s">
        <v>87</v>
      </c>
      <c r="F155" s="10" t="n">
        <v>0</v>
      </c>
      <c r="G155" s="10" t="n">
        <v>0</v>
      </c>
      <c r="H155" s="10" t="n">
        <v>4.5</v>
      </c>
      <c r="I155" s="10" t="n">
        <v>-4.5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</row>
    <row r="156" customFormat="false" ht="15" hidden="true" customHeight="true" outlineLevel="1" collapsed="false">
      <c r="A156" s="9" t="s">
        <v>12</v>
      </c>
      <c r="B156" s="9" t="s">
        <v>10</v>
      </c>
      <c r="C156" s="9" t="s">
        <v>33</v>
      </c>
      <c r="D156" s="9" t="s">
        <v>78</v>
      </c>
      <c r="E156" s="9" t="s">
        <v>107</v>
      </c>
      <c r="F156" s="10" t="n">
        <v>9</v>
      </c>
      <c r="G156" s="10" t="n">
        <v>117.7</v>
      </c>
      <c r="H156" s="10" t="n">
        <v>108.7</v>
      </c>
      <c r="I156" s="10" t="n">
        <v>9</v>
      </c>
      <c r="J156" s="10" t="n">
        <v>7</v>
      </c>
      <c r="K156" s="10" t="n">
        <v>7</v>
      </c>
      <c r="L156" s="10" t="n">
        <v>4</v>
      </c>
      <c r="M156" s="10" t="n">
        <v>1</v>
      </c>
      <c r="N156" s="10" t="n">
        <v>1</v>
      </c>
      <c r="O156" s="10" t="n">
        <v>1</v>
      </c>
      <c r="P156" s="10" t="n">
        <v>0.2</v>
      </c>
      <c r="Q156" s="10" t="n">
        <v>0.1</v>
      </c>
      <c r="R156" s="10" t="n">
        <v>0.1</v>
      </c>
      <c r="S156" s="10" t="n">
        <v>0.2</v>
      </c>
      <c r="T156" s="10" t="n">
        <v>0</v>
      </c>
      <c r="U156" s="10" t="n">
        <v>0</v>
      </c>
      <c r="V156" s="10" t="n">
        <v>0</v>
      </c>
      <c r="W156" s="10" t="n">
        <v>7</v>
      </c>
      <c r="X156" s="10" t="n">
        <v>7</v>
      </c>
      <c r="Y156" s="10" t="n">
        <v>7</v>
      </c>
      <c r="Z156" s="10" t="n">
        <v>0</v>
      </c>
      <c r="AA156" s="10" t="n">
        <v>0</v>
      </c>
      <c r="AB156" s="10" t="n">
        <v>7</v>
      </c>
      <c r="AC156" s="10" t="n">
        <v>0.1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2</v>
      </c>
      <c r="AJ156" s="10" t="n">
        <v>9</v>
      </c>
      <c r="AK156" s="10" t="n">
        <v>9</v>
      </c>
      <c r="AL156" s="10" t="n">
        <v>9</v>
      </c>
      <c r="AM156" s="10" t="n">
        <v>9</v>
      </c>
      <c r="AN156" s="10" t="n">
        <v>9</v>
      </c>
      <c r="AO156" s="10" t="n">
        <v>9</v>
      </c>
      <c r="AP156" s="10" t="n">
        <v>3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</row>
    <row r="157" customFormat="false" ht="15" hidden="false" customHeight="true" outlineLevel="0" collapsed="false">
      <c r="A157" s="7" t="s">
        <v>29</v>
      </c>
      <c r="B157" s="7" t="s">
        <v>10</v>
      </c>
      <c r="C157" s="7" t="s">
        <v>35</v>
      </c>
      <c r="D157" s="7" t="s">
        <v>76</v>
      </c>
      <c r="E157" s="7" t="s">
        <v>77</v>
      </c>
      <c r="F157" s="8" t="n">
        <f aca="false">SUM(F158,F159)</f>
        <v>275</v>
      </c>
      <c r="G157" s="8" t="n">
        <f aca="false">SUM(G158,G159)</f>
        <v>1330</v>
      </c>
      <c r="H157" s="8" t="n">
        <f aca="false">SUM(H158,H159)</f>
        <v>1277</v>
      </c>
      <c r="I157" s="8" t="n">
        <f aca="false">SUM(I158,I159)</f>
        <v>53</v>
      </c>
      <c r="J157" s="8" t="n">
        <f aca="false">SUM(J158,J159)</f>
        <v>26</v>
      </c>
      <c r="K157" s="8" t="n">
        <f aca="false">SUM(K158,K159)</f>
        <v>20</v>
      </c>
      <c r="L157" s="8" t="n">
        <f aca="false">SUM(L158,L159)</f>
        <v>20</v>
      </c>
      <c r="M157" s="8" t="n">
        <f aca="false">SUM(M158,M159)</f>
        <v>20</v>
      </c>
      <c r="N157" s="8" t="n">
        <f aca="false">SUM(N158,N159)</f>
        <v>35</v>
      </c>
      <c r="O157" s="8" t="n">
        <f aca="false">SUM(O158,O159)</f>
        <v>30</v>
      </c>
      <c r="P157" s="8" t="n">
        <f aca="false">SUM(P158,P159)</f>
        <v>40</v>
      </c>
      <c r="Q157" s="8" t="n">
        <f aca="false">SUM(Q158,Q159)</f>
        <v>40</v>
      </c>
      <c r="R157" s="8" t="n">
        <f aca="false">SUM(R158,R159)</f>
        <v>40</v>
      </c>
      <c r="S157" s="8" t="n">
        <f aca="false">SUM(S158,S159)</f>
        <v>20</v>
      </c>
      <c r="T157" s="8" t="n">
        <f aca="false">SUM(T158,T159)</f>
        <v>15</v>
      </c>
      <c r="U157" s="8" t="n">
        <f aca="false">SUM(U158,U159)</f>
        <v>15</v>
      </c>
      <c r="V157" s="8" t="n">
        <f aca="false">SUM(V158,V159)</f>
        <v>15</v>
      </c>
      <c r="W157" s="8" t="n">
        <f aca="false">SUM(W158,W159)</f>
        <v>15</v>
      </c>
      <c r="X157" s="8" t="n">
        <f aca="false">SUM(X158,X159)</f>
        <v>15</v>
      </c>
      <c r="Y157" s="8" t="n">
        <f aca="false">SUM(Y158,Y159)</f>
        <v>3</v>
      </c>
      <c r="Z157" s="8" t="n">
        <f aca="false">SUM(Z158,Z159)</f>
        <v>2</v>
      </c>
      <c r="AA157" s="8" t="n">
        <f aca="false">SUM(AA158,AA159)</f>
        <v>0</v>
      </c>
      <c r="AB157" s="8" t="n">
        <f aca="false">SUM(AB158,AB159)</f>
        <v>55</v>
      </c>
      <c r="AC157" s="8" t="n">
        <f aca="false">SUM(AC158,AC159)</f>
        <v>50</v>
      </c>
      <c r="AD157" s="8" t="n">
        <f aca="false">SUM(AD158,AD159)</f>
        <v>50</v>
      </c>
      <c r="AE157" s="8" t="n">
        <f aca="false">SUM(AE158,AE159)</f>
        <v>50</v>
      </c>
      <c r="AF157" s="11" t="n">
        <f aca="false">SUM(AF158,AF159)</f>
        <v>60</v>
      </c>
      <c r="AG157" s="11" t="n">
        <f aca="false">SUM(AG158,AG159)</f>
        <v>60</v>
      </c>
      <c r="AH157" s="11" t="n">
        <f aca="false">SUM(AH158,AH159)</f>
        <v>60</v>
      </c>
      <c r="AI157" s="8" t="n">
        <f aca="false">SUM(AI158,AI159)</f>
        <v>40</v>
      </c>
      <c r="AJ157" s="8" t="n">
        <f aca="false">SUM(AJ158,AJ159)</f>
        <v>25</v>
      </c>
      <c r="AK157" s="8" t="n">
        <f aca="false">SUM(AK158,AK159)</f>
        <v>40</v>
      </c>
      <c r="AL157" s="8" t="n">
        <f aca="false">SUM(AL158,AL159)</f>
        <v>30</v>
      </c>
      <c r="AM157" s="8" t="n">
        <f aca="false">SUM(AM158,AM159)</f>
        <v>30</v>
      </c>
      <c r="AN157" s="8" t="n">
        <f aca="false">SUM(AN158,AN159)</f>
        <v>25</v>
      </c>
      <c r="AO157" s="8" t="n">
        <f aca="false">SUM(AO158,AO159)</f>
        <v>25</v>
      </c>
      <c r="AP157" s="8" t="n">
        <f aca="false">SUM(AP158,AP159)</f>
        <v>25</v>
      </c>
      <c r="AQ157" s="8" t="n">
        <f aca="false">SUM(AQ158,AQ159)</f>
        <v>25</v>
      </c>
      <c r="AR157" s="8" t="n">
        <f aca="false">SUM(AR158,AR159)</f>
        <v>20</v>
      </c>
      <c r="AS157" s="8" t="n">
        <f aca="false">SUM(AS158,AS159)</f>
        <v>15</v>
      </c>
      <c r="AT157" s="8" t="n">
        <f aca="false">SUM(AT158,AT159)</f>
        <v>5</v>
      </c>
      <c r="AU157" s="8" t="n">
        <f aca="false">SUM(AU158,AU159)</f>
        <v>0</v>
      </c>
      <c r="AV157" s="8" t="n">
        <f aca="false">SUM(AV158,AV159)</f>
        <v>0</v>
      </c>
      <c r="AW157" s="8" t="n">
        <f aca="false">SUM(AW158,AW159)</f>
        <v>0</v>
      </c>
    </row>
    <row r="158" customFormat="false" ht="15" hidden="true" customHeight="true" outlineLevel="1" collapsed="false">
      <c r="A158" s="9" t="s">
        <v>29</v>
      </c>
      <c r="B158" s="9" t="s">
        <v>10</v>
      </c>
      <c r="C158" s="9" t="s">
        <v>35</v>
      </c>
      <c r="D158" s="9" t="s">
        <v>78</v>
      </c>
      <c r="E158" s="9" t="s">
        <v>91</v>
      </c>
      <c r="F158" s="10" t="n">
        <v>0</v>
      </c>
      <c r="G158" s="10" t="n">
        <v>265</v>
      </c>
      <c r="H158" s="10" t="n">
        <v>265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25</v>
      </c>
      <c r="AK158" s="10" t="n">
        <v>40</v>
      </c>
      <c r="AL158" s="10" t="n">
        <v>30</v>
      </c>
      <c r="AM158" s="10" t="n">
        <v>30</v>
      </c>
      <c r="AN158" s="10" t="n">
        <v>25</v>
      </c>
      <c r="AO158" s="10" t="n">
        <v>25</v>
      </c>
      <c r="AP158" s="10" t="n">
        <v>25</v>
      </c>
      <c r="AQ158" s="10" t="n">
        <v>25</v>
      </c>
      <c r="AR158" s="10" t="n">
        <v>20</v>
      </c>
      <c r="AS158" s="10" t="n">
        <v>15</v>
      </c>
      <c r="AT158" s="10" t="n">
        <v>5</v>
      </c>
      <c r="AU158" s="10" t="n">
        <v>0</v>
      </c>
      <c r="AV158" s="10" t="n">
        <v>0</v>
      </c>
      <c r="AW158" s="10" t="n">
        <v>0</v>
      </c>
    </row>
    <row r="159" customFormat="false" ht="15" hidden="true" customHeight="true" outlineLevel="1" collapsed="false">
      <c r="A159" s="9" t="s">
        <v>29</v>
      </c>
      <c r="B159" s="9" t="s">
        <v>10</v>
      </c>
      <c r="C159" s="9" t="s">
        <v>35</v>
      </c>
      <c r="D159" s="9" t="s">
        <v>78</v>
      </c>
      <c r="E159" s="9" t="s">
        <v>92</v>
      </c>
      <c r="F159" s="10" t="n">
        <v>275</v>
      </c>
      <c r="G159" s="10" t="n">
        <v>1065</v>
      </c>
      <c r="H159" s="10" t="n">
        <v>1012</v>
      </c>
      <c r="I159" s="10" t="n">
        <v>53</v>
      </c>
      <c r="J159" s="10" t="n">
        <v>26</v>
      </c>
      <c r="K159" s="10" t="n">
        <v>20</v>
      </c>
      <c r="L159" s="10" t="n">
        <v>20</v>
      </c>
      <c r="M159" s="10" t="n">
        <v>20</v>
      </c>
      <c r="N159" s="10" t="n">
        <v>35</v>
      </c>
      <c r="O159" s="10" t="n">
        <v>30</v>
      </c>
      <c r="P159" s="10" t="n">
        <v>40</v>
      </c>
      <c r="Q159" s="10" t="n">
        <v>40</v>
      </c>
      <c r="R159" s="10" t="n">
        <v>40</v>
      </c>
      <c r="S159" s="10" t="n">
        <v>20</v>
      </c>
      <c r="T159" s="10" t="n">
        <v>15</v>
      </c>
      <c r="U159" s="10" t="n">
        <v>15</v>
      </c>
      <c r="V159" s="10" t="n">
        <v>15</v>
      </c>
      <c r="W159" s="10" t="n">
        <v>15</v>
      </c>
      <c r="X159" s="10" t="n">
        <v>15</v>
      </c>
      <c r="Y159" s="10" t="n">
        <v>3</v>
      </c>
      <c r="Z159" s="10" t="n">
        <v>2</v>
      </c>
      <c r="AA159" s="10" t="n">
        <v>0</v>
      </c>
      <c r="AB159" s="10" t="n">
        <v>55</v>
      </c>
      <c r="AC159" s="10" t="n">
        <v>50</v>
      </c>
      <c r="AD159" s="10" t="n">
        <v>50</v>
      </c>
      <c r="AE159" s="10" t="n">
        <v>50</v>
      </c>
      <c r="AF159" s="10" t="n">
        <v>60</v>
      </c>
      <c r="AG159" s="10" t="n">
        <v>60</v>
      </c>
      <c r="AH159" s="10" t="n">
        <v>60</v>
      </c>
      <c r="AI159" s="10" t="n">
        <v>40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</row>
    <row r="160" customFormat="false" ht="15" hidden="false" customHeight="true" outlineLevel="0" collapsed="false">
      <c r="A160" s="7" t="s">
        <v>12</v>
      </c>
      <c r="B160" s="7" t="s">
        <v>10</v>
      </c>
      <c r="C160" s="7" t="s">
        <v>116</v>
      </c>
      <c r="D160" s="7" t="s">
        <v>76</v>
      </c>
      <c r="E160" s="7" t="s">
        <v>77</v>
      </c>
      <c r="F160" s="8" t="n">
        <f aca="false">SUM(F161,F162,F163,F164,F165,F166,F167,F168,F169,F170,F171)</f>
        <v>112</v>
      </c>
      <c r="G160" s="8" t="n">
        <f aca="false">SUM(G161,G162,G163,G164,G165,G166,G167,G168,G169,G170,G171)</f>
        <v>373</v>
      </c>
      <c r="H160" s="8" t="n">
        <f aca="false">SUM(H161,H162,H163,H164,H165,H166,H167,H168,H169,H170,H171)</f>
        <v>634</v>
      </c>
      <c r="I160" s="8" t="n">
        <f aca="false">SUM(I161,I162,I163,I164,I165,I166,I167,I168,I169,I170,I171)</f>
        <v>-261</v>
      </c>
      <c r="J160" s="8" t="n">
        <f aca="false">SUM(J161,J162,J163,J164,J165,J166,J167,J168,J169,J170,J171)</f>
        <v>20</v>
      </c>
      <c r="K160" s="8" t="n">
        <f aca="false">SUM(K161,K162,K163,K164,K165,K166,K167,K168,K169,K170,K171)</f>
        <v>21</v>
      </c>
      <c r="L160" s="8" t="n">
        <f aca="false">SUM(L161,L162,L163,L164,L165,L166,L167,L168,L169,L170,L171)</f>
        <v>20</v>
      </c>
      <c r="M160" s="8" t="n">
        <f aca="false">SUM(M161,M162,M163,M164,M165,M166,M167,M168,M169,M170,M171)</f>
        <v>16</v>
      </c>
      <c r="N160" s="8" t="n">
        <f aca="false">SUM(N161,N162,N163,N164,N165,N166,N167,N168,N169,N170,N171)</f>
        <v>11</v>
      </c>
      <c r="O160" s="8" t="n">
        <f aca="false">SUM(O161,O162,O163,O164,O165,O166,O167,O168,O169,O170,O171)</f>
        <v>5</v>
      </c>
      <c r="P160" s="8" t="n">
        <f aca="false">SUM(P161,P162,P163,P164,P165,P166,P167,P168,P169,P170,P171)</f>
        <v>5</v>
      </c>
      <c r="Q160" s="8" t="n">
        <f aca="false">SUM(Q161,Q162,Q163,Q164,Q165,Q166,Q167,Q168,Q169,Q170,Q171)</f>
        <v>11</v>
      </c>
      <c r="R160" s="8" t="n">
        <f aca="false">SUM(R161,R162,R163,R164,R165,R166,R167,R168,R169,R170,R171)</f>
        <v>26</v>
      </c>
      <c r="S160" s="8" t="n">
        <f aca="false">SUM(S161,S162,S163,S164,S165,S166,S167,S168,S169,S170,S171)</f>
        <v>27.5</v>
      </c>
      <c r="T160" s="8" t="n">
        <f aca="false">SUM(T161,T162,T163,T164,T165,T166,T167,T168,T169,T170,T171)</f>
        <v>29</v>
      </c>
      <c r="U160" s="8" t="n">
        <f aca="false">SUM(U161,U162,U163,U164,U165,U166,U167,U168,U169,U170,U171)</f>
        <v>32.5</v>
      </c>
      <c r="V160" s="8" t="n">
        <f aca="false">SUM(V161,V162,V163,V164,V165,V166,V167,V168,V169,V170,V171)</f>
        <v>13</v>
      </c>
      <c r="W160" s="8" t="n">
        <f aca="false">SUM(W161,W162,W163,W164,W165,W166,W167,W168,W169,W170,W171)</f>
        <v>19</v>
      </c>
      <c r="X160" s="8" t="n">
        <f aca="false">SUM(X161,X162,X163,X164,X165,X166,X167,X168,X169,X170,X171)</f>
        <v>18</v>
      </c>
      <c r="Y160" s="8" t="n">
        <f aca="false">SUM(Y161,Y162,Y163,Y164,Y165,Y166,Y167,Y168,Y169,Y170,Y171)</f>
        <v>18</v>
      </c>
      <c r="Z160" s="8" t="n">
        <f aca="false">SUM(Z161,Z162,Z163,Z164,Z165,Z166,Z167,Z168,Z169,Z170,Z171)</f>
        <v>0</v>
      </c>
      <c r="AA160" s="8" t="n">
        <f aca="false">SUM(AA161,AA162,AA163,AA164,AA165,AA166,AA167,AA168,AA169,AA170,AA171)</f>
        <v>0</v>
      </c>
      <c r="AB160" s="8" t="n">
        <f aca="false">SUM(AB161,AB162,AB163,AB164,AB165,AB166,AB167,AB168,AB169,AB170,AB171)</f>
        <v>32</v>
      </c>
      <c r="AC160" s="8" t="n">
        <f aca="false">SUM(AC161,AC162,AC163,AC164,AC165,AC166,AC167,AC168,AC169,AC170,AC171)</f>
        <v>32</v>
      </c>
      <c r="AD160" s="8" t="n">
        <f aca="false">SUM(AD161,AD162,AD163,AD164,AD165,AD166,AD167,AD168,AD169,AD170,AD171)</f>
        <v>27</v>
      </c>
      <c r="AE160" s="8" t="n">
        <f aca="false">SUM(AE161,AE162,AE163,AE164,AE165,AE166,AE167,AE168,AE169,AE170,AE171)</f>
        <v>27</v>
      </c>
      <c r="AF160" s="8" t="n">
        <f aca="false">SUM(AF161,AF162,AF163,AF164,AF165,AF166,AF167,AF168,AF169,AF170,AF171)</f>
        <v>29.5</v>
      </c>
      <c r="AG160" s="8" t="n">
        <f aca="false">SUM(AG161,AG162,AG163,AG164,AG165,AG166,AG167,AG168,AG169,AG170,AG171)</f>
        <v>18.5</v>
      </c>
      <c r="AH160" s="8" t="n">
        <f aca="false">SUM(AH161,AH162,AH163,AH164,AH165,AH166,AH167,AH168,AH169,AH170,AH171)</f>
        <v>27.5</v>
      </c>
      <c r="AI160" s="8" t="n">
        <f aca="false">SUM(AI161,AI162,AI163,AI164,AI165,AI166,AI167,AI168,AI169,AI170,AI171)</f>
        <v>6</v>
      </c>
      <c r="AJ160" s="8" t="n">
        <f aca="false">SUM(AJ161,AJ162,AJ163,AJ164,AJ165,AJ166,AJ167,AJ168,AJ169,AJ170,AJ171)</f>
        <v>0</v>
      </c>
      <c r="AK160" s="8" t="n">
        <f aca="false">SUM(AK161,AK162,AK163,AK164,AK165,AK166,AK167,AK168,AK169,AK170,AK171)</f>
        <v>0</v>
      </c>
      <c r="AL160" s="8" t="n">
        <f aca="false">SUM(AL161,AL162,AL163,AL164,AL165,AL166,AL167,AL168,AL169,AL170,AL171)</f>
        <v>0</v>
      </c>
      <c r="AM160" s="8" t="n">
        <f aca="false">SUM(AM161,AM162,AM163,AM164,AM165,AM166,AM167,AM168,AM169,AM170,AM171)</f>
        <v>0</v>
      </c>
      <c r="AN160" s="8" t="n">
        <f aca="false">SUM(AN161,AN162,AN163,AN164,AN165,AN166,AN167,AN168,AN169,AN170,AN171)</f>
        <v>0</v>
      </c>
      <c r="AO160" s="8" t="n">
        <f aca="false">SUM(AO161,AO162,AO163,AO164,AO165,AO166,AO167,AO168,AO169,AO170,AO171)</f>
        <v>0</v>
      </c>
      <c r="AP160" s="8" t="n">
        <f aca="false">SUM(AP161,AP162,AP163,AP164,AP165,AP166,AP167,AP168,AP169,AP170,AP171)</f>
        <v>0</v>
      </c>
      <c r="AQ160" s="8" t="n">
        <f aca="false">SUM(AQ161,AQ162,AQ163,AQ164,AQ165,AQ166,AQ167,AQ168,AQ169,AQ170,AQ171)</f>
        <v>0</v>
      </c>
      <c r="AR160" s="8" t="n">
        <f aca="false">SUM(AR161,AR162,AR163,AR164,AR165,AR166,AR167,AR168,AR169,AR170,AR171)</f>
        <v>0</v>
      </c>
      <c r="AS160" s="8" t="n">
        <f aca="false">SUM(AS161,AS162,AS163,AS164,AS165,AS166,AS167,AS168,AS169,AS170,AS171)</f>
        <v>0</v>
      </c>
      <c r="AT160" s="8" t="n">
        <f aca="false">SUM(AT161,AT162,AT163,AT164,AT165,AT166,AT167,AT168,AT169,AT170,AT171)</f>
        <v>0</v>
      </c>
      <c r="AU160" s="8" t="n">
        <f aca="false">SUM(AU161,AU162,AU163,AU164,AU165,AU166,AU167,AU168,AU169,AU170,AU171)</f>
        <v>0</v>
      </c>
      <c r="AV160" s="8" t="n">
        <f aca="false">SUM(AV161,AV162,AV163,AV164,AV165,AV166,AV167,AV168,AV169,AV170,AV171)</f>
        <v>0</v>
      </c>
      <c r="AW160" s="8" t="n">
        <f aca="false">SUM(AW161,AW162,AW163,AW164,AW165,AW166,AW167,AW168,AW169,AW170,AW171)</f>
        <v>0</v>
      </c>
    </row>
    <row r="161" customFormat="false" ht="15" hidden="true" customHeight="true" outlineLevel="1" collapsed="false">
      <c r="A161" s="9" t="s">
        <v>12</v>
      </c>
      <c r="B161" s="9" t="s">
        <v>10</v>
      </c>
      <c r="C161" s="9" t="s">
        <v>116</v>
      </c>
      <c r="D161" s="9" t="s">
        <v>78</v>
      </c>
      <c r="E161" s="9" t="s">
        <v>81</v>
      </c>
      <c r="F161" s="10" t="n">
        <v>0</v>
      </c>
      <c r="G161" s="10" t="n">
        <v>0</v>
      </c>
      <c r="H161" s="10" t="n">
        <v>8</v>
      </c>
      <c r="I161" s="10" t="n">
        <v>-8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  <c r="AU161" s="10" t="n">
        <v>0</v>
      </c>
      <c r="AV161" s="10" t="n">
        <v>0</v>
      </c>
      <c r="AW161" s="10" t="n">
        <v>0</v>
      </c>
    </row>
    <row r="162" customFormat="false" ht="15" hidden="true" customHeight="true" outlineLevel="1" collapsed="false">
      <c r="A162" s="9" t="s">
        <v>12</v>
      </c>
      <c r="B162" s="9" t="s">
        <v>10</v>
      </c>
      <c r="C162" s="9" t="s">
        <v>116</v>
      </c>
      <c r="D162" s="9" t="s">
        <v>78</v>
      </c>
      <c r="E162" s="9" t="s">
        <v>95</v>
      </c>
      <c r="F162" s="10" t="n">
        <v>0.5</v>
      </c>
      <c r="G162" s="10" t="n">
        <v>0.5</v>
      </c>
      <c r="H162" s="10" t="n">
        <v>0.5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  <c r="AV162" s="10" t="n">
        <v>0</v>
      </c>
      <c r="AW162" s="10" t="n">
        <v>0</v>
      </c>
    </row>
    <row r="163" customFormat="false" ht="15" hidden="true" customHeight="true" outlineLevel="1" collapsed="false">
      <c r="A163" s="9" t="s">
        <v>12</v>
      </c>
      <c r="B163" s="9" t="s">
        <v>10</v>
      </c>
      <c r="C163" s="9" t="s">
        <v>116</v>
      </c>
      <c r="D163" s="9" t="s">
        <v>78</v>
      </c>
      <c r="E163" s="9" t="s">
        <v>82</v>
      </c>
      <c r="F163" s="10" t="n">
        <v>11.5</v>
      </c>
      <c r="G163" s="10" t="n">
        <v>11.5</v>
      </c>
      <c r="H163" s="10" t="n">
        <v>11.5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  <c r="AV163" s="10" t="n">
        <v>0</v>
      </c>
      <c r="AW163" s="10" t="n">
        <v>0</v>
      </c>
    </row>
    <row r="164" customFormat="false" ht="15" hidden="true" customHeight="true" outlineLevel="1" collapsed="false">
      <c r="A164" s="9" t="s">
        <v>12</v>
      </c>
      <c r="B164" s="9" t="s">
        <v>10</v>
      </c>
      <c r="C164" s="9" t="s">
        <v>116</v>
      </c>
      <c r="D164" s="9" t="s">
        <v>78</v>
      </c>
      <c r="E164" s="9" t="s">
        <v>83</v>
      </c>
      <c r="F164" s="10" t="n">
        <v>0</v>
      </c>
      <c r="G164" s="10" t="n">
        <v>0</v>
      </c>
      <c r="H164" s="10" t="n">
        <v>16</v>
      </c>
      <c r="I164" s="10" t="n">
        <v>-16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0" t="n">
        <v>0</v>
      </c>
      <c r="AV164" s="10" t="n">
        <v>0</v>
      </c>
      <c r="AW164" s="10" t="n">
        <v>0</v>
      </c>
    </row>
    <row r="165" customFormat="false" ht="15" hidden="true" customHeight="true" outlineLevel="1" collapsed="false">
      <c r="A165" s="9" t="s">
        <v>12</v>
      </c>
      <c r="B165" s="9" t="s">
        <v>10</v>
      </c>
      <c r="C165" s="9" t="s">
        <v>116</v>
      </c>
      <c r="D165" s="9" t="s">
        <v>78</v>
      </c>
      <c r="E165" s="9" t="s">
        <v>40</v>
      </c>
      <c r="F165" s="10" t="n">
        <v>0</v>
      </c>
      <c r="G165" s="10" t="n">
        <v>0</v>
      </c>
      <c r="H165" s="10" t="n">
        <v>28.5</v>
      </c>
      <c r="I165" s="10" t="n">
        <v>-28.5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3</v>
      </c>
      <c r="AG165" s="10" t="n">
        <v>7.5</v>
      </c>
      <c r="AH165" s="10" t="n">
        <v>14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  <c r="AT165" s="10" t="n">
        <v>0</v>
      </c>
      <c r="AU165" s="10" t="n">
        <v>0</v>
      </c>
      <c r="AV165" s="10" t="n">
        <v>0</v>
      </c>
      <c r="AW165" s="10" t="n">
        <v>0</v>
      </c>
    </row>
    <row r="166" customFormat="false" ht="15" hidden="true" customHeight="true" outlineLevel="1" collapsed="false">
      <c r="A166" s="9" t="s">
        <v>12</v>
      </c>
      <c r="B166" s="9" t="s">
        <v>10</v>
      </c>
      <c r="C166" s="9" t="s">
        <v>116</v>
      </c>
      <c r="D166" s="9" t="s">
        <v>78</v>
      </c>
      <c r="E166" s="9" t="s">
        <v>96</v>
      </c>
      <c r="F166" s="10" t="n">
        <v>23</v>
      </c>
      <c r="G166" s="10" t="n">
        <v>23</v>
      </c>
      <c r="H166" s="10" t="n">
        <v>220.5</v>
      </c>
      <c r="I166" s="10" t="n">
        <v>-197.5</v>
      </c>
      <c r="J166" s="10" t="n">
        <v>6</v>
      </c>
      <c r="K166" s="10" t="n">
        <v>0</v>
      </c>
      <c r="L166" s="10" t="n">
        <v>0</v>
      </c>
      <c r="M166" s="10" t="n">
        <v>6</v>
      </c>
      <c r="N166" s="10" t="n">
        <v>6</v>
      </c>
      <c r="O166" s="10" t="n">
        <v>0</v>
      </c>
      <c r="P166" s="10" t="n">
        <v>0</v>
      </c>
      <c r="Q166" s="10" t="n">
        <v>6</v>
      </c>
      <c r="R166" s="10" t="n">
        <v>6</v>
      </c>
      <c r="S166" s="10" t="n">
        <v>6</v>
      </c>
      <c r="T166" s="10" t="n">
        <v>6</v>
      </c>
      <c r="U166" s="10" t="n">
        <v>8</v>
      </c>
      <c r="V166" s="10" t="n">
        <v>0</v>
      </c>
      <c r="W166" s="10" t="n">
        <v>8</v>
      </c>
      <c r="X166" s="10" t="n">
        <v>8</v>
      </c>
      <c r="Y166" s="10" t="n">
        <v>8</v>
      </c>
      <c r="Z166" s="10" t="n">
        <v>0</v>
      </c>
      <c r="AA166" s="10" t="n">
        <v>0</v>
      </c>
      <c r="AB166" s="10" t="n">
        <v>12</v>
      </c>
      <c r="AC166" s="10" t="n">
        <v>12</v>
      </c>
      <c r="AD166" s="10" t="n">
        <v>12</v>
      </c>
      <c r="AE166" s="10" t="n">
        <v>12</v>
      </c>
      <c r="AF166" s="10" t="n">
        <v>10</v>
      </c>
      <c r="AG166" s="10" t="n">
        <v>8</v>
      </c>
      <c r="AH166" s="10" t="n">
        <v>8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</row>
    <row r="167" customFormat="false" ht="15" hidden="true" customHeight="true" outlineLevel="1" collapsed="false">
      <c r="A167" s="9" t="s">
        <v>12</v>
      </c>
      <c r="B167" s="9" t="s">
        <v>10</v>
      </c>
      <c r="C167" s="9" t="s">
        <v>116</v>
      </c>
      <c r="D167" s="9" t="s">
        <v>78</v>
      </c>
      <c r="E167" s="9" t="s">
        <v>85</v>
      </c>
      <c r="F167" s="10" t="n">
        <v>64</v>
      </c>
      <c r="G167" s="10" t="n">
        <v>312</v>
      </c>
      <c r="H167" s="10" t="n">
        <v>288</v>
      </c>
      <c r="I167" s="10" t="n">
        <v>24</v>
      </c>
      <c r="J167" s="10" t="n">
        <v>10</v>
      </c>
      <c r="K167" s="10" t="n">
        <v>20</v>
      </c>
      <c r="L167" s="10" t="n">
        <v>20</v>
      </c>
      <c r="M167" s="10" t="n">
        <v>10</v>
      </c>
      <c r="N167" s="10" t="n">
        <v>5</v>
      </c>
      <c r="O167" s="10" t="n">
        <v>5</v>
      </c>
      <c r="P167" s="10" t="n">
        <v>5</v>
      </c>
      <c r="Q167" s="10" t="n">
        <v>5</v>
      </c>
      <c r="R167" s="10" t="n">
        <v>20</v>
      </c>
      <c r="S167" s="10" t="n">
        <v>20</v>
      </c>
      <c r="T167" s="10" t="n">
        <v>20</v>
      </c>
      <c r="U167" s="10" t="n">
        <v>20</v>
      </c>
      <c r="V167" s="10" t="n">
        <v>10</v>
      </c>
      <c r="W167" s="10" t="n">
        <v>10</v>
      </c>
      <c r="X167" s="10" t="n">
        <v>10</v>
      </c>
      <c r="Y167" s="10" t="n">
        <v>10</v>
      </c>
      <c r="Z167" s="10" t="n">
        <v>0</v>
      </c>
      <c r="AA167" s="10" t="n">
        <v>0</v>
      </c>
      <c r="AB167" s="10" t="n">
        <v>20</v>
      </c>
      <c r="AC167" s="10" t="n">
        <v>20</v>
      </c>
      <c r="AD167" s="10" t="n">
        <v>15</v>
      </c>
      <c r="AE167" s="10" t="n">
        <v>15</v>
      </c>
      <c r="AF167" s="10" t="n">
        <v>15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  <c r="AT167" s="10" t="n">
        <v>0</v>
      </c>
      <c r="AU167" s="10" t="n">
        <v>0</v>
      </c>
      <c r="AV167" s="10" t="n">
        <v>0</v>
      </c>
      <c r="AW167" s="10" t="n">
        <v>0</v>
      </c>
    </row>
    <row r="168" customFormat="false" ht="15" hidden="true" customHeight="true" outlineLevel="1" collapsed="false">
      <c r="A168" s="9" t="s">
        <v>12</v>
      </c>
      <c r="B168" s="9" t="s">
        <v>10</v>
      </c>
      <c r="C168" s="9" t="s">
        <v>116</v>
      </c>
      <c r="D168" s="9" t="s">
        <v>78</v>
      </c>
      <c r="E168" s="9" t="s">
        <v>99</v>
      </c>
      <c r="F168" s="10" t="n">
        <v>13</v>
      </c>
      <c r="G168" s="10" t="n">
        <v>26</v>
      </c>
      <c r="H168" s="10" t="n">
        <v>13</v>
      </c>
      <c r="I168" s="10" t="n">
        <v>13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1.5</v>
      </c>
      <c r="T168" s="10" t="n">
        <v>1.5</v>
      </c>
      <c r="U168" s="10" t="n">
        <v>3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1.5</v>
      </c>
      <c r="AG168" s="10" t="n">
        <v>1.5</v>
      </c>
      <c r="AH168" s="10" t="n">
        <v>4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  <c r="AV168" s="10" t="n">
        <v>0</v>
      </c>
      <c r="AW168" s="10" t="n">
        <v>0</v>
      </c>
    </row>
    <row r="169" customFormat="false" ht="15" hidden="true" customHeight="true" outlineLevel="1" collapsed="false">
      <c r="A169" s="9" t="s">
        <v>12</v>
      </c>
      <c r="B169" s="9" t="s">
        <v>10</v>
      </c>
      <c r="C169" s="9" t="s">
        <v>116</v>
      </c>
      <c r="D169" s="9" t="s">
        <v>78</v>
      </c>
      <c r="E169" s="9" t="s">
        <v>43</v>
      </c>
      <c r="F169" s="10" t="n">
        <v>0</v>
      </c>
      <c r="G169" s="10" t="n">
        <v>0</v>
      </c>
      <c r="H169" s="10" t="n">
        <v>23</v>
      </c>
      <c r="I169" s="10" t="n">
        <v>-23</v>
      </c>
      <c r="J169" s="10" t="n">
        <v>4</v>
      </c>
      <c r="K169" s="10" t="n">
        <v>1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  <c r="S169" s="10" t="n">
        <v>0</v>
      </c>
      <c r="T169" s="10" t="n">
        <v>1.5</v>
      </c>
      <c r="U169" s="10" t="n">
        <v>1.5</v>
      </c>
      <c r="V169" s="10" t="n">
        <v>3</v>
      </c>
      <c r="W169" s="10" t="n">
        <v>1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10" t="n">
        <v>0</v>
      </c>
      <c r="AG169" s="10" t="n">
        <v>1.5</v>
      </c>
      <c r="AH169" s="10" t="n">
        <v>1.5</v>
      </c>
      <c r="AI169" s="10" t="n">
        <v>6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  <c r="AT169" s="10" t="n">
        <v>0</v>
      </c>
      <c r="AU169" s="10" t="n">
        <v>0</v>
      </c>
      <c r="AV169" s="10" t="n">
        <v>0</v>
      </c>
      <c r="AW169" s="10" t="n">
        <v>0</v>
      </c>
    </row>
    <row r="170" customFormat="false" ht="15" hidden="true" customHeight="true" outlineLevel="1" collapsed="false">
      <c r="A170" s="9" t="s">
        <v>12</v>
      </c>
      <c r="B170" s="9" t="s">
        <v>10</v>
      </c>
      <c r="C170" s="9" t="s">
        <v>116</v>
      </c>
      <c r="D170" s="9" t="s">
        <v>78</v>
      </c>
      <c r="E170" s="9" t="s">
        <v>100</v>
      </c>
      <c r="F170" s="10" t="n">
        <v>0</v>
      </c>
      <c r="G170" s="10" t="n">
        <v>0</v>
      </c>
      <c r="H170" s="10" t="n">
        <v>2</v>
      </c>
      <c r="I170" s="10" t="n">
        <v>-2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n">
        <v>0</v>
      </c>
      <c r="AW170" s="10" t="n">
        <v>0</v>
      </c>
    </row>
    <row r="171" customFormat="false" ht="15" hidden="true" customHeight="true" outlineLevel="1" collapsed="false">
      <c r="A171" s="9" t="s">
        <v>12</v>
      </c>
      <c r="B171" s="9" t="s">
        <v>10</v>
      </c>
      <c r="C171" s="9" t="s">
        <v>116</v>
      </c>
      <c r="D171" s="9" t="s">
        <v>78</v>
      </c>
      <c r="E171" s="9" t="s">
        <v>87</v>
      </c>
      <c r="F171" s="10" t="n">
        <v>0</v>
      </c>
      <c r="G171" s="10" t="n">
        <v>0</v>
      </c>
      <c r="H171" s="10" t="n">
        <v>23</v>
      </c>
      <c r="I171" s="10" t="n">
        <v>-23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n">
        <v>0</v>
      </c>
      <c r="AW171" s="10" t="n">
        <v>0</v>
      </c>
    </row>
    <row r="172" customFormat="false" ht="15" hidden="false" customHeight="true" outlineLevel="0" collapsed="false">
      <c r="A172" s="7" t="s">
        <v>12</v>
      </c>
      <c r="B172" s="7" t="s">
        <v>10</v>
      </c>
      <c r="C172" s="7" t="s">
        <v>117</v>
      </c>
      <c r="D172" s="7" t="s">
        <v>76</v>
      </c>
      <c r="E172" s="7" t="s">
        <v>77</v>
      </c>
      <c r="F172" s="8" t="n">
        <f aca="false">SUM(F173,F174)</f>
        <v>0</v>
      </c>
      <c r="G172" s="8" t="n">
        <f aca="false">SUM(G173,G174)</f>
        <v>0</v>
      </c>
      <c r="H172" s="8" t="n">
        <f aca="false">SUM(H173,H174)</f>
        <v>36</v>
      </c>
      <c r="I172" s="8" t="n">
        <f aca="false">SUM(I173,I174)</f>
        <v>-36</v>
      </c>
      <c r="J172" s="8" t="n">
        <f aca="false">SUM(J173,J174)</f>
        <v>0</v>
      </c>
      <c r="K172" s="8" t="n">
        <f aca="false">SUM(K173,K174)</f>
        <v>0</v>
      </c>
      <c r="L172" s="8" t="n">
        <f aca="false">SUM(L173,L174)</f>
        <v>0</v>
      </c>
      <c r="M172" s="8" t="n">
        <f aca="false">SUM(M173,M174)</f>
        <v>0</v>
      </c>
      <c r="N172" s="8" t="n">
        <f aca="false">SUM(N173,N174)</f>
        <v>0</v>
      </c>
      <c r="O172" s="8" t="n">
        <f aca="false">SUM(O173,O174)</f>
        <v>0</v>
      </c>
      <c r="P172" s="8" t="n">
        <f aca="false">SUM(P173,P174)</f>
        <v>0</v>
      </c>
      <c r="Q172" s="8" t="n">
        <f aca="false">SUM(Q173,Q174)</f>
        <v>0</v>
      </c>
      <c r="R172" s="8" t="n">
        <f aca="false">SUM(R173,R174)</f>
        <v>0</v>
      </c>
      <c r="S172" s="8" t="n">
        <f aca="false">SUM(S173,S174)</f>
        <v>0</v>
      </c>
      <c r="T172" s="8" t="n">
        <f aca="false">SUM(T173,T174)</f>
        <v>0</v>
      </c>
      <c r="U172" s="8" t="n">
        <f aca="false">SUM(U173,U174)</f>
        <v>0</v>
      </c>
      <c r="V172" s="8" t="n">
        <f aca="false">SUM(V173,V174)</f>
        <v>0</v>
      </c>
      <c r="W172" s="8" t="n">
        <f aca="false">SUM(W173,W174)</f>
        <v>0</v>
      </c>
      <c r="X172" s="8" t="n">
        <f aca="false">SUM(X173,X174)</f>
        <v>0</v>
      </c>
      <c r="Y172" s="8" t="n">
        <f aca="false">SUM(Y173,Y174)</f>
        <v>0</v>
      </c>
      <c r="Z172" s="8" t="n">
        <f aca="false">SUM(Z173,Z174)</f>
        <v>0</v>
      </c>
      <c r="AA172" s="8" t="n">
        <f aca="false">SUM(AA173,AA174)</f>
        <v>0</v>
      </c>
      <c r="AB172" s="8" t="n">
        <f aca="false">SUM(AB173,AB174)</f>
        <v>0</v>
      </c>
      <c r="AC172" s="8" t="n">
        <f aca="false">SUM(AC173,AC174)</f>
        <v>0</v>
      </c>
      <c r="AD172" s="8" t="n">
        <f aca="false">SUM(AD173,AD174)</f>
        <v>0</v>
      </c>
      <c r="AE172" s="8" t="n">
        <f aca="false">SUM(AE173,AE174)</f>
        <v>0</v>
      </c>
      <c r="AF172" s="8" t="n">
        <f aca="false">SUM(AF173,AF174)</f>
        <v>0</v>
      </c>
      <c r="AG172" s="8" t="n">
        <f aca="false">SUM(AG173,AG174)</f>
        <v>0</v>
      </c>
      <c r="AH172" s="8" t="n">
        <f aca="false">SUM(AH173,AH174)</f>
        <v>0</v>
      </c>
      <c r="AI172" s="8" t="n">
        <f aca="false">SUM(AI173,AI174)</f>
        <v>0</v>
      </c>
      <c r="AJ172" s="8" t="n">
        <f aca="false">SUM(AJ173,AJ174)</f>
        <v>0</v>
      </c>
      <c r="AK172" s="8" t="n">
        <f aca="false">SUM(AK173,AK174)</f>
        <v>0</v>
      </c>
      <c r="AL172" s="8" t="n">
        <f aca="false">SUM(AL173,AL174)</f>
        <v>0</v>
      </c>
      <c r="AM172" s="8" t="n">
        <f aca="false">SUM(AM173,AM174)</f>
        <v>0</v>
      </c>
      <c r="AN172" s="8" t="n">
        <f aca="false">SUM(AN173,AN174)</f>
        <v>0</v>
      </c>
      <c r="AO172" s="8" t="n">
        <f aca="false">SUM(AO173,AO174)</f>
        <v>0</v>
      </c>
      <c r="AP172" s="8" t="n">
        <f aca="false">SUM(AP173,AP174)</f>
        <v>0</v>
      </c>
      <c r="AQ172" s="8" t="n">
        <f aca="false">SUM(AQ173,AQ174)</f>
        <v>0</v>
      </c>
      <c r="AR172" s="8" t="n">
        <f aca="false">SUM(AR173,AR174)</f>
        <v>0</v>
      </c>
      <c r="AS172" s="8" t="n">
        <f aca="false">SUM(AS173,AS174)</f>
        <v>0</v>
      </c>
      <c r="AT172" s="8" t="n">
        <f aca="false">SUM(AT173,AT174)</f>
        <v>0</v>
      </c>
      <c r="AU172" s="8" t="n">
        <f aca="false">SUM(AU173,AU174)</f>
        <v>0</v>
      </c>
      <c r="AV172" s="8" t="n">
        <f aca="false">SUM(AV173,AV174)</f>
        <v>0</v>
      </c>
      <c r="AW172" s="8" t="n">
        <f aca="false">SUM(AW173,AW174)</f>
        <v>0</v>
      </c>
    </row>
    <row r="173" customFormat="false" ht="15" hidden="true" customHeight="true" outlineLevel="1" collapsed="false">
      <c r="A173" s="9" t="s">
        <v>12</v>
      </c>
      <c r="B173" s="9" t="s">
        <v>10</v>
      </c>
      <c r="C173" s="9" t="s">
        <v>117</v>
      </c>
      <c r="D173" s="9" t="s">
        <v>78</v>
      </c>
      <c r="E173" s="9" t="s">
        <v>82</v>
      </c>
      <c r="F173" s="10" t="n">
        <v>0</v>
      </c>
      <c r="G173" s="10" t="n">
        <v>0</v>
      </c>
      <c r="H173" s="10" t="n">
        <v>18</v>
      </c>
      <c r="I173" s="10" t="n">
        <v>-18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n">
        <v>0</v>
      </c>
      <c r="AW173" s="10" t="n">
        <v>0</v>
      </c>
    </row>
    <row r="174" customFormat="false" ht="15" hidden="true" customHeight="true" outlineLevel="1" collapsed="false">
      <c r="A174" s="9" t="s">
        <v>12</v>
      </c>
      <c r="B174" s="9" t="s">
        <v>10</v>
      </c>
      <c r="C174" s="9" t="s">
        <v>117</v>
      </c>
      <c r="D174" s="9" t="s">
        <v>78</v>
      </c>
      <c r="E174" s="9" t="s">
        <v>86</v>
      </c>
      <c r="F174" s="10" t="n">
        <v>0</v>
      </c>
      <c r="G174" s="10" t="n">
        <v>0</v>
      </c>
      <c r="H174" s="10" t="n">
        <v>18</v>
      </c>
      <c r="I174" s="10" t="n">
        <v>-18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  <c r="AV174" s="10" t="n">
        <v>0</v>
      </c>
      <c r="AW174" s="10" t="n">
        <v>0</v>
      </c>
    </row>
    <row r="175" customFormat="false" ht="15" hidden="false" customHeight="true" outlineLevel="0" collapsed="false">
      <c r="A175" s="7" t="s">
        <v>29</v>
      </c>
      <c r="B175" s="7" t="s">
        <v>10</v>
      </c>
      <c r="C175" s="7" t="s">
        <v>28</v>
      </c>
      <c r="D175" s="7" t="s">
        <v>76</v>
      </c>
      <c r="E175" s="7" t="s">
        <v>77</v>
      </c>
      <c r="F175" s="8" t="n">
        <f aca="false">SUM(F176,F177)</f>
        <v>335</v>
      </c>
      <c r="G175" s="8" t="n">
        <f aca="false">SUM(G176,G177)</f>
        <v>1431</v>
      </c>
      <c r="H175" s="8" t="n">
        <f aca="false">SUM(H176,H177)</f>
        <v>1371.5</v>
      </c>
      <c r="I175" s="8" t="n">
        <f aca="false">SUM(I176,I177)</f>
        <v>59.5</v>
      </c>
      <c r="J175" s="8" t="n">
        <f aca="false">SUM(J176,J177)</f>
        <v>31.5</v>
      </c>
      <c r="K175" s="8" t="n">
        <f aca="false">SUM(K176,K177)</f>
        <v>25</v>
      </c>
      <c r="L175" s="8" t="n">
        <f aca="false">SUM(L176,L177)</f>
        <v>25</v>
      </c>
      <c r="M175" s="8" t="n">
        <f aca="false">SUM(M176,M177)</f>
        <v>25</v>
      </c>
      <c r="N175" s="11" t="n">
        <f aca="false">SUM(N176,N177)</f>
        <v>45</v>
      </c>
      <c r="O175" s="8" t="n">
        <f aca="false">SUM(O176,O177)</f>
        <v>40</v>
      </c>
      <c r="P175" s="8" t="n">
        <f aca="false">SUM(P176,P177)</f>
        <v>40</v>
      </c>
      <c r="Q175" s="12" t="n">
        <f aca="false">SUM(Q176,Q177)</f>
        <v>50</v>
      </c>
      <c r="R175" s="12" t="n">
        <f aca="false">SUM(R176,R177)</f>
        <v>50</v>
      </c>
      <c r="S175" s="12" t="n">
        <f aca="false">SUM(S176,S177)</f>
        <v>50</v>
      </c>
      <c r="T175" s="8" t="n">
        <f aca="false">SUM(T176,T177)</f>
        <v>15</v>
      </c>
      <c r="U175" s="8" t="n">
        <f aca="false">SUM(U176,U177)</f>
        <v>15</v>
      </c>
      <c r="V175" s="8" t="n">
        <f aca="false">SUM(V176,V177)</f>
        <v>15</v>
      </c>
      <c r="W175" s="8" t="n">
        <f aca="false">SUM(W176,W177)</f>
        <v>3</v>
      </c>
      <c r="X175" s="8" t="n">
        <f aca="false">SUM(X176,X177)</f>
        <v>3</v>
      </c>
      <c r="Y175" s="8" t="n">
        <f aca="false">SUM(Y176,Y177)</f>
        <v>3</v>
      </c>
      <c r="Z175" s="8" t="n">
        <f aca="false">SUM(Z176,Z177)</f>
        <v>2</v>
      </c>
      <c r="AA175" s="8" t="n">
        <f aca="false">SUM(AA176,AA177)</f>
        <v>0</v>
      </c>
      <c r="AB175" s="8" t="n">
        <f aca="false">SUM(AB176,AB177)</f>
        <v>10</v>
      </c>
      <c r="AC175" s="8" t="n">
        <f aca="false">SUM(AC176,AC177)</f>
        <v>50</v>
      </c>
      <c r="AD175" s="8" t="n">
        <f aca="false">SUM(AD176,AD177)</f>
        <v>50</v>
      </c>
      <c r="AE175" s="8" t="n">
        <f aca="false">SUM(AE176,AE177)</f>
        <v>50</v>
      </c>
      <c r="AF175" s="11" t="n">
        <f aca="false">SUM(AF176,AF177)</f>
        <v>60</v>
      </c>
      <c r="AG175" s="11" t="n">
        <f aca="false">SUM(AG176,AG177)</f>
        <v>60</v>
      </c>
      <c r="AH175" s="11" t="n">
        <f aca="false">SUM(AH176,AH177)</f>
        <v>60</v>
      </c>
      <c r="AI175" s="8" t="n">
        <f aca="false">SUM(AI176,AI177)</f>
        <v>40</v>
      </c>
      <c r="AJ175" s="8" t="n">
        <f aca="false">SUM(AJ176,AJ177)</f>
        <v>25</v>
      </c>
      <c r="AK175" s="8" t="n">
        <f aca="false">SUM(AK176,AK177)</f>
        <v>40</v>
      </c>
      <c r="AL175" s="8" t="n">
        <f aca="false">SUM(AL176,AL177)</f>
        <v>30</v>
      </c>
      <c r="AM175" s="8" t="n">
        <f aca="false">SUM(AM176,AM177)</f>
        <v>30</v>
      </c>
      <c r="AN175" s="8" t="n">
        <f aca="false">SUM(AN176,AN177)</f>
        <v>30</v>
      </c>
      <c r="AO175" s="8" t="n">
        <f aca="false">SUM(AO176,AO177)</f>
        <v>30</v>
      </c>
      <c r="AP175" s="8" t="n">
        <f aca="false">SUM(AP176,AP177)</f>
        <v>30</v>
      </c>
      <c r="AQ175" s="8" t="n">
        <f aca="false">SUM(AQ176,AQ177)</f>
        <v>30</v>
      </c>
      <c r="AR175" s="8" t="n">
        <f aca="false">SUM(AR176,AR177)</f>
        <v>20</v>
      </c>
      <c r="AS175" s="8" t="n">
        <f aca="false">SUM(AS176,AS177)</f>
        <v>15</v>
      </c>
      <c r="AT175" s="8" t="n">
        <f aca="false">SUM(AT176,AT177)</f>
        <v>5</v>
      </c>
      <c r="AU175" s="8" t="n">
        <f aca="false">SUM(AU176,AU177)</f>
        <v>0</v>
      </c>
      <c r="AV175" s="8" t="n">
        <f aca="false">SUM(AV176,AV177)</f>
        <v>0</v>
      </c>
      <c r="AW175" s="8" t="n">
        <f aca="false">SUM(AW176,AW177)</f>
        <v>0</v>
      </c>
    </row>
    <row r="176" customFormat="false" ht="15" hidden="true" customHeight="true" outlineLevel="1" collapsed="false">
      <c r="A176" s="9" t="s">
        <v>29</v>
      </c>
      <c r="B176" s="9" t="s">
        <v>10</v>
      </c>
      <c r="C176" s="9" t="s">
        <v>28</v>
      </c>
      <c r="D176" s="9" t="s">
        <v>78</v>
      </c>
      <c r="E176" s="9" t="s">
        <v>91</v>
      </c>
      <c r="F176" s="10" t="n">
        <v>125</v>
      </c>
      <c r="G176" s="10" t="n">
        <v>565</v>
      </c>
      <c r="H176" s="10" t="n">
        <v>440.5</v>
      </c>
      <c r="I176" s="10" t="n">
        <v>124.5</v>
      </c>
      <c r="J176" s="10" t="n">
        <v>11</v>
      </c>
      <c r="K176" s="10" t="n">
        <v>5</v>
      </c>
      <c r="L176" s="10" t="n">
        <v>5</v>
      </c>
      <c r="M176" s="10" t="n">
        <v>5</v>
      </c>
      <c r="N176" s="10" t="n">
        <v>15</v>
      </c>
      <c r="O176" s="10" t="n">
        <v>10</v>
      </c>
      <c r="P176" s="10" t="n">
        <v>20</v>
      </c>
      <c r="Q176" s="10" t="n">
        <v>30</v>
      </c>
      <c r="R176" s="10" t="n">
        <v>30</v>
      </c>
      <c r="S176" s="10" t="n">
        <v>30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25</v>
      </c>
      <c r="AK176" s="10" t="n">
        <v>40</v>
      </c>
      <c r="AL176" s="10" t="n">
        <v>30</v>
      </c>
      <c r="AM176" s="10" t="n">
        <v>30</v>
      </c>
      <c r="AN176" s="10" t="n">
        <v>30</v>
      </c>
      <c r="AO176" s="10" t="n">
        <v>30</v>
      </c>
      <c r="AP176" s="10" t="n">
        <v>30</v>
      </c>
      <c r="AQ176" s="10" t="n">
        <v>30</v>
      </c>
      <c r="AR176" s="10" t="n">
        <v>20</v>
      </c>
      <c r="AS176" s="10" t="n">
        <v>15</v>
      </c>
      <c r="AT176" s="10" t="n">
        <v>5</v>
      </c>
      <c r="AU176" s="10" t="n">
        <v>0</v>
      </c>
      <c r="AV176" s="10" t="n">
        <v>0</v>
      </c>
      <c r="AW176" s="10" t="n">
        <v>0</v>
      </c>
    </row>
    <row r="177" customFormat="false" ht="15" hidden="true" customHeight="true" outlineLevel="1" collapsed="false">
      <c r="A177" s="9" t="s">
        <v>29</v>
      </c>
      <c r="B177" s="9" t="s">
        <v>10</v>
      </c>
      <c r="C177" s="9" t="s">
        <v>28</v>
      </c>
      <c r="D177" s="9" t="s">
        <v>78</v>
      </c>
      <c r="E177" s="9" t="s">
        <v>92</v>
      </c>
      <c r="F177" s="10" t="n">
        <v>210</v>
      </c>
      <c r="G177" s="10" t="n">
        <v>866</v>
      </c>
      <c r="H177" s="10" t="n">
        <v>931</v>
      </c>
      <c r="I177" s="10" t="n">
        <v>-65</v>
      </c>
      <c r="J177" s="10" t="n">
        <v>20.5</v>
      </c>
      <c r="K177" s="10" t="n">
        <v>20</v>
      </c>
      <c r="L177" s="10" t="n">
        <v>20</v>
      </c>
      <c r="M177" s="10" t="n">
        <v>20</v>
      </c>
      <c r="N177" s="10" t="n">
        <v>30</v>
      </c>
      <c r="O177" s="10" t="n">
        <v>30</v>
      </c>
      <c r="P177" s="10" t="n">
        <v>20</v>
      </c>
      <c r="Q177" s="10" t="n">
        <v>20</v>
      </c>
      <c r="R177" s="10" t="n">
        <v>20</v>
      </c>
      <c r="S177" s="10" t="n">
        <v>20</v>
      </c>
      <c r="T177" s="10" t="n">
        <v>15</v>
      </c>
      <c r="U177" s="10" t="n">
        <v>15</v>
      </c>
      <c r="V177" s="10" t="n">
        <v>15</v>
      </c>
      <c r="W177" s="10" t="n">
        <v>3</v>
      </c>
      <c r="X177" s="10" t="n">
        <v>3</v>
      </c>
      <c r="Y177" s="10" t="n">
        <v>3</v>
      </c>
      <c r="Z177" s="10" t="n">
        <v>2</v>
      </c>
      <c r="AA177" s="10" t="n">
        <v>0</v>
      </c>
      <c r="AB177" s="10" t="n">
        <v>10</v>
      </c>
      <c r="AC177" s="10" t="n">
        <v>50</v>
      </c>
      <c r="AD177" s="10" t="n">
        <v>50</v>
      </c>
      <c r="AE177" s="10" t="n">
        <v>50</v>
      </c>
      <c r="AF177" s="10" t="n">
        <v>60</v>
      </c>
      <c r="AG177" s="10" t="n">
        <v>60</v>
      </c>
      <c r="AH177" s="10" t="n">
        <v>60</v>
      </c>
      <c r="AI177" s="10" t="n">
        <v>40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  <c r="AU177" s="10" t="n">
        <v>0</v>
      </c>
      <c r="AV177" s="10" t="n">
        <v>0</v>
      </c>
      <c r="AW177" s="10" t="n">
        <v>0</v>
      </c>
    </row>
    <row r="178" customFormat="false" ht="15" hidden="false" customHeight="true" outlineLevel="0" collapsed="false">
      <c r="A178" s="7" t="s">
        <v>12</v>
      </c>
      <c r="B178" s="7" t="s">
        <v>10</v>
      </c>
      <c r="C178" s="7" t="s">
        <v>118</v>
      </c>
      <c r="D178" s="7" t="s">
        <v>76</v>
      </c>
      <c r="E178" s="7" t="s">
        <v>77</v>
      </c>
      <c r="F178" s="8" t="n">
        <f aca="false">SUM(F179)</f>
        <v>0</v>
      </c>
      <c r="G178" s="8" t="n">
        <f aca="false">SUM(G179)</f>
        <v>18</v>
      </c>
      <c r="H178" s="8" t="n">
        <f aca="false">SUM(H179)</f>
        <v>18</v>
      </c>
      <c r="I178" s="8" t="n">
        <f aca="false">SUM(I179)</f>
        <v>0</v>
      </c>
      <c r="J178" s="8" t="n">
        <f aca="false">SUM(J179)</f>
        <v>0</v>
      </c>
      <c r="K178" s="8" t="n">
        <f aca="false">SUM(K179)</f>
        <v>0</v>
      </c>
      <c r="L178" s="8" t="n">
        <f aca="false">SUM(L179)</f>
        <v>0</v>
      </c>
      <c r="M178" s="8" t="n">
        <f aca="false">SUM(M179)</f>
        <v>0</v>
      </c>
      <c r="N178" s="8" t="n">
        <f aca="false">SUM(N179)</f>
        <v>0</v>
      </c>
      <c r="O178" s="8" t="n">
        <f aca="false">SUM(O179)</f>
        <v>0</v>
      </c>
      <c r="P178" s="8" t="n">
        <f aca="false">SUM(P179)</f>
        <v>0</v>
      </c>
      <c r="Q178" s="8" t="n">
        <f aca="false">SUM(Q179)</f>
        <v>10</v>
      </c>
      <c r="R178" s="8" t="n">
        <f aca="false">SUM(R179)</f>
        <v>8</v>
      </c>
      <c r="S178" s="8" t="n">
        <f aca="false">SUM(S179)</f>
        <v>0</v>
      </c>
      <c r="T178" s="8" t="n">
        <f aca="false">SUM(T179)</f>
        <v>0</v>
      </c>
      <c r="U178" s="8" t="n">
        <f aca="false">SUM(U179)</f>
        <v>0</v>
      </c>
      <c r="V178" s="8" t="n">
        <f aca="false">SUM(V179)</f>
        <v>0</v>
      </c>
      <c r="W178" s="8" t="n">
        <f aca="false">SUM(W179)</f>
        <v>0</v>
      </c>
      <c r="X178" s="8" t="n">
        <f aca="false">SUM(X179)</f>
        <v>0</v>
      </c>
      <c r="Y178" s="8" t="n">
        <f aca="false">SUM(Y179)</f>
        <v>0</v>
      </c>
      <c r="Z178" s="8" t="n">
        <f aca="false">SUM(Z179)</f>
        <v>0</v>
      </c>
      <c r="AA178" s="8" t="n">
        <f aca="false">SUM(AA179)</f>
        <v>0</v>
      </c>
      <c r="AB178" s="8" t="n">
        <f aca="false">SUM(AB179)</f>
        <v>0</v>
      </c>
      <c r="AC178" s="8" t="n">
        <f aca="false">SUM(AC179)</f>
        <v>0</v>
      </c>
      <c r="AD178" s="8" t="n">
        <f aca="false">SUM(AD179)</f>
        <v>0</v>
      </c>
      <c r="AE178" s="8" t="n">
        <f aca="false">SUM(AE179)</f>
        <v>0</v>
      </c>
      <c r="AF178" s="8" t="n">
        <f aca="false">SUM(AF179)</f>
        <v>0</v>
      </c>
      <c r="AG178" s="8" t="n">
        <f aca="false">SUM(AG179)</f>
        <v>0</v>
      </c>
      <c r="AH178" s="8" t="n">
        <f aca="false">SUM(AH179)</f>
        <v>0</v>
      </c>
      <c r="AI178" s="8" t="n">
        <f aca="false">SUM(AI179)</f>
        <v>0</v>
      </c>
      <c r="AJ178" s="8" t="n">
        <f aca="false">SUM(AJ179)</f>
        <v>0</v>
      </c>
      <c r="AK178" s="8" t="n">
        <f aca="false">SUM(AK179)</f>
        <v>0</v>
      </c>
      <c r="AL178" s="8" t="n">
        <f aca="false">SUM(AL179)</f>
        <v>0</v>
      </c>
      <c r="AM178" s="8" t="n">
        <f aca="false">SUM(AM179)</f>
        <v>0</v>
      </c>
      <c r="AN178" s="8" t="n">
        <f aca="false">SUM(AN179)</f>
        <v>0</v>
      </c>
      <c r="AO178" s="8" t="n">
        <f aca="false">SUM(AO179)</f>
        <v>0</v>
      </c>
      <c r="AP178" s="8" t="n">
        <f aca="false">SUM(AP179)</f>
        <v>0</v>
      </c>
      <c r="AQ178" s="8" t="n">
        <f aca="false">SUM(AQ179)</f>
        <v>0</v>
      </c>
      <c r="AR178" s="8" t="n">
        <f aca="false">SUM(AR179)</f>
        <v>0</v>
      </c>
      <c r="AS178" s="8" t="n">
        <f aca="false">SUM(AS179)</f>
        <v>0</v>
      </c>
      <c r="AT178" s="8" t="n">
        <f aca="false">SUM(AT179)</f>
        <v>0</v>
      </c>
      <c r="AU178" s="8" t="n">
        <f aca="false">SUM(AU179)</f>
        <v>0</v>
      </c>
      <c r="AV178" s="8" t="n">
        <f aca="false">SUM(AV179)</f>
        <v>0</v>
      </c>
      <c r="AW178" s="8" t="n">
        <f aca="false">SUM(AW179)</f>
        <v>0</v>
      </c>
    </row>
    <row r="179" customFormat="false" ht="15" hidden="true" customHeight="true" outlineLevel="1" collapsed="false">
      <c r="A179" s="9" t="s">
        <v>12</v>
      </c>
      <c r="B179" s="9" t="s">
        <v>10</v>
      </c>
      <c r="C179" s="9" t="s">
        <v>118</v>
      </c>
      <c r="D179" s="9" t="s">
        <v>78</v>
      </c>
      <c r="E179" s="9" t="s">
        <v>88</v>
      </c>
      <c r="F179" s="10" t="n">
        <v>0</v>
      </c>
      <c r="G179" s="10" t="n">
        <v>18</v>
      </c>
      <c r="H179" s="10" t="n">
        <v>18</v>
      </c>
      <c r="I179" s="10" t="n">
        <v>0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10</v>
      </c>
      <c r="R179" s="10" t="n">
        <v>8</v>
      </c>
      <c r="S179" s="10" t="n">
        <v>0</v>
      </c>
      <c r="T179" s="10" t="n">
        <v>0</v>
      </c>
      <c r="U179" s="10" t="n">
        <v>0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  <c r="AD179" s="10" t="n">
        <v>0</v>
      </c>
      <c r="AE179" s="10" t="n">
        <v>0</v>
      </c>
      <c r="AF179" s="10" t="n">
        <v>0</v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0" t="n">
        <v>0</v>
      </c>
      <c r="AM179" s="10" t="n">
        <v>0</v>
      </c>
      <c r="AN179" s="10" t="n">
        <v>0</v>
      </c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  <c r="AT179" s="10" t="n">
        <v>0</v>
      </c>
      <c r="AU179" s="10" t="n">
        <v>0</v>
      </c>
      <c r="AV179" s="10" t="n">
        <v>0</v>
      </c>
      <c r="AW179" s="10" t="n">
        <v>0</v>
      </c>
    </row>
    <row r="180" customFormat="false" ht="15" hidden="false" customHeight="true" outlineLevel="0" collapsed="false">
      <c r="A180" s="7" t="s">
        <v>12</v>
      </c>
      <c r="B180" s="7" t="s">
        <v>10</v>
      </c>
      <c r="C180" s="7" t="s">
        <v>119</v>
      </c>
      <c r="D180" s="7" t="s">
        <v>76</v>
      </c>
      <c r="E180" s="7" t="s">
        <v>77</v>
      </c>
      <c r="F180" s="8" t="n">
        <f aca="false">SUM(F181)</f>
        <v>0</v>
      </c>
      <c r="G180" s="8" t="n">
        <f aca="false">SUM(G181)</f>
        <v>20</v>
      </c>
      <c r="H180" s="8" t="n">
        <f aca="false">SUM(H181)</f>
        <v>20</v>
      </c>
      <c r="I180" s="8" t="n">
        <f aca="false">SUM(I181)</f>
        <v>0</v>
      </c>
      <c r="J180" s="8" t="n">
        <f aca="false">SUM(J181)</f>
        <v>0</v>
      </c>
      <c r="K180" s="8" t="n">
        <f aca="false">SUM(K181)</f>
        <v>0</v>
      </c>
      <c r="L180" s="8" t="n">
        <f aca="false">SUM(L181)</f>
        <v>0</v>
      </c>
      <c r="M180" s="8" t="n">
        <f aca="false">SUM(M181)</f>
        <v>0</v>
      </c>
      <c r="N180" s="8" t="n">
        <f aca="false">SUM(N181)</f>
        <v>0</v>
      </c>
      <c r="O180" s="8" t="n">
        <f aca="false">SUM(O181)</f>
        <v>0</v>
      </c>
      <c r="P180" s="8" t="n">
        <f aca="false">SUM(P181)</f>
        <v>0</v>
      </c>
      <c r="Q180" s="8" t="n">
        <f aca="false">SUM(Q181)</f>
        <v>10</v>
      </c>
      <c r="R180" s="8" t="n">
        <f aca="false">SUM(R181)</f>
        <v>10</v>
      </c>
      <c r="S180" s="8" t="n">
        <f aca="false">SUM(S181)</f>
        <v>0</v>
      </c>
      <c r="T180" s="8" t="n">
        <f aca="false">SUM(T181)</f>
        <v>0</v>
      </c>
      <c r="U180" s="8" t="n">
        <f aca="false">SUM(U181)</f>
        <v>0</v>
      </c>
      <c r="V180" s="8" t="n">
        <f aca="false">SUM(V181)</f>
        <v>0</v>
      </c>
      <c r="W180" s="8" t="n">
        <f aca="false">SUM(W181)</f>
        <v>0</v>
      </c>
      <c r="X180" s="8" t="n">
        <f aca="false">SUM(X181)</f>
        <v>0</v>
      </c>
      <c r="Y180" s="8" t="n">
        <f aca="false">SUM(Y181)</f>
        <v>0</v>
      </c>
      <c r="Z180" s="8" t="n">
        <f aca="false">SUM(Z181)</f>
        <v>0</v>
      </c>
      <c r="AA180" s="8" t="n">
        <f aca="false">SUM(AA181)</f>
        <v>0</v>
      </c>
      <c r="AB180" s="8" t="n">
        <f aca="false">SUM(AB181)</f>
        <v>0</v>
      </c>
      <c r="AC180" s="8" t="n">
        <f aca="false">SUM(AC181)</f>
        <v>0</v>
      </c>
      <c r="AD180" s="8" t="n">
        <f aca="false">SUM(AD181)</f>
        <v>0</v>
      </c>
      <c r="AE180" s="8" t="n">
        <f aca="false">SUM(AE181)</f>
        <v>0</v>
      </c>
      <c r="AF180" s="8" t="n">
        <f aca="false">SUM(AF181)</f>
        <v>0</v>
      </c>
      <c r="AG180" s="8" t="n">
        <f aca="false">SUM(AG181)</f>
        <v>0</v>
      </c>
      <c r="AH180" s="8" t="n">
        <f aca="false">SUM(AH181)</f>
        <v>0</v>
      </c>
      <c r="AI180" s="8" t="n">
        <f aca="false">SUM(AI181)</f>
        <v>0</v>
      </c>
      <c r="AJ180" s="8" t="n">
        <f aca="false">SUM(AJ181)</f>
        <v>0</v>
      </c>
      <c r="AK180" s="8" t="n">
        <f aca="false">SUM(AK181)</f>
        <v>0</v>
      </c>
      <c r="AL180" s="8" t="n">
        <f aca="false">SUM(AL181)</f>
        <v>0</v>
      </c>
      <c r="AM180" s="8" t="n">
        <f aca="false">SUM(AM181)</f>
        <v>0</v>
      </c>
      <c r="AN180" s="8" t="n">
        <f aca="false">SUM(AN181)</f>
        <v>0</v>
      </c>
      <c r="AO180" s="8" t="n">
        <f aca="false">SUM(AO181)</f>
        <v>0</v>
      </c>
      <c r="AP180" s="8" t="n">
        <f aca="false">SUM(AP181)</f>
        <v>0</v>
      </c>
      <c r="AQ180" s="8" t="n">
        <f aca="false">SUM(AQ181)</f>
        <v>0</v>
      </c>
      <c r="AR180" s="8" t="n">
        <f aca="false">SUM(AR181)</f>
        <v>0</v>
      </c>
      <c r="AS180" s="8" t="n">
        <f aca="false">SUM(AS181)</f>
        <v>0</v>
      </c>
      <c r="AT180" s="8" t="n">
        <f aca="false">SUM(AT181)</f>
        <v>0</v>
      </c>
      <c r="AU180" s="8" t="n">
        <f aca="false">SUM(AU181)</f>
        <v>0</v>
      </c>
      <c r="AV180" s="8" t="n">
        <f aca="false">SUM(AV181)</f>
        <v>0</v>
      </c>
      <c r="AW180" s="8" t="n">
        <f aca="false">SUM(AW181)</f>
        <v>0</v>
      </c>
    </row>
    <row r="181" customFormat="false" ht="15" hidden="true" customHeight="true" outlineLevel="1" collapsed="false">
      <c r="A181" s="9" t="s">
        <v>12</v>
      </c>
      <c r="B181" s="9" t="s">
        <v>10</v>
      </c>
      <c r="C181" s="9" t="s">
        <v>119</v>
      </c>
      <c r="D181" s="9" t="s">
        <v>78</v>
      </c>
      <c r="E181" s="9" t="s">
        <v>88</v>
      </c>
      <c r="F181" s="10" t="n">
        <v>0</v>
      </c>
      <c r="G181" s="10" t="n">
        <v>20</v>
      </c>
      <c r="H181" s="10" t="n">
        <v>20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10</v>
      </c>
      <c r="R181" s="10" t="n">
        <v>10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  <c r="AV181" s="10" t="n">
        <v>0</v>
      </c>
      <c r="AW181" s="10" t="n">
        <v>0</v>
      </c>
    </row>
    <row r="182" customFormat="false" ht="15" hidden="false" customHeight="true" outlineLevel="0" collapsed="false">
      <c r="A182" s="7" t="s">
        <v>12</v>
      </c>
      <c r="B182" s="7" t="s">
        <v>10</v>
      </c>
      <c r="C182" s="7" t="s">
        <v>104</v>
      </c>
      <c r="D182" s="7" t="s">
        <v>76</v>
      </c>
      <c r="E182" s="7" t="s">
        <v>77</v>
      </c>
      <c r="F182" s="8" t="n">
        <f aca="false">SUM(F183)</f>
        <v>16</v>
      </c>
      <c r="G182" s="8" t="n">
        <f aca="false">SUM(G183)</f>
        <v>80</v>
      </c>
      <c r="H182" s="8" t="n">
        <f aca="false">SUM(H183)</f>
        <v>64</v>
      </c>
      <c r="I182" s="8" t="n">
        <f aca="false">SUM(I183)</f>
        <v>16</v>
      </c>
      <c r="J182" s="8" t="n">
        <f aca="false">SUM(J183)</f>
        <v>0</v>
      </c>
      <c r="K182" s="8" t="n">
        <f aca="false">SUM(K183)</f>
        <v>0</v>
      </c>
      <c r="L182" s="8" t="n">
        <f aca="false">SUM(L183)</f>
        <v>0</v>
      </c>
      <c r="M182" s="8" t="n">
        <f aca="false">SUM(M183)</f>
        <v>0</v>
      </c>
      <c r="N182" s="8" t="n">
        <f aca="false">SUM(N183)</f>
        <v>0</v>
      </c>
      <c r="O182" s="8" t="n">
        <f aca="false">SUM(O183)</f>
        <v>0</v>
      </c>
      <c r="P182" s="8" t="n">
        <f aca="false">SUM(P183)</f>
        <v>0</v>
      </c>
      <c r="Q182" s="8" t="n">
        <f aca="false">SUM(Q183)</f>
        <v>0</v>
      </c>
      <c r="R182" s="8" t="n">
        <f aca="false">SUM(R183)</f>
        <v>0</v>
      </c>
      <c r="S182" s="8" t="n">
        <f aca="false">SUM(S183)</f>
        <v>0</v>
      </c>
      <c r="T182" s="8" t="n">
        <f aca="false">SUM(T183)</f>
        <v>0</v>
      </c>
      <c r="U182" s="8" t="n">
        <f aca="false">SUM(U183)</f>
        <v>0</v>
      </c>
      <c r="V182" s="8" t="n">
        <f aca="false">SUM(V183)</f>
        <v>0</v>
      </c>
      <c r="W182" s="8" t="n">
        <f aca="false">SUM(W183)</f>
        <v>0</v>
      </c>
      <c r="X182" s="8" t="n">
        <f aca="false">SUM(X183)</f>
        <v>0</v>
      </c>
      <c r="Y182" s="8" t="n">
        <f aca="false">SUM(Y183)</f>
        <v>0</v>
      </c>
      <c r="Z182" s="8" t="n">
        <f aca="false">SUM(Z183)</f>
        <v>0</v>
      </c>
      <c r="AA182" s="8" t="n">
        <f aca="false">SUM(AA183)</f>
        <v>0</v>
      </c>
      <c r="AB182" s="8" t="n">
        <f aca="false">SUM(AB183)</f>
        <v>0</v>
      </c>
      <c r="AC182" s="8" t="n">
        <f aca="false">SUM(AC183)</f>
        <v>0</v>
      </c>
      <c r="AD182" s="8" t="n">
        <f aca="false">SUM(AD183)</f>
        <v>0</v>
      </c>
      <c r="AE182" s="8" t="n">
        <f aca="false">SUM(AE183)</f>
        <v>16</v>
      </c>
      <c r="AF182" s="8" t="n">
        <f aca="false">SUM(AF183)</f>
        <v>16</v>
      </c>
      <c r="AG182" s="8" t="n">
        <f aca="false">SUM(AG183)</f>
        <v>16</v>
      </c>
      <c r="AH182" s="8" t="n">
        <f aca="false">SUM(AH183)</f>
        <v>16</v>
      </c>
      <c r="AI182" s="8" t="n">
        <f aca="false">SUM(AI183)</f>
        <v>0</v>
      </c>
      <c r="AJ182" s="8" t="n">
        <f aca="false">SUM(AJ183)</f>
        <v>0</v>
      </c>
      <c r="AK182" s="8" t="n">
        <f aca="false">SUM(AK183)</f>
        <v>0</v>
      </c>
      <c r="AL182" s="8" t="n">
        <f aca="false">SUM(AL183)</f>
        <v>0</v>
      </c>
      <c r="AM182" s="8" t="n">
        <f aca="false">SUM(AM183)</f>
        <v>0</v>
      </c>
      <c r="AN182" s="8" t="n">
        <f aca="false">SUM(AN183)</f>
        <v>0</v>
      </c>
      <c r="AO182" s="8" t="n">
        <f aca="false">SUM(AO183)</f>
        <v>0</v>
      </c>
      <c r="AP182" s="8" t="n">
        <f aca="false">SUM(AP183)</f>
        <v>0</v>
      </c>
      <c r="AQ182" s="8" t="n">
        <f aca="false">SUM(AQ183)</f>
        <v>0</v>
      </c>
      <c r="AR182" s="8" t="n">
        <f aca="false">SUM(AR183)</f>
        <v>0</v>
      </c>
      <c r="AS182" s="8" t="n">
        <f aca="false">SUM(AS183)</f>
        <v>0</v>
      </c>
      <c r="AT182" s="8" t="n">
        <f aca="false">SUM(AT183)</f>
        <v>0</v>
      </c>
      <c r="AU182" s="8" t="n">
        <f aca="false">SUM(AU183)</f>
        <v>0</v>
      </c>
      <c r="AV182" s="8" t="n">
        <f aca="false">SUM(AV183)</f>
        <v>0</v>
      </c>
      <c r="AW182" s="8" t="n">
        <f aca="false">SUM(AW183)</f>
        <v>0</v>
      </c>
    </row>
    <row r="183" customFormat="false" ht="15" hidden="true" customHeight="true" outlineLevel="1" collapsed="false">
      <c r="A183" s="9" t="s">
        <v>12</v>
      </c>
      <c r="B183" s="9" t="s">
        <v>10</v>
      </c>
      <c r="C183" s="9" t="s">
        <v>104</v>
      </c>
      <c r="D183" s="9" t="s">
        <v>78</v>
      </c>
      <c r="E183" s="9" t="s">
        <v>105</v>
      </c>
      <c r="F183" s="10" t="n">
        <v>16</v>
      </c>
      <c r="G183" s="10" t="n">
        <v>80</v>
      </c>
      <c r="H183" s="10" t="n">
        <v>64</v>
      </c>
      <c r="I183" s="10" t="n">
        <v>16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16</v>
      </c>
      <c r="AF183" s="10" t="n">
        <v>16</v>
      </c>
      <c r="AG183" s="10" t="n">
        <v>16</v>
      </c>
      <c r="AH183" s="10" t="n">
        <v>16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0" t="n">
        <v>0</v>
      </c>
      <c r="AU183" s="10" t="n">
        <v>0</v>
      </c>
      <c r="AV183" s="10" t="n">
        <v>0</v>
      </c>
      <c r="AW183" s="10" t="n">
        <v>0</v>
      </c>
    </row>
    <row r="184" customFormat="false" ht="15" hidden="false" customHeight="true" outlineLevel="0" collapsed="false">
      <c r="A184" s="7" t="s">
        <v>12</v>
      </c>
      <c r="B184" s="7" t="s">
        <v>14</v>
      </c>
      <c r="C184" s="7" t="s">
        <v>13</v>
      </c>
      <c r="D184" s="7" t="s">
        <v>76</v>
      </c>
      <c r="E184" s="7" t="s">
        <v>77</v>
      </c>
      <c r="F184" s="8" t="n">
        <f aca="false">SUM(F185,F186,F187,F188,F189,F190,F191,F192,F193,F194,F195,F196,F197)</f>
        <v>390</v>
      </c>
      <c r="G184" s="8" t="n">
        <f aca="false">SUM(G185,G186,G187,G188,G189,G190,G191,G192,G193,G194,G195,G196,G197)</f>
        <v>1340</v>
      </c>
      <c r="H184" s="8" t="n">
        <f aca="false">SUM(H185,H186,H187,H188,H189,H190,H191,H192,H193,H194,H195,H196,H197)</f>
        <v>1420.5</v>
      </c>
      <c r="I184" s="8" t="n">
        <f aca="false">SUM(I185,I186,I187,I188,I189,I190,I191,I192,I193,I194,I195,I196,I197)</f>
        <v>-80.5</v>
      </c>
      <c r="J184" s="12" t="n">
        <f aca="false">SUM(J185,J186,J187,J188,J189,J190,J191,J192,J193,J194,J195,J196,J197)</f>
        <v>76</v>
      </c>
      <c r="K184" s="8" t="n">
        <f aca="false">SUM(K185,K186,K187,K188,K189,K190,K191,K192,K193,K194,K195,K196,K197)</f>
        <v>17</v>
      </c>
      <c r="L184" s="8" t="n">
        <f aca="false">SUM(L185,L186,L187,L188,L189,L190,L191,L192,L193,L194,L195,L196,L197)</f>
        <v>38</v>
      </c>
      <c r="M184" s="8" t="n">
        <f aca="false">SUM(M185,M186,M187,M188,M189,M190,M191,M192,M193,M194,M195,M196,M197)</f>
        <v>33</v>
      </c>
      <c r="N184" s="8" t="n">
        <f aca="false">SUM(N185,N186,N187,N188,N189,N190,N191,N192,N193,N194,N195,N196,N197)</f>
        <v>30</v>
      </c>
      <c r="O184" s="8" t="n">
        <f aca="false">SUM(O185,O186,O187,O188,O189,O190,O191,O192,O193,O194,O195,O196,O197)</f>
        <v>30</v>
      </c>
      <c r="P184" s="8" t="n">
        <f aca="false">SUM(P185,P186,P187,P188,P189,P190,P191,P192,P193,P194,P195,P196,P197)</f>
        <v>25</v>
      </c>
      <c r="Q184" s="8" t="n">
        <f aca="false">SUM(Q185,Q186,Q187,Q188,Q189,Q190,Q191,Q192,Q193,Q194,Q195,Q196,Q197)</f>
        <v>11.5</v>
      </c>
      <c r="R184" s="8" t="n">
        <f aca="false">SUM(R185,R186,R187,R188,R189,R190,R191,R192,R193,R194,R195,R196,R197)</f>
        <v>29</v>
      </c>
      <c r="S184" s="12" t="n">
        <f aca="false">SUM(S185,S186,S187,S188,S189,S190,S191,S192,S193,S194,S195,S196,S197)</f>
        <v>69</v>
      </c>
      <c r="T184" s="12" t="n">
        <f aca="false">SUM(T185,T186,T187,T188,T189,T190,T191,T192,T193,T194,T195,T196,T197)</f>
        <v>86</v>
      </c>
      <c r="U184" s="12" t="n">
        <f aca="false">SUM(U185,U186,U187,U188,U189,U190,U191,U192,U193,U194,U195,U196,U197)</f>
        <v>82</v>
      </c>
      <c r="V184" s="8" t="n">
        <f aca="false">SUM(V185,V186,V187,V188,V189,V190,V191,V192,V193,V194,V195,V196,V197)</f>
        <v>15</v>
      </c>
      <c r="W184" s="8" t="n">
        <f aca="false">SUM(W185,W186,W187,W188,W189,W190,W191,W192,W193,W194,W195,W196,W197)</f>
        <v>30</v>
      </c>
      <c r="X184" s="8" t="n">
        <f aca="false">SUM(X185,X186,X187,X188,X189,X190,X191,X192,X193,X194,X195,X196,X197)</f>
        <v>35</v>
      </c>
      <c r="Y184" s="8" t="n">
        <f aca="false">SUM(Y185,Y186,Y187,Y188,Y189,Y190,Y191,Y192,Y193,Y194,Y195,Y196,Y197)</f>
        <v>35</v>
      </c>
      <c r="Z184" s="8" t="n">
        <f aca="false">SUM(Z185,Z186,Z187,Z188,Z189,Z190,Z191,Z192,Z193,Z194,Z195,Z196,Z197)</f>
        <v>0</v>
      </c>
      <c r="AA184" s="8" t="n">
        <f aca="false">SUM(AA185,AA186,AA187,AA188,AA189,AA190,AA191,AA192,AA193,AA194,AA195,AA196,AA197)</f>
        <v>0</v>
      </c>
      <c r="AB184" s="8" t="n">
        <f aca="false">SUM(AB185,AB186,AB187,AB188,AB189,AB190,AB191,AB192,AB193,AB194,AB195,AB196,AB197)</f>
        <v>16</v>
      </c>
      <c r="AC184" s="8" t="n">
        <f aca="false">SUM(AC185,AC186,AC187,AC188,AC189,AC190,AC191,AC192,AC193,AC194,AC195,AC196,AC197)</f>
        <v>24</v>
      </c>
      <c r="AD184" s="8" t="n">
        <f aca="false">SUM(AD185,AD186,AD187,AD188,AD189,AD190,AD191,AD192,AD193,AD194,AD195,AD196,AD197)</f>
        <v>24</v>
      </c>
      <c r="AE184" s="8" t="n">
        <f aca="false">SUM(AE185,AE186,AE187,AE188,AE189,AE190,AE191,AE192,AE193,AE194,AE195,AE196,AE197)</f>
        <v>48</v>
      </c>
      <c r="AF184" s="12" t="n">
        <f aca="false">SUM(AF185,AF186,AF187,AF188,AF189,AF190,AF191,AF192,AF193,AF194,AF195,AF196,AF197)</f>
        <v>132</v>
      </c>
      <c r="AG184" s="12" t="n">
        <f aca="false">SUM(AG185,AG186,AG187,AG188,AG189,AG190,AG191,AG192,AG193,AG194,AG195,AG196,AG197)</f>
        <v>125.5</v>
      </c>
      <c r="AH184" s="12" t="n">
        <f aca="false">SUM(AH185,AH186,AH187,AH188,AH189,AH190,AH191,AH192,AH193,AH194,AH195,AH196,AH197)</f>
        <v>103.5</v>
      </c>
      <c r="AI184" s="8" t="n">
        <f aca="false">SUM(AI185,AI186,AI187,AI188,AI189,AI190,AI191,AI192,AI193,AI194,AI195,AI196,AI197)</f>
        <v>14</v>
      </c>
      <c r="AJ184" s="8" t="n">
        <f aca="false">SUM(AJ185,AJ186,AJ187,AJ188,AJ189,AJ190,AJ191,AJ192,AJ193,AJ194,AJ195,AJ196,AJ197)</f>
        <v>0</v>
      </c>
      <c r="AK184" s="8" t="n">
        <f aca="false">SUM(AK185,AK186,AK187,AK188,AK189,AK190,AK191,AK192,AK193,AK194,AK195,AK196,AK197)</f>
        <v>0</v>
      </c>
      <c r="AL184" s="8" t="n">
        <f aca="false">SUM(AL185,AL186,AL187,AL188,AL189,AL190,AL191,AL192,AL193,AL194,AL195,AL196,AL197)</f>
        <v>0</v>
      </c>
      <c r="AM184" s="8" t="n">
        <f aca="false">SUM(AM185,AM186,AM187,AM188,AM189,AM190,AM191,AM192,AM193,AM194,AM195,AM196,AM197)</f>
        <v>0</v>
      </c>
      <c r="AN184" s="8" t="n">
        <f aca="false">SUM(AN185,AN186,AN187,AN188,AN189,AN190,AN191,AN192,AN193,AN194,AN195,AN196,AN197)</f>
        <v>0</v>
      </c>
      <c r="AO184" s="8" t="n">
        <f aca="false">SUM(AO185,AO186,AO187,AO188,AO189,AO190,AO191,AO192,AO193,AO194,AO195,AO196,AO197)</f>
        <v>0</v>
      </c>
      <c r="AP184" s="8" t="n">
        <f aca="false">SUM(AP185,AP186,AP187,AP188,AP189,AP190,AP191,AP192,AP193,AP194,AP195,AP196,AP197)</f>
        <v>0</v>
      </c>
      <c r="AQ184" s="8" t="n">
        <f aca="false">SUM(AQ185,AQ186,AQ187,AQ188,AQ189,AQ190,AQ191,AQ192,AQ193,AQ194,AQ195,AQ196,AQ197)</f>
        <v>0</v>
      </c>
      <c r="AR184" s="8" t="n">
        <f aca="false">SUM(AR185,AR186,AR187,AR188,AR189,AR190,AR191,AR192,AR193,AR194,AR195,AR196,AR197)</f>
        <v>0</v>
      </c>
      <c r="AS184" s="8" t="n">
        <f aca="false">SUM(AS185,AS186,AS187,AS188,AS189,AS190,AS191,AS192,AS193,AS194,AS195,AS196,AS197)</f>
        <v>0</v>
      </c>
      <c r="AT184" s="8" t="n">
        <f aca="false">SUM(AT185,AT186,AT187,AT188,AT189,AT190,AT191,AT192,AT193,AT194,AT195,AT196,AT197)</f>
        <v>0</v>
      </c>
      <c r="AU184" s="8" t="n">
        <f aca="false">SUM(AU185,AU186,AU187,AU188,AU189,AU190,AU191,AU192,AU193,AU194,AU195,AU196,AU197)</f>
        <v>0</v>
      </c>
      <c r="AV184" s="8" t="n">
        <f aca="false">SUM(AV185,AV186,AV187,AV188,AV189,AV190,AV191,AV192,AV193,AV194,AV195,AV196,AV197)</f>
        <v>0</v>
      </c>
      <c r="AW184" s="8" t="n">
        <f aca="false">SUM(AW185,AW186,AW187,AW188,AW189,AW190,AW191,AW192,AW193,AW194,AW195,AW196,AW197)</f>
        <v>0</v>
      </c>
    </row>
    <row r="185" customFormat="false" ht="15" hidden="true" customHeight="true" outlineLevel="1" collapsed="false">
      <c r="A185" s="9" t="s">
        <v>12</v>
      </c>
      <c r="B185" s="9" t="s">
        <v>14</v>
      </c>
      <c r="C185" s="9" t="s">
        <v>13</v>
      </c>
      <c r="D185" s="9" t="s">
        <v>78</v>
      </c>
      <c r="E185" s="9" t="s">
        <v>81</v>
      </c>
      <c r="F185" s="10" t="n">
        <v>34</v>
      </c>
      <c r="G185" s="10" t="n">
        <v>222</v>
      </c>
      <c r="H185" s="10" t="n">
        <v>212</v>
      </c>
      <c r="I185" s="10" t="n">
        <v>10</v>
      </c>
      <c r="J185" s="10" t="n">
        <v>16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  <c r="S185" s="10" t="n">
        <v>14</v>
      </c>
      <c r="T185" s="10" t="n">
        <v>16</v>
      </c>
      <c r="U185" s="10" t="n">
        <v>16</v>
      </c>
      <c r="V185" s="10" t="n">
        <v>4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18</v>
      </c>
      <c r="AF185" s="10" t="n">
        <v>36</v>
      </c>
      <c r="AG185" s="10" t="n">
        <v>36</v>
      </c>
      <c r="AH185" s="10" t="n">
        <v>32</v>
      </c>
      <c r="AI185" s="10" t="n">
        <v>0</v>
      </c>
      <c r="AJ185" s="10" t="n">
        <v>0</v>
      </c>
      <c r="AK185" s="10" t="n">
        <v>0</v>
      </c>
      <c r="AL185" s="10" t="n">
        <v>0</v>
      </c>
      <c r="AM185" s="10" t="n">
        <v>0</v>
      </c>
      <c r="AN185" s="10" t="n">
        <v>0</v>
      </c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10" t="n">
        <v>0</v>
      </c>
      <c r="AU185" s="10" t="n">
        <v>0</v>
      </c>
      <c r="AV185" s="10" t="n">
        <v>0</v>
      </c>
      <c r="AW185" s="10" t="n">
        <v>0</v>
      </c>
    </row>
    <row r="186" customFormat="false" ht="15" hidden="true" customHeight="true" outlineLevel="1" collapsed="false">
      <c r="A186" s="9" t="s">
        <v>12</v>
      </c>
      <c r="B186" s="9" t="s">
        <v>14</v>
      </c>
      <c r="C186" s="9" t="s">
        <v>13</v>
      </c>
      <c r="D186" s="9" t="s">
        <v>78</v>
      </c>
      <c r="E186" s="9" t="s">
        <v>94</v>
      </c>
      <c r="F186" s="10" t="n">
        <v>10</v>
      </c>
      <c r="G186" s="10" t="n">
        <v>10</v>
      </c>
      <c r="H186" s="10" t="n">
        <v>5</v>
      </c>
      <c r="I186" s="10" t="n">
        <v>5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0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0</v>
      </c>
      <c r="AM186" s="10" t="n">
        <v>0</v>
      </c>
      <c r="AN186" s="10" t="n">
        <v>0</v>
      </c>
      <c r="AO186" s="10" t="n">
        <v>0</v>
      </c>
      <c r="AP186" s="10" t="n">
        <v>0</v>
      </c>
      <c r="AQ186" s="10" t="n">
        <v>0</v>
      </c>
      <c r="AR186" s="10" t="n">
        <v>0</v>
      </c>
      <c r="AS186" s="10" t="n">
        <v>0</v>
      </c>
      <c r="AT186" s="10" t="n">
        <v>0</v>
      </c>
      <c r="AU186" s="10" t="n">
        <v>0</v>
      </c>
      <c r="AV186" s="10" t="n">
        <v>0</v>
      </c>
      <c r="AW186" s="10" t="n">
        <v>0</v>
      </c>
    </row>
    <row r="187" customFormat="false" ht="15" hidden="true" customHeight="true" outlineLevel="1" collapsed="false">
      <c r="A187" s="9" t="s">
        <v>12</v>
      </c>
      <c r="B187" s="9" t="s">
        <v>14</v>
      </c>
      <c r="C187" s="9" t="s">
        <v>13</v>
      </c>
      <c r="D187" s="9" t="s">
        <v>78</v>
      </c>
      <c r="E187" s="9" t="s">
        <v>82</v>
      </c>
      <c r="F187" s="10" t="n">
        <v>0</v>
      </c>
      <c r="G187" s="10" t="n">
        <v>0</v>
      </c>
      <c r="H187" s="10" t="n">
        <v>16</v>
      </c>
      <c r="I187" s="10" t="n">
        <v>-16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  <c r="S187" s="10" t="n">
        <v>0</v>
      </c>
      <c r="T187" s="10" t="n">
        <v>0</v>
      </c>
      <c r="U187" s="10" t="n">
        <v>0</v>
      </c>
      <c r="V187" s="10" t="n">
        <v>0</v>
      </c>
      <c r="W187" s="10" t="n">
        <v>0</v>
      </c>
      <c r="X187" s="10" t="n">
        <v>0</v>
      </c>
      <c r="Y187" s="10" t="n">
        <v>0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10" t="n">
        <v>0</v>
      </c>
      <c r="AG187" s="10" t="n">
        <v>0</v>
      </c>
      <c r="AH187" s="10" t="n">
        <v>0</v>
      </c>
      <c r="AI187" s="10" t="n">
        <v>0</v>
      </c>
      <c r="AJ187" s="10" t="n">
        <v>0</v>
      </c>
      <c r="AK187" s="10" t="n">
        <v>0</v>
      </c>
      <c r="AL187" s="10" t="n">
        <v>0</v>
      </c>
      <c r="AM187" s="10" t="n">
        <v>0</v>
      </c>
      <c r="AN187" s="10" t="n">
        <v>0</v>
      </c>
      <c r="AO187" s="10" t="n">
        <v>0</v>
      </c>
      <c r="AP187" s="10" t="n">
        <v>0</v>
      </c>
      <c r="AQ187" s="10" t="n">
        <v>0</v>
      </c>
      <c r="AR187" s="10" t="n">
        <v>0</v>
      </c>
      <c r="AS187" s="10" t="n">
        <v>0</v>
      </c>
      <c r="AT187" s="10" t="n">
        <v>0</v>
      </c>
      <c r="AU187" s="10" t="n">
        <v>0</v>
      </c>
      <c r="AV187" s="10" t="n">
        <v>0</v>
      </c>
      <c r="AW187" s="10" t="n">
        <v>0</v>
      </c>
    </row>
    <row r="188" customFormat="false" ht="15" hidden="true" customHeight="true" outlineLevel="1" collapsed="false">
      <c r="A188" s="9" t="s">
        <v>12</v>
      </c>
      <c r="B188" s="9" t="s">
        <v>14</v>
      </c>
      <c r="C188" s="9" t="s">
        <v>13</v>
      </c>
      <c r="D188" s="9" t="s">
        <v>78</v>
      </c>
      <c r="E188" s="9" t="s">
        <v>83</v>
      </c>
      <c r="F188" s="10" t="n">
        <v>0</v>
      </c>
      <c r="G188" s="10" t="n">
        <v>0</v>
      </c>
      <c r="H188" s="10" t="n">
        <v>19</v>
      </c>
      <c r="I188" s="10" t="n">
        <v>-19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  <c r="S188" s="10" t="n">
        <v>0</v>
      </c>
      <c r="T188" s="10" t="n">
        <v>0</v>
      </c>
      <c r="U188" s="10" t="n">
        <v>0</v>
      </c>
      <c r="V188" s="10" t="n">
        <v>0</v>
      </c>
      <c r="W188" s="10" t="n">
        <v>0</v>
      </c>
      <c r="X188" s="10" t="n">
        <v>0</v>
      </c>
      <c r="Y188" s="10" t="n">
        <v>0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10" t="n">
        <v>0</v>
      </c>
      <c r="AG188" s="10" t="n">
        <v>0</v>
      </c>
      <c r="AH188" s="10" t="n">
        <v>0</v>
      </c>
      <c r="AI188" s="10" t="n">
        <v>0</v>
      </c>
      <c r="AJ188" s="10" t="n">
        <v>0</v>
      </c>
      <c r="AK188" s="10" t="n">
        <v>0</v>
      </c>
      <c r="AL188" s="10" t="n">
        <v>0</v>
      </c>
      <c r="AM188" s="10" t="n">
        <v>0</v>
      </c>
      <c r="AN188" s="10" t="n">
        <v>0</v>
      </c>
      <c r="AO188" s="10" t="n">
        <v>0</v>
      </c>
      <c r="AP188" s="10" t="n">
        <v>0</v>
      </c>
      <c r="AQ188" s="10" t="n">
        <v>0</v>
      </c>
      <c r="AR188" s="10" t="n">
        <v>0</v>
      </c>
      <c r="AS188" s="10" t="n">
        <v>0</v>
      </c>
      <c r="AT188" s="10" t="n">
        <v>0</v>
      </c>
      <c r="AU188" s="10" t="n">
        <v>0</v>
      </c>
      <c r="AV188" s="10" t="n">
        <v>0</v>
      </c>
      <c r="AW188" s="10" t="n">
        <v>0</v>
      </c>
    </row>
    <row r="189" customFormat="false" ht="15" hidden="true" customHeight="true" outlineLevel="1" collapsed="false">
      <c r="A189" s="9" t="s">
        <v>12</v>
      </c>
      <c r="B189" s="9" t="s">
        <v>14</v>
      </c>
      <c r="C189" s="9" t="s">
        <v>13</v>
      </c>
      <c r="D189" s="9" t="s">
        <v>78</v>
      </c>
      <c r="E189" s="9" t="s">
        <v>40</v>
      </c>
      <c r="F189" s="10" t="n">
        <v>32</v>
      </c>
      <c r="G189" s="10" t="n">
        <v>162</v>
      </c>
      <c r="H189" s="10" t="n">
        <v>140</v>
      </c>
      <c r="I189" s="10" t="n">
        <v>22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  <c r="S189" s="10" t="n">
        <v>10</v>
      </c>
      <c r="T189" s="10" t="n">
        <v>15</v>
      </c>
      <c r="U189" s="10" t="n">
        <v>10</v>
      </c>
      <c r="V189" s="10" t="n">
        <v>0</v>
      </c>
      <c r="W189" s="10" t="n">
        <v>0</v>
      </c>
      <c r="X189" s="10" t="n">
        <v>0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50</v>
      </c>
      <c r="AG189" s="10" t="n">
        <v>30</v>
      </c>
      <c r="AH189" s="10" t="n">
        <v>15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  <c r="AU189" s="10" t="n">
        <v>0</v>
      </c>
      <c r="AV189" s="10" t="n">
        <v>0</v>
      </c>
      <c r="AW189" s="10" t="n">
        <v>0</v>
      </c>
    </row>
    <row r="190" customFormat="false" ht="15" hidden="true" customHeight="true" outlineLevel="1" collapsed="false">
      <c r="A190" s="9" t="s">
        <v>12</v>
      </c>
      <c r="B190" s="9" t="s">
        <v>14</v>
      </c>
      <c r="C190" s="9" t="s">
        <v>13</v>
      </c>
      <c r="D190" s="9" t="s">
        <v>78</v>
      </c>
      <c r="E190" s="9" t="s">
        <v>96</v>
      </c>
      <c r="F190" s="10" t="n">
        <v>230</v>
      </c>
      <c r="G190" s="10" t="n">
        <v>674</v>
      </c>
      <c r="H190" s="10" t="n">
        <v>671.5</v>
      </c>
      <c r="I190" s="10" t="n">
        <v>2.5</v>
      </c>
      <c r="J190" s="10" t="n">
        <v>28</v>
      </c>
      <c r="K190" s="10" t="n">
        <v>0</v>
      </c>
      <c r="L190" s="10" t="n">
        <v>30</v>
      </c>
      <c r="M190" s="10" t="n">
        <v>25</v>
      </c>
      <c r="N190" s="10" t="n">
        <v>30</v>
      </c>
      <c r="O190" s="10" t="n">
        <v>30</v>
      </c>
      <c r="P190" s="10" t="n">
        <v>20</v>
      </c>
      <c r="Q190" s="10" t="n">
        <v>6.5</v>
      </c>
      <c r="R190" s="10" t="n">
        <v>24</v>
      </c>
      <c r="S190" s="10" t="n">
        <v>24</v>
      </c>
      <c r="T190" s="10" t="n">
        <v>24</v>
      </c>
      <c r="U190" s="10" t="n">
        <v>28</v>
      </c>
      <c r="V190" s="10" t="n">
        <v>0</v>
      </c>
      <c r="W190" s="10" t="n">
        <v>24</v>
      </c>
      <c r="X190" s="10" t="n">
        <v>30</v>
      </c>
      <c r="Y190" s="10" t="n">
        <v>30</v>
      </c>
      <c r="Z190" s="10" t="n">
        <v>0</v>
      </c>
      <c r="AA190" s="10" t="n">
        <v>0</v>
      </c>
      <c r="AB190" s="10" t="n">
        <v>16</v>
      </c>
      <c r="AC190" s="10" t="n">
        <v>24</v>
      </c>
      <c r="AD190" s="10" t="n">
        <v>24</v>
      </c>
      <c r="AE190" s="10" t="n">
        <v>30</v>
      </c>
      <c r="AF190" s="10" t="n">
        <v>30</v>
      </c>
      <c r="AG190" s="10" t="n">
        <v>30</v>
      </c>
      <c r="AH190" s="10" t="n">
        <v>30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10" t="n">
        <v>0</v>
      </c>
    </row>
    <row r="191" customFormat="false" ht="15" hidden="true" customHeight="true" outlineLevel="1" collapsed="false">
      <c r="A191" s="9" t="s">
        <v>12</v>
      </c>
      <c r="B191" s="9" t="s">
        <v>14</v>
      </c>
      <c r="C191" s="9" t="s">
        <v>13</v>
      </c>
      <c r="D191" s="9" t="s">
        <v>78</v>
      </c>
      <c r="E191" s="9" t="s">
        <v>97</v>
      </c>
      <c r="F191" s="10" t="n">
        <v>0</v>
      </c>
      <c r="G191" s="10" t="n">
        <v>0</v>
      </c>
      <c r="H191" s="10" t="n">
        <v>9</v>
      </c>
      <c r="I191" s="10" t="n">
        <v>-9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0" t="n">
        <v>0</v>
      </c>
      <c r="AF191" s="10" t="n">
        <v>0</v>
      </c>
      <c r="AG191" s="10" t="n">
        <v>0</v>
      </c>
      <c r="AH191" s="10" t="n">
        <v>0</v>
      </c>
      <c r="AI191" s="10" t="n">
        <v>0</v>
      </c>
      <c r="AJ191" s="10" t="n">
        <v>0</v>
      </c>
      <c r="AK191" s="10" t="n">
        <v>0</v>
      </c>
      <c r="AL191" s="10" t="n">
        <v>0</v>
      </c>
      <c r="AM191" s="10" t="n">
        <v>0</v>
      </c>
      <c r="AN191" s="10" t="n">
        <v>0</v>
      </c>
      <c r="AO191" s="10" t="n">
        <v>0</v>
      </c>
      <c r="AP191" s="10" t="n">
        <v>0</v>
      </c>
      <c r="AQ191" s="10" t="n">
        <v>0</v>
      </c>
      <c r="AR191" s="10" t="n">
        <v>0</v>
      </c>
      <c r="AS191" s="10" t="n">
        <v>0</v>
      </c>
      <c r="AT191" s="10" t="n">
        <v>0</v>
      </c>
      <c r="AU191" s="10" t="n">
        <v>0</v>
      </c>
      <c r="AV191" s="10" t="n">
        <v>0</v>
      </c>
      <c r="AW191" s="10" t="n">
        <v>0</v>
      </c>
    </row>
    <row r="192" customFormat="false" ht="15" hidden="true" customHeight="true" outlineLevel="1" collapsed="false">
      <c r="A192" s="9" t="s">
        <v>12</v>
      </c>
      <c r="B192" s="9" t="s">
        <v>14</v>
      </c>
      <c r="C192" s="9" t="s">
        <v>13</v>
      </c>
      <c r="D192" s="9" t="s">
        <v>78</v>
      </c>
      <c r="E192" s="9" t="s">
        <v>86</v>
      </c>
      <c r="F192" s="10" t="n">
        <v>0</v>
      </c>
      <c r="G192" s="10" t="n">
        <v>0</v>
      </c>
      <c r="H192" s="10" t="n">
        <v>16</v>
      </c>
      <c r="I192" s="10" t="n">
        <v>-16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0" t="n">
        <v>0</v>
      </c>
      <c r="AE192" s="10" t="n">
        <v>0</v>
      </c>
      <c r="AF192" s="10" t="n">
        <v>0</v>
      </c>
      <c r="AG192" s="10" t="n">
        <v>0</v>
      </c>
      <c r="AH192" s="10" t="n">
        <v>0</v>
      </c>
      <c r="AI192" s="10" t="n">
        <v>0</v>
      </c>
      <c r="AJ192" s="10" t="n">
        <v>0</v>
      </c>
      <c r="AK192" s="10" t="n">
        <v>0</v>
      </c>
      <c r="AL192" s="10" t="n">
        <v>0</v>
      </c>
      <c r="AM192" s="10" t="n">
        <v>0</v>
      </c>
      <c r="AN192" s="10" t="n">
        <v>0</v>
      </c>
      <c r="AO192" s="10" t="n">
        <v>0</v>
      </c>
      <c r="AP192" s="10" t="n">
        <v>0</v>
      </c>
      <c r="AQ192" s="10" t="n">
        <v>0</v>
      </c>
      <c r="AR192" s="10" t="n">
        <v>0</v>
      </c>
      <c r="AS192" s="10" t="n">
        <v>0</v>
      </c>
      <c r="AT192" s="10" t="n">
        <v>0</v>
      </c>
      <c r="AU192" s="10" t="n">
        <v>0</v>
      </c>
      <c r="AV192" s="10" t="n">
        <v>0</v>
      </c>
      <c r="AW192" s="10" t="n">
        <v>0</v>
      </c>
    </row>
    <row r="193" customFormat="false" ht="15" hidden="true" customHeight="true" outlineLevel="1" collapsed="false">
      <c r="A193" s="9" t="s">
        <v>12</v>
      </c>
      <c r="B193" s="9" t="s">
        <v>14</v>
      </c>
      <c r="C193" s="9" t="s">
        <v>13</v>
      </c>
      <c r="D193" s="9" t="s">
        <v>78</v>
      </c>
      <c r="E193" s="9" t="s">
        <v>98</v>
      </c>
      <c r="F193" s="10" t="n">
        <v>0</v>
      </c>
      <c r="G193" s="10" t="n">
        <v>0</v>
      </c>
      <c r="H193" s="10" t="n">
        <v>77</v>
      </c>
      <c r="I193" s="10" t="n">
        <v>-77</v>
      </c>
      <c r="J193" s="10" t="n">
        <v>8</v>
      </c>
      <c r="K193" s="10" t="n">
        <v>8</v>
      </c>
      <c r="L193" s="10" t="n">
        <v>8</v>
      </c>
      <c r="M193" s="10" t="n">
        <v>8</v>
      </c>
      <c r="N193" s="10" t="n">
        <v>0</v>
      </c>
      <c r="O193" s="10" t="n">
        <v>0</v>
      </c>
      <c r="P193" s="10" t="n">
        <v>5</v>
      </c>
      <c r="Q193" s="10" t="n">
        <v>5</v>
      </c>
      <c r="R193" s="10" t="n">
        <v>5</v>
      </c>
      <c r="S193" s="10" t="n">
        <v>5</v>
      </c>
      <c r="T193" s="10" t="n">
        <v>5</v>
      </c>
      <c r="U193" s="10" t="n">
        <v>5</v>
      </c>
      <c r="V193" s="10" t="n">
        <v>0</v>
      </c>
      <c r="W193" s="10" t="n">
        <v>5</v>
      </c>
      <c r="X193" s="10" t="n">
        <v>5</v>
      </c>
      <c r="Y193" s="10" t="n">
        <v>5</v>
      </c>
      <c r="Z193" s="10" t="n">
        <v>0</v>
      </c>
      <c r="AA193" s="10" t="n">
        <v>0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10" t="n">
        <v>0</v>
      </c>
      <c r="AG193" s="10" t="n">
        <v>0</v>
      </c>
      <c r="AH193" s="10" t="n">
        <v>0</v>
      </c>
      <c r="AI193" s="10" t="n">
        <v>0</v>
      </c>
      <c r="AJ193" s="10" t="n">
        <v>0</v>
      </c>
      <c r="AK193" s="10" t="n">
        <v>0</v>
      </c>
      <c r="AL193" s="10" t="n">
        <v>0</v>
      </c>
      <c r="AM193" s="10" t="n">
        <v>0</v>
      </c>
      <c r="AN193" s="10" t="n">
        <v>0</v>
      </c>
      <c r="AO193" s="10" t="n">
        <v>0</v>
      </c>
      <c r="AP193" s="10" t="n">
        <v>0</v>
      </c>
      <c r="AQ193" s="10" t="n">
        <v>0</v>
      </c>
      <c r="AR193" s="10" t="n">
        <v>0</v>
      </c>
      <c r="AS193" s="10" t="n">
        <v>0</v>
      </c>
      <c r="AT193" s="10" t="n">
        <v>0</v>
      </c>
      <c r="AU193" s="10" t="n">
        <v>0</v>
      </c>
      <c r="AV193" s="10" t="n">
        <v>0</v>
      </c>
      <c r="AW193" s="10" t="n">
        <v>0</v>
      </c>
    </row>
    <row r="194" customFormat="false" ht="15" hidden="true" customHeight="true" outlineLevel="1" collapsed="false">
      <c r="A194" s="9" t="s">
        <v>12</v>
      </c>
      <c r="B194" s="9" t="s">
        <v>14</v>
      </c>
      <c r="C194" s="9" t="s">
        <v>13</v>
      </c>
      <c r="D194" s="9" t="s">
        <v>78</v>
      </c>
      <c r="E194" s="9" t="s">
        <v>99</v>
      </c>
      <c r="F194" s="10" t="n">
        <v>56</v>
      </c>
      <c r="G194" s="10" t="n">
        <v>113</v>
      </c>
      <c r="H194" s="10" t="n">
        <v>63</v>
      </c>
      <c r="I194" s="10" t="n">
        <v>50</v>
      </c>
      <c r="J194" s="10" t="n">
        <v>6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  <c r="S194" s="10" t="n">
        <v>9</v>
      </c>
      <c r="T194" s="10" t="n">
        <v>11</v>
      </c>
      <c r="U194" s="10" t="n">
        <v>7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0" t="n">
        <v>0</v>
      </c>
      <c r="AE194" s="10" t="n">
        <v>0</v>
      </c>
      <c r="AF194" s="10" t="n">
        <v>9</v>
      </c>
      <c r="AG194" s="10" t="n">
        <v>10.5</v>
      </c>
      <c r="AH194" s="10" t="n">
        <v>7.5</v>
      </c>
      <c r="AI194" s="10" t="n">
        <v>0</v>
      </c>
      <c r="AJ194" s="10" t="n">
        <v>0</v>
      </c>
      <c r="AK194" s="10" t="n">
        <v>0</v>
      </c>
      <c r="AL194" s="10" t="n">
        <v>0</v>
      </c>
      <c r="AM194" s="10" t="n">
        <v>0</v>
      </c>
      <c r="AN194" s="10" t="n">
        <v>0</v>
      </c>
      <c r="AO194" s="10" t="n">
        <v>0</v>
      </c>
      <c r="AP194" s="10" t="n">
        <v>0</v>
      </c>
      <c r="AQ194" s="10" t="n">
        <v>0</v>
      </c>
      <c r="AR194" s="10" t="n">
        <v>0</v>
      </c>
      <c r="AS194" s="10" t="n">
        <v>0</v>
      </c>
      <c r="AT194" s="10" t="n">
        <v>0</v>
      </c>
      <c r="AU194" s="10" t="n">
        <v>0</v>
      </c>
      <c r="AV194" s="10" t="n">
        <v>0</v>
      </c>
      <c r="AW194" s="10" t="n">
        <v>0</v>
      </c>
    </row>
    <row r="195" customFormat="false" ht="15" hidden="true" customHeight="true" outlineLevel="1" collapsed="false">
      <c r="A195" s="9" t="s">
        <v>12</v>
      </c>
      <c r="B195" s="9" t="s">
        <v>14</v>
      </c>
      <c r="C195" s="9" t="s">
        <v>13</v>
      </c>
      <c r="D195" s="9" t="s">
        <v>78</v>
      </c>
      <c r="E195" s="9" t="s">
        <v>43</v>
      </c>
      <c r="F195" s="10" t="n">
        <v>14</v>
      </c>
      <c r="G195" s="10" t="n">
        <v>111</v>
      </c>
      <c r="H195" s="10" t="n">
        <v>107</v>
      </c>
      <c r="I195" s="10" t="n">
        <v>4</v>
      </c>
      <c r="J195" s="10" t="n">
        <v>16</v>
      </c>
      <c r="K195" s="10" t="n">
        <v>9</v>
      </c>
      <c r="L195" s="10" t="n">
        <v>0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9</v>
      </c>
      <c r="U195" s="10" t="n">
        <v>13</v>
      </c>
      <c r="V195" s="10" t="n">
        <v>11</v>
      </c>
      <c r="W195" s="10" t="n">
        <v>1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  <c r="AD195" s="10" t="n">
        <v>0</v>
      </c>
      <c r="AE195" s="10" t="n">
        <v>0</v>
      </c>
      <c r="AF195" s="10" t="n">
        <v>0</v>
      </c>
      <c r="AG195" s="10" t="n">
        <v>11</v>
      </c>
      <c r="AH195" s="10" t="n">
        <v>18</v>
      </c>
      <c r="AI195" s="10" t="n">
        <v>14</v>
      </c>
      <c r="AJ195" s="10" t="n">
        <v>0</v>
      </c>
      <c r="AK195" s="10" t="n">
        <v>0</v>
      </c>
      <c r="AL195" s="10" t="n">
        <v>0</v>
      </c>
      <c r="AM195" s="10" t="n">
        <v>0</v>
      </c>
      <c r="AN195" s="10" t="n">
        <v>0</v>
      </c>
      <c r="AO195" s="10" t="n">
        <v>0</v>
      </c>
      <c r="AP195" s="10" t="n">
        <v>0</v>
      </c>
      <c r="AQ195" s="10" t="n">
        <v>0</v>
      </c>
      <c r="AR195" s="10" t="n">
        <v>0</v>
      </c>
      <c r="AS195" s="10" t="n">
        <v>0</v>
      </c>
      <c r="AT195" s="10" t="n">
        <v>0</v>
      </c>
      <c r="AU195" s="10" t="n">
        <v>0</v>
      </c>
      <c r="AV195" s="10" t="n">
        <v>0</v>
      </c>
      <c r="AW195" s="10" t="n">
        <v>0</v>
      </c>
    </row>
    <row r="196" customFormat="false" ht="15" hidden="true" customHeight="true" outlineLevel="1" collapsed="false">
      <c r="A196" s="9" t="s">
        <v>12</v>
      </c>
      <c r="B196" s="9" t="s">
        <v>14</v>
      </c>
      <c r="C196" s="9" t="s">
        <v>13</v>
      </c>
      <c r="D196" s="9" t="s">
        <v>78</v>
      </c>
      <c r="E196" s="9" t="s">
        <v>100</v>
      </c>
      <c r="F196" s="10" t="n">
        <v>14</v>
      </c>
      <c r="G196" s="10" t="n">
        <v>48</v>
      </c>
      <c r="H196" s="10" t="n">
        <v>65</v>
      </c>
      <c r="I196" s="10" t="n">
        <v>-17</v>
      </c>
      <c r="J196" s="10" t="n">
        <v>2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7</v>
      </c>
      <c r="T196" s="10" t="n">
        <v>6</v>
      </c>
      <c r="U196" s="10" t="n">
        <v>3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10" t="n">
        <v>7</v>
      </c>
      <c r="AG196" s="10" t="n">
        <v>8</v>
      </c>
      <c r="AH196" s="10" t="n">
        <v>1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  <c r="AU196" s="10" t="n">
        <v>0</v>
      </c>
      <c r="AV196" s="10" t="n">
        <v>0</v>
      </c>
      <c r="AW196" s="10" t="n">
        <v>0</v>
      </c>
    </row>
    <row r="197" customFormat="false" ht="15" hidden="true" customHeight="true" outlineLevel="1" collapsed="false">
      <c r="A197" s="9" t="s">
        <v>12</v>
      </c>
      <c r="B197" s="9" t="s">
        <v>14</v>
      </c>
      <c r="C197" s="9" t="s">
        <v>13</v>
      </c>
      <c r="D197" s="9" t="s">
        <v>78</v>
      </c>
      <c r="E197" s="9" t="s">
        <v>87</v>
      </c>
      <c r="F197" s="10" t="n">
        <v>0</v>
      </c>
      <c r="G197" s="10" t="n">
        <v>0</v>
      </c>
      <c r="H197" s="10" t="n">
        <v>20</v>
      </c>
      <c r="I197" s="10" t="n">
        <v>-20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10" t="n">
        <v>0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0" t="n">
        <v>0</v>
      </c>
      <c r="AM197" s="10" t="n">
        <v>0</v>
      </c>
      <c r="AN197" s="10" t="n">
        <v>0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  <c r="AT197" s="10" t="n">
        <v>0</v>
      </c>
      <c r="AU197" s="10" t="n">
        <v>0</v>
      </c>
      <c r="AV197" s="10" t="n">
        <v>0</v>
      </c>
      <c r="AW197" s="10" t="n">
        <v>0</v>
      </c>
    </row>
    <row r="198" customFormat="false" ht="15" hidden="false" customHeight="true" outlineLevel="0" collapsed="false">
      <c r="A198" s="7" t="s">
        <v>12</v>
      </c>
      <c r="B198" s="7" t="s">
        <v>14</v>
      </c>
      <c r="C198" s="7" t="s">
        <v>26</v>
      </c>
      <c r="D198" s="7" t="s">
        <v>76</v>
      </c>
      <c r="E198" s="7" t="s">
        <v>77</v>
      </c>
      <c r="F198" s="8" t="n">
        <f aca="false">SUM(F199,F200,F201,F202,F203,F204,F205,F206,F207,F208,F209,F210)</f>
        <v>468.9</v>
      </c>
      <c r="G198" s="8" t="n">
        <f aca="false">SUM(G199,G200,G201,G202,G203,G204,G205,G206,G207,G208,G209,G210)</f>
        <v>1999.9</v>
      </c>
      <c r="H198" s="8" t="n">
        <f aca="false">SUM(H199,H200,H201,H202,H203,H204,H205,H206,H207,H208,H209,H210)</f>
        <v>1457</v>
      </c>
      <c r="I198" s="8" t="n">
        <f aca="false">SUM(I199,I200,I201,I202,I203,I204,I205,I206,I207,I208,I209,I210)</f>
        <v>542.9</v>
      </c>
      <c r="J198" s="12" t="n">
        <f aca="false">SUM(J199,J200,J201,J202,J203,J204,J205,J206,J207,J208,J209,J210)</f>
        <v>65.5</v>
      </c>
      <c r="K198" s="8" t="n">
        <f aca="false">SUM(K199,K200,K201,K202,K203,K204,K205,K206,K207,K208,K209,K210)</f>
        <v>16</v>
      </c>
      <c r="L198" s="8" t="n">
        <f aca="false">SUM(L199,L200,L201,L202,L203,L204,L205,L206,L207,L208,L209,L210)</f>
        <v>39</v>
      </c>
      <c r="M198" s="8" t="n">
        <f aca="false">SUM(M199,M200,M201,M202,M203,M204,M205,M206,M207,M208,M209,M210)</f>
        <v>35</v>
      </c>
      <c r="N198" s="8" t="n">
        <f aca="false">SUM(N199,N200,N201,N202,N203,N204,N205,N206,N207,N208,N209,N210)</f>
        <v>35.1</v>
      </c>
      <c r="O198" s="8" t="n">
        <f aca="false">SUM(O199,O200,O201,O202,O203,O204,O205,O206,O207,O208,O209,O210)</f>
        <v>20</v>
      </c>
      <c r="P198" s="8" t="n">
        <f aca="false">SUM(P199,P200,P201,P202,P203,P204,P205,P206,P207,P208,P209,P210)</f>
        <v>19.3</v>
      </c>
      <c r="Q198" s="8" t="n">
        <f aca="false">SUM(Q199,Q200,Q201,Q202,Q203,Q204,Q205,Q206,Q207,Q208,Q209,Q210)</f>
        <v>28.1</v>
      </c>
      <c r="R198" s="8" t="n">
        <f aca="false">SUM(R199,R200,R201,R202,R203,R204,R205,R206,R207,R208,R209,R210)</f>
        <v>19.2</v>
      </c>
      <c r="S198" s="8" t="n">
        <f aca="false">SUM(S199,S200,S201,S202,S203,S204,S205,S206,S207,S208,S209,S210)</f>
        <v>34.4</v>
      </c>
      <c r="T198" s="8" t="n">
        <f aca="false">SUM(T199,T200,T201,T202,T203,T204,T205,T206,T207,T208,T209,T210)</f>
        <v>38</v>
      </c>
      <c r="U198" s="8" t="n">
        <f aca="false">SUM(U199,U200,U201,U202,U203,U204,U205,U206,U207,U208,U209,U210)</f>
        <v>40</v>
      </c>
      <c r="V198" s="8" t="n">
        <f aca="false">SUM(V199,V200,V201,V202,V203,V204,V205,V206,V207,V208,V209,V210)</f>
        <v>0</v>
      </c>
      <c r="W198" s="11" t="n">
        <f aca="false">SUM(W199,W200,W201,W202,W203,W204,W205,W206,W207,W208,W209,W210)</f>
        <v>43</v>
      </c>
      <c r="X198" s="12" t="n">
        <f aca="false">SUM(X199,X200,X201,X202,X203,X204,X205,X206,X207,X208,X209,X210)</f>
        <v>50</v>
      </c>
      <c r="Y198" s="12" t="n">
        <f aca="false">SUM(Y199,Y200,Y201,Y202,Y203,Y204,Y205,Y206,Y207,Y208,Y209,Y210)</f>
        <v>53</v>
      </c>
      <c r="Z198" s="8" t="n">
        <f aca="false">SUM(Z199,Z200,Z201,Z202,Z203,Z204,Z205,Z206,Z207,Z208,Z209,Z210)</f>
        <v>0</v>
      </c>
      <c r="AA198" s="8" t="n">
        <f aca="false">SUM(AA199,AA200,AA201,AA202,AA203,AA204,AA205,AA206,AA207,AA208,AA209,AA210)</f>
        <v>0</v>
      </c>
      <c r="AB198" s="8" t="n">
        <f aca="false">SUM(AB199,AB200,AB201,AB202,AB203,AB204,AB205,AB206,AB207,AB208,AB209,AB210)</f>
        <v>49.7</v>
      </c>
      <c r="AC198" s="8" t="n">
        <f aca="false">SUM(AC199,AC200,AC201,AC202,AC203,AC204,AC205,AC206,AC207,AC208,AC209,AC210)</f>
        <v>53.2</v>
      </c>
      <c r="AD198" s="11" t="n">
        <f aca="false">SUM(AD199,AD200,AD201,AD202,AD203,AD204,AD205,AD206,AD207,AD208,AD209,AD210)</f>
        <v>58</v>
      </c>
      <c r="AE198" s="8" t="n">
        <f aca="false">SUM(AE199,AE200,AE201,AE202,AE203,AE204,AE205,AE206,AE207,AE208,AE209,AE210)</f>
        <v>55</v>
      </c>
      <c r="AF198" s="8" t="n">
        <f aca="false">SUM(AF199,AF200,AF201,AF202,AF203,AF204,AF205,AF206,AF207,AF208,AF209,AF210)</f>
        <v>43</v>
      </c>
      <c r="AG198" s="8" t="n">
        <f aca="false">SUM(AG199,AG200,AG201,AG202,AG203,AG204,AG205,AG206,AG207,AG208,AG209,AG210)</f>
        <v>39</v>
      </c>
      <c r="AH198" s="8" t="n">
        <f aca="false">SUM(AH199,AH200,AH201,AH202,AH203,AH204,AH205,AH206,AH207,AH208,AH209,AH210)</f>
        <v>45</v>
      </c>
      <c r="AI198" s="8" t="n">
        <f aca="false">SUM(AI199,AI200,AI201,AI202,AI203,AI204,AI205,AI206,AI207,AI208,AI209,AI210)</f>
        <v>21.9</v>
      </c>
      <c r="AJ198" s="8" t="n">
        <f aca="false">SUM(AJ199,AJ200,AJ201,AJ202,AJ203,AJ204,AJ205,AJ206,AJ207,AJ208,AJ209,AJ210)</f>
        <v>6.3</v>
      </c>
      <c r="AK198" s="8" t="n">
        <f aca="false">SUM(AK199,AK200,AK201,AK202,AK203,AK204,AK205,AK206,AK207,AK208,AK209,AK210)</f>
        <v>8.7</v>
      </c>
      <c r="AL198" s="8" t="n">
        <f aca="false">SUM(AL199,AL200,AL201,AL202,AL203,AL204,AL205,AL206,AL207,AL208,AL209,AL210)</f>
        <v>16</v>
      </c>
      <c r="AM198" s="8" t="n">
        <f aca="false">SUM(AM199,AM200,AM201,AM202,AM203,AM204,AM205,AM206,AM207,AM208,AM209,AM210)</f>
        <v>16</v>
      </c>
      <c r="AN198" s="8" t="n">
        <f aca="false">SUM(AN199,AN200,AN201,AN202,AN203,AN204,AN205,AN206,AN207,AN208,AN209,AN210)</f>
        <v>16</v>
      </c>
      <c r="AO198" s="8" t="n">
        <f aca="false">SUM(AO199,AO200,AO201,AO202,AO203,AO204,AO205,AO206,AO207,AO208,AO209,AO210)</f>
        <v>16</v>
      </c>
      <c r="AP198" s="8" t="n">
        <f aca="false">SUM(AP199,AP200,AP201,AP202,AP203,AP204,AP205,AP206,AP207,AP208,AP209,AP210)</f>
        <v>5.1</v>
      </c>
      <c r="AQ198" s="8" t="n">
        <f aca="false">SUM(AQ199,AQ200,AQ201,AQ202,AQ203,AQ204,AQ205,AQ206,AQ207,AQ208,AQ209,AQ210)</f>
        <v>0</v>
      </c>
      <c r="AR198" s="8" t="n">
        <f aca="false">SUM(AR199,AR200,AR201,AR202,AR203,AR204,AR205,AR206,AR207,AR208,AR209,AR210)</f>
        <v>0</v>
      </c>
      <c r="AS198" s="8" t="n">
        <f aca="false">SUM(AS199,AS200,AS201,AS202,AS203,AS204,AS205,AS206,AS207,AS208,AS209,AS210)</f>
        <v>0</v>
      </c>
      <c r="AT198" s="8" t="n">
        <f aca="false">SUM(AT199,AT200,AT201,AT202,AT203,AT204,AT205,AT206,AT207,AT208,AT209,AT210)</f>
        <v>0</v>
      </c>
      <c r="AU198" s="8" t="n">
        <f aca="false">SUM(AU199,AU200,AU201,AU202,AU203,AU204,AU205,AU206,AU207,AU208,AU209,AU210)</f>
        <v>0</v>
      </c>
      <c r="AV198" s="8" t="n">
        <f aca="false">SUM(AV199,AV200,AV201,AV202,AV203,AV204,AV205,AV206,AV207,AV208,AV209,AV210)</f>
        <v>0</v>
      </c>
      <c r="AW198" s="8" t="n">
        <f aca="false">SUM(AW199,AW200,AW201,AW202,AW203,AW204,AW205,AW206,AW207,AW208,AW209,AW210)</f>
        <v>0</v>
      </c>
    </row>
    <row r="199" customFormat="false" ht="15" hidden="true" customHeight="true" outlineLevel="1" collapsed="false">
      <c r="A199" s="9" t="s">
        <v>12</v>
      </c>
      <c r="B199" s="9" t="s">
        <v>14</v>
      </c>
      <c r="C199" s="9" t="s">
        <v>26</v>
      </c>
      <c r="D199" s="9" t="s">
        <v>78</v>
      </c>
      <c r="E199" s="9" t="s">
        <v>80</v>
      </c>
      <c r="F199" s="10" t="n">
        <v>20</v>
      </c>
      <c r="G199" s="10" t="n">
        <v>62</v>
      </c>
      <c r="H199" s="10" t="n">
        <v>42</v>
      </c>
      <c r="I199" s="10" t="n">
        <v>20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0</v>
      </c>
      <c r="P199" s="10" t="n">
        <v>5</v>
      </c>
      <c r="Q199" s="10" t="n">
        <v>8</v>
      </c>
      <c r="R199" s="10" t="n">
        <v>2</v>
      </c>
      <c r="S199" s="10" t="n">
        <v>0</v>
      </c>
      <c r="T199" s="10" t="n">
        <v>0</v>
      </c>
      <c r="U199" s="10" t="n">
        <v>0</v>
      </c>
      <c r="V199" s="10" t="n">
        <v>0</v>
      </c>
      <c r="W199" s="10" t="n">
        <v>0</v>
      </c>
      <c r="X199" s="10" t="n">
        <v>5</v>
      </c>
      <c r="Y199" s="10" t="n">
        <v>6</v>
      </c>
      <c r="Z199" s="10" t="n">
        <v>0</v>
      </c>
      <c r="AA199" s="10" t="n">
        <v>0</v>
      </c>
      <c r="AB199" s="10" t="n">
        <v>3</v>
      </c>
      <c r="AC199" s="10" t="n">
        <v>6</v>
      </c>
      <c r="AD199" s="10" t="n">
        <v>5</v>
      </c>
      <c r="AE199" s="10" t="n">
        <v>2</v>
      </c>
      <c r="AF199" s="10" t="n">
        <v>0</v>
      </c>
      <c r="AG199" s="10" t="n">
        <v>0</v>
      </c>
      <c r="AH199" s="10" t="n">
        <v>0</v>
      </c>
      <c r="AI199" s="10" t="n">
        <v>0</v>
      </c>
      <c r="AJ199" s="10" t="n">
        <v>0</v>
      </c>
      <c r="AK199" s="10" t="n">
        <v>0</v>
      </c>
      <c r="AL199" s="10" t="n">
        <v>0</v>
      </c>
      <c r="AM199" s="10" t="n">
        <v>0</v>
      </c>
      <c r="AN199" s="10" t="n">
        <v>0</v>
      </c>
      <c r="AO199" s="10" t="n">
        <v>0</v>
      </c>
      <c r="AP199" s="10" t="n">
        <v>0</v>
      </c>
      <c r="AQ199" s="10" t="n">
        <v>0</v>
      </c>
      <c r="AR199" s="10" t="n">
        <v>0</v>
      </c>
      <c r="AS199" s="10" t="n">
        <v>0</v>
      </c>
      <c r="AT199" s="10" t="n">
        <v>0</v>
      </c>
      <c r="AU199" s="10" t="n">
        <v>0</v>
      </c>
      <c r="AV199" s="10" t="n">
        <v>0</v>
      </c>
      <c r="AW199" s="10" t="n">
        <v>0</v>
      </c>
    </row>
    <row r="200" customFormat="false" ht="15" hidden="true" customHeight="true" outlineLevel="1" collapsed="false">
      <c r="A200" s="9" t="s">
        <v>12</v>
      </c>
      <c r="B200" s="9" t="s">
        <v>14</v>
      </c>
      <c r="C200" s="9" t="s">
        <v>26</v>
      </c>
      <c r="D200" s="9" t="s">
        <v>78</v>
      </c>
      <c r="E200" s="9" t="s">
        <v>102</v>
      </c>
      <c r="F200" s="10" t="n">
        <v>15</v>
      </c>
      <c r="G200" s="10" t="n">
        <v>520</v>
      </c>
      <c r="H200" s="10" t="n">
        <v>0</v>
      </c>
      <c r="I200" s="10" t="n">
        <v>520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0</v>
      </c>
      <c r="X200" s="10" t="n">
        <v>0</v>
      </c>
      <c r="Y200" s="10" t="n">
        <v>0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10" t="n">
        <v>0</v>
      </c>
      <c r="AG200" s="10" t="n">
        <v>0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0" t="n">
        <v>0</v>
      </c>
      <c r="AM200" s="10" t="n">
        <v>0</v>
      </c>
      <c r="AN200" s="10" t="n">
        <v>0</v>
      </c>
      <c r="AO200" s="10" t="n">
        <v>0</v>
      </c>
      <c r="AP200" s="10" t="n">
        <v>0</v>
      </c>
      <c r="AQ200" s="10" t="n">
        <v>0</v>
      </c>
      <c r="AR200" s="10" t="n">
        <v>0</v>
      </c>
      <c r="AS200" s="10" t="n">
        <v>0</v>
      </c>
      <c r="AT200" s="10" t="n">
        <v>0</v>
      </c>
      <c r="AU200" s="10" t="n">
        <v>0</v>
      </c>
      <c r="AV200" s="10" t="n">
        <v>0</v>
      </c>
      <c r="AW200" s="10" t="n">
        <v>0</v>
      </c>
    </row>
    <row r="201" customFormat="false" ht="15" hidden="true" customHeight="true" outlineLevel="1" collapsed="false">
      <c r="A201" s="9" t="s">
        <v>12</v>
      </c>
      <c r="B201" s="9" t="s">
        <v>14</v>
      </c>
      <c r="C201" s="9" t="s">
        <v>26</v>
      </c>
      <c r="D201" s="9" t="s">
        <v>78</v>
      </c>
      <c r="E201" s="9" t="s">
        <v>83</v>
      </c>
      <c r="F201" s="10" t="n">
        <v>0</v>
      </c>
      <c r="G201" s="10" t="n">
        <v>0</v>
      </c>
      <c r="H201" s="10" t="n">
        <v>32</v>
      </c>
      <c r="I201" s="10" t="n">
        <v>-32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n">
        <v>0</v>
      </c>
      <c r="S201" s="10" t="n">
        <v>0</v>
      </c>
      <c r="T201" s="10" t="n">
        <v>0</v>
      </c>
      <c r="U201" s="10" t="n">
        <v>0</v>
      </c>
      <c r="V201" s="10" t="n">
        <v>0</v>
      </c>
      <c r="W201" s="10" t="n">
        <v>0</v>
      </c>
      <c r="X201" s="10" t="n">
        <v>0</v>
      </c>
      <c r="Y201" s="10" t="n">
        <v>0</v>
      </c>
      <c r="Z201" s="10" t="n">
        <v>0</v>
      </c>
      <c r="AA201" s="10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10" t="n">
        <v>0</v>
      </c>
      <c r="AG201" s="10" t="n">
        <v>0</v>
      </c>
      <c r="AH201" s="10" t="n">
        <v>0</v>
      </c>
      <c r="AI201" s="10" t="n">
        <v>0</v>
      </c>
      <c r="AJ201" s="10" t="n">
        <v>0</v>
      </c>
      <c r="AK201" s="10" t="n">
        <v>0</v>
      </c>
      <c r="AL201" s="10" t="n">
        <v>0</v>
      </c>
      <c r="AM201" s="10" t="n">
        <v>0</v>
      </c>
      <c r="AN201" s="10" t="n">
        <v>0</v>
      </c>
      <c r="AO201" s="10" t="n">
        <v>0</v>
      </c>
      <c r="AP201" s="10" t="n">
        <v>0</v>
      </c>
      <c r="AQ201" s="10" t="n">
        <v>0</v>
      </c>
      <c r="AR201" s="10" t="n">
        <v>0</v>
      </c>
      <c r="AS201" s="10" t="n">
        <v>0</v>
      </c>
      <c r="AT201" s="10" t="n">
        <v>0</v>
      </c>
      <c r="AU201" s="10" t="n">
        <v>0</v>
      </c>
      <c r="AV201" s="10" t="n">
        <v>0</v>
      </c>
      <c r="AW201" s="10" t="n">
        <v>0</v>
      </c>
    </row>
    <row r="202" customFormat="false" ht="15" hidden="true" customHeight="true" outlineLevel="1" collapsed="false">
      <c r="A202" s="9" t="s">
        <v>12</v>
      </c>
      <c r="B202" s="9" t="s">
        <v>14</v>
      </c>
      <c r="C202" s="9" t="s">
        <v>26</v>
      </c>
      <c r="D202" s="9" t="s">
        <v>78</v>
      </c>
      <c r="E202" s="9" t="s">
        <v>40</v>
      </c>
      <c r="F202" s="10" t="n">
        <v>0</v>
      </c>
      <c r="G202" s="10" t="n">
        <v>28</v>
      </c>
      <c r="H202" s="10" t="n">
        <v>28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0</v>
      </c>
      <c r="X202" s="10" t="n">
        <v>0</v>
      </c>
      <c r="Y202" s="10" t="n">
        <v>0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10" t="n">
        <v>0</v>
      </c>
      <c r="AG202" s="10" t="n">
        <v>8</v>
      </c>
      <c r="AH202" s="10" t="n">
        <v>10</v>
      </c>
      <c r="AI202" s="10" t="n">
        <v>10</v>
      </c>
      <c r="AJ202" s="10" t="n">
        <v>0</v>
      </c>
      <c r="AK202" s="10" t="n">
        <v>0</v>
      </c>
      <c r="AL202" s="10" t="n">
        <v>0</v>
      </c>
      <c r="AM202" s="10" t="n">
        <v>0</v>
      </c>
      <c r="AN202" s="10" t="n">
        <v>0</v>
      </c>
      <c r="AO202" s="10" t="n">
        <v>0</v>
      </c>
      <c r="AP202" s="10" t="n">
        <v>0</v>
      </c>
      <c r="AQ202" s="10" t="n">
        <v>0</v>
      </c>
      <c r="AR202" s="10" t="n">
        <v>0</v>
      </c>
      <c r="AS202" s="10" t="n">
        <v>0</v>
      </c>
      <c r="AT202" s="10" t="n">
        <v>0</v>
      </c>
      <c r="AU202" s="10" t="n">
        <v>0</v>
      </c>
      <c r="AV202" s="10" t="n">
        <v>0</v>
      </c>
      <c r="AW202" s="10" t="n">
        <v>0</v>
      </c>
    </row>
    <row r="203" customFormat="false" ht="15" hidden="true" customHeight="true" outlineLevel="1" collapsed="false">
      <c r="A203" s="9" t="s">
        <v>12</v>
      </c>
      <c r="B203" s="9" t="s">
        <v>14</v>
      </c>
      <c r="C203" s="9" t="s">
        <v>26</v>
      </c>
      <c r="D203" s="9" t="s">
        <v>78</v>
      </c>
      <c r="E203" s="9" t="s">
        <v>97</v>
      </c>
      <c r="F203" s="10" t="n">
        <v>135</v>
      </c>
      <c r="G203" s="10" t="n">
        <v>380</v>
      </c>
      <c r="H203" s="10" t="n">
        <v>471</v>
      </c>
      <c r="I203" s="10" t="n">
        <v>-91</v>
      </c>
      <c r="J203" s="10" t="n">
        <v>10.5</v>
      </c>
      <c r="K203" s="10" t="n">
        <v>0</v>
      </c>
      <c r="L203" s="10" t="n">
        <v>20</v>
      </c>
      <c r="M203" s="10" t="n">
        <v>20</v>
      </c>
      <c r="N203" s="10" t="n">
        <v>20</v>
      </c>
      <c r="O203" s="10" t="n">
        <v>0</v>
      </c>
      <c r="P203" s="10" t="n">
        <v>0</v>
      </c>
      <c r="Q203" s="10" t="n">
        <v>5</v>
      </c>
      <c r="R203" s="10" t="n">
        <v>5</v>
      </c>
      <c r="S203" s="10" t="n">
        <v>20</v>
      </c>
      <c r="T203" s="10" t="n">
        <v>20</v>
      </c>
      <c r="U203" s="10" t="n">
        <v>20</v>
      </c>
      <c r="V203" s="10" t="n">
        <v>0</v>
      </c>
      <c r="W203" s="10" t="n">
        <v>15</v>
      </c>
      <c r="X203" s="10" t="n">
        <v>15</v>
      </c>
      <c r="Y203" s="10" t="n">
        <v>15</v>
      </c>
      <c r="Z203" s="10" t="n">
        <v>0</v>
      </c>
      <c r="AA203" s="10" t="n">
        <v>0</v>
      </c>
      <c r="AB203" s="10" t="n">
        <v>10</v>
      </c>
      <c r="AC203" s="10" t="n">
        <v>10</v>
      </c>
      <c r="AD203" s="10" t="n">
        <v>10</v>
      </c>
      <c r="AE203" s="10" t="n">
        <v>10</v>
      </c>
      <c r="AF203" s="10" t="n">
        <v>10</v>
      </c>
      <c r="AG203" s="10" t="n">
        <v>5</v>
      </c>
      <c r="AH203" s="10" t="n">
        <v>5</v>
      </c>
      <c r="AI203" s="10" t="n">
        <v>0</v>
      </c>
      <c r="AJ203" s="10" t="n">
        <v>0</v>
      </c>
      <c r="AK203" s="10" t="n">
        <v>0</v>
      </c>
      <c r="AL203" s="10" t="n">
        <v>0</v>
      </c>
      <c r="AM203" s="10" t="n">
        <v>0</v>
      </c>
      <c r="AN203" s="10" t="n">
        <v>0</v>
      </c>
      <c r="AO203" s="10" t="n">
        <v>0</v>
      </c>
      <c r="AP203" s="10" t="n">
        <v>0</v>
      </c>
      <c r="AQ203" s="10" t="n">
        <v>0</v>
      </c>
      <c r="AR203" s="10" t="n">
        <v>0</v>
      </c>
      <c r="AS203" s="10" t="n">
        <v>0</v>
      </c>
      <c r="AT203" s="10" t="n">
        <v>0</v>
      </c>
      <c r="AU203" s="10" t="n">
        <v>0</v>
      </c>
      <c r="AV203" s="10" t="n">
        <v>0</v>
      </c>
      <c r="AW203" s="10" t="n">
        <v>0</v>
      </c>
    </row>
    <row r="204" customFormat="false" ht="15" hidden="true" customHeight="true" outlineLevel="1" collapsed="false">
      <c r="A204" s="9" t="s">
        <v>12</v>
      </c>
      <c r="B204" s="9" t="s">
        <v>14</v>
      </c>
      <c r="C204" s="9" t="s">
        <v>26</v>
      </c>
      <c r="D204" s="9" t="s">
        <v>78</v>
      </c>
      <c r="E204" s="9" t="s">
        <v>86</v>
      </c>
      <c r="F204" s="10" t="n">
        <v>0</v>
      </c>
      <c r="G204" s="10" t="n">
        <v>0</v>
      </c>
      <c r="H204" s="10" t="n">
        <v>3</v>
      </c>
      <c r="I204" s="10" t="n">
        <v>-3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</v>
      </c>
      <c r="V204" s="10" t="n">
        <v>0</v>
      </c>
      <c r="W204" s="10" t="n">
        <v>0</v>
      </c>
      <c r="X204" s="10" t="n">
        <v>0</v>
      </c>
      <c r="Y204" s="10" t="n">
        <v>0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0" t="n">
        <v>0</v>
      </c>
      <c r="AM204" s="10" t="n">
        <v>0</v>
      </c>
      <c r="AN204" s="10" t="n">
        <v>0</v>
      </c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  <c r="AT204" s="10" t="n">
        <v>0</v>
      </c>
      <c r="AU204" s="10" t="n">
        <v>0</v>
      </c>
      <c r="AV204" s="10" t="n">
        <v>0</v>
      </c>
      <c r="AW204" s="10" t="n">
        <v>0</v>
      </c>
    </row>
    <row r="205" customFormat="false" ht="15" hidden="true" customHeight="true" outlineLevel="1" collapsed="false">
      <c r="A205" s="9" t="s">
        <v>12</v>
      </c>
      <c r="B205" s="9" t="s">
        <v>14</v>
      </c>
      <c r="C205" s="9" t="s">
        <v>26</v>
      </c>
      <c r="D205" s="9" t="s">
        <v>78</v>
      </c>
      <c r="E205" s="9" t="s">
        <v>98</v>
      </c>
      <c r="F205" s="10" t="n">
        <v>86</v>
      </c>
      <c r="G205" s="10" t="n">
        <v>274</v>
      </c>
      <c r="H205" s="10" t="n">
        <v>126.5</v>
      </c>
      <c r="I205" s="10" t="n">
        <v>147.5</v>
      </c>
      <c r="J205" s="10" t="n">
        <v>1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15</v>
      </c>
      <c r="AC205" s="10" t="n">
        <v>15</v>
      </c>
      <c r="AD205" s="10" t="n">
        <v>15</v>
      </c>
      <c r="AE205" s="10" t="n">
        <v>15</v>
      </c>
      <c r="AF205" s="10" t="n">
        <v>15</v>
      </c>
      <c r="AG205" s="10" t="n">
        <v>16</v>
      </c>
      <c r="AH205" s="10" t="n">
        <v>20</v>
      </c>
      <c r="AI205" s="10" t="n">
        <v>0</v>
      </c>
      <c r="AJ205" s="10" t="n">
        <v>0</v>
      </c>
      <c r="AK205" s="10" t="n">
        <v>0</v>
      </c>
      <c r="AL205" s="10" t="n">
        <v>0</v>
      </c>
      <c r="AM205" s="10" t="n">
        <v>0</v>
      </c>
      <c r="AN205" s="10" t="n">
        <v>0</v>
      </c>
      <c r="AO205" s="10" t="n">
        <v>0</v>
      </c>
      <c r="AP205" s="10" t="n">
        <v>0</v>
      </c>
      <c r="AQ205" s="10" t="n">
        <v>0</v>
      </c>
      <c r="AR205" s="10" t="n">
        <v>0</v>
      </c>
      <c r="AS205" s="10" t="n">
        <v>0</v>
      </c>
      <c r="AT205" s="10" t="n">
        <v>0</v>
      </c>
      <c r="AU205" s="10" t="n">
        <v>0</v>
      </c>
      <c r="AV205" s="10" t="n">
        <v>0</v>
      </c>
      <c r="AW205" s="10" t="n">
        <v>0</v>
      </c>
    </row>
    <row r="206" customFormat="false" ht="15" hidden="true" customHeight="true" outlineLevel="1" collapsed="false">
      <c r="A206" s="9" t="s">
        <v>12</v>
      </c>
      <c r="B206" s="9" t="s">
        <v>14</v>
      </c>
      <c r="C206" s="9" t="s">
        <v>26</v>
      </c>
      <c r="D206" s="9" t="s">
        <v>78</v>
      </c>
      <c r="E206" s="9" t="s">
        <v>106</v>
      </c>
      <c r="F206" s="10" t="n">
        <v>132.5</v>
      </c>
      <c r="G206" s="10" t="n">
        <v>263.5</v>
      </c>
      <c r="H206" s="10" t="n">
        <v>274.5</v>
      </c>
      <c r="I206" s="10" t="n">
        <v>-11</v>
      </c>
      <c r="J206" s="10" t="n">
        <v>32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12</v>
      </c>
      <c r="P206" s="10" t="n">
        <v>12</v>
      </c>
      <c r="Q206" s="10" t="n">
        <v>15</v>
      </c>
      <c r="R206" s="10" t="n">
        <v>12</v>
      </c>
      <c r="S206" s="10" t="n">
        <v>6</v>
      </c>
      <c r="T206" s="10" t="n">
        <v>10</v>
      </c>
      <c r="U206" s="10" t="n">
        <v>12</v>
      </c>
      <c r="V206" s="10" t="n">
        <v>0</v>
      </c>
      <c r="W206" s="10" t="n">
        <v>10</v>
      </c>
      <c r="X206" s="10" t="n">
        <v>12</v>
      </c>
      <c r="Y206" s="10" t="n">
        <v>14</v>
      </c>
      <c r="Z206" s="10" t="n">
        <v>0</v>
      </c>
      <c r="AA206" s="10" t="n">
        <v>0</v>
      </c>
      <c r="AB206" s="10" t="n">
        <v>8</v>
      </c>
      <c r="AC206" s="10" t="n">
        <v>8</v>
      </c>
      <c r="AD206" s="10" t="n">
        <v>0</v>
      </c>
      <c r="AE206" s="10" t="n">
        <v>0</v>
      </c>
      <c r="AF206" s="10" t="n">
        <v>0</v>
      </c>
      <c r="AG206" s="10" t="n">
        <v>0</v>
      </c>
      <c r="AH206" s="10" t="n">
        <v>0</v>
      </c>
      <c r="AI206" s="10" t="n">
        <v>0</v>
      </c>
      <c r="AJ206" s="10" t="n">
        <v>0</v>
      </c>
      <c r="AK206" s="10" t="n">
        <v>0</v>
      </c>
      <c r="AL206" s="10" t="n">
        <v>0</v>
      </c>
      <c r="AM206" s="10" t="n">
        <v>0</v>
      </c>
      <c r="AN206" s="10" t="n">
        <v>0</v>
      </c>
      <c r="AO206" s="10" t="n">
        <v>0</v>
      </c>
      <c r="AP206" s="10" t="n">
        <v>0</v>
      </c>
      <c r="AQ206" s="10" t="n">
        <v>0</v>
      </c>
      <c r="AR206" s="10" t="n">
        <v>0</v>
      </c>
      <c r="AS206" s="10" t="n">
        <v>0</v>
      </c>
      <c r="AT206" s="10" t="n">
        <v>0</v>
      </c>
      <c r="AU206" s="10" t="n">
        <v>0</v>
      </c>
      <c r="AV206" s="10" t="n">
        <v>0</v>
      </c>
      <c r="AW206" s="10" t="n">
        <v>0</v>
      </c>
    </row>
    <row r="207" customFormat="false" ht="15" hidden="true" customHeight="true" outlineLevel="1" collapsed="false">
      <c r="A207" s="9" t="s">
        <v>12</v>
      </c>
      <c r="B207" s="9" t="s">
        <v>14</v>
      </c>
      <c r="C207" s="9" t="s">
        <v>26</v>
      </c>
      <c r="D207" s="9" t="s">
        <v>78</v>
      </c>
      <c r="E207" s="9" t="s">
        <v>111</v>
      </c>
      <c r="F207" s="10" t="n">
        <v>58</v>
      </c>
      <c r="G207" s="10" t="n">
        <v>200</v>
      </c>
      <c r="H207" s="10" t="n">
        <v>182</v>
      </c>
      <c r="I207" s="10" t="n">
        <v>18</v>
      </c>
      <c r="J207" s="10" t="n">
        <v>10</v>
      </c>
      <c r="K207" s="10" t="n">
        <v>4</v>
      </c>
      <c r="L207" s="10" t="n">
        <v>8</v>
      </c>
      <c r="M207" s="10" t="n">
        <v>8</v>
      </c>
      <c r="N207" s="10" t="n">
        <v>8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8</v>
      </c>
      <c r="T207" s="10" t="n">
        <v>8</v>
      </c>
      <c r="U207" s="10" t="n">
        <v>8</v>
      </c>
      <c r="V207" s="10" t="n">
        <v>0</v>
      </c>
      <c r="W207" s="10" t="n">
        <v>8</v>
      </c>
      <c r="X207" s="10" t="n">
        <v>8</v>
      </c>
      <c r="Y207" s="10" t="n">
        <v>8</v>
      </c>
      <c r="Z207" s="10" t="n">
        <v>0</v>
      </c>
      <c r="AA207" s="10" t="n">
        <v>0</v>
      </c>
      <c r="AB207" s="10" t="n">
        <v>0</v>
      </c>
      <c r="AC207" s="10" t="n">
        <v>8</v>
      </c>
      <c r="AD207" s="10" t="n">
        <v>20</v>
      </c>
      <c r="AE207" s="10" t="n">
        <v>20</v>
      </c>
      <c r="AF207" s="10" t="n">
        <v>10</v>
      </c>
      <c r="AG207" s="10" t="n">
        <v>0</v>
      </c>
      <c r="AH207" s="10" t="n">
        <v>0</v>
      </c>
      <c r="AI207" s="10" t="n">
        <v>0</v>
      </c>
      <c r="AJ207" s="10" t="n">
        <v>0</v>
      </c>
      <c r="AK207" s="10" t="n">
        <v>0</v>
      </c>
      <c r="AL207" s="10" t="n">
        <v>0</v>
      </c>
      <c r="AM207" s="10" t="n">
        <v>0</v>
      </c>
      <c r="AN207" s="10" t="n">
        <v>0</v>
      </c>
      <c r="AO207" s="10" t="n">
        <v>0</v>
      </c>
      <c r="AP207" s="10" t="n">
        <v>0</v>
      </c>
      <c r="AQ207" s="10" t="n">
        <v>0</v>
      </c>
      <c r="AR207" s="10" t="n">
        <v>0</v>
      </c>
      <c r="AS207" s="10" t="n">
        <v>0</v>
      </c>
      <c r="AT207" s="10" t="n">
        <v>0</v>
      </c>
      <c r="AU207" s="10" t="n">
        <v>0</v>
      </c>
      <c r="AV207" s="10" t="n">
        <v>0</v>
      </c>
      <c r="AW207" s="10" t="n">
        <v>0</v>
      </c>
    </row>
    <row r="208" customFormat="false" ht="15" hidden="true" customHeight="true" outlineLevel="1" collapsed="false">
      <c r="A208" s="9" t="s">
        <v>12</v>
      </c>
      <c r="B208" s="9" t="s">
        <v>14</v>
      </c>
      <c r="C208" s="9" t="s">
        <v>26</v>
      </c>
      <c r="D208" s="9" t="s">
        <v>78</v>
      </c>
      <c r="E208" s="9" t="s">
        <v>112</v>
      </c>
      <c r="F208" s="10" t="n">
        <v>12</v>
      </c>
      <c r="G208" s="10" t="n">
        <v>108</v>
      </c>
      <c r="H208" s="10" t="n">
        <v>96</v>
      </c>
      <c r="I208" s="10" t="n">
        <v>12</v>
      </c>
      <c r="J208" s="10" t="n">
        <v>4</v>
      </c>
      <c r="K208" s="10" t="n">
        <v>4</v>
      </c>
      <c r="L208" s="10" t="n">
        <v>6</v>
      </c>
      <c r="M208" s="10" t="n">
        <v>6</v>
      </c>
      <c r="N208" s="10" t="n">
        <v>6</v>
      </c>
      <c r="O208" s="10" t="n">
        <v>6</v>
      </c>
      <c r="P208" s="10" t="n">
        <v>2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2</v>
      </c>
      <c r="AC208" s="10" t="n">
        <v>6</v>
      </c>
      <c r="AD208" s="10" t="n">
        <v>8</v>
      </c>
      <c r="AE208" s="10" t="n">
        <v>8</v>
      </c>
      <c r="AF208" s="10" t="n">
        <v>8</v>
      </c>
      <c r="AG208" s="10" t="n">
        <v>10</v>
      </c>
      <c r="AH208" s="10" t="n">
        <v>10</v>
      </c>
      <c r="AI208" s="10" t="n">
        <v>10</v>
      </c>
      <c r="AJ208" s="10" t="n">
        <v>0</v>
      </c>
      <c r="AK208" s="10" t="n">
        <v>0</v>
      </c>
      <c r="AL208" s="10" t="n">
        <v>0</v>
      </c>
      <c r="AM208" s="10" t="n">
        <v>0</v>
      </c>
      <c r="AN208" s="10" t="n">
        <v>0</v>
      </c>
      <c r="AO208" s="10" t="n">
        <v>0</v>
      </c>
      <c r="AP208" s="10" t="n">
        <v>0</v>
      </c>
      <c r="AQ208" s="10" t="n">
        <v>0</v>
      </c>
      <c r="AR208" s="10" t="n">
        <v>0</v>
      </c>
      <c r="AS208" s="10" t="n">
        <v>0</v>
      </c>
      <c r="AT208" s="10" t="n">
        <v>0</v>
      </c>
      <c r="AU208" s="10" t="n">
        <v>0</v>
      </c>
      <c r="AV208" s="10" t="n">
        <v>0</v>
      </c>
      <c r="AW208" s="10" t="n">
        <v>0</v>
      </c>
    </row>
    <row r="209" customFormat="false" ht="15" hidden="true" customHeight="true" outlineLevel="1" collapsed="false">
      <c r="A209" s="9" t="s">
        <v>12</v>
      </c>
      <c r="B209" s="9" t="s">
        <v>14</v>
      </c>
      <c r="C209" s="9" t="s">
        <v>26</v>
      </c>
      <c r="D209" s="9" t="s">
        <v>78</v>
      </c>
      <c r="E209" s="9" t="s">
        <v>87</v>
      </c>
      <c r="F209" s="10" t="n">
        <v>0</v>
      </c>
      <c r="G209" s="10" t="n">
        <v>0</v>
      </c>
      <c r="H209" s="10" t="n">
        <v>48</v>
      </c>
      <c r="I209" s="10" t="n">
        <v>-48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10" t="n">
        <v>0</v>
      </c>
      <c r="AG209" s="10" t="n">
        <v>0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0</v>
      </c>
      <c r="AM209" s="10" t="n">
        <v>0</v>
      </c>
      <c r="AN209" s="10" t="n">
        <v>0</v>
      </c>
      <c r="AO209" s="10" t="n">
        <v>0</v>
      </c>
      <c r="AP209" s="10" t="n">
        <v>0</v>
      </c>
      <c r="AQ209" s="10" t="n">
        <v>0</v>
      </c>
      <c r="AR209" s="10" t="n">
        <v>0</v>
      </c>
      <c r="AS209" s="10" t="n">
        <v>0</v>
      </c>
      <c r="AT209" s="10" t="n">
        <v>0</v>
      </c>
      <c r="AU209" s="10" t="n">
        <v>0</v>
      </c>
      <c r="AV209" s="10" t="n">
        <v>0</v>
      </c>
      <c r="AW209" s="10" t="n">
        <v>0</v>
      </c>
    </row>
    <row r="210" customFormat="false" ht="15" hidden="true" customHeight="true" outlineLevel="1" collapsed="false">
      <c r="A210" s="9" t="s">
        <v>12</v>
      </c>
      <c r="B210" s="9" t="s">
        <v>14</v>
      </c>
      <c r="C210" s="9" t="s">
        <v>26</v>
      </c>
      <c r="D210" s="9" t="s">
        <v>78</v>
      </c>
      <c r="E210" s="9" t="s">
        <v>107</v>
      </c>
      <c r="F210" s="10" t="n">
        <v>10.4</v>
      </c>
      <c r="G210" s="10" t="n">
        <v>164.4</v>
      </c>
      <c r="H210" s="10" t="n">
        <v>154</v>
      </c>
      <c r="I210" s="10" t="n">
        <v>10.4</v>
      </c>
      <c r="J210" s="10" t="n">
        <v>8</v>
      </c>
      <c r="K210" s="10" t="n">
        <v>8</v>
      </c>
      <c r="L210" s="10" t="n">
        <v>5</v>
      </c>
      <c r="M210" s="10" t="n">
        <v>1</v>
      </c>
      <c r="N210" s="10" t="n">
        <v>1.1</v>
      </c>
      <c r="O210" s="10" t="n">
        <v>2</v>
      </c>
      <c r="P210" s="10" t="n">
        <v>0.3</v>
      </c>
      <c r="Q210" s="10" t="n">
        <v>0.1</v>
      </c>
      <c r="R210" s="10" t="n">
        <v>0.2</v>
      </c>
      <c r="S210" s="10" t="n">
        <v>0.4</v>
      </c>
      <c r="T210" s="10" t="n">
        <v>0</v>
      </c>
      <c r="U210" s="10" t="n">
        <v>0</v>
      </c>
      <c r="V210" s="10" t="n">
        <v>0</v>
      </c>
      <c r="W210" s="10" t="n">
        <v>10</v>
      </c>
      <c r="X210" s="10" t="n">
        <v>10</v>
      </c>
      <c r="Y210" s="10" t="n">
        <v>10</v>
      </c>
      <c r="Z210" s="10" t="n">
        <v>0</v>
      </c>
      <c r="AA210" s="10" t="n">
        <v>0</v>
      </c>
      <c r="AB210" s="10" t="n">
        <v>11.7</v>
      </c>
      <c r="AC210" s="10" t="n">
        <v>0.2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1.9</v>
      </c>
      <c r="AJ210" s="10" t="n">
        <v>6.3</v>
      </c>
      <c r="AK210" s="10" t="n">
        <v>8.7</v>
      </c>
      <c r="AL210" s="10" t="n">
        <v>16</v>
      </c>
      <c r="AM210" s="10" t="n">
        <v>16</v>
      </c>
      <c r="AN210" s="10" t="n">
        <v>16</v>
      </c>
      <c r="AO210" s="10" t="n">
        <v>16</v>
      </c>
      <c r="AP210" s="10" t="n">
        <v>5.1</v>
      </c>
      <c r="AQ210" s="10" t="n">
        <v>0</v>
      </c>
      <c r="AR210" s="10" t="n">
        <v>0</v>
      </c>
      <c r="AS210" s="10" t="n">
        <v>0</v>
      </c>
      <c r="AT210" s="10" t="n">
        <v>0</v>
      </c>
      <c r="AU210" s="10" t="n">
        <v>0</v>
      </c>
      <c r="AV210" s="10" t="n">
        <v>0</v>
      </c>
      <c r="AW210" s="10" t="n">
        <v>0</v>
      </c>
    </row>
    <row r="211" customFormat="false" ht="15" hidden="false" customHeight="true" outlineLevel="0" collapsed="false">
      <c r="A211" s="7" t="s">
        <v>29</v>
      </c>
      <c r="B211" s="7" t="s">
        <v>14</v>
      </c>
      <c r="C211" s="7" t="s">
        <v>31</v>
      </c>
      <c r="D211" s="7" t="s">
        <v>76</v>
      </c>
      <c r="E211" s="7" t="s">
        <v>77</v>
      </c>
      <c r="F211" s="8" t="n">
        <f aca="false">SUM(F212,F213)</f>
        <v>369</v>
      </c>
      <c r="G211" s="8" t="n">
        <f aca="false">SUM(G212,G213)</f>
        <v>1314</v>
      </c>
      <c r="H211" s="8" t="n">
        <f aca="false">SUM(H212,H213)</f>
        <v>1165.5</v>
      </c>
      <c r="I211" s="8" t="n">
        <f aca="false">SUM(I212,I213)</f>
        <v>148.5</v>
      </c>
      <c r="J211" s="8" t="n">
        <f aca="false">SUM(J212,J213)</f>
        <v>24</v>
      </c>
      <c r="K211" s="8" t="n">
        <f aca="false">SUM(K212,K213)</f>
        <v>18</v>
      </c>
      <c r="L211" s="8" t="n">
        <f aca="false">SUM(L212,L213)</f>
        <v>18</v>
      </c>
      <c r="M211" s="8" t="n">
        <f aca="false">SUM(M212,M213)</f>
        <v>15</v>
      </c>
      <c r="N211" s="8" t="n">
        <f aca="false">SUM(N212,N213)</f>
        <v>25</v>
      </c>
      <c r="O211" s="8" t="n">
        <f aca="false">SUM(O212,O213)</f>
        <v>35</v>
      </c>
      <c r="P211" s="12" t="n">
        <f aca="false">SUM(P212,P213)</f>
        <v>50</v>
      </c>
      <c r="Q211" s="8" t="n">
        <f aca="false">SUM(Q212,Q213)</f>
        <v>40</v>
      </c>
      <c r="R211" s="8" t="n">
        <f aca="false">SUM(R212,R213)</f>
        <v>40</v>
      </c>
      <c r="S211" s="8" t="n">
        <f aca="false">SUM(S212,S213)</f>
        <v>15</v>
      </c>
      <c r="T211" s="8" t="n">
        <f aca="false">SUM(T212,T213)</f>
        <v>15</v>
      </c>
      <c r="U211" s="8" t="n">
        <f aca="false">SUM(U212,U213)</f>
        <v>15</v>
      </c>
      <c r="V211" s="8" t="n">
        <f aca="false">SUM(V212,V213)</f>
        <v>25</v>
      </c>
      <c r="W211" s="8" t="n">
        <f aca="false">SUM(W212,W213)</f>
        <v>15</v>
      </c>
      <c r="X211" s="8" t="n">
        <f aca="false">SUM(X212,X213)</f>
        <v>15</v>
      </c>
      <c r="Y211" s="8" t="n">
        <f aca="false">SUM(Y212,Y213)</f>
        <v>15</v>
      </c>
      <c r="Z211" s="8" t="n">
        <f aca="false">SUM(Z212,Z213)</f>
        <v>0</v>
      </c>
      <c r="AA211" s="8" t="n">
        <f aca="false">SUM(AA212,AA213)</f>
        <v>0</v>
      </c>
      <c r="AB211" s="8" t="n">
        <f aca="false">SUM(AB212,AB213)</f>
        <v>20</v>
      </c>
      <c r="AC211" s="8" t="n">
        <f aca="false">SUM(AC212,AC213)</f>
        <v>40</v>
      </c>
      <c r="AD211" s="8" t="n">
        <f aca="false">SUM(AD212,AD213)</f>
        <v>55</v>
      </c>
      <c r="AE211" s="8" t="n">
        <f aca="false">SUM(AE212,AE213)</f>
        <v>50</v>
      </c>
      <c r="AF211" s="8" t="n">
        <f aca="false">SUM(AF212,AF213)</f>
        <v>50</v>
      </c>
      <c r="AG211" s="8" t="n">
        <f aca="false">SUM(AG212,AG213)</f>
        <v>55</v>
      </c>
      <c r="AH211" s="8" t="n">
        <f aca="false">SUM(AH212,AH213)</f>
        <v>50</v>
      </c>
      <c r="AI211" s="8" t="n">
        <f aca="false">SUM(AI212,AI213)</f>
        <v>25</v>
      </c>
      <c r="AJ211" s="8" t="n">
        <f aca="false">SUM(AJ212,AJ213)</f>
        <v>25</v>
      </c>
      <c r="AK211" s="8" t="n">
        <f aca="false">SUM(AK212,AK213)</f>
        <v>25</v>
      </c>
      <c r="AL211" s="8" t="n">
        <f aca="false">SUM(AL212,AL213)</f>
        <v>25</v>
      </c>
      <c r="AM211" s="8" t="n">
        <f aca="false">SUM(AM212,AM213)</f>
        <v>25</v>
      </c>
      <c r="AN211" s="8" t="n">
        <f aca="false">SUM(AN212,AN213)</f>
        <v>25</v>
      </c>
      <c r="AO211" s="8" t="n">
        <f aca="false">SUM(AO212,AO213)</f>
        <v>25</v>
      </c>
      <c r="AP211" s="8" t="n">
        <f aca="false">SUM(AP212,AP213)</f>
        <v>25</v>
      </c>
      <c r="AQ211" s="8" t="n">
        <f aca="false">SUM(AQ212,AQ213)</f>
        <v>10</v>
      </c>
      <c r="AR211" s="8" t="n">
        <f aca="false">SUM(AR212,AR213)</f>
        <v>10</v>
      </c>
      <c r="AS211" s="8" t="n">
        <f aca="false">SUM(AS212,AS213)</f>
        <v>5</v>
      </c>
      <c r="AT211" s="8" t="n">
        <f aca="false">SUM(AT212,AT213)</f>
        <v>0</v>
      </c>
      <c r="AU211" s="8" t="n">
        <f aca="false">SUM(AU212,AU213)</f>
        <v>0</v>
      </c>
      <c r="AV211" s="8" t="n">
        <f aca="false">SUM(AV212,AV213)</f>
        <v>0</v>
      </c>
      <c r="AW211" s="8" t="n">
        <f aca="false">SUM(AW212,AW213)</f>
        <v>0</v>
      </c>
    </row>
    <row r="212" customFormat="false" ht="15" hidden="true" customHeight="true" outlineLevel="1" collapsed="false">
      <c r="A212" s="9" t="s">
        <v>29</v>
      </c>
      <c r="B212" s="9" t="s">
        <v>14</v>
      </c>
      <c r="C212" s="9" t="s">
        <v>31</v>
      </c>
      <c r="D212" s="9" t="s">
        <v>78</v>
      </c>
      <c r="E212" s="9" t="s">
        <v>91</v>
      </c>
      <c r="F212" s="10" t="n">
        <v>51</v>
      </c>
      <c r="G212" s="10" t="n">
        <v>456</v>
      </c>
      <c r="H212" s="10" t="n">
        <v>405</v>
      </c>
      <c r="I212" s="10" t="n">
        <v>51</v>
      </c>
      <c r="J212" s="10" t="n">
        <v>10</v>
      </c>
      <c r="K212" s="10" t="n">
        <v>10</v>
      </c>
      <c r="L212" s="10" t="n">
        <v>10</v>
      </c>
      <c r="M212" s="10" t="n">
        <v>10</v>
      </c>
      <c r="N212" s="10" t="n">
        <v>20</v>
      </c>
      <c r="O212" s="10" t="n">
        <v>30</v>
      </c>
      <c r="P212" s="10" t="n">
        <v>30</v>
      </c>
      <c r="Q212" s="10" t="n">
        <v>20</v>
      </c>
      <c r="R212" s="10" t="n">
        <v>20</v>
      </c>
      <c r="S212" s="10" t="n">
        <v>10</v>
      </c>
      <c r="T212" s="10" t="n">
        <v>10</v>
      </c>
      <c r="U212" s="10" t="n">
        <v>10</v>
      </c>
      <c r="V212" s="10" t="n">
        <v>10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5</v>
      </c>
      <c r="AJ212" s="10" t="n">
        <v>25</v>
      </c>
      <c r="AK212" s="10" t="n">
        <v>25</v>
      </c>
      <c r="AL212" s="10" t="n">
        <v>25</v>
      </c>
      <c r="AM212" s="10" t="n">
        <v>25</v>
      </c>
      <c r="AN212" s="10" t="n">
        <v>25</v>
      </c>
      <c r="AO212" s="10" t="n">
        <v>25</v>
      </c>
      <c r="AP212" s="10" t="n">
        <v>25</v>
      </c>
      <c r="AQ212" s="10" t="n">
        <v>10</v>
      </c>
      <c r="AR212" s="10" t="n">
        <v>10</v>
      </c>
      <c r="AS212" s="10" t="n">
        <v>5</v>
      </c>
      <c r="AT212" s="10" t="n">
        <v>0</v>
      </c>
      <c r="AU212" s="10" t="n">
        <v>0</v>
      </c>
      <c r="AV212" s="10" t="n">
        <v>0</v>
      </c>
      <c r="AW212" s="10" t="n">
        <v>0</v>
      </c>
    </row>
    <row r="213" customFormat="false" ht="15" hidden="true" customHeight="true" outlineLevel="1" collapsed="false">
      <c r="A213" s="9" t="s">
        <v>29</v>
      </c>
      <c r="B213" s="9" t="s">
        <v>14</v>
      </c>
      <c r="C213" s="9" t="s">
        <v>31</v>
      </c>
      <c r="D213" s="9" t="s">
        <v>78</v>
      </c>
      <c r="E213" s="9" t="s">
        <v>92</v>
      </c>
      <c r="F213" s="10" t="n">
        <v>318</v>
      </c>
      <c r="G213" s="10" t="n">
        <v>858</v>
      </c>
      <c r="H213" s="10" t="n">
        <v>760.5</v>
      </c>
      <c r="I213" s="10" t="n">
        <v>97.5</v>
      </c>
      <c r="J213" s="10" t="n">
        <v>14</v>
      </c>
      <c r="K213" s="10" t="n">
        <v>8</v>
      </c>
      <c r="L213" s="10" t="n">
        <v>8</v>
      </c>
      <c r="M213" s="10" t="n">
        <v>5</v>
      </c>
      <c r="N213" s="10" t="n">
        <v>5</v>
      </c>
      <c r="O213" s="10" t="n">
        <v>5</v>
      </c>
      <c r="P213" s="10" t="n">
        <v>20</v>
      </c>
      <c r="Q213" s="10" t="n">
        <v>20</v>
      </c>
      <c r="R213" s="10" t="n">
        <v>20</v>
      </c>
      <c r="S213" s="10" t="n">
        <v>5</v>
      </c>
      <c r="T213" s="10" t="n">
        <v>5</v>
      </c>
      <c r="U213" s="10" t="n">
        <v>5</v>
      </c>
      <c r="V213" s="10" t="n">
        <v>15</v>
      </c>
      <c r="W213" s="10" t="n">
        <v>15</v>
      </c>
      <c r="X213" s="10" t="n">
        <v>15</v>
      </c>
      <c r="Y213" s="10" t="n">
        <v>15</v>
      </c>
      <c r="Z213" s="10" t="n">
        <v>0</v>
      </c>
      <c r="AA213" s="10" t="n">
        <v>0</v>
      </c>
      <c r="AB213" s="10" t="n">
        <v>20</v>
      </c>
      <c r="AC213" s="10" t="n">
        <v>40</v>
      </c>
      <c r="AD213" s="10" t="n">
        <v>55</v>
      </c>
      <c r="AE213" s="10" t="n">
        <v>50</v>
      </c>
      <c r="AF213" s="10" t="n">
        <v>50</v>
      </c>
      <c r="AG213" s="10" t="n">
        <v>55</v>
      </c>
      <c r="AH213" s="10" t="n">
        <v>50</v>
      </c>
      <c r="AI213" s="10" t="n">
        <v>20</v>
      </c>
      <c r="AJ213" s="10" t="n">
        <v>0</v>
      </c>
      <c r="AK213" s="10" t="n">
        <v>0</v>
      </c>
      <c r="AL213" s="10" t="n">
        <v>0</v>
      </c>
      <c r="AM213" s="10" t="n">
        <v>0</v>
      </c>
      <c r="AN213" s="10" t="n">
        <v>0</v>
      </c>
      <c r="AO213" s="10" t="n">
        <v>0</v>
      </c>
      <c r="AP213" s="10" t="n">
        <v>0</v>
      </c>
      <c r="AQ213" s="10" t="n">
        <v>0</v>
      </c>
      <c r="AR213" s="10" t="n">
        <v>0</v>
      </c>
      <c r="AS213" s="10" t="n">
        <v>0</v>
      </c>
      <c r="AT213" s="10" t="n">
        <v>0</v>
      </c>
      <c r="AU213" s="10" t="n">
        <v>0</v>
      </c>
      <c r="AV213" s="10" t="n">
        <v>0</v>
      </c>
      <c r="AW213" s="10" t="n">
        <v>0</v>
      </c>
    </row>
    <row r="214" customFormat="false" ht="15" hidden="false" customHeight="true" outlineLevel="0" collapsed="false">
      <c r="A214" s="7" t="s">
        <v>29</v>
      </c>
      <c r="B214" s="7" t="s">
        <v>14</v>
      </c>
      <c r="C214" s="7" t="s">
        <v>120</v>
      </c>
      <c r="D214" s="7" t="s">
        <v>76</v>
      </c>
      <c r="E214" s="7" t="s">
        <v>77</v>
      </c>
      <c r="F214" s="8" t="n">
        <f aca="false">SUM(F215,F216)</f>
        <v>308</v>
      </c>
      <c r="G214" s="8" t="n">
        <f aca="false">SUM(G215,G216)</f>
        <v>1088</v>
      </c>
      <c r="H214" s="8" t="n">
        <f aca="false">SUM(H215,H216)</f>
        <v>935.5</v>
      </c>
      <c r="I214" s="8" t="n">
        <f aca="false">SUM(I215,I216)</f>
        <v>152.5</v>
      </c>
      <c r="J214" s="8" t="n">
        <f aca="false">SUM(J215,J216)</f>
        <v>7</v>
      </c>
      <c r="K214" s="8" t="n">
        <f aca="false">SUM(K215,K216)</f>
        <v>0</v>
      </c>
      <c r="L214" s="8" t="n">
        <f aca="false">SUM(L215,L216)</f>
        <v>0</v>
      </c>
      <c r="M214" s="8" t="n">
        <f aca="false">SUM(M215,M216)</f>
        <v>5</v>
      </c>
      <c r="N214" s="8" t="n">
        <f aca="false">SUM(N215,N216)</f>
        <v>5</v>
      </c>
      <c r="O214" s="8" t="n">
        <f aca="false">SUM(O215,O216)</f>
        <v>5</v>
      </c>
      <c r="P214" s="8" t="n">
        <f aca="false">SUM(P215,P216)</f>
        <v>20</v>
      </c>
      <c r="Q214" s="8" t="n">
        <f aca="false">SUM(Q215,Q216)</f>
        <v>20</v>
      </c>
      <c r="R214" s="8" t="n">
        <f aca="false">SUM(R215,R216)</f>
        <v>20</v>
      </c>
      <c r="S214" s="8" t="n">
        <f aca="false">SUM(S215,S216)</f>
        <v>5</v>
      </c>
      <c r="T214" s="8" t="n">
        <f aca="false">SUM(T215,T216)</f>
        <v>5</v>
      </c>
      <c r="U214" s="8" t="n">
        <f aca="false">SUM(U215,U216)</f>
        <v>5</v>
      </c>
      <c r="V214" s="8" t="n">
        <f aca="false">SUM(V215,V216)</f>
        <v>15</v>
      </c>
      <c r="W214" s="8" t="n">
        <f aca="false">SUM(W215,W216)</f>
        <v>15</v>
      </c>
      <c r="X214" s="8" t="n">
        <f aca="false">SUM(X215,X216)</f>
        <v>15</v>
      </c>
      <c r="Y214" s="8" t="n">
        <f aca="false">SUM(Y215,Y216)</f>
        <v>15</v>
      </c>
      <c r="Z214" s="8" t="n">
        <f aca="false">SUM(Z215,Z216)</f>
        <v>0</v>
      </c>
      <c r="AA214" s="8" t="n">
        <f aca="false">SUM(AA215,AA216)</f>
        <v>0</v>
      </c>
      <c r="AB214" s="8" t="n">
        <f aca="false">SUM(AB215,AB216)</f>
        <v>20</v>
      </c>
      <c r="AC214" s="8" t="n">
        <f aca="false">SUM(AC215,AC216)</f>
        <v>40</v>
      </c>
      <c r="AD214" s="8" t="n">
        <f aca="false">SUM(AD215,AD216)</f>
        <v>55</v>
      </c>
      <c r="AE214" s="8" t="n">
        <f aca="false">SUM(AE215,AE216)</f>
        <v>55</v>
      </c>
      <c r="AF214" s="8" t="n">
        <f aca="false">SUM(AF215,AF216)</f>
        <v>55</v>
      </c>
      <c r="AG214" s="8" t="n">
        <f aca="false">SUM(AG215,AG216)</f>
        <v>55</v>
      </c>
      <c r="AH214" s="8" t="n">
        <f aca="false">SUM(AH215,AH216)</f>
        <v>50</v>
      </c>
      <c r="AI214" s="8" t="n">
        <f aca="false">SUM(AI215,AI216)</f>
        <v>25</v>
      </c>
      <c r="AJ214" s="8" t="n">
        <f aca="false">SUM(AJ215,AJ216)</f>
        <v>25</v>
      </c>
      <c r="AK214" s="8" t="n">
        <f aca="false">SUM(AK215,AK216)</f>
        <v>25</v>
      </c>
      <c r="AL214" s="8" t="n">
        <f aca="false">SUM(AL215,AL216)</f>
        <v>25</v>
      </c>
      <c r="AM214" s="8" t="n">
        <f aca="false">SUM(AM215,AM216)</f>
        <v>25</v>
      </c>
      <c r="AN214" s="8" t="n">
        <f aca="false">SUM(AN215,AN216)</f>
        <v>25</v>
      </c>
      <c r="AO214" s="8" t="n">
        <f aca="false">SUM(AO215,AO216)</f>
        <v>25</v>
      </c>
      <c r="AP214" s="8" t="n">
        <f aca="false">SUM(AP215,AP216)</f>
        <v>25</v>
      </c>
      <c r="AQ214" s="8" t="n">
        <f aca="false">SUM(AQ215,AQ216)</f>
        <v>10</v>
      </c>
      <c r="AR214" s="8" t="n">
        <f aca="false">SUM(AR215,AR216)</f>
        <v>10</v>
      </c>
      <c r="AS214" s="8" t="n">
        <f aca="false">SUM(AS215,AS216)</f>
        <v>0</v>
      </c>
      <c r="AT214" s="8" t="n">
        <f aca="false">SUM(AT215,AT216)</f>
        <v>0</v>
      </c>
      <c r="AU214" s="8" t="n">
        <f aca="false">SUM(AU215,AU216)</f>
        <v>0</v>
      </c>
      <c r="AV214" s="8" t="n">
        <f aca="false">SUM(AV215,AV216)</f>
        <v>0</v>
      </c>
      <c r="AW214" s="8" t="n">
        <f aca="false">SUM(AW215,AW216)</f>
        <v>0</v>
      </c>
    </row>
    <row r="215" customFormat="false" ht="15" hidden="true" customHeight="true" outlineLevel="1" collapsed="false">
      <c r="A215" s="9" t="s">
        <v>29</v>
      </c>
      <c r="B215" s="9" t="s">
        <v>14</v>
      </c>
      <c r="C215" s="9" t="s">
        <v>120</v>
      </c>
      <c r="D215" s="9" t="s">
        <v>78</v>
      </c>
      <c r="E215" s="9" t="s">
        <v>91</v>
      </c>
      <c r="F215" s="10" t="n">
        <v>0</v>
      </c>
      <c r="G215" s="10" t="n">
        <v>200</v>
      </c>
      <c r="H215" s="10" t="n">
        <v>200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5</v>
      </c>
      <c r="AJ215" s="10" t="n">
        <v>25</v>
      </c>
      <c r="AK215" s="10" t="n">
        <v>25</v>
      </c>
      <c r="AL215" s="10" t="n">
        <v>25</v>
      </c>
      <c r="AM215" s="10" t="n">
        <v>25</v>
      </c>
      <c r="AN215" s="10" t="n">
        <v>25</v>
      </c>
      <c r="AO215" s="10" t="n">
        <v>25</v>
      </c>
      <c r="AP215" s="10" t="n">
        <v>25</v>
      </c>
      <c r="AQ215" s="10" t="n">
        <v>10</v>
      </c>
      <c r="AR215" s="10" t="n">
        <v>10</v>
      </c>
      <c r="AS215" s="10" t="n">
        <v>0</v>
      </c>
      <c r="AT215" s="10" t="n">
        <v>0</v>
      </c>
      <c r="AU215" s="10" t="n">
        <v>0</v>
      </c>
      <c r="AV215" s="10" t="n">
        <v>0</v>
      </c>
      <c r="AW215" s="10" t="n">
        <v>0</v>
      </c>
    </row>
    <row r="216" customFormat="false" ht="15" hidden="true" customHeight="true" outlineLevel="1" collapsed="false">
      <c r="A216" s="9" t="s">
        <v>29</v>
      </c>
      <c r="B216" s="9" t="s">
        <v>14</v>
      </c>
      <c r="C216" s="9" t="s">
        <v>120</v>
      </c>
      <c r="D216" s="9" t="s">
        <v>78</v>
      </c>
      <c r="E216" s="9" t="s">
        <v>92</v>
      </c>
      <c r="F216" s="10" t="n">
        <v>308</v>
      </c>
      <c r="G216" s="10" t="n">
        <v>888</v>
      </c>
      <c r="H216" s="10" t="n">
        <v>735.5</v>
      </c>
      <c r="I216" s="10" t="n">
        <v>152.5</v>
      </c>
      <c r="J216" s="10" t="n">
        <v>7</v>
      </c>
      <c r="K216" s="10" t="n">
        <v>0</v>
      </c>
      <c r="L216" s="10" t="n">
        <v>0</v>
      </c>
      <c r="M216" s="10" t="n">
        <v>5</v>
      </c>
      <c r="N216" s="10" t="n">
        <v>5</v>
      </c>
      <c r="O216" s="10" t="n">
        <v>5</v>
      </c>
      <c r="P216" s="10" t="n">
        <v>20</v>
      </c>
      <c r="Q216" s="10" t="n">
        <v>20</v>
      </c>
      <c r="R216" s="10" t="n">
        <v>20</v>
      </c>
      <c r="S216" s="10" t="n">
        <v>5</v>
      </c>
      <c r="T216" s="10" t="n">
        <v>5</v>
      </c>
      <c r="U216" s="10" t="n">
        <v>5</v>
      </c>
      <c r="V216" s="10" t="n">
        <v>15</v>
      </c>
      <c r="W216" s="10" t="n">
        <v>15</v>
      </c>
      <c r="X216" s="10" t="n">
        <v>15</v>
      </c>
      <c r="Y216" s="10" t="n">
        <v>15</v>
      </c>
      <c r="Z216" s="10" t="n">
        <v>0</v>
      </c>
      <c r="AA216" s="10" t="n">
        <v>0</v>
      </c>
      <c r="AB216" s="10" t="n">
        <v>20</v>
      </c>
      <c r="AC216" s="10" t="n">
        <v>40</v>
      </c>
      <c r="AD216" s="10" t="n">
        <v>55</v>
      </c>
      <c r="AE216" s="10" t="n">
        <v>55</v>
      </c>
      <c r="AF216" s="10" t="n">
        <v>55</v>
      </c>
      <c r="AG216" s="10" t="n">
        <v>55</v>
      </c>
      <c r="AH216" s="10" t="n">
        <v>50</v>
      </c>
      <c r="AI216" s="10" t="n">
        <v>20</v>
      </c>
      <c r="AJ216" s="10" t="n">
        <v>0</v>
      </c>
      <c r="AK216" s="10" t="n">
        <v>0</v>
      </c>
      <c r="AL216" s="10" t="n">
        <v>0</v>
      </c>
      <c r="AM216" s="10" t="n">
        <v>0</v>
      </c>
      <c r="AN216" s="10" t="n">
        <v>0</v>
      </c>
      <c r="AO216" s="10" t="n">
        <v>0</v>
      </c>
      <c r="AP216" s="10" t="n">
        <v>0</v>
      </c>
      <c r="AQ216" s="10" t="n">
        <v>0</v>
      </c>
      <c r="AR216" s="10" t="n">
        <v>0</v>
      </c>
      <c r="AS216" s="10" t="n">
        <v>0</v>
      </c>
      <c r="AT216" s="10" t="n">
        <v>0</v>
      </c>
      <c r="AU216" s="10" t="n">
        <v>0</v>
      </c>
      <c r="AV216" s="10" t="n">
        <v>0</v>
      </c>
      <c r="AW216" s="10" t="n">
        <v>0</v>
      </c>
    </row>
    <row r="217" customFormat="false" ht="15" hidden="false" customHeight="true" outlineLevel="0" collapsed="false">
      <c r="A217" s="7" t="s">
        <v>12</v>
      </c>
      <c r="B217" s="7" t="s">
        <v>14</v>
      </c>
      <c r="C217" s="7" t="s">
        <v>17</v>
      </c>
      <c r="D217" s="7" t="s">
        <v>76</v>
      </c>
      <c r="E217" s="7" t="s">
        <v>77</v>
      </c>
      <c r="F217" s="8" t="n">
        <f aca="false">SUM(F218,F219,F220,F221,F222,F223,F224,F225,F226,F227)</f>
        <v>354</v>
      </c>
      <c r="G217" s="8" t="n">
        <f aca="false">SUM(G218,G219,G220,G221,G222,G223,G224,G225,G226,G227)</f>
        <v>998</v>
      </c>
      <c r="H217" s="8" t="n">
        <f aca="false">SUM(H218,H219,H220,H221,H222,H223,H224,H225,H226,H227)</f>
        <v>1275</v>
      </c>
      <c r="I217" s="8" t="n">
        <f aca="false">SUM(I218,I219,I220,I221,I222,I223,I224,I225,I226,I227)</f>
        <v>-277</v>
      </c>
      <c r="J217" s="8" t="n">
        <f aca="false">SUM(J218,J219,J220,J221,J222,J223,J224,J225,J226,J227)</f>
        <v>25</v>
      </c>
      <c r="K217" s="8" t="n">
        <f aca="false">SUM(K218,K219,K220,K221,K222,K223,K224,K225,K226,K227)</f>
        <v>3</v>
      </c>
      <c r="L217" s="8" t="n">
        <f aca="false">SUM(L218,L219,L220,L221,L222,L223,L224,L225,L226,L227)</f>
        <v>5</v>
      </c>
      <c r="M217" s="8" t="n">
        <f aca="false">SUM(M218,M219,M220,M221,M222,M223,M224,M225,M226,M227)</f>
        <v>3</v>
      </c>
      <c r="N217" s="8" t="n">
        <f aca="false">SUM(N218,N219,N220,N221,N222,N223,N224,N225,N226,N227)</f>
        <v>3</v>
      </c>
      <c r="O217" s="8" t="n">
        <f aca="false">SUM(O218,O219,O220,O221,O222,O223,O224,O225,O226,O227)</f>
        <v>13</v>
      </c>
      <c r="P217" s="8" t="n">
        <f aca="false">SUM(P218,P219,P220,P221,P222,P223,P224,P225,P226,P227)</f>
        <v>13</v>
      </c>
      <c r="Q217" s="11" t="n">
        <f aca="false">SUM(Q218,Q219,Q220,Q221,Q222,Q223,Q224,Q225,Q226,Q227)</f>
        <v>45</v>
      </c>
      <c r="R217" s="12" t="n">
        <f aca="false">SUM(R218,R219,R220,R221,R222,R223,R224,R225,R226,R227)</f>
        <v>46</v>
      </c>
      <c r="S217" s="8" t="n">
        <f aca="false">SUM(S218,S219,S220,S221,S222,S223,S224,S225,S226,S227)</f>
        <v>15</v>
      </c>
      <c r="T217" s="8" t="n">
        <f aca="false">SUM(T218,T219,T220,T221,T222,T223,T224,T225,T226,T227)</f>
        <v>15</v>
      </c>
      <c r="U217" s="8" t="n">
        <f aca="false">SUM(U218,U219,U220,U221,U222,U223,U224,U225,U226,U227)</f>
        <v>10</v>
      </c>
      <c r="V217" s="8" t="n">
        <f aca="false">SUM(V218,V219,V220,V221,V222,V223,V224,V225,V226,V227)</f>
        <v>8</v>
      </c>
      <c r="W217" s="8" t="n">
        <f aca="false">SUM(W218,W219,W220,W221,W222,W223,W224,W225,W226,W227)</f>
        <v>6</v>
      </c>
      <c r="X217" s="8" t="n">
        <f aca="false">SUM(X218,X219,X220,X221,X222,X223,X224,X225,X226,X227)</f>
        <v>22</v>
      </c>
      <c r="Y217" s="8" t="n">
        <f aca="false">SUM(Y218,Y219,Y220,Y221,Y222,Y223,Y224,Y225,Y226,Y227)</f>
        <v>18</v>
      </c>
      <c r="Z217" s="8" t="n">
        <f aca="false">SUM(Z218,Z219,Z220,Z221,Z222,Z223,Z224,Z225,Z226,Z227)</f>
        <v>0</v>
      </c>
      <c r="AA217" s="8" t="n">
        <f aca="false">SUM(AA218,AA219,AA220,AA221,AA222,AA223,AA224,AA225,AA226,AA227)</f>
        <v>0</v>
      </c>
      <c r="AB217" s="8" t="n">
        <f aca="false">SUM(AB218,AB219,AB220,AB221,AB222,AB223,AB224,AB225,AB226,AB227)</f>
        <v>6</v>
      </c>
      <c r="AC217" s="8" t="n">
        <f aca="false">SUM(AC218,AC219,AC220,AC221,AC222,AC223,AC224,AC225,AC226,AC227)</f>
        <v>34.5</v>
      </c>
      <c r="AD217" s="8" t="n">
        <f aca="false">SUM(AD218,AD219,AD220,AD221,AD222,AD223,AD224,AD225,AD226,AD227)</f>
        <v>35</v>
      </c>
      <c r="AE217" s="12" t="n">
        <f aca="false">SUM(AE218,AE219,AE220,AE221,AE222,AE223,AE224,AE225,AE226,AE227)</f>
        <v>68</v>
      </c>
      <c r="AF217" s="12" t="n">
        <f aca="false">SUM(AF218,AF219,AF220,AF221,AF222,AF223,AF224,AF225,AF226,AF227)</f>
        <v>90</v>
      </c>
      <c r="AG217" s="12" t="n">
        <f aca="false">SUM(AG218,AG219,AG220,AG221,AG222,AG223,AG224,AG225,AG226,AG227)</f>
        <v>75.5</v>
      </c>
      <c r="AH217" s="12" t="n">
        <f aca="false">SUM(AH218,AH219,AH220,AH221,AH222,AH223,AH224,AH225,AH226,AH227)</f>
        <v>67</v>
      </c>
      <c r="AI217" s="8" t="n">
        <f aca="false">SUM(AI218,AI219,AI220,AI221,AI222,AI223,AI224,AI225,AI226,AI227)</f>
        <v>28</v>
      </c>
      <c r="AJ217" s="8" t="n">
        <f aca="false">SUM(AJ218,AJ219,AJ220,AJ221,AJ222,AJ223,AJ224,AJ225,AJ226,AJ227)</f>
        <v>3</v>
      </c>
      <c r="AK217" s="8" t="n">
        <f aca="false">SUM(AK218,AK219,AK220,AK221,AK222,AK223,AK224,AK225,AK226,AK227)</f>
        <v>3</v>
      </c>
      <c r="AL217" s="8" t="n">
        <f aca="false">SUM(AL218,AL219,AL220,AL221,AL222,AL223,AL224,AL225,AL226,AL227)</f>
        <v>3</v>
      </c>
      <c r="AM217" s="8" t="n">
        <f aca="false">SUM(AM218,AM219,AM220,AM221,AM222,AM223,AM224,AM225,AM226,AM227)</f>
        <v>0</v>
      </c>
      <c r="AN217" s="8" t="n">
        <f aca="false">SUM(AN218,AN219,AN220,AN221,AN222,AN223,AN224,AN225,AN226,AN227)</f>
        <v>0</v>
      </c>
      <c r="AO217" s="8" t="n">
        <f aca="false">SUM(AO218,AO219,AO220,AO221,AO222,AO223,AO224,AO225,AO226,AO227)</f>
        <v>0</v>
      </c>
      <c r="AP217" s="8" t="n">
        <f aca="false">SUM(AP218,AP219,AP220,AP221,AP222,AP223,AP224,AP225,AP226,AP227)</f>
        <v>0</v>
      </c>
      <c r="AQ217" s="8" t="n">
        <f aca="false">SUM(AQ218,AQ219,AQ220,AQ221,AQ222,AQ223,AQ224,AQ225,AQ226,AQ227)</f>
        <v>0</v>
      </c>
      <c r="AR217" s="8" t="n">
        <f aca="false">SUM(AR218,AR219,AR220,AR221,AR222,AR223,AR224,AR225,AR226,AR227)</f>
        <v>0</v>
      </c>
      <c r="AS217" s="8" t="n">
        <f aca="false">SUM(AS218,AS219,AS220,AS221,AS222,AS223,AS224,AS225,AS226,AS227)</f>
        <v>0</v>
      </c>
      <c r="AT217" s="8" t="n">
        <f aca="false">SUM(AT218,AT219,AT220,AT221,AT222,AT223,AT224,AT225,AT226,AT227)</f>
        <v>0</v>
      </c>
      <c r="AU217" s="8" t="n">
        <f aca="false">SUM(AU218,AU219,AU220,AU221,AU222,AU223,AU224,AU225,AU226,AU227)</f>
        <v>0</v>
      </c>
      <c r="AV217" s="8" t="n">
        <f aca="false">SUM(AV218,AV219,AV220,AV221,AV222,AV223,AV224,AV225,AV226,AV227)</f>
        <v>0</v>
      </c>
      <c r="AW217" s="8" t="n">
        <f aca="false">SUM(AW218,AW219,AW220,AW221,AW222,AW223,AW224,AW225,AW226,AW227)</f>
        <v>0</v>
      </c>
    </row>
    <row r="218" customFormat="false" ht="15" hidden="true" customHeight="true" outlineLevel="1" collapsed="false">
      <c r="A218" s="9" t="s">
        <v>12</v>
      </c>
      <c r="B218" s="9" t="s">
        <v>14</v>
      </c>
      <c r="C218" s="9" t="s">
        <v>17</v>
      </c>
      <c r="D218" s="9" t="s">
        <v>78</v>
      </c>
      <c r="E218" s="9" t="s">
        <v>121</v>
      </c>
      <c r="F218" s="10" t="n">
        <v>11</v>
      </c>
      <c r="G218" s="10" t="n">
        <v>46</v>
      </c>
      <c r="H218" s="10" t="n">
        <v>120</v>
      </c>
      <c r="I218" s="10" t="n">
        <v>-74</v>
      </c>
      <c r="J218" s="10" t="n">
        <v>8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2</v>
      </c>
      <c r="R218" s="10" t="n">
        <v>3</v>
      </c>
      <c r="S218" s="10" t="n">
        <v>3</v>
      </c>
      <c r="T218" s="10" t="n">
        <v>3</v>
      </c>
      <c r="U218" s="10" t="n">
        <v>3</v>
      </c>
      <c r="V218" s="10" t="n">
        <v>0</v>
      </c>
      <c r="W218" s="10" t="n">
        <v>3</v>
      </c>
      <c r="X218" s="10" t="n">
        <v>3</v>
      </c>
      <c r="Y218" s="10" t="n">
        <v>3</v>
      </c>
      <c r="Z218" s="10" t="n">
        <v>0</v>
      </c>
      <c r="AA218" s="10" t="n">
        <v>0</v>
      </c>
      <c r="AB218" s="10" t="n">
        <v>3</v>
      </c>
      <c r="AC218" s="10" t="n">
        <v>3</v>
      </c>
      <c r="AD218" s="10" t="n">
        <v>3</v>
      </c>
      <c r="AE218" s="10" t="n">
        <v>3</v>
      </c>
      <c r="AF218" s="10" t="n">
        <v>0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10" t="n">
        <v>0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10" t="n">
        <v>0</v>
      </c>
    </row>
    <row r="219" customFormat="false" ht="15" hidden="true" customHeight="true" outlineLevel="1" collapsed="false">
      <c r="A219" s="9" t="s">
        <v>12</v>
      </c>
      <c r="B219" s="9" t="s">
        <v>14</v>
      </c>
      <c r="C219" s="9" t="s">
        <v>17</v>
      </c>
      <c r="D219" s="9" t="s">
        <v>78</v>
      </c>
      <c r="E219" s="9" t="s">
        <v>82</v>
      </c>
      <c r="F219" s="10" t="n">
        <v>40</v>
      </c>
      <c r="G219" s="10" t="n">
        <v>40</v>
      </c>
      <c r="H219" s="10" t="n">
        <v>60</v>
      </c>
      <c r="I219" s="10" t="n">
        <v>-20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10" t="n">
        <v>0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10" t="n">
        <v>0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10" t="n">
        <v>0</v>
      </c>
      <c r="AU219" s="10" t="n">
        <v>0</v>
      </c>
      <c r="AV219" s="10" t="n">
        <v>0</v>
      </c>
      <c r="AW219" s="10" t="n">
        <v>0</v>
      </c>
    </row>
    <row r="220" customFormat="false" ht="15" hidden="true" customHeight="true" outlineLevel="1" collapsed="false">
      <c r="A220" s="9" t="s">
        <v>12</v>
      </c>
      <c r="B220" s="9" t="s">
        <v>14</v>
      </c>
      <c r="C220" s="9" t="s">
        <v>17</v>
      </c>
      <c r="D220" s="9" t="s">
        <v>78</v>
      </c>
      <c r="E220" s="9" t="s">
        <v>83</v>
      </c>
      <c r="F220" s="10" t="n">
        <v>20</v>
      </c>
      <c r="G220" s="10" t="n">
        <v>20</v>
      </c>
      <c r="H220" s="10" t="n">
        <v>32</v>
      </c>
      <c r="I220" s="10" t="n">
        <v>-12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0" t="n">
        <v>0</v>
      </c>
      <c r="AV220" s="10" t="n">
        <v>0</v>
      </c>
      <c r="AW220" s="10" t="n">
        <v>0</v>
      </c>
    </row>
    <row r="221" customFormat="false" ht="15" hidden="true" customHeight="true" outlineLevel="1" collapsed="false">
      <c r="A221" s="9" t="s">
        <v>12</v>
      </c>
      <c r="B221" s="9" t="s">
        <v>14</v>
      </c>
      <c r="C221" s="9" t="s">
        <v>17</v>
      </c>
      <c r="D221" s="9" t="s">
        <v>78</v>
      </c>
      <c r="E221" s="9" t="s">
        <v>84</v>
      </c>
      <c r="F221" s="10" t="n">
        <v>0</v>
      </c>
      <c r="G221" s="10" t="n">
        <v>20</v>
      </c>
      <c r="H221" s="10" t="n">
        <v>20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10</v>
      </c>
      <c r="R221" s="10" t="n">
        <v>10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10" t="n">
        <v>0</v>
      </c>
      <c r="AU221" s="10" t="n">
        <v>0</v>
      </c>
      <c r="AV221" s="10" t="n">
        <v>0</v>
      </c>
      <c r="AW221" s="10" t="n">
        <v>0</v>
      </c>
    </row>
    <row r="222" customFormat="false" ht="15" hidden="true" customHeight="true" outlineLevel="1" collapsed="false">
      <c r="A222" s="9" t="s">
        <v>12</v>
      </c>
      <c r="B222" s="9" t="s">
        <v>14</v>
      </c>
      <c r="C222" s="9" t="s">
        <v>17</v>
      </c>
      <c r="D222" s="9" t="s">
        <v>78</v>
      </c>
      <c r="E222" s="9" t="s">
        <v>40</v>
      </c>
      <c r="F222" s="10" t="n">
        <v>0</v>
      </c>
      <c r="G222" s="10" t="n">
        <v>28</v>
      </c>
      <c r="H222" s="10" t="n">
        <v>28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10" t="n">
        <v>0</v>
      </c>
      <c r="AG222" s="10" t="n">
        <v>8</v>
      </c>
      <c r="AH222" s="10" t="n">
        <v>10</v>
      </c>
      <c r="AI222" s="10" t="n">
        <v>10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  <c r="AV222" s="10" t="n">
        <v>0</v>
      </c>
      <c r="AW222" s="10" t="n">
        <v>0</v>
      </c>
    </row>
    <row r="223" customFormat="false" ht="15" hidden="true" customHeight="true" outlineLevel="1" collapsed="false">
      <c r="A223" s="9" t="s">
        <v>12</v>
      </c>
      <c r="B223" s="9" t="s">
        <v>14</v>
      </c>
      <c r="C223" s="9" t="s">
        <v>17</v>
      </c>
      <c r="D223" s="9" t="s">
        <v>78</v>
      </c>
      <c r="E223" s="9" t="s">
        <v>46</v>
      </c>
      <c r="F223" s="10" t="n">
        <v>223</v>
      </c>
      <c r="G223" s="10" t="n">
        <v>590</v>
      </c>
      <c r="H223" s="10" t="n">
        <v>637</v>
      </c>
      <c r="I223" s="10" t="n">
        <v>-47</v>
      </c>
      <c r="J223" s="10" t="n">
        <v>17</v>
      </c>
      <c r="K223" s="10" t="n">
        <v>3</v>
      </c>
      <c r="L223" s="10" t="n">
        <v>5</v>
      </c>
      <c r="M223" s="10" t="n">
        <v>3</v>
      </c>
      <c r="N223" s="10" t="n">
        <v>3</v>
      </c>
      <c r="O223" s="10" t="n">
        <v>3</v>
      </c>
      <c r="P223" s="10" t="n">
        <v>3</v>
      </c>
      <c r="Q223" s="10" t="n">
        <v>3</v>
      </c>
      <c r="R223" s="10" t="n">
        <v>3</v>
      </c>
      <c r="S223" s="10" t="n">
        <v>12</v>
      </c>
      <c r="T223" s="10" t="n">
        <v>12</v>
      </c>
      <c r="U223" s="10" t="n">
        <v>7</v>
      </c>
      <c r="V223" s="10" t="n">
        <v>8</v>
      </c>
      <c r="W223" s="10" t="n">
        <v>3</v>
      </c>
      <c r="X223" s="10" t="n">
        <v>15</v>
      </c>
      <c r="Y223" s="10" t="n">
        <v>15</v>
      </c>
      <c r="Z223" s="10" t="n">
        <v>0</v>
      </c>
      <c r="AA223" s="10" t="n">
        <v>0</v>
      </c>
      <c r="AB223" s="10" t="n">
        <v>3</v>
      </c>
      <c r="AC223" s="10" t="n">
        <v>31.5</v>
      </c>
      <c r="AD223" s="10" t="n">
        <v>22</v>
      </c>
      <c r="AE223" s="10" t="n">
        <v>45</v>
      </c>
      <c r="AF223" s="10" t="n">
        <v>40</v>
      </c>
      <c r="AG223" s="10" t="n">
        <v>37.5</v>
      </c>
      <c r="AH223" s="10" t="n">
        <v>57</v>
      </c>
      <c r="AI223" s="10" t="n">
        <v>18</v>
      </c>
      <c r="AJ223" s="10" t="n">
        <v>3</v>
      </c>
      <c r="AK223" s="10" t="n">
        <v>3</v>
      </c>
      <c r="AL223" s="10" t="n">
        <v>3</v>
      </c>
      <c r="AM223" s="10" t="n">
        <v>0</v>
      </c>
      <c r="AN223" s="10" t="n">
        <v>0</v>
      </c>
      <c r="AO223" s="10" t="n">
        <v>0</v>
      </c>
      <c r="AP223" s="10" t="n">
        <v>0</v>
      </c>
      <c r="AQ223" s="10" t="n">
        <v>0</v>
      </c>
      <c r="AR223" s="10" t="n">
        <v>0</v>
      </c>
      <c r="AS223" s="10" t="n">
        <v>0</v>
      </c>
      <c r="AT223" s="10" t="n">
        <v>0</v>
      </c>
      <c r="AU223" s="10" t="n">
        <v>0</v>
      </c>
      <c r="AV223" s="10" t="n">
        <v>0</v>
      </c>
      <c r="AW223" s="10" t="n">
        <v>0</v>
      </c>
    </row>
    <row r="224" customFormat="false" ht="15" hidden="true" customHeight="true" outlineLevel="1" collapsed="false">
      <c r="A224" s="9" t="s">
        <v>12</v>
      </c>
      <c r="B224" s="9" t="s">
        <v>14</v>
      </c>
      <c r="C224" s="9" t="s">
        <v>17</v>
      </c>
      <c r="D224" s="9" t="s">
        <v>78</v>
      </c>
      <c r="E224" s="9" t="s">
        <v>86</v>
      </c>
      <c r="F224" s="10" t="n">
        <v>0</v>
      </c>
      <c r="G224" s="10" t="n">
        <v>0</v>
      </c>
      <c r="H224" s="10" t="n">
        <v>98</v>
      </c>
      <c r="I224" s="10" t="n">
        <v>-98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0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0" t="n">
        <v>0</v>
      </c>
      <c r="AL224" s="10" t="n">
        <v>0</v>
      </c>
      <c r="AM224" s="10" t="n">
        <v>0</v>
      </c>
      <c r="AN224" s="10" t="n">
        <v>0</v>
      </c>
      <c r="AO224" s="10" t="n">
        <v>0</v>
      </c>
      <c r="AP224" s="10" t="n">
        <v>0</v>
      </c>
      <c r="AQ224" s="10" t="n">
        <v>0</v>
      </c>
      <c r="AR224" s="10" t="n">
        <v>0</v>
      </c>
      <c r="AS224" s="10" t="n">
        <v>0</v>
      </c>
      <c r="AT224" s="10" t="n">
        <v>0</v>
      </c>
      <c r="AU224" s="10" t="n">
        <v>0</v>
      </c>
      <c r="AV224" s="10" t="n">
        <v>0</v>
      </c>
      <c r="AW224" s="10" t="n">
        <v>0</v>
      </c>
    </row>
    <row r="225" customFormat="false" ht="15" hidden="true" customHeight="true" outlineLevel="1" collapsed="false">
      <c r="A225" s="9" t="s">
        <v>12</v>
      </c>
      <c r="B225" s="9" t="s">
        <v>14</v>
      </c>
      <c r="C225" s="9" t="s">
        <v>17</v>
      </c>
      <c r="D225" s="9" t="s">
        <v>78</v>
      </c>
      <c r="E225" s="9" t="s">
        <v>87</v>
      </c>
      <c r="F225" s="10" t="n">
        <v>60</v>
      </c>
      <c r="G225" s="10" t="n">
        <v>60</v>
      </c>
      <c r="H225" s="10" t="n">
        <v>86</v>
      </c>
      <c r="I225" s="10" t="n">
        <v>-26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10" t="n">
        <v>0</v>
      </c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  <c r="AT225" s="10" t="n">
        <v>0</v>
      </c>
      <c r="AU225" s="10" t="n">
        <v>0</v>
      </c>
      <c r="AV225" s="10" t="n">
        <v>0</v>
      </c>
      <c r="AW225" s="10" t="n">
        <v>0</v>
      </c>
    </row>
    <row r="226" customFormat="false" ht="15" hidden="true" customHeight="true" outlineLevel="1" collapsed="false">
      <c r="A226" s="9" t="s">
        <v>12</v>
      </c>
      <c r="B226" s="9" t="s">
        <v>14</v>
      </c>
      <c r="C226" s="9" t="s">
        <v>17</v>
      </c>
      <c r="D226" s="9" t="s">
        <v>78</v>
      </c>
      <c r="E226" s="9" t="s">
        <v>88</v>
      </c>
      <c r="F226" s="10" t="n">
        <v>0</v>
      </c>
      <c r="G226" s="10" t="n">
        <v>80</v>
      </c>
      <c r="H226" s="10" t="n">
        <v>80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10</v>
      </c>
      <c r="P226" s="10" t="n">
        <v>10</v>
      </c>
      <c r="Q226" s="10" t="n">
        <v>30</v>
      </c>
      <c r="R226" s="10" t="n">
        <v>30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n">
        <v>0</v>
      </c>
      <c r="AN226" s="10" t="n">
        <v>0</v>
      </c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10" t="n">
        <v>0</v>
      </c>
      <c r="AU226" s="10" t="n">
        <v>0</v>
      </c>
      <c r="AV226" s="10" t="n">
        <v>0</v>
      </c>
      <c r="AW226" s="10" t="n">
        <v>0</v>
      </c>
    </row>
    <row r="227" customFormat="false" ht="15" hidden="true" customHeight="true" outlineLevel="1" collapsed="false">
      <c r="A227" s="9" t="s">
        <v>12</v>
      </c>
      <c r="B227" s="9" t="s">
        <v>14</v>
      </c>
      <c r="C227" s="9" t="s">
        <v>17</v>
      </c>
      <c r="D227" s="9" t="s">
        <v>78</v>
      </c>
      <c r="E227" s="9" t="s">
        <v>122</v>
      </c>
      <c r="F227" s="10" t="n">
        <v>0</v>
      </c>
      <c r="G227" s="10" t="n">
        <v>114</v>
      </c>
      <c r="H227" s="10" t="n">
        <v>114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4</v>
      </c>
      <c r="Y227" s="10" t="n">
        <v>0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0" t="n">
        <v>10</v>
      </c>
      <c r="AE227" s="10" t="n">
        <v>20</v>
      </c>
      <c r="AF227" s="10" t="n">
        <v>50</v>
      </c>
      <c r="AG227" s="10" t="n">
        <v>30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n">
        <v>0</v>
      </c>
      <c r="AN227" s="10" t="n">
        <v>0</v>
      </c>
      <c r="AO227" s="10" t="n">
        <v>0</v>
      </c>
      <c r="AP227" s="10" t="n">
        <v>0</v>
      </c>
      <c r="AQ227" s="10" t="n">
        <v>0</v>
      </c>
      <c r="AR227" s="10" t="n">
        <v>0</v>
      </c>
      <c r="AS227" s="10" t="n">
        <v>0</v>
      </c>
      <c r="AT227" s="10" t="n">
        <v>0</v>
      </c>
      <c r="AU227" s="10" t="n">
        <v>0</v>
      </c>
      <c r="AV227" s="10" t="n">
        <v>0</v>
      </c>
      <c r="AW227" s="10" t="n">
        <v>0</v>
      </c>
    </row>
    <row r="228" customFormat="false" ht="15" hidden="false" customHeight="true" outlineLevel="0" collapsed="false">
      <c r="A228" s="7" t="s">
        <v>12</v>
      </c>
      <c r="B228" s="7" t="s">
        <v>14</v>
      </c>
      <c r="C228" s="7" t="s">
        <v>123</v>
      </c>
      <c r="D228" s="7" t="s">
        <v>76</v>
      </c>
      <c r="E228" s="7" t="s">
        <v>77</v>
      </c>
      <c r="F228" s="8" t="n">
        <f aca="false">SUM(F229,F230,F231,F232,F233,F234)</f>
        <v>80.9</v>
      </c>
      <c r="G228" s="8" t="n">
        <f aca="false">SUM(G229,G230,G231,G232,G233,G234)</f>
        <v>223.6</v>
      </c>
      <c r="H228" s="8" t="n">
        <f aca="false">SUM(H229,H230,H231,H232,H233,H234)</f>
        <v>304.8</v>
      </c>
      <c r="I228" s="8" t="n">
        <f aca="false">SUM(I229,I230,I231,I232,I233,I234)</f>
        <v>-81.2</v>
      </c>
      <c r="J228" s="8" t="n">
        <f aca="false">SUM(J229,J230,J231,J232,J233,J234)</f>
        <v>1.384615</v>
      </c>
      <c r="K228" s="8" t="n">
        <f aca="false">SUM(K229,K230,K231,K232,K233,K234)</f>
        <v>1.384615</v>
      </c>
      <c r="L228" s="8" t="n">
        <f aca="false">SUM(L229,L230,L231,L232,L233,L234)</f>
        <v>1.384615</v>
      </c>
      <c r="M228" s="8" t="n">
        <f aca="false">SUM(M229,M230,M231,M232,M233,M234)</f>
        <v>1.384615</v>
      </c>
      <c r="N228" s="8" t="n">
        <f aca="false">SUM(N229,N230,N231,N232,N233,N234)</f>
        <v>1.384615</v>
      </c>
      <c r="O228" s="8" t="n">
        <f aca="false">SUM(O229,O230,O231,O232,O233,O234)</f>
        <v>1.384615</v>
      </c>
      <c r="P228" s="8" t="n">
        <f aca="false">SUM(P229,P230,P231,P232,P233,P234)</f>
        <v>1.384615</v>
      </c>
      <c r="Q228" s="8" t="n">
        <f aca="false">SUM(Q229,Q230,Q231,Q232,Q233,Q234)</f>
        <v>1.384615</v>
      </c>
      <c r="R228" s="8" t="n">
        <f aca="false">SUM(R229,R230,R231,R232,R233,R234)</f>
        <v>1.384615</v>
      </c>
      <c r="S228" s="8" t="n">
        <f aca="false">SUM(S229,S230,S231,S232,S233,S234)</f>
        <v>1.384615</v>
      </c>
      <c r="T228" s="8" t="n">
        <f aca="false">SUM(T229,T230,T231,T232,T233,T234)</f>
        <v>1.384615</v>
      </c>
      <c r="U228" s="8" t="n">
        <f aca="false">SUM(U229,U230,U231,U232,U233,U234)</f>
        <v>1.384615</v>
      </c>
      <c r="V228" s="8" t="n">
        <f aca="false">SUM(V229,V230,V231,V232,V233,V234)</f>
        <v>1.384615</v>
      </c>
      <c r="W228" s="8" t="n">
        <f aca="false">SUM(W229,W230,W231,W232,W233,W234)</f>
        <v>1.384615</v>
      </c>
      <c r="X228" s="8" t="n">
        <f aca="false">SUM(X229,X230,X231,X232,X233,X234)</f>
        <v>1.384615</v>
      </c>
      <c r="Y228" s="8" t="n">
        <f aca="false">SUM(Y229,Y230,Y231,Y232,Y233,Y234)</f>
        <v>1.384615</v>
      </c>
      <c r="Z228" s="8" t="n">
        <f aca="false">SUM(Z229,Z230,Z231,Z232,Z233,Z234)</f>
        <v>0.884615</v>
      </c>
      <c r="AA228" s="8" t="n">
        <f aca="false">SUM(AA229,AA230,AA231,AA232,AA233,AA234)</f>
        <v>0.884615</v>
      </c>
      <c r="AB228" s="8" t="n">
        <f aca="false">SUM(AB229,AB230,AB231,AB232,AB233,AB234)</f>
        <v>3.5</v>
      </c>
      <c r="AC228" s="8" t="n">
        <f aca="false">SUM(AC229,AC230,AC231,AC232,AC233,AC234)</f>
        <v>12.5</v>
      </c>
      <c r="AD228" s="8" t="n">
        <f aca="false">SUM(AD229,AD230,AD231,AD232,AD233,AD234)</f>
        <v>29</v>
      </c>
      <c r="AE228" s="8" t="n">
        <f aca="false">SUM(AE229,AE230,AE231,AE232,AE233,AE234)</f>
        <v>22.5</v>
      </c>
      <c r="AF228" s="8" t="n">
        <f aca="false">SUM(AF229,AF230,AF231,AF232,AF233,AF234)</f>
        <v>29.4</v>
      </c>
      <c r="AG228" s="8" t="n">
        <f aca="false">SUM(AG229,AG230,AG231,AG232,AG233,AG234)</f>
        <v>18</v>
      </c>
      <c r="AH228" s="8" t="n">
        <f aca="false">SUM(AH229,AH230,AH231,AH232,AH233,AH234)</f>
        <v>2</v>
      </c>
      <c r="AI228" s="8" t="n">
        <f aca="false">SUM(AI229,AI230,AI231,AI232,AI233,AI234)</f>
        <v>2</v>
      </c>
      <c r="AJ228" s="8" t="n">
        <f aca="false">SUM(AJ229,AJ230,AJ231,AJ232,AJ233,AJ234)</f>
        <v>0</v>
      </c>
      <c r="AK228" s="8" t="n">
        <f aca="false">SUM(AK229,AK230,AK231,AK232,AK233,AK234)</f>
        <v>0</v>
      </c>
      <c r="AL228" s="8" t="n">
        <f aca="false">SUM(AL229,AL230,AL231,AL232,AL233,AL234)</f>
        <v>0</v>
      </c>
      <c r="AM228" s="8" t="n">
        <f aca="false">SUM(AM229,AM230,AM231,AM232,AM233,AM234)</f>
        <v>0</v>
      </c>
      <c r="AN228" s="8" t="n">
        <f aca="false">SUM(AN229,AN230,AN231,AN232,AN233,AN234)</f>
        <v>0</v>
      </c>
      <c r="AO228" s="8" t="n">
        <f aca="false">SUM(AO229,AO230,AO231,AO232,AO233,AO234)</f>
        <v>0</v>
      </c>
      <c r="AP228" s="8" t="n">
        <f aca="false">SUM(AP229,AP230,AP231,AP232,AP233,AP234)</f>
        <v>0</v>
      </c>
      <c r="AQ228" s="8" t="n">
        <f aca="false">SUM(AQ229,AQ230,AQ231,AQ232,AQ233,AQ234)</f>
        <v>0</v>
      </c>
      <c r="AR228" s="8" t="n">
        <f aca="false">SUM(AR229,AR230,AR231,AR232,AR233,AR234)</f>
        <v>0</v>
      </c>
      <c r="AS228" s="8" t="n">
        <f aca="false">SUM(AS229,AS230,AS231,AS232,AS233,AS234)</f>
        <v>0</v>
      </c>
      <c r="AT228" s="8" t="n">
        <f aca="false">SUM(AT229,AT230,AT231,AT232,AT233,AT234)</f>
        <v>0</v>
      </c>
      <c r="AU228" s="8" t="n">
        <f aca="false">SUM(AU229,AU230,AU231,AU232,AU233,AU234)</f>
        <v>0</v>
      </c>
      <c r="AV228" s="8" t="n">
        <f aca="false">SUM(AV229,AV230,AV231,AV232,AV233,AV234)</f>
        <v>0</v>
      </c>
      <c r="AW228" s="8" t="n">
        <f aca="false">SUM(AW229,AW230,AW231,AW232,AW233,AW234)</f>
        <v>0</v>
      </c>
    </row>
    <row r="229" customFormat="false" ht="15" hidden="true" customHeight="true" outlineLevel="1" collapsed="false">
      <c r="A229" s="9" t="s">
        <v>12</v>
      </c>
      <c r="B229" s="9" t="s">
        <v>14</v>
      </c>
      <c r="C229" s="9" t="s">
        <v>123</v>
      </c>
      <c r="D229" s="9" t="s">
        <v>78</v>
      </c>
      <c r="E229" s="9" t="s">
        <v>81</v>
      </c>
      <c r="F229" s="10" t="n">
        <v>9.9</v>
      </c>
      <c r="G229" s="10" t="n">
        <v>42.6</v>
      </c>
      <c r="H229" s="10" t="n">
        <v>32.8</v>
      </c>
      <c r="I229" s="10" t="n">
        <v>9.8</v>
      </c>
      <c r="J229" s="10" t="n">
        <v>0.884615</v>
      </c>
      <c r="K229" s="10" t="n">
        <v>0.884615</v>
      </c>
      <c r="L229" s="10" t="n">
        <v>0.884615</v>
      </c>
      <c r="M229" s="10" t="n">
        <v>0.884615</v>
      </c>
      <c r="N229" s="10" t="n">
        <v>0.884615</v>
      </c>
      <c r="O229" s="10" t="n">
        <v>0.884615</v>
      </c>
      <c r="P229" s="10" t="n">
        <v>0.884615</v>
      </c>
      <c r="Q229" s="10" t="n">
        <v>0.884615</v>
      </c>
      <c r="R229" s="10" t="n">
        <v>0.884615</v>
      </c>
      <c r="S229" s="10" t="n">
        <v>0.884615</v>
      </c>
      <c r="T229" s="10" t="n">
        <v>0.884615</v>
      </c>
      <c r="U229" s="10" t="n">
        <v>0.884615</v>
      </c>
      <c r="V229" s="10" t="n">
        <v>0.884615</v>
      </c>
      <c r="W229" s="10" t="n">
        <v>0.884615</v>
      </c>
      <c r="X229" s="10" t="n">
        <v>0.884615</v>
      </c>
      <c r="Y229" s="10" t="n">
        <v>0.884615</v>
      </c>
      <c r="Z229" s="10" t="n">
        <v>0.884615</v>
      </c>
      <c r="AA229" s="10" t="n">
        <v>0.884615</v>
      </c>
      <c r="AB229" s="10" t="n">
        <v>2</v>
      </c>
      <c r="AC229" s="10" t="n">
        <v>2</v>
      </c>
      <c r="AD229" s="10" t="n">
        <v>2</v>
      </c>
      <c r="AE229" s="10" t="n">
        <v>2.5</v>
      </c>
      <c r="AF229" s="10" t="n">
        <v>2.4</v>
      </c>
      <c r="AG229" s="10" t="n">
        <v>2</v>
      </c>
      <c r="AH229" s="10" t="n">
        <v>2</v>
      </c>
      <c r="AI229" s="10" t="n">
        <v>2</v>
      </c>
      <c r="AJ229" s="10" t="n">
        <v>0</v>
      </c>
      <c r="AK229" s="10" t="n">
        <v>0</v>
      </c>
      <c r="AL229" s="10" t="n">
        <v>0</v>
      </c>
      <c r="AM229" s="10" t="n">
        <v>0</v>
      </c>
      <c r="AN229" s="10" t="n">
        <v>0</v>
      </c>
      <c r="AO229" s="10" t="n">
        <v>0</v>
      </c>
      <c r="AP229" s="10" t="n">
        <v>0</v>
      </c>
      <c r="AQ229" s="10" t="n">
        <v>0</v>
      </c>
      <c r="AR229" s="10" t="n">
        <v>0</v>
      </c>
      <c r="AS229" s="10" t="n">
        <v>0</v>
      </c>
      <c r="AT229" s="10" t="n">
        <v>0</v>
      </c>
      <c r="AU229" s="10" t="n">
        <v>0</v>
      </c>
      <c r="AV229" s="10" t="n">
        <v>0</v>
      </c>
      <c r="AW229" s="10" t="n">
        <v>0</v>
      </c>
    </row>
    <row r="230" customFormat="false" ht="15" hidden="true" customHeight="true" outlineLevel="1" collapsed="false">
      <c r="A230" s="9" t="s">
        <v>12</v>
      </c>
      <c r="B230" s="9" t="s">
        <v>14</v>
      </c>
      <c r="C230" s="9" t="s">
        <v>123</v>
      </c>
      <c r="D230" s="9" t="s">
        <v>78</v>
      </c>
      <c r="E230" s="9" t="s">
        <v>82</v>
      </c>
      <c r="F230" s="10" t="n">
        <v>3</v>
      </c>
      <c r="G230" s="10" t="n">
        <v>3</v>
      </c>
      <c r="H230" s="10" t="n">
        <v>8</v>
      </c>
      <c r="I230" s="10" t="n">
        <v>-5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10" t="n">
        <v>0</v>
      </c>
      <c r="AG230" s="10" t="n">
        <v>0</v>
      </c>
      <c r="AH230" s="10" t="n">
        <v>0</v>
      </c>
      <c r="AI230" s="10" t="n">
        <v>0</v>
      </c>
      <c r="AJ230" s="10" t="n">
        <v>0</v>
      </c>
      <c r="AK230" s="10" t="n">
        <v>0</v>
      </c>
      <c r="AL230" s="10" t="n">
        <v>0</v>
      </c>
      <c r="AM230" s="10" t="n">
        <v>0</v>
      </c>
      <c r="AN230" s="10" t="n">
        <v>0</v>
      </c>
      <c r="AO230" s="10" t="n">
        <v>0</v>
      </c>
      <c r="AP230" s="10" t="n">
        <v>0</v>
      </c>
      <c r="AQ230" s="10" t="n">
        <v>0</v>
      </c>
      <c r="AR230" s="10" t="n">
        <v>0</v>
      </c>
      <c r="AS230" s="10" t="n">
        <v>0</v>
      </c>
      <c r="AT230" s="10" t="n">
        <v>0</v>
      </c>
      <c r="AU230" s="10" t="n">
        <v>0</v>
      </c>
      <c r="AV230" s="10" t="n">
        <v>0</v>
      </c>
      <c r="AW230" s="10" t="n">
        <v>0</v>
      </c>
    </row>
    <row r="231" customFormat="false" ht="15" hidden="true" customHeight="true" outlineLevel="1" collapsed="false">
      <c r="A231" s="9" t="s">
        <v>12</v>
      </c>
      <c r="B231" s="9" t="s">
        <v>14</v>
      </c>
      <c r="C231" s="9" t="s">
        <v>123</v>
      </c>
      <c r="D231" s="9" t="s">
        <v>78</v>
      </c>
      <c r="E231" s="9" t="s">
        <v>83</v>
      </c>
      <c r="F231" s="10" t="n">
        <v>0</v>
      </c>
      <c r="G231" s="10" t="n">
        <v>0</v>
      </c>
      <c r="H231" s="10" t="n">
        <v>12</v>
      </c>
      <c r="I231" s="10" t="n">
        <v>-12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0</v>
      </c>
      <c r="S231" s="10" t="n">
        <v>0</v>
      </c>
      <c r="T231" s="10" t="n">
        <v>0</v>
      </c>
      <c r="U231" s="10" t="n">
        <v>0</v>
      </c>
      <c r="V231" s="10" t="n">
        <v>0</v>
      </c>
      <c r="W231" s="10" t="n">
        <v>0</v>
      </c>
      <c r="X231" s="10" t="n">
        <v>0</v>
      </c>
      <c r="Y231" s="10" t="n">
        <v>0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10" t="n">
        <v>0</v>
      </c>
      <c r="AG231" s="10" t="n">
        <v>0</v>
      </c>
      <c r="AH231" s="10" t="n">
        <v>0</v>
      </c>
      <c r="AI231" s="10" t="n">
        <v>0</v>
      </c>
      <c r="AJ231" s="10" t="n">
        <v>0</v>
      </c>
      <c r="AK231" s="10" t="n">
        <v>0</v>
      </c>
      <c r="AL231" s="10" t="n">
        <v>0</v>
      </c>
      <c r="AM231" s="10" t="n">
        <v>0</v>
      </c>
      <c r="AN231" s="10" t="n">
        <v>0</v>
      </c>
      <c r="AO231" s="10" t="n">
        <v>0</v>
      </c>
      <c r="AP231" s="10" t="n">
        <v>0</v>
      </c>
      <c r="AQ231" s="10" t="n">
        <v>0</v>
      </c>
      <c r="AR231" s="10" t="n">
        <v>0</v>
      </c>
      <c r="AS231" s="10" t="n">
        <v>0</v>
      </c>
      <c r="AT231" s="10" t="n">
        <v>0</v>
      </c>
      <c r="AU231" s="10" t="n">
        <v>0</v>
      </c>
      <c r="AV231" s="10" t="n">
        <v>0</v>
      </c>
      <c r="AW231" s="10" t="n">
        <v>0</v>
      </c>
    </row>
    <row r="232" customFormat="false" ht="15" hidden="true" customHeight="true" outlineLevel="1" collapsed="false">
      <c r="A232" s="9" t="s">
        <v>12</v>
      </c>
      <c r="B232" s="9" t="s">
        <v>14</v>
      </c>
      <c r="C232" s="9" t="s">
        <v>123</v>
      </c>
      <c r="D232" s="9" t="s">
        <v>78</v>
      </c>
      <c r="E232" s="9" t="s">
        <v>46</v>
      </c>
      <c r="F232" s="10" t="n">
        <v>60</v>
      </c>
      <c r="G232" s="10" t="n">
        <v>170</v>
      </c>
      <c r="H232" s="10" t="n">
        <v>170.5</v>
      </c>
      <c r="I232" s="10" t="n">
        <v>-0.5</v>
      </c>
      <c r="J232" s="10" t="n">
        <v>0.5</v>
      </c>
      <c r="K232" s="10" t="n">
        <v>0.5</v>
      </c>
      <c r="L232" s="10" t="n">
        <v>0.5</v>
      </c>
      <c r="M232" s="10" t="n">
        <v>0.5</v>
      </c>
      <c r="N232" s="10" t="n">
        <v>0.5</v>
      </c>
      <c r="O232" s="10" t="n">
        <v>0.5</v>
      </c>
      <c r="P232" s="10" t="n">
        <v>0.5</v>
      </c>
      <c r="Q232" s="10" t="n">
        <v>0.5</v>
      </c>
      <c r="R232" s="10" t="n">
        <v>0.5</v>
      </c>
      <c r="S232" s="10" t="n">
        <v>0.5</v>
      </c>
      <c r="T232" s="10" t="n">
        <v>0.5</v>
      </c>
      <c r="U232" s="10" t="n">
        <v>0.5</v>
      </c>
      <c r="V232" s="10" t="n">
        <v>0.5</v>
      </c>
      <c r="W232" s="10" t="n">
        <v>0.5</v>
      </c>
      <c r="X232" s="10" t="n">
        <v>0.5</v>
      </c>
      <c r="Y232" s="10" t="n">
        <v>0.5</v>
      </c>
      <c r="Z232" s="10" t="n">
        <v>0</v>
      </c>
      <c r="AA232" s="10" t="n">
        <v>0</v>
      </c>
      <c r="AB232" s="10" t="n">
        <v>1.5</v>
      </c>
      <c r="AC232" s="10" t="n">
        <v>10.5</v>
      </c>
      <c r="AD232" s="10" t="n">
        <v>27</v>
      </c>
      <c r="AE232" s="10" t="n">
        <v>20</v>
      </c>
      <c r="AF232" s="10" t="n">
        <v>27</v>
      </c>
      <c r="AG232" s="10" t="n">
        <v>16</v>
      </c>
      <c r="AH232" s="10" t="n">
        <v>0</v>
      </c>
      <c r="AI232" s="10" t="n">
        <v>0</v>
      </c>
      <c r="AJ232" s="10" t="n">
        <v>0</v>
      </c>
      <c r="AK232" s="10" t="n">
        <v>0</v>
      </c>
      <c r="AL232" s="10" t="n">
        <v>0</v>
      </c>
      <c r="AM232" s="10" t="n">
        <v>0</v>
      </c>
      <c r="AN232" s="10" t="n">
        <v>0</v>
      </c>
      <c r="AO232" s="10" t="n">
        <v>0</v>
      </c>
      <c r="AP232" s="10" t="n">
        <v>0</v>
      </c>
      <c r="AQ232" s="10" t="n">
        <v>0</v>
      </c>
      <c r="AR232" s="10" t="n">
        <v>0</v>
      </c>
      <c r="AS232" s="10" t="n">
        <v>0</v>
      </c>
      <c r="AT232" s="10" t="n">
        <v>0</v>
      </c>
      <c r="AU232" s="10" t="n">
        <v>0</v>
      </c>
      <c r="AV232" s="10" t="n">
        <v>0</v>
      </c>
      <c r="AW232" s="10" t="n">
        <v>0</v>
      </c>
    </row>
    <row r="233" customFormat="false" ht="15" hidden="true" customHeight="true" outlineLevel="1" collapsed="false">
      <c r="A233" s="9" t="s">
        <v>12</v>
      </c>
      <c r="B233" s="9" t="s">
        <v>14</v>
      </c>
      <c r="C233" s="9" t="s">
        <v>123</v>
      </c>
      <c r="D233" s="9" t="s">
        <v>78</v>
      </c>
      <c r="E233" s="9" t="s">
        <v>86</v>
      </c>
      <c r="F233" s="10" t="n">
        <v>8</v>
      </c>
      <c r="G233" s="10" t="n">
        <v>8</v>
      </c>
      <c r="H233" s="10" t="n">
        <v>60</v>
      </c>
      <c r="I233" s="10" t="n">
        <v>-52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  <c r="Q233" s="10" t="n">
        <v>0</v>
      </c>
      <c r="R233" s="10" t="n">
        <v>0</v>
      </c>
      <c r="S233" s="10" t="n">
        <v>0</v>
      </c>
      <c r="T233" s="10" t="n">
        <v>0</v>
      </c>
      <c r="U233" s="10" t="n">
        <v>0</v>
      </c>
      <c r="V233" s="10" t="n">
        <v>0</v>
      </c>
      <c r="W233" s="10" t="n">
        <v>0</v>
      </c>
      <c r="X233" s="10" t="n">
        <v>0</v>
      </c>
      <c r="Y233" s="10" t="n">
        <v>0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10" t="n">
        <v>0</v>
      </c>
      <c r="AG233" s="10" t="n">
        <v>0</v>
      </c>
      <c r="AH233" s="10" t="n">
        <v>0</v>
      </c>
      <c r="AI233" s="10" t="n">
        <v>0</v>
      </c>
      <c r="AJ233" s="10" t="n">
        <v>0</v>
      </c>
      <c r="AK233" s="10" t="n">
        <v>0</v>
      </c>
      <c r="AL233" s="10" t="n">
        <v>0</v>
      </c>
      <c r="AM233" s="10" t="n">
        <v>0</v>
      </c>
      <c r="AN233" s="10" t="n">
        <v>0</v>
      </c>
      <c r="AO233" s="10" t="n">
        <v>0</v>
      </c>
      <c r="AP233" s="10" t="n">
        <v>0</v>
      </c>
      <c r="AQ233" s="10" t="n">
        <v>0</v>
      </c>
      <c r="AR233" s="10" t="n">
        <v>0</v>
      </c>
      <c r="AS233" s="10" t="n">
        <v>0</v>
      </c>
      <c r="AT233" s="10" t="n">
        <v>0</v>
      </c>
      <c r="AU233" s="10" t="n">
        <v>0</v>
      </c>
      <c r="AV233" s="10" t="n">
        <v>0</v>
      </c>
      <c r="AW233" s="10" t="n">
        <v>0</v>
      </c>
    </row>
    <row r="234" customFormat="false" ht="15" hidden="true" customHeight="true" outlineLevel="1" collapsed="false">
      <c r="A234" s="9" t="s">
        <v>12</v>
      </c>
      <c r="B234" s="9" t="s">
        <v>14</v>
      </c>
      <c r="C234" s="9" t="s">
        <v>123</v>
      </c>
      <c r="D234" s="9" t="s">
        <v>78</v>
      </c>
      <c r="E234" s="9" t="s">
        <v>87</v>
      </c>
      <c r="F234" s="10" t="n">
        <v>0</v>
      </c>
      <c r="G234" s="10" t="n">
        <v>0</v>
      </c>
      <c r="H234" s="10" t="n">
        <v>21.5</v>
      </c>
      <c r="I234" s="10" t="n">
        <v>-21.5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0" t="n">
        <v>0</v>
      </c>
      <c r="V234" s="10" t="n">
        <v>0</v>
      </c>
      <c r="W234" s="10" t="n">
        <v>0</v>
      </c>
      <c r="X234" s="10" t="n">
        <v>0</v>
      </c>
      <c r="Y234" s="10" t="n">
        <v>0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10" t="n">
        <v>0</v>
      </c>
      <c r="AG234" s="10" t="n">
        <v>0</v>
      </c>
      <c r="AH234" s="10" t="n">
        <v>0</v>
      </c>
      <c r="AI234" s="10" t="n">
        <v>0</v>
      </c>
      <c r="AJ234" s="10" t="n">
        <v>0</v>
      </c>
      <c r="AK234" s="10" t="n">
        <v>0</v>
      </c>
      <c r="AL234" s="10" t="n">
        <v>0</v>
      </c>
      <c r="AM234" s="10" t="n">
        <v>0</v>
      </c>
      <c r="AN234" s="10" t="n">
        <v>0</v>
      </c>
      <c r="AO234" s="10" t="n">
        <v>0</v>
      </c>
      <c r="AP234" s="10" t="n">
        <v>0</v>
      </c>
      <c r="AQ234" s="10" t="n">
        <v>0</v>
      </c>
      <c r="AR234" s="10" t="n">
        <v>0</v>
      </c>
      <c r="AS234" s="10" t="n">
        <v>0</v>
      </c>
      <c r="AT234" s="10" t="n">
        <v>0</v>
      </c>
      <c r="AU234" s="10" t="n">
        <v>0</v>
      </c>
      <c r="AV234" s="10" t="n">
        <v>0</v>
      </c>
      <c r="AW234" s="10" t="n">
        <v>0</v>
      </c>
    </row>
    <row r="235" customFormat="false" ht="15" hidden="false" customHeight="true" outlineLevel="0" collapsed="false">
      <c r="A235" s="7" t="s">
        <v>12</v>
      </c>
      <c r="B235" s="7" t="s">
        <v>14</v>
      </c>
      <c r="C235" s="7" t="s">
        <v>24</v>
      </c>
      <c r="D235" s="7" t="s">
        <v>76</v>
      </c>
      <c r="E235" s="7" t="s">
        <v>77</v>
      </c>
      <c r="F235" s="8" t="n">
        <f aca="false">SUM(F236,F237,F238,F239,F240,F241,F242,F243,F244,F245)</f>
        <v>456.8</v>
      </c>
      <c r="G235" s="8" t="n">
        <f aca="false">SUM(G236,G237,G238,G239,G240,G241,G242,G243,G244,G245)</f>
        <v>1185.1</v>
      </c>
      <c r="H235" s="8" t="n">
        <f aca="false">SUM(H236,H237,H238,H239,H240,H241,H242,H243,H244,H245)</f>
        <v>1444.8</v>
      </c>
      <c r="I235" s="8" t="n">
        <f aca="false">SUM(I236,I237,I238,I239,I240,I241,I242,I243,I244,I245)</f>
        <v>-259.7</v>
      </c>
      <c r="J235" s="8" t="n">
        <f aca="false">SUM(J236,J237,J238,J239,J240,J241,J242,J243,J244,J245)</f>
        <v>38.846154</v>
      </c>
      <c r="K235" s="8" t="n">
        <f aca="false">SUM(K236,K237,K238,K239,K240,K241,K242,K243,K244,K245)</f>
        <v>33.346154</v>
      </c>
      <c r="L235" s="8" t="n">
        <f aca="false">SUM(L236,L237,L238,L239,L240,L241,L242,L243,L244,L245)</f>
        <v>12.346154</v>
      </c>
      <c r="M235" s="8" t="n">
        <f aca="false">SUM(M236,M237,M238,M239,M240,M241,M242,M243,M244,M245)</f>
        <v>10.346154</v>
      </c>
      <c r="N235" s="8" t="n">
        <f aca="false">SUM(N236,N237,N238,N239,N240,N241,N242,N243,N244,N245)</f>
        <v>16.346154</v>
      </c>
      <c r="O235" s="8" t="n">
        <f aca="false">SUM(O236,O237,O238,O239,O240,O241,O242,O243,O244,O245)</f>
        <v>16.346154</v>
      </c>
      <c r="P235" s="8" t="n">
        <f aca="false">SUM(P236,P237,P238,P239,P240,P241,P242,P243,P244,P245)</f>
        <v>31.346154</v>
      </c>
      <c r="Q235" s="12" t="n">
        <f aca="false">SUM(Q236,Q237,Q238,Q239,Q240,Q241,Q242,Q243,Q244,Q245)</f>
        <v>46.346154</v>
      </c>
      <c r="R235" s="8" t="n">
        <f aca="false">SUM(R236,R237,R238,R239,R240,R241,R242,R243,R244,R245)</f>
        <v>21.346154</v>
      </c>
      <c r="S235" s="8" t="n">
        <f aca="false">SUM(S236,S237,S238,S239,S240,S241,S242,S243,S244,S245)</f>
        <v>31.346154</v>
      </c>
      <c r="T235" s="8" t="n">
        <f aca="false">SUM(T236,T237,T238,T239,T240,T241,T242,T243,T244,T245)</f>
        <v>31.346154</v>
      </c>
      <c r="U235" s="8" t="n">
        <f aca="false">SUM(U236,U237,U238,U239,U240,U241,U242,U243,U244,U245)</f>
        <v>31.346154</v>
      </c>
      <c r="V235" s="8" t="n">
        <f aca="false">SUM(V236,V237,V238,V239,V240,V241,V242,V243,V244,V245)</f>
        <v>26.346154</v>
      </c>
      <c r="W235" s="8" t="n">
        <f aca="false">SUM(W236,W237,W238,W239,W240,W241,W242,W243,W244,W245)</f>
        <v>21.346154</v>
      </c>
      <c r="X235" s="8" t="n">
        <f aca="false">SUM(X236,X237,X238,X239,X240,X241,X242,X243,X244,X245)</f>
        <v>11.346154</v>
      </c>
      <c r="Y235" s="8" t="n">
        <f aca="false">SUM(Y236,Y237,Y238,Y239,Y240,Y241,Y242,Y243,Y244,Y245)</f>
        <v>6.346154</v>
      </c>
      <c r="Z235" s="8" t="n">
        <f aca="false">SUM(Z236,Z237,Z238,Z239,Z240,Z241,Z242,Z243,Z244,Z245)</f>
        <v>1.346154</v>
      </c>
      <c r="AA235" s="8" t="n">
        <f aca="false">SUM(AA236,AA237,AA238,AA239,AA240,AA241,AA242,AA243,AA244,AA245)</f>
        <v>1.346154</v>
      </c>
      <c r="AB235" s="8" t="n">
        <f aca="false">SUM(AB236,AB237,AB238,AB239,AB240,AB241,AB242,AB243,AB244,AB245)</f>
        <v>37.5</v>
      </c>
      <c r="AC235" s="8" t="n">
        <f aca="false">SUM(AC236,AC237,AC238,AC239,AC240,AC241,AC242,AC243,AC244,AC245)</f>
        <v>52.5</v>
      </c>
      <c r="AD235" s="11" t="n">
        <f aca="false">SUM(AD236,AD237,AD238,AD239,AD240,AD241,AD242,AD243,AD244,AD245)</f>
        <v>63.1</v>
      </c>
      <c r="AE235" s="12" t="n">
        <f aca="false">SUM(AE236,AE237,AE238,AE239,AE240,AE241,AE242,AE243,AE244,AE245)</f>
        <v>68.5</v>
      </c>
      <c r="AF235" s="11" t="n">
        <f aca="false">SUM(AF236,AF237,AF238,AF239,AF240,AF241,AF242,AF243,AF244,AF245)</f>
        <v>63.5</v>
      </c>
      <c r="AG235" s="12" t="n">
        <f aca="false">SUM(AG236,AG237,AG238,AG239,AG240,AG241,AG242,AG243,AG244,AG245)</f>
        <v>69.5</v>
      </c>
      <c r="AH235" s="8" t="n">
        <f aca="false">SUM(AH236,AH237,AH238,AH239,AH240,AH241,AH242,AH243,AH244,AH245)</f>
        <v>53.5</v>
      </c>
      <c r="AI235" s="8" t="n">
        <f aca="false">SUM(AI236,AI237,AI238,AI239,AI240,AI241,AI242,AI243,AI244,AI245)</f>
        <v>33.5</v>
      </c>
      <c r="AJ235" s="11" t="n">
        <f aca="false">SUM(AJ236,AJ237,AJ238,AJ239,AJ240,AJ241,AJ242,AJ243,AJ244,AJ245)</f>
        <v>45</v>
      </c>
      <c r="AK235" s="12" t="n">
        <f aca="false">SUM(AK236,AK237,AK238,AK239,AK240,AK241,AK242,AK243,AK244,AK245)</f>
        <v>61</v>
      </c>
      <c r="AL235" s="12" t="n">
        <f aca="false">SUM(AL236,AL237,AL238,AL239,AL240,AL241,AL242,AL243,AL244,AL245)</f>
        <v>46</v>
      </c>
      <c r="AM235" s="8" t="n">
        <f aca="false">SUM(AM236,AM237,AM238,AM239,AM240,AM241,AM242,AM243,AM244,AM245)</f>
        <v>12</v>
      </c>
      <c r="AN235" s="8" t="n">
        <f aca="false">SUM(AN236,AN237,AN238,AN239,AN240,AN241,AN242,AN243,AN244,AN245)</f>
        <v>0</v>
      </c>
      <c r="AO235" s="8" t="n">
        <f aca="false">SUM(AO236,AO237,AO238,AO239,AO240,AO241,AO242,AO243,AO244,AO245)</f>
        <v>0</v>
      </c>
      <c r="AP235" s="8" t="n">
        <f aca="false">SUM(AP236,AP237,AP238,AP239,AP240,AP241,AP242,AP243,AP244,AP245)</f>
        <v>0</v>
      </c>
      <c r="AQ235" s="8" t="n">
        <f aca="false">SUM(AQ236,AQ237,AQ238,AQ239,AQ240,AQ241,AQ242,AQ243,AQ244,AQ245)</f>
        <v>0</v>
      </c>
      <c r="AR235" s="8" t="n">
        <f aca="false">SUM(AR236,AR237,AR238,AR239,AR240,AR241,AR242,AR243,AR244,AR245)</f>
        <v>0</v>
      </c>
      <c r="AS235" s="8" t="n">
        <f aca="false">SUM(AS236,AS237,AS238,AS239,AS240,AS241,AS242,AS243,AS244,AS245)</f>
        <v>0</v>
      </c>
      <c r="AT235" s="8" t="n">
        <f aca="false">SUM(AT236,AT237,AT238,AT239,AT240,AT241,AT242,AT243,AT244,AT245)</f>
        <v>0</v>
      </c>
      <c r="AU235" s="8" t="n">
        <f aca="false">SUM(AU236,AU237,AU238,AU239,AU240,AU241,AU242,AU243,AU244,AU245)</f>
        <v>0</v>
      </c>
      <c r="AV235" s="8" t="n">
        <f aca="false">SUM(AV236,AV237,AV238,AV239,AV240,AV241,AV242,AV243,AV244,AV245)</f>
        <v>0</v>
      </c>
      <c r="AW235" s="8" t="n">
        <f aca="false">SUM(AW236,AW237,AW238,AW239,AW240,AW241,AW242,AW243,AW244,AW245)</f>
        <v>0</v>
      </c>
    </row>
    <row r="236" customFormat="false" ht="15" hidden="true" customHeight="true" outlineLevel="1" collapsed="false">
      <c r="A236" s="9" t="s">
        <v>12</v>
      </c>
      <c r="B236" s="9" t="s">
        <v>14</v>
      </c>
      <c r="C236" s="9" t="s">
        <v>24</v>
      </c>
      <c r="D236" s="9" t="s">
        <v>78</v>
      </c>
      <c r="E236" s="9" t="s">
        <v>80</v>
      </c>
      <c r="F236" s="10" t="n">
        <v>0</v>
      </c>
      <c r="G236" s="10" t="n">
        <v>88</v>
      </c>
      <c r="H236" s="10" t="n">
        <v>100</v>
      </c>
      <c r="I236" s="10" t="n">
        <v>-12</v>
      </c>
      <c r="J236" s="10" t="n">
        <v>0</v>
      </c>
      <c r="K236" s="10" t="n">
        <v>2</v>
      </c>
      <c r="L236" s="10" t="n">
        <v>0</v>
      </c>
      <c r="M236" s="10" t="n">
        <v>4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10" t="n">
        <v>0</v>
      </c>
      <c r="AG236" s="10" t="n">
        <v>0</v>
      </c>
      <c r="AH236" s="10" t="n">
        <v>0</v>
      </c>
      <c r="AI236" s="10" t="n">
        <v>10</v>
      </c>
      <c r="AJ236" s="10" t="n">
        <v>25</v>
      </c>
      <c r="AK236" s="10" t="n">
        <v>37</v>
      </c>
      <c r="AL236" s="10" t="n">
        <v>22</v>
      </c>
      <c r="AM236" s="10" t="n">
        <v>0</v>
      </c>
      <c r="AN236" s="10" t="n">
        <v>0</v>
      </c>
      <c r="AO236" s="10" t="n">
        <v>0</v>
      </c>
      <c r="AP236" s="10" t="n">
        <v>0</v>
      </c>
      <c r="AQ236" s="10" t="n">
        <v>0</v>
      </c>
      <c r="AR236" s="10" t="n">
        <v>0</v>
      </c>
      <c r="AS236" s="10" t="n">
        <v>0</v>
      </c>
      <c r="AT236" s="10" t="n">
        <v>0</v>
      </c>
      <c r="AU236" s="10" t="n">
        <v>0</v>
      </c>
      <c r="AV236" s="10" t="n">
        <v>0</v>
      </c>
      <c r="AW236" s="10" t="n">
        <v>0</v>
      </c>
    </row>
    <row r="237" customFormat="false" ht="15" hidden="true" customHeight="true" outlineLevel="1" collapsed="false">
      <c r="A237" s="9" t="s">
        <v>12</v>
      </c>
      <c r="B237" s="9" t="s">
        <v>14</v>
      </c>
      <c r="C237" s="9" t="s">
        <v>24</v>
      </c>
      <c r="D237" s="9" t="s">
        <v>78</v>
      </c>
      <c r="E237" s="9" t="s">
        <v>113</v>
      </c>
      <c r="F237" s="10" t="n">
        <v>0</v>
      </c>
      <c r="G237" s="10" t="n">
        <v>110</v>
      </c>
      <c r="H237" s="10" t="n">
        <v>110.5</v>
      </c>
      <c r="I237" s="10" t="n">
        <v>-0.5</v>
      </c>
      <c r="J237" s="10" t="n">
        <v>0</v>
      </c>
      <c r="K237" s="10" t="n">
        <v>0</v>
      </c>
      <c r="L237" s="10" t="n">
        <v>5</v>
      </c>
      <c r="M237" s="10" t="n">
        <v>5</v>
      </c>
      <c r="N237" s="10" t="n">
        <v>5</v>
      </c>
      <c r="O237" s="10" t="n">
        <v>5</v>
      </c>
      <c r="P237" s="10" t="n">
        <v>5</v>
      </c>
      <c r="Q237" s="10" t="n">
        <v>5</v>
      </c>
      <c r="R237" s="10" t="n">
        <v>0</v>
      </c>
      <c r="S237" s="10" t="n">
        <v>0</v>
      </c>
      <c r="T237" s="10" t="n">
        <v>0</v>
      </c>
      <c r="U237" s="10" t="n">
        <v>0</v>
      </c>
      <c r="V237" s="10" t="n">
        <v>0</v>
      </c>
      <c r="W237" s="10" t="n">
        <v>0</v>
      </c>
      <c r="X237" s="10" t="n">
        <v>0</v>
      </c>
      <c r="Y237" s="10" t="n">
        <v>0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10" t="n">
        <v>0</v>
      </c>
      <c r="AG237" s="10" t="n">
        <v>0</v>
      </c>
      <c r="AH237" s="10" t="n">
        <v>0</v>
      </c>
      <c r="AI237" s="10" t="n">
        <v>0</v>
      </c>
      <c r="AJ237" s="10" t="n">
        <v>20</v>
      </c>
      <c r="AK237" s="10" t="n">
        <v>24</v>
      </c>
      <c r="AL237" s="10" t="n">
        <v>24</v>
      </c>
      <c r="AM237" s="10" t="n">
        <v>12</v>
      </c>
      <c r="AN237" s="10" t="n">
        <v>0</v>
      </c>
      <c r="AO237" s="10" t="n">
        <v>0</v>
      </c>
      <c r="AP237" s="10" t="n">
        <v>0</v>
      </c>
      <c r="AQ237" s="10" t="n">
        <v>0</v>
      </c>
      <c r="AR237" s="10" t="n">
        <v>0</v>
      </c>
      <c r="AS237" s="10" t="n">
        <v>0</v>
      </c>
      <c r="AT237" s="10" t="n">
        <v>0</v>
      </c>
      <c r="AU237" s="10" t="n">
        <v>0</v>
      </c>
      <c r="AV237" s="10" t="n">
        <v>0</v>
      </c>
      <c r="AW237" s="10" t="n">
        <v>0</v>
      </c>
    </row>
    <row r="238" customFormat="false" ht="15" hidden="true" customHeight="true" outlineLevel="1" collapsed="false">
      <c r="A238" s="9" t="s">
        <v>12</v>
      </c>
      <c r="B238" s="9" t="s">
        <v>14</v>
      </c>
      <c r="C238" s="9" t="s">
        <v>24</v>
      </c>
      <c r="D238" s="9" t="s">
        <v>78</v>
      </c>
      <c r="E238" s="9" t="s">
        <v>81</v>
      </c>
      <c r="F238" s="10" t="n">
        <v>14.3</v>
      </c>
      <c r="G238" s="10" t="n">
        <v>64.6</v>
      </c>
      <c r="H238" s="10" t="n">
        <v>49.8</v>
      </c>
      <c r="I238" s="10" t="n">
        <v>14.8</v>
      </c>
      <c r="J238" s="10" t="n">
        <v>1.346154</v>
      </c>
      <c r="K238" s="10" t="n">
        <v>1.346154</v>
      </c>
      <c r="L238" s="10" t="n">
        <v>1.346154</v>
      </c>
      <c r="M238" s="10" t="n">
        <v>1.346154</v>
      </c>
      <c r="N238" s="10" t="n">
        <v>1.346154</v>
      </c>
      <c r="O238" s="10" t="n">
        <v>1.346154</v>
      </c>
      <c r="P238" s="10" t="n">
        <v>1.346154</v>
      </c>
      <c r="Q238" s="10" t="n">
        <v>1.346154</v>
      </c>
      <c r="R238" s="10" t="n">
        <v>1.346154</v>
      </c>
      <c r="S238" s="10" t="n">
        <v>1.346154</v>
      </c>
      <c r="T238" s="10" t="n">
        <v>1.346154</v>
      </c>
      <c r="U238" s="10" t="n">
        <v>1.346154</v>
      </c>
      <c r="V238" s="10" t="n">
        <v>1.346154</v>
      </c>
      <c r="W238" s="10" t="n">
        <v>1.346154</v>
      </c>
      <c r="X238" s="10" t="n">
        <v>1.346154</v>
      </c>
      <c r="Y238" s="10" t="n">
        <v>1.346154</v>
      </c>
      <c r="Z238" s="10" t="n">
        <v>1.346154</v>
      </c>
      <c r="AA238" s="10" t="n">
        <v>1.346154</v>
      </c>
      <c r="AB238" s="10" t="n">
        <v>2.5</v>
      </c>
      <c r="AC238" s="10" t="n">
        <v>2.5</v>
      </c>
      <c r="AD238" s="10" t="n">
        <v>3.1</v>
      </c>
      <c r="AE238" s="10" t="n">
        <v>3.5</v>
      </c>
      <c r="AF238" s="10" t="n">
        <v>3.5</v>
      </c>
      <c r="AG238" s="10" t="n">
        <v>3.5</v>
      </c>
      <c r="AH238" s="10" t="n">
        <v>3.5</v>
      </c>
      <c r="AI238" s="10" t="n">
        <v>3.5</v>
      </c>
      <c r="AJ238" s="10" t="n">
        <v>0</v>
      </c>
      <c r="AK238" s="10" t="n">
        <v>0</v>
      </c>
      <c r="AL238" s="10" t="n">
        <v>0</v>
      </c>
      <c r="AM238" s="10" t="n">
        <v>0</v>
      </c>
      <c r="AN238" s="10" t="n">
        <v>0</v>
      </c>
      <c r="AO238" s="10" t="n">
        <v>0</v>
      </c>
      <c r="AP238" s="10" t="n">
        <v>0</v>
      </c>
      <c r="AQ238" s="10" t="n">
        <v>0</v>
      </c>
      <c r="AR238" s="10" t="n">
        <v>0</v>
      </c>
      <c r="AS238" s="10" t="n">
        <v>0</v>
      </c>
      <c r="AT238" s="10" t="n">
        <v>0</v>
      </c>
      <c r="AU238" s="10" t="n">
        <v>0</v>
      </c>
      <c r="AV238" s="10" t="n">
        <v>0</v>
      </c>
      <c r="AW238" s="10" t="n">
        <v>0</v>
      </c>
    </row>
    <row r="239" customFormat="false" ht="15" hidden="true" customHeight="true" outlineLevel="1" collapsed="false">
      <c r="A239" s="9" t="s">
        <v>12</v>
      </c>
      <c r="B239" s="9" t="s">
        <v>14</v>
      </c>
      <c r="C239" s="9" t="s">
        <v>24</v>
      </c>
      <c r="D239" s="9" t="s">
        <v>78</v>
      </c>
      <c r="E239" s="9" t="s">
        <v>82</v>
      </c>
      <c r="F239" s="10" t="n">
        <v>7</v>
      </c>
      <c r="G239" s="10" t="n">
        <v>7</v>
      </c>
      <c r="H239" s="10" t="n">
        <v>7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  <c r="S239" s="10" t="n">
        <v>0</v>
      </c>
      <c r="T239" s="10" t="n">
        <v>0</v>
      </c>
      <c r="U239" s="10" t="n">
        <v>0</v>
      </c>
      <c r="V239" s="10" t="n">
        <v>0</v>
      </c>
      <c r="W239" s="10" t="n">
        <v>0</v>
      </c>
      <c r="X239" s="10" t="n">
        <v>0</v>
      </c>
      <c r="Y239" s="10" t="n">
        <v>0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10" t="n">
        <v>0</v>
      </c>
      <c r="AG239" s="10" t="n">
        <v>0</v>
      </c>
      <c r="AH239" s="10" t="n">
        <v>0</v>
      </c>
      <c r="AI239" s="10" t="n">
        <v>0</v>
      </c>
      <c r="AJ239" s="10" t="n">
        <v>0</v>
      </c>
      <c r="AK239" s="10" t="n">
        <v>0</v>
      </c>
      <c r="AL239" s="10" t="n">
        <v>0</v>
      </c>
      <c r="AM239" s="10" t="n">
        <v>0</v>
      </c>
      <c r="AN239" s="10" t="n">
        <v>0</v>
      </c>
      <c r="AO239" s="10" t="n">
        <v>0</v>
      </c>
      <c r="AP239" s="10" t="n">
        <v>0</v>
      </c>
      <c r="AQ239" s="10" t="n">
        <v>0</v>
      </c>
      <c r="AR239" s="10" t="n">
        <v>0</v>
      </c>
      <c r="AS239" s="10" t="n">
        <v>0</v>
      </c>
      <c r="AT239" s="10" t="n">
        <v>0</v>
      </c>
      <c r="AU239" s="10" t="n">
        <v>0</v>
      </c>
      <c r="AV239" s="10" t="n">
        <v>0</v>
      </c>
      <c r="AW239" s="10" t="n">
        <v>0</v>
      </c>
    </row>
    <row r="240" customFormat="false" ht="15" hidden="true" customHeight="true" outlineLevel="1" collapsed="false">
      <c r="A240" s="9" t="s">
        <v>12</v>
      </c>
      <c r="B240" s="9" t="s">
        <v>14</v>
      </c>
      <c r="C240" s="9" t="s">
        <v>24</v>
      </c>
      <c r="D240" s="9" t="s">
        <v>78</v>
      </c>
      <c r="E240" s="9" t="s">
        <v>83</v>
      </c>
      <c r="F240" s="10" t="n">
        <v>0</v>
      </c>
      <c r="G240" s="10" t="n">
        <v>0</v>
      </c>
      <c r="H240" s="10" t="n">
        <v>34</v>
      </c>
      <c r="I240" s="10" t="n">
        <v>-34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n">
        <v>0</v>
      </c>
      <c r="S240" s="10" t="n">
        <v>0</v>
      </c>
      <c r="T240" s="10" t="n">
        <v>0</v>
      </c>
      <c r="U240" s="10" t="n">
        <v>0</v>
      </c>
      <c r="V240" s="10" t="n">
        <v>0</v>
      </c>
      <c r="W240" s="10" t="n">
        <v>0</v>
      </c>
      <c r="X240" s="10" t="n">
        <v>0</v>
      </c>
      <c r="Y240" s="10" t="n">
        <v>0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10" t="n">
        <v>0</v>
      </c>
      <c r="AG240" s="10" t="n">
        <v>0</v>
      </c>
      <c r="AH240" s="10" t="n">
        <v>0</v>
      </c>
      <c r="AI240" s="10" t="n">
        <v>0</v>
      </c>
      <c r="AJ240" s="10" t="n">
        <v>0</v>
      </c>
      <c r="AK240" s="10" t="n">
        <v>0</v>
      </c>
      <c r="AL240" s="10" t="n">
        <v>0</v>
      </c>
      <c r="AM240" s="10" t="n">
        <v>0</v>
      </c>
      <c r="AN240" s="10" t="n">
        <v>0</v>
      </c>
      <c r="AO240" s="10" t="n">
        <v>0</v>
      </c>
      <c r="AP240" s="10" t="n">
        <v>0</v>
      </c>
      <c r="AQ240" s="10" t="n">
        <v>0</v>
      </c>
      <c r="AR240" s="10" t="n">
        <v>0</v>
      </c>
      <c r="AS240" s="10" t="n">
        <v>0</v>
      </c>
      <c r="AT240" s="10" t="n">
        <v>0</v>
      </c>
      <c r="AU240" s="10" t="n">
        <v>0</v>
      </c>
      <c r="AV240" s="10" t="n">
        <v>0</v>
      </c>
      <c r="AW240" s="10" t="n">
        <v>0</v>
      </c>
    </row>
    <row r="241" customFormat="false" ht="15" hidden="true" customHeight="true" outlineLevel="1" collapsed="false">
      <c r="A241" s="9" t="s">
        <v>12</v>
      </c>
      <c r="B241" s="9" t="s">
        <v>14</v>
      </c>
      <c r="C241" s="9" t="s">
        <v>24</v>
      </c>
      <c r="D241" s="9" t="s">
        <v>78</v>
      </c>
      <c r="E241" s="9" t="s">
        <v>84</v>
      </c>
      <c r="F241" s="10" t="n">
        <v>0</v>
      </c>
      <c r="G241" s="10" t="n">
        <v>0</v>
      </c>
      <c r="H241" s="10" t="n">
        <v>10</v>
      </c>
      <c r="I241" s="10" t="n">
        <v>-10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  <c r="Q241" s="10" t="n">
        <v>5</v>
      </c>
      <c r="R241" s="10" t="n">
        <v>5</v>
      </c>
      <c r="S241" s="10" t="n">
        <v>0</v>
      </c>
      <c r="T241" s="10" t="n">
        <v>0</v>
      </c>
      <c r="U241" s="10" t="n">
        <v>0</v>
      </c>
      <c r="V241" s="10" t="n">
        <v>0</v>
      </c>
      <c r="W241" s="10" t="n">
        <v>0</v>
      </c>
      <c r="X241" s="10" t="n">
        <v>0</v>
      </c>
      <c r="Y241" s="10" t="n">
        <v>0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10" t="n">
        <v>0</v>
      </c>
      <c r="AG241" s="10" t="n">
        <v>0</v>
      </c>
      <c r="AH241" s="10" t="n">
        <v>0</v>
      </c>
      <c r="AI241" s="10" t="n">
        <v>0</v>
      </c>
      <c r="AJ241" s="10" t="n">
        <v>0</v>
      </c>
      <c r="AK241" s="10" t="n">
        <v>0</v>
      </c>
      <c r="AL241" s="10" t="n">
        <v>0</v>
      </c>
      <c r="AM241" s="10" t="n">
        <v>0</v>
      </c>
      <c r="AN241" s="10" t="n">
        <v>0</v>
      </c>
      <c r="AO241" s="10" t="n">
        <v>0</v>
      </c>
      <c r="AP241" s="10" t="n">
        <v>0</v>
      </c>
      <c r="AQ241" s="10" t="n">
        <v>0</v>
      </c>
      <c r="AR241" s="10" t="n">
        <v>0</v>
      </c>
      <c r="AS241" s="10" t="n">
        <v>0</v>
      </c>
      <c r="AT241" s="10" t="n">
        <v>0</v>
      </c>
      <c r="AU241" s="10" t="n">
        <v>0</v>
      </c>
      <c r="AV241" s="10" t="n">
        <v>0</v>
      </c>
      <c r="AW241" s="10" t="n">
        <v>0</v>
      </c>
    </row>
    <row r="242" customFormat="false" ht="15" hidden="true" customHeight="true" outlineLevel="1" collapsed="false">
      <c r="A242" s="9" t="s">
        <v>12</v>
      </c>
      <c r="B242" s="9" t="s">
        <v>14</v>
      </c>
      <c r="C242" s="9" t="s">
        <v>24</v>
      </c>
      <c r="D242" s="9" t="s">
        <v>78</v>
      </c>
      <c r="E242" s="9" t="s">
        <v>40</v>
      </c>
      <c r="F242" s="10" t="n">
        <v>0</v>
      </c>
      <c r="G242" s="10" t="n">
        <v>0</v>
      </c>
      <c r="H242" s="10" t="n">
        <v>56</v>
      </c>
      <c r="I242" s="10" t="n">
        <v>-56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</v>
      </c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0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10" t="n">
        <v>0</v>
      </c>
      <c r="AG242" s="10" t="n">
        <v>16</v>
      </c>
      <c r="AH242" s="10" t="n">
        <v>20</v>
      </c>
      <c r="AI242" s="10" t="n">
        <v>20</v>
      </c>
      <c r="AJ242" s="10" t="n">
        <v>0</v>
      </c>
      <c r="AK242" s="10" t="n">
        <v>0</v>
      </c>
      <c r="AL242" s="10" t="n">
        <v>0</v>
      </c>
      <c r="AM242" s="10" t="n">
        <v>0</v>
      </c>
      <c r="AN242" s="10" t="n">
        <v>0</v>
      </c>
      <c r="AO242" s="10" t="n">
        <v>0</v>
      </c>
      <c r="AP242" s="10" t="n">
        <v>0</v>
      </c>
      <c r="AQ242" s="10" t="n">
        <v>0</v>
      </c>
      <c r="AR242" s="10" t="n">
        <v>0</v>
      </c>
      <c r="AS242" s="10" t="n">
        <v>0</v>
      </c>
      <c r="AT242" s="10" t="n">
        <v>0</v>
      </c>
      <c r="AU242" s="10" t="n">
        <v>0</v>
      </c>
      <c r="AV242" s="10" t="n">
        <v>0</v>
      </c>
      <c r="AW242" s="10" t="n">
        <v>0</v>
      </c>
    </row>
    <row r="243" customFormat="false" ht="15" hidden="true" customHeight="true" outlineLevel="1" collapsed="false">
      <c r="A243" s="9" t="s">
        <v>12</v>
      </c>
      <c r="B243" s="9" t="s">
        <v>14</v>
      </c>
      <c r="C243" s="9" t="s">
        <v>24</v>
      </c>
      <c r="D243" s="9" t="s">
        <v>78</v>
      </c>
      <c r="E243" s="9" t="s">
        <v>103</v>
      </c>
      <c r="F243" s="10" t="n">
        <v>421</v>
      </c>
      <c r="G243" s="10" t="n">
        <v>901</v>
      </c>
      <c r="H243" s="10" t="n">
        <v>1028</v>
      </c>
      <c r="I243" s="10" t="n">
        <v>-127</v>
      </c>
      <c r="J243" s="10" t="n">
        <v>37.5</v>
      </c>
      <c r="K243" s="10" t="n">
        <v>30</v>
      </c>
      <c r="L243" s="10" t="n">
        <v>6</v>
      </c>
      <c r="M243" s="10" t="n">
        <v>0</v>
      </c>
      <c r="N243" s="10" t="n">
        <v>10</v>
      </c>
      <c r="O243" s="10" t="n">
        <v>10</v>
      </c>
      <c r="P243" s="10" t="n">
        <v>25</v>
      </c>
      <c r="Q243" s="10" t="n">
        <v>35</v>
      </c>
      <c r="R243" s="10" t="n">
        <v>15</v>
      </c>
      <c r="S243" s="10" t="n">
        <v>30</v>
      </c>
      <c r="T243" s="10" t="n">
        <v>30</v>
      </c>
      <c r="U243" s="10" t="n">
        <v>30</v>
      </c>
      <c r="V243" s="10" t="n">
        <v>25</v>
      </c>
      <c r="W243" s="10" t="n">
        <v>20</v>
      </c>
      <c r="X243" s="10" t="n">
        <v>10</v>
      </c>
      <c r="Y243" s="10" t="n">
        <v>5</v>
      </c>
      <c r="Z243" s="10" t="n">
        <v>0</v>
      </c>
      <c r="AA243" s="10" t="n">
        <v>0</v>
      </c>
      <c r="AB243" s="10" t="n">
        <v>35</v>
      </c>
      <c r="AC243" s="10" t="n">
        <v>50</v>
      </c>
      <c r="AD243" s="10" t="n">
        <v>60</v>
      </c>
      <c r="AE243" s="10" t="n">
        <v>65</v>
      </c>
      <c r="AF243" s="10" t="n">
        <v>60</v>
      </c>
      <c r="AG243" s="10" t="n">
        <v>50</v>
      </c>
      <c r="AH243" s="10" t="n">
        <v>30</v>
      </c>
      <c r="AI243" s="10" t="n">
        <v>0</v>
      </c>
      <c r="AJ243" s="10" t="n">
        <v>0</v>
      </c>
      <c r="AK243" s="10" t="n">
        <v>0</v>
      </c>
      <c r="AL243" s="10" t="n">
        <v>0</v>
      </c>
      <c r="AM243" s="10" t="n">
        <v>0</v>
      </c>
      <c r="AN243" s="10" t="n">
        <v>0</v>
      </c>
      <c r="AO243" s="10" t="n">
        <v>0</v>
      </c>
      <c r="AP243" s="10" t="n">
        <v>0</v>
      </c>
      <c r="AQ243" s="10" t="n">
        <v>0</v>
      </c>
      <c r="AR243" s="10" t="n">
        <v>0</v>
      </c>
      <c r="AS243" s="10" t="n">
        <v>0</v>
      </c>
      <c r="AT243" s="10" t="n">
        <v>0</v>
      </c>
      <c r="AU243" s="10" t="n">
        <v>0</v>
      </c>
      <c r="AV243" s="10" t="n">
        <v>0</v>
      </c>
      <c r="AW243" s="10" t="n">
        <v>0</v>
      </c>
    </row>
    <row r="244" customFormat="false" ht="15" hidden="true" customHeight="true" outlineLevel="1" collapsed="false">
      <c r="A244" s="9" t="s">
        <v>12</v>
      </c>
      <c r="B244" s="9" t="s">
        <v>14</v>
      </c>
      <c r="C244" s="9" t="s">
        <v>24</v>
      </c>
      <c r="D244" s="9" t="s">
        <v>78</v>
      </c>
      <c r="E244" s="9" t="s">
        <v>111</v>
      </c>
      <c r="F244" s="10" t="n">
        <v>14.5</v>
      </c>
      <c r="G244" s="10" t="n">
        <v>14.5</v>
      </c>
      <c r="H244" s="10" t="n">
        <v>14.5</v>
      </c>
      <c r="I244" s="10" t="n">
        <v>0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10" t="n">
        <v>0</v>
      </c>
      <c r="U244" s="10" t="n">
        <v>0</v>
      </c>
      <c r="V244" s="10" t="n">
        <v>0</v>
      </c>
      <c r="W244" s="10" t="n">
        <v>0</v>
      </c>
      <c r="X244" s="10" t="n">
        <v>0</v>
      </c>
      <c r="Y244" s="10" t="n">
        <v>0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10" t="n">
        <v>0</v>
      </c>
      <c r="AG244" s="10" t="n">
        <v>0</v>
      </c>
      <c r="AH244" s="10" t="n">
        <v>0</v>
      </c>
      <c r="AI244" s="10" t="n">
        <v>0</v>
      </c>
      <c r="AJ244" s="10" t="n">
        <v>0</v>
      </c>
      <c r="AK244" s="10" t="n">
        <v>0</v>
      </c>
      <c r="AL244" s="10" t="n">
        <v>0</v>
      </c>
      <c r="AM244" s="10" t="n">
        <v>0</v>
      </c>
      <c r="AN244" s="10" t="n">
        <v>0</v>
      </c>
      <c r="AO244" s="10" t="n">
        <v>0</v>
      </c>
      <c r="AP244" s="10" t="n">
        <v>0</v>
      </c>
      <c r="AQ244" s="10" t="n">
        <v>0</v>
      </c>
      <c r="AR244" s="10" t="n">
        <v>0</v>
      </c>
      <c r="AS244" s="10" t="n">
        <v>0</v>
      </c>
      <c r="AT244" s="10" t="n">
        <v>0</v>
      </c>
      <c r="AU244" s="10" t="n">
        <v>0</v>
      </c>
      <c r="AV244" s="10" t="n">
        <v>0</v>
      </c>
      <c r="AW244" s="10" t="n">
        <v>0</v>
      </c>
    </row>
    <row r="245" customFormat="false" ht="15" hidden="true" customHeight="true" outlineLevel="1" collapsed="false">
      <c r="A245" s="9" t="s">
        <v>12</v>
      </c>
      <c r="B245" s="9" t="s">
        <v>14</v>
      </c>
      <c r="C245" s="9" t="s">
        <v>24</v>
      </c>
      <c r="D245" s="9" t="s">
        <v>78</v>
      </c>
      <c r="E245" s="9" t="s">
        <v>87</v>
      </c>
      <c r="F245" s="10" t="n">
        <v>0</v>
      </c>
      <c r="G245" s="10" t="n">
        <v>0</v>
      </c>
      <c r="H245" s="10" t="n">
        <v>35</v>
      </c>
      <c r="I245" s="10" t="n">
        <v>-35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  <c r="S245" s="10" t="n">
        <v>0</v>
      </c>
      <c r="T245" s="10" t="n">
        <v>0</v>
      </c>
      <c r="U245" s="10" t="n">
        <v>0</v>
      </c>
      <c r="V245" s="10" t="n">
        <v>0</v>
      </c>
      <c r="W245" s="10" t="n">
        <v>0</v>
      </c>
      <c r="X245" s="10" t="n">
        <v>0</v>
      </c>
      <c r="Y245" s="10" t="n">
        <v>0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10" t="n">
        <v>0</v>
      </c>
      <c r="AG245" s="10" t="n">
        <v>0</v>
      </c>
      <c r="AH245" s="10" t="n">
        <v>0</v>
      </c>
      <c r="AI245" s="10" t="n">
        <v>0</v>
      </c>
      <c r="AJ245" s="10" t="n">
        <v>0</v>
      </c>
      <c r="AK245" s="10" t="n">
        <v>0</v>
      </c>
      <c r="AL245" s="10" t="n">
        <v>0</v>
      </c>
      <c r="AM245" s="10" t="n">
        <v>0</v>
      </c>
      <c r="AN245" s="10" t="n">
        <v>0</v>
      </c>
      <c r="AO245" s="10" t="n">
        <v>0</v>
      </c>
      <c r="AP245" s="10" t="n">
        <v>0</v>
      </c>
      <c r="AQ245" s="10" t="n">
        <v>0</v>
      </c>
      <c r="AR245" s="10" t="n">
        <v>0</v>
      </c>
      <c r="AS245" s="10" t="n">
        <v>0</v>
      </c>
      <c r="AT245" s="10" t="n">
        <v>0</v>
      </c>
      <c r="AU245" s="10" t="n">
        <v>0</v>
      </c>
      <c r="AV245" s="10" t="n">
        <v>0</v>
      </c>
      <c r="AW245" s="10" t="n">
        <v>0</v>
      </c>
    </row>
    <row r="246" customFormat="false" ht="15" hidden="false" customHeight="true" outlineLevel="0" collapsed="false">
      <c r="A246" s="7" t="s">
        <v>12</v>
      </c>
      <c r="B246" s="7" t="s">
        <v>14</v>
      </c>
      <c r="C246" s="7" t="s">
        <v>124</v>
      </c>
      <c r="D246" s="7" t="s">
        <v>76</v>
      </c>
      <c r="E246" s="7" t="s">
        <v>77</v>
      </c>
      <c r="F246" s="8" t="n">
        <f aca="false">SUM(F247)</f>
        <v>0</v>
      </c>
      <c r="G246" s="8" t="n">
        <f aca="false">SUM(G247)</f>
        <v>0</v>
      </c>
      <c r="H246" s="8" t="n">
        <f aca="false">SUM(H247)</f>
        <v>8.3</v>
      </c>
      <c r="I246" s="8" t="n">
        <f aca="false">SUM(I247)</f>
        <v>-8.3</v>
      </c>
      <c r="J246" s="8" t="n">
        <f aca="false">SUM(J247)</f>
        <v>0</v>
      </c>
      <c r="K246" s="8" t="n">
        <f aca="false">SUM(K247)</f>
        <v>0</v>
      </c>
      <c r="L246" s="8" t="n">
        <f aca="false">SUM(L247)</f>
        <v>0</v>
      </c>
      <c r="M246" s="8" t="n">
        <f aca="false">SUM(M247)</f>
        <v>0</v>
      </c>
      <c r="N246" s="8" t="n">
        <f aca="false">SUM(N247)</f>
        <v>0</v>
      </c>
      <c r="O246" s="8" t="n">
        <f aca="false">SUM(O247)</f>
        <v>0</v>
      </c>
      <c r="P246" s="8" t="n">
        <f aca="false">SUM(P247)</f>
        <v>0</v>
      </c>
      <c r="Q246" s="8" t="n">
        <f aca="false">SUM(Q247)</f>
        <v>0</v>
      </c>
      <c r="R246" s="8" t="n">
        <f aca="false">SUM(R247)</f>
        <v>0</v>
      </c>
      <c r="S246" s="8" t="n">
        <f aca="false">SUM(S247)</f>
        <v>0</v>
      </c>
      <c r="T246" s="8" t="n">
        <f aca="false">SUM(T247)</f>
        <v>0</v>
      </c>
      <c r="U246" s="8" t="n">
        <f aca="false">SUM(U247)</f>
        <v>0</v>
      </c>
      <c r="V246" s="8" t="n">
        <f aca="false">SUM(V247)</f>
        <v>0</v>
      </c>
      <c r="W246" s="8" t="n">
        <f aca="false">SUM(W247)</f>
        <v>0</v>
      </c>
      <c r="X246" s="8" t="n">
        <f aca="false">SUM(X247)</f>
        <v>0</v>
      </c>
      <c r="Y246" s="8" t="n">
        <f aca="false">SUM(Y247)</f>
        <v>0</v>
      </c>
      <c r="Z246" s="8" t="n">
        <f aca="false">SUM(Z247)</f>
        <v>0</v>
      </c>
      <c r="AA246" s="8" t="n">
        <f aca="false">SUM(AA247)</f>
        <v>0</v>
      </c>
      <c r="AB246" s="8" t="n">
        <f aca="false">SUM(AB247)</f>
        <v>0</v>
      </c>
      <c r="AC246" s="8" t="n">
        <f aca="false">SUM(AC247)</f>
        <v>0</v>
      </c>
      <c r="AD246" s="8" t="n">
        <f aca="false">SUM(AD247)</f>
        <v>0</v>
      </c>
      <c r="AE246" s="8" t="n">
        <f aca="false">SUM(AE247)</f>
        <v>0</v>
      </c>
      <c r="AF246" s="8" t="n">
        <f aca="false">SUM(AF247)</f>
        <v>0</v>
      </c>
      <c r="AG246" s="8" t="n">
        <f aca="false">SUM(AG247)</f>
        <v>0</v>
      </c>
      <c r="AH246" s="8" t="n">
        <f aca="false">SUM(AH247)</f>
        <v>0</v>
      </c>
      <c r="AI246" s="8" t="n">
        <f aca="false">SUM(AI247)</f>
        <v>0</v>
      </c>
      <c r="AJ246" s="8" t="n">
        <f aca="false">SUM(AJ247)</f>
        <v>0</v>
      </c>
      <c r="AK246" s="8" t="n">
        <f aca="false">SUM(AK247)</f>
        <v>0</v>
      </c>
      <c r="AL246" s="8" t="n">
        <f aca="false">SUM(AL247)</f>
        <v>0</v>
      </c>
      <c r="AM246" s="8" t="n">
        <f aca="false">SUM(AM247)</f>
        <v>0</v>
      </c>
      <c r="AN246" s="8" t="n">
        <f aca="false">SUM(AN247)</f>
        <v>0</v>
      </c>
      <c r="AO246" s="8" t="n">
        <f aca="false">SUM(AO247)</f>
        <v>0</v>
      </c>
      <c r="AP246" s="8" t="n">
        <f aca="false">SUM(AP247)</f>
        <v>0</v>
      </c>
      <c r="AQ246" s="8" t="n">
        <f aca="false">SUM(AQ247)</f>
        <v>0</v>
      </c>
      <c r="AR246" s="8" t="n">
        <f aca="false">SUM(AR247)</f>
        <v>0</v>
      </c>
      <c r="AS246" s="8" t="n">
        <f aca="false">SUM(AS247)</f>
        <v>0</v>
      </c>
      <c r="AT246" s="8" t="n">
        <f aca="false">SUM(AT247)</f>
        <v>0</v>
      </c>
      <c r="AU246" s="8" t="n">
        <f aca="false">SUM(AU247)</f>
        <v>0</v>
      </c>
      <c r="AV246" s="8" t="n">
        <f aca="false">SUM(AV247)</f>
        <v>0</v>
      </c>
      <c r="AW246" s="8" t="n">
        <f aca="false">SUM(AW247)</f>
        <v>0</v>
      </c>
    </row>
    <row r="247" customFormat="false" ht="15" hidden="true" customHeight="true" outlineLevel="1" collapsed="false">
      <c r="A247" s="9" t="s">
        <v>12</v>
      </c>
      <c r="B247" s="9" t="s">
        <v>14</v>
      </c>
      <c r="C247" s="9" t="s">
        <v>124</v>
      </c>
      <c r="D247" s="9" t="s">
        <v>78</v>
      </c>
      <c r="E247" s="9" t="s">
        <v>79</v>
      </c>
      <c r="F247" s="10" t="n">
        <v>0</v>
      </c>
      <c r="G247" s="10" t="n">
        <v>0</v>
      </c>
      <c r="H247" s="10" t="n">
        <v>8.3</v>
      </c>
      <c r="I247" s="10" t="n">
        <v>-8.3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  <c r="S247" s="10" t="n">
        <v>0</v>
      </c>
      <c r="T247" s="10" t="n">
        <v>0</v>
      </c>
      <c r="U247" s="10" t="n">
        <v>0</v>
      </c>
      <c r="V247" s="10" t="n">
        <v>0</v>
      </c>
      <c r="W247" s="10" t="n">
        <v>0</v>
      </c>
      <c r="X247" s="10" t="n">
        <v>0</v>
      </c>
      <c r="Y247" s="10" t="n">
        <v>0</v>
      </c>
      <c r="Z247" s="10" t="n">
        <v>0</v>
      </c>
      <c r="AA247" s="10" t="n">
        <v>0</v>
      </c>
      <c r="AB247" s="10" t="n">
        <v>0</v>
      </c>
      <c r="AC247" s="10" t="n">
        <v>0</v>
      </c>
      <c r="AD247" s="10" t="n">
        <v>0</v>
      </c>
      <c r="AE247" s="10" t="n">
        <v>0</v>
      </c>
      <c r="AF247" s="10" t="n">
        <v>0</v>
      </c>
      <c r="AG247" s="10" t="n">
        <v>0</v>
      </c>
      <c r="AH247" s="10" t="n">
        <v>0</v>
      </c>
      <c r="AI247" s="10" t="n">
        <v>0</v>
      </c>
      <c r="AJ247" s="10" t="n">
        <v>0</v>
      </c>
      <c r="AK247" s="10" t="n">
        <v>0</v>
      </c>
      <c r="AL247" s="10" t="n">
        <v>0</v>
      </c>
      <c r="AM247" s="10" t="n">
        <v>0</v>
      </c>
      <c r="AN247" s="10" t="n">
        <v>0</v>
      </c>
      <c r="AO247" s="10" t="n">
        <v>0</v>
      </c>
      <c r="AP247" s="10" t="n">
        <v>0</v>
      </c>
      <c r="AQ247" s="10" t="n">
        <v>0</v>
      </c>
      <c r="AR247" s="10" t="n">
        <v>0</v>
      </c>
      <c r="AS247" s="10" t="n">
        <v>0</v>
      </c>
      <c r="AT247" s="10" t="n">
        <v>0</v>
      </c>
      <c r="AU247" s="10" t="n">
        <v>0</v>
      </c>
      <c r="AV247" s="10" t="n">
        <v>0</v>
      </c>
      <c r="AW247" s="10" t="n">
        <v>0</v>
      </c>
    </row>
    <row r="248" customFormat="false" ht="15" hidden="false" customHeight="true" outlineLevel="0" collapsed="false">
      <c r="A248" s="7" t="s">
        <v>12</v>
      </c>
      <c r="B248" s="7" t="s">
        <v>14</v>
      </c>
      <c r="C248" s="7" t="s">
        <v>125</v>
      </c>
      <c r="D248" s="7" t="s">
        <v>76</v>
      </c>
      <c r="E248" s="7" t="s">
        <v>77</v>
      </c>
      <c r="F248" s="8" t="n">
        <f aca="false">SUM(F249)</f>
        <v>10</v>
      </c>
      <c r="G248" s="8" t="n">
        <f aca="false">SUM(G249)</f>
        <v>10</v>
      </c>
      <c r="H248" s="8" t="n">
        <f aca="false">SUM(H249)</f>
        <v>0</v>
      </c>
      <c r="I248" s="8" t="n">
        <f aca="false">SUM(I249)</f>
        <v>10</v>
      </c>
      <c r="J248" s="8" t="n">
        <f aca="false">SUM(J249)</f>
        <v>0</v>
      </c>
      <c r="K248" s="8" t="n">
        <f aca="false">SUM(K249)</f>
        <v>0</v>
      </c>
      <c r="L248" s="8" t="n">
        <f aca="false">SUM(L249)</f>
        <v>0</v>
      </c>
      <c r="M248" s="8" t="n">
        <f aca="false">SUM(M249)</f>
        <v>0</v>
      </c>
      <c r="N248" s="8" t="n">
        <f aca="false">SUM(N249)</f>
        <v>0</v>
      </c>
      <c r="O248" s="8" t="n">
        <f aca="false">SUM(O249)</f>
        <v>0</v>
      </c>
      <c r="P248" s="8" t="n">
        <f aca="false">SUM(P249)</f>
        <v>0</v>
      </c>
      <c r="Q248" s="8" t="n">
        <f aca="false">SUM(Q249)</f>
        <v>0</v>
      </c>
      <c r="R248" s="8" t="n">
        <f aca="false">SUM(R249)</f>
        <v>0</v>
      </c>
      <c r="S248" s="8" t="n">
        <f aca="false">SUM(S249)</f>
        <v>0</v>
      </c>
      <c r="T248" s="8" t="n">
        <f aca="false">SUM(T249)</f>
        <v>0</v>
      </c>
      <c r="U248" s="8" t="n">
        <f aca="false">SUM(U249)</f>
        <v>0</v>
      </c>
      <c r="V248" s="8" t="n">
        <f aca="false">SUM(V249)</f>
        <v>0</v>
      </c>
      <c r="W248" s="8" t="n">
        <f aca="false">SUM(W249)</f>
        <v>0</v>
      </c>
      <c r="X248" s="8" t="n">
        <f aca="false">SUM(X249)</f>
        <v>0</v>
      </c>
      <c r="Y248" s="8" t="n">
        <f aca="false">SUM(Y249)</f>
        <v>0</v>
      </c>
      <c r="Z248" s="8" t="n">
        <f aca="false">SUM(Z249)</f>
        <v>0</v>
      </c>
      <c r="AA248" s="8" t="n">
        <f aca="false">SUM(AA249)</f>
        <v>0</v>
      </c>
      <c r="AB248" s="8" t="n">
        <f aca="false">SUM(AB249)</f>
        <v>0</v>
      </c>
      <c r="AC248" s="8" t="n">
        <f aca="false">SUM(AC249)</f>
        <v>0</v>
      </c>
      <c r="AD248" s="8" t="n">
        <f aca="false">SUM(AD249)</f>
        <v>0</v>
      </c>
      <c r="AE248" s="8" t="n">
        <f aca="false">SUM(AE249)</f>
        <v>0</v>
      </c>
      <c r="AF248" s="8" t="n">
        <f aca="false">SUM(AF249)</f>
        <v>0</v>
      </c>
      <c r="AG248" s="8" t="n">
        <f aca="false">SUM(AG249)</f>
        <v>0</v>
      </c>
      <c r="AH248" s="8" t="n">
        <f aca="false">SUM(AH249)</f>
        <v>0</v>
      </c>
      <c r="AI248" s="8" t="n">
        <f aca="false">SUM(AI249)</f>
        <v>0</v>
      </c>
      <c r="AJ248" s="8" t="n">
        <f aca="false">SUM(AJ249)</f>
        <v>0</v>
      </c>
      <c r="AK248" s="8" t="n">
        <f aca="false">SUM(AK249)</f>
        <v>0</v>
      </c>
      <c r="AL248" s="8" t="n">
        <f aca="false">SUM(AL249)</f>
        <v>0</v>
      </c>
      <c r="AM248" s="8" t="n">
        <f aca="false">SUM(AM249)</f>
        <v>0</v>
      </c>
      <c r="AN248" s="8" t="n">
        <f aca="false">SUM(AN249)</f>
        <v>0</v>
      </c>
      <c r="AO248" s="8" t="n">
        <f aca="false">SUM(AO249)</f>
        <v>0</v>
      </c>
      <c r="AP248" s="8" t="n">
        <f aca="false">SUM(AP249)</f>
        <v>0</v>
      </c>
      <c r="AQ248" s="8" t="n">
        <f aca="false">SUM(AQ249)</f>
        <v>0</v>
      </c>
      <c r="AR248" s="8" t="n">
        <f aca="false">SUM(AR249)</f>
        <v>0</v>
      </c>
      <c r="AS248" s="8" t="n">
        <f aca="false">SUM(AS249)</f>
        <v>0</v>
      </c>
      <c r="AT248" s="8" t="n">
        <f aca="false">SUM(AT249)</f>
        <v>0</v>
      </c>
      <c r="AU248" s="8" t="n">
        <f aca="false">SUM(AU249)</f>
        <v>0</v>
      </c>
      <c r="AV248" s="8" t="n">
        <f aca="false">SUM(AV249)</f>
        <v>0</v>
      </c>
      <c r="AW248" s="8" t="n">
        <f aca="false">SUM(AW249)</f>
        <v>0</v>
      </c>
    </row>
    <row r="249" customFormat="false" ht="15" hidden="true" customHeight="true" outlineLevel="1" collapsed="false">
      <c r="A249" s="9" t="s">
        <v>12</v>
      </c>
      <c r="B249" s="9" t="s">
        <v>14</v>
      </c>
      <c r="C249" s="9" t="s">
        <v>125</v>
      </c>
      <c r="D249" s="9" t="s">
        <v>78</v>
      </c>
      <c r="E249" s="9" t="s">
        <v>87</v>
      </c>
      <c r="F249" s="10" t="n">
        <v>10</v>
      </c>
      <c r="G249" s="10" t="n">
        <v>10</v>
      </c>
      <c r="H249" s="10" t="n">
        <v>0</v>
      </c>
      <c r="I249" s="10" t="n">
        <v>10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0" t="n">
        <v>0</v>
      </c>
      <c r="P249" s="10" t="n">
        <v>0</v>
      </c>
      <c r="Q249" s="10" t="n">
        <v>0</v>
      </c>
      <c r="R249" s="10" t="n">
        <v>0</v>
      </c>
      <c r="S249" s="10" t="n">
        <v>0</v>
      </c>
      <c r="T249" s="10" t="n">
        <v>0</v>
      </c>
      <c r="U249" s="10" t="n">
        <v>0</v>
      </c>
      <c r="V249" s="10" t="n">
        <v>0</v>
      </c>
      <c r="W249" s="10" t="n">
        <v>0</v>
      </c>
      <c r="X249" s="10" t="n">
        <v>0</v>
      </c>
      <c r="Y249" s="10" t="n">
        <v>0</v>
      </c>
      <c r="Z249" s="10" t="n">
        <v>0</v>
      </c>
      <c r="AA249" s="10" t="n">
        <v>0</v>
      </c>
      <c r="AB249" s="10" t="n">
        <v>0</v>
      </c>
      <c r="AC249" s="10" t="n">
        <v>0</v>
      </c>
      <c r="AD249" s="10" t="n">
        <v>0</v>
      </c>
      <c r="AE249" s="10" t="n">
        <v>0</v>
      </c>
      <c r="AF249" s="10" t="n">
        <v>0</v>
      </c>
      <c r="AG249" s="10" t="n">
        <v>0</v>
      </c>
      <c r="AH249" s="10" t="n">
        <v>0</v>
      </c>
      <c r="AI249" s="10" t="n">
        <v>0</v>
      </c>
      <c r="AJ249" s="10" t="n">
        <v>0</v>
      </c>
      <c r="AK249" s="10" t="n">
        <v>0</v>
      </c>
      <c r="AL249" s="10" t="n">
        <v>0</v>
      </c>
      <c r="AM249" s="10" t="n">
        <v>0</v>
      </c>
      <c r="AN249" s="10" t="n">
        <v>0</v>
      </c>
      <c r="AO249" s="10" t="n">
        <v>0</v>
      </c>
      <c r="AP249" s="10" t="n">
        <v>0</v>
      </c>
      <c r="AQ249" s="10" t="n">
        <v>0</v>
      </c>
      <c r="AR249" s="10" t="n">
        <v>0</v>
      </c>
      <c r="AS249" s="10" t="n">
        <v>0</v>
      </c>
      <c r="AT249" s="10" t="n">
        <v>0</v>
      </c>
      <c r="AU249" s="10" t="n">
        <v>0</v>
      </c>
      <c r="AV249" s="10" t="n">
        <v>0</v>
      </c>
      <c r="AW249" s="10" t="n">
        <v>0</v>
      </c>
    </row>
    <row r="250" customFormat="false" ht="15" hidden="false" customHeight="true" outlineLevel="0" collapsed="false">
      <c r="A250" s="7" t="s">
        <v>12</v>
      </c>
      <c r="B250" s="7" t="s">
        <v>14</v>
      </c>
      <c r="C250" s="7" t="s">
        <v>27</v>
      </c>
      <c r="D250" s="7" t="s">
        <v>76</v>
      </c>
      <c r="E250" s="7" t="s">
        <v>77</v>
      </c>
      <c r="F250" s="8" t="n">
        <f aca="false">SUM(F251,F252,F253,F254,F255,F256,F257,F258,F259,F260,F261)</f>
        <v>409.8</v>
      </c>
      <c r="G250" s="8" t="n">
        <f aca="false">SUM(G251,G252,G253,G254,G255,G256,G257,G258,G259,G260,G261)</f>
        <v>1057.9</v>
      </c>
      <c r="H250" s="8" t="n">
        <f aca="false">SUM(H251,H252,H253,H254,H255,H256,H257,H258,H259,H260,H261)</f>
        <v>1115.1</v>
      </c>
      <c r="I250" s="8" t="n">
        <f aca="false">SUM(I251,I252,I253,I254,I255,I256,I257,I258,I259,I260,I261)</f>
        <v>-57.2</v>
      </c>
      <c r="J250" s="8" t="n">
        <f aca="false">SUM(J251,J252,J253,J254,J255,J256,J257,J258,J259,J260,J261)</f>
        <v>26.821429</v>
      </c>
      <c r="K250" s="8" t="n">
        <f aca="false">SUM(K251,K252,K253,K254,K255,K256,K257,K258,K259,K260,K261)</f>
        <v>5.821429</v>
      </c>
      <c r="L250" s="8" t="n">
        <f aca="false">SUM(L251,L252,L253,L254,L255,L256,L257,L258,L259,L260,L261)</f>
        <v>4.821429</v>
      </c>
      <c r="M250" s="8" t="n">
        <f aca="false">SUM(M251,M252,M253,M254,M255,M256,M257,M258,M259,M260,M261)</f>
        <v>11</v>
      </c>
      <c r="N250" s="8" t="n">
        <f aca="false">SUM(N251,N252,N253,N254,N255,N256,N257,N258,N259,N260,N261)</f>
        <v>13</v>
      </c>
      <c r="O250" s="8" t="n">
        <f aca="false">SUM(O251,O252,O253,O254,O255,O256,O257,O258,O259,O260,O261)</f>
        <v>20</v>
      </c>
      <c r="P250" s="8" t="n">
        <f aca="false">SUM(P251,P252,P253,P254,P255,P256,P257,P258,P259,P260,P261)</f>
        <v>11</v>
      </c>
      <c r="Q250" s="8" t="n">
        <f aca="false">SUM(Q251,Q252,Q253,Q254,Q255,Q256,Q257,Q258,Q259,Q260,Q261)</f>
        <v>16</v>
      </c>
      <c r="R250" s="8" t="n">
        <f aca="false">SUM(R251,R252,R253,R254,R255,R256,R257,R258,R259,R260,R261)</f>
        <v>11</v>
      </c>
      <c r="S250" s="8" t="n">
        <f aca="false">SUM(S251,S252,S253,S254,S255,S256,S257,S258,S259,S260,S261)</f>
        <v>10</v>
      </c>
      <c r="T250" s="8" t="n">
        <f aca="false">SUM(T251,T252,T253,T254,T255,T256,T257,T258,T259,T260,T261)</f>
        <v>35</v>
      </c>
      <c r="U250" s="12" t="n">
        <f aca="false">SUM(U251,U252,U253,U254,U255,U256,U257,U258,U259,U260,U261)</f>
        <v>46</v>
      </c>
      <c r="V250" s="12" t="n">
        <f aca="false">SUM(V251,V252,V253,V254,V255,V256,V257,V258,V259,V260,V261)</f>
        <v>46</v>
      </c>
      <c r="W250" s="11" t="n">
        <f aca="false">SUM(W251,W252,W253,W254,W255,W256,W257,W258,W259,W260,W261)</f>
        <v>45</v>
      </c>
      <c r="X250" s="8" t="n">
        <f aca="false">SUM(X251,X252,X253,X254,X255,X256,X257,X258,X259,X260,X261)</f>
        <v>31</v>
      </c>
      <c r="Y250" s="8" t="n">
        <f aca="false">SUM(Y251,Y252,Y253,Y254,Y255,Y256,Y257,Y258,Y259,Y260,Y261)</f>
        <v>11</v>
      </c>
      <c r="Z250" s="8" t="n">
        <f aca="false">SUM(Z251,Z252,Z253,Z254,Z255,Z256,Z257,Z258,Z259,Z260,Z261)</f>
        <v>9.821429</v>
      </c>
      <c r="AA250" s="8" t="n">
        <f aca="false">SUM(AA251,AA252,AA253,AA254,AA255,AA256,AA257,AA258,AA259,AA260,AA261)</f>
        <v>4.821429</v>
      </c>
      <c r="AB250" s="8" t="n">
        <f aca="false">SUM(AB251,AB252,AB253,AB254,AB255,AB256,AB257,AB258,AB259,AB260,AB261)</f>
        <v>30</v>
      </c>
      <c r="AC250" s="8" t="n">
        <f aca="false">SUM(AC251,AC252,AC253,AC254,AC255,AC256,AC257,AC258,AC259,AC260,AC261)</f>
        <v>38</v>
      </c>
      <c r="AD250" s="8" t="n">
        <f aca="false">SUM(AD251,AD252,AD253,AD254,AD255,AD256,AD257,AD258,AD259,AD260,AD261)</f>
        <v>51</v>
      </c>
      <c r="AE250" s="11" t="n">
        <f aca="false">SUM(AE251,AE252,AE253,AE254,AE255,AE256,AE257,AE258,AE259,AE260,AE261)</f>
        <v>60</v>
      </c>
      <c r="AF250" s="11" t="n">
        <f aca="false">SUM(AF251,AF252,AF253,AF254,AF255,AF256,AF257,AF258,AF259,AF260,AF261)</f>
        <v>60</v>
      </c>
      <c r="AG250" s="8" t="n">
        <f aca="false">SUM(AG251,AG252,AG253,AG254,AG255,AG256,AG257,AG258,AG259,AG260,AG261)</f>
        <v>48</v>
      </c>
      <c r="AH250" s="8" t="n">
        <f aca="false">SUM(AH251,AH252,AH253,AH254,AH255,AH256,AH257,AH258,AH259,AH260,AH261)</f>
        <v>27</v>
      </c>
      <c r="AI250" s="8" t="n">
        <f aca="false">SUM(AI251,AI252,AI253,AI254,AI255,AI256,AI257,AI258,AI259,AI260,AI261)</f>
        <v>8</v>
      </c>
      <c r="AJ250" s="8" t="n">
        <f aca="false">SUM(AJ251,AJ252,AJ253,AJ254,AJ255,AJ256,AJ257,AJ258,AJ259,AJ260,AJ261)</f>
        <v>0</v>
      </c>
      <c r="AK250" s="8" t="n">
        <f aca="false">SUM(AK251,AK252,AK253,AK254,AK255,AK256,AK257,AK258,AK259,AK260,AK261)</f>
        <v>0</v>
      </c>
      <c r="AL250" s="8" t="n">
        <f aca="false">SUM(AL251,AL252,AL253,AL254,AL255,AL256,AL257,AL258,AL259,AL260,AL261)</f>
        <v>0</v>
      </c>
      <c r="AM250" s="8" t="n">
        <f aca="false">SUM(AM251,AM252,AM253,AM254,AM255,AM256,AM257,AM258,AM259,AM260,AM261)</f>
        <v>0</v>
      </c>
      <c r="AN250" s="8" t="n">
        <f aca="false">SUM(AN251,AN252,AN253,AN254,AN255,AN256,AN257,AN258,AN259,AN260,AN261)</f>
        <v>0</v>
      </c>
      <c r="AO250" s="8" t="n">
        <f aca="false">SUM(AO251,AO252,AO253,AO254,AO255,AO256,AO257,AO258,AO259,AO260,AO261)</f>
        <v>0</v>
      </c>
      <c r="AP250" s="8" t="n">
        <f aca="false">SUM(AP251,AP252,AP253,AP254,AP255,AP256,AP257,AP258,AP259,AP260,AP261)</f>
        <v>0</v>
      </c>
      <c r="AQ250" s="8" t="n">
        <f aca="false">SUM(AQ251,AQ252,AQ253,AQ254,AQ255,AQ256,AQ257,AQ258,AQ259,AQ260,AQ261)</f>
        <v>0</v>
      </c>
      <c r="AR250" s="8" t="n">
        <f aca="false">SUM(AR251,AR252,AR253,AR254,AR255,AR256,AR257,AR258,AR259,AR260,AR261)</f>
        <v>0</v>
      </c>
      <c r="AS250" s="8" t="n">
        <f aca="false">SUM(AS251,AS252,AS253,AS254,AS255,AS256,AS257,AS258,AS259,AS260,AS261)</f>
        <v>0</v>
      </c>
      <c r="AT250" s="8" t="n">
        <f aca="false">SUM(AT251,AT252,AT253,AT254,AT255,AT256,AT257,AT258,AT259,AT260,AT261)</f>
        <v>0</v>
      </c>
      <c r="AU250" s="8" t="n">
        <f aca="false">SUM(AU251,AU252,AU253,AU254,AU255,AU256,AU257,AU258,AU259,AU260,AU261)</f>
        <v>0</v>
      </c>
      <c r="AV250" s="8" t="n">
        <f aca="false">SUM(AV251,AV252,AV253,AV254,AV255,AV256,AV257,AV258,AV259,AV260,AV261)</f>
        <v>0</v>
      </c>
      <c r="AW250" s="8" t="n">
        <f aca="false">SUM(AW251,AW252,AW253,AW254,AW255,AW256,AW257,AW258,AW259,AW260,AW261)</f>
        <v>0</v>
      </c>
    </row>
    <row r="251" customFormat="false" ht="15" hidden="true" customHeight="true" outlineLevel="1" collapsed="false">
      <c r="A251" s="9" t="s">
        <v>12</v>
      </c>
      <c r="B251" s="9" t="s">
        <v>14</v>
      </c>
      <c r="C251" s="9" t="s">
        <v>27</v>
      </c>
      <c r="D251" s="9" t="s">
        <v>78</v>
      </c>
      <c r="E251" s="9" t="s">
        <v>81</v>
      </c>
      <c r="F251" s="10" t="n">
        <v>18.5</v>
      </c>
      <c r="G251" s="10" t="n">
        <v>19.5</v>
      </c>
      <c r="H251" s="10" t="n">
        <v>8</v>
      </c>
      <c r="I251" s="10" t="n">
        <v>11.5</v>
      </c>
      <c r="J251" s="10" t="n">
        <v>0</v>
      </c>
      <c r="K251" s="10" t="n">
        <v>1</v>
      </c>
      <c r="L251" s="10" t="n">
        <v>0</v>
      </c>
      <c r="M251" s="10" t="n">
        <v>0</v>
      </c>
      <c r="N251" s="10" t="n">
        <v>0</v>
      </c>
      <c r="O251" s="10" t="n">
        <v>0</v>
      </c>
      <c r="P251" s="10" t="n">
        <v>0</v>
      </c>
      <c r="Q251" s="10" t="n">
        <v>0</v>
      </c>
      <c r="R251" s="10" t="n">
        <v>0</v>
      </c>
      <c r="S251" s="10" t="n">
        <v>0</v>
      </c>
      <c r="T251" s="10" t="n">
        <v>0</v>
      </c>
      <c r="U251" s="10" t="n">
        <v>0</v>
      </c>
      <c r="V251" s="10" t="n">
        <v>0</v>
      </c>
      <c r="W251" s="10" t="n">
        <v>0</v>
      </c>
      <c r="X251" s="10" t="n">
        <v>0</v>
      </c>
      <c r="Y251" s="10" t="n">
        <v>0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10" t="n">
        <v>0</v>
      </c>
      <c r="AG251" s="10" t="n">
        <v>0</v>
      </c>
      <c r="AH251" s="10" t="n">
        <v>0</v>
      </c>
      <c r="AI251" s="10" t="n">
        <v>0</v>
      </c>
      <c r="AJ251" s="10" t="n">
        <v>0</v>
      </c>
      <c r="AK251" s="10" t="n">
        <v>0</v>
      </c>
      <c r="AL251" s="10" t="n">
        <v>0</v>
      </c>
      <c r="AM251" s="10" t="n">
        <v>0</v>
      </c>
      <c r="AN251" s="10" t="n">
        <v>0</v>
      </c>
      <c r="AO251" s="10" t="n">
        <v>0</v>
      </c>
      <c r="AP251" s="10" t="n">
        <v>0</v>
      </c>
      <c r="AQ251" s="10" t="n">
        <v>0</v>
      </c>
      <c r="AR251" s="10" t="n">
        <v>0</v>
      </c>
      <c r="AS251" s="10" t="n">
        <v>0</v>
      </c>
      <c r="AT251" s="10" t="n">
        <v>0</v>
      </c>
      <c r="AU251" s="10" t="n">
        <v>0</v>
      </c>
      <c r="AV251" s="10" t="n">
        <v>0</v>
      </c>
      <c r="AW251" s="10" t="n">
        <v>0</v>
      </c>
    </row>
    <row r="252" customFormat="false" ht="15" hidden="true" customHeight="true" outlineLevel="1" collapsed="false">
      <c r="A252" s="9" t="s">
        <v>12</v>
      </c>
      <c r="B252" s="9" t="s">
        <v>14</v>
      </c>
      <c r="C252" s="9" t="s">
        <v>27</v>
      </c>
      <c r="D252" s="9" t="s">
        <v>78</v>
      </c>
      <c r="E252" s="9" t="s">
        <v>94</v>
      </c>
      <c r="F252" s="10" t="n">
        <v>85.3</v>
      </c>
      <c r="G252" s="10" t="n">
        <v>251.4</v>
      </c>
      <c r="H252" s="10" t="n">
        <v>229.1</v>
      </c>
      <c r="I252" s="10" t="n">
        <v>22.3</v>
      </c>
      <c r="J252" s="10" t="n">
        <v>4.821429</v>
      </c>
      <c r="K252" s="10" t="n">
        <v>4.821429</v>
      </c>
      <c r="L252" s="10" t="n">
        <v>4.821429</v>
      </c>
      <c r="M252" s="10" t="n">
        <v>6</v>
      </c>
      <c r="N252" s="10" t="n">
        <v>6</v>
      </c>
      <c r="O252" s="10" t="n">
        <v>6</v>
      </c>
      <c r="P252" s="10" t="n">
        <v>6</v>
      </c>
      <c r="Q252" s="10" t="n">
        <v>6</v>
      </c>
      <c r="R252" s="10" t="n">
        <v>6</v>
      </c>
      <c r="S252" s="10" t="n">
        <v>6</v>
      </c>
      <c r="T252" s="10" t="n">
        <v>6</v>
      </c>
      <c r="U252" s="10" t="n">
        <v>6</v>
      </c>
      <c r="V252" s="10" t="n">
        <v>6</v>
      </c>
      <c r="W252" s="10" t="n">
        <v>6</v>
      </c>
      <c r="X252" s="10" t="n">
        <v>6</v>
      </c>
      <c r="Y252" s="10" t="n">
        <v>6</v>
      </c>
      <c r="Z252" s="10" t="n">
        <v>4.821429</v>
      </c>
      <c r="AA252" s="10" t="n">
        <v>4.821429</v>
      </c>
      <c r="AB252" s="10" t="n">
        <v>8</v>
      </c>
      <c r="AC252" s="10" t="n">
        <v>8</v>
      </c>
      <c r="AD252" s="10" t="n">
        <v>8</v>
      </c>
      <c r="AE252" s="10" t="n">
        <v>8</v>
      </c>
      <c r="AF252" s="10" t="n">
        <v>8</v>
      </c>
      <c r="AG252" s="10" t="n">
        <v>8</v>
      </c>
      <c r="AH252" s="10" t="n">
        <v>8</v>
      </c>
      <c r="AI252" s="10" t="n">
        <v>8</v>
      </c>
      <c r="AJ252" s="10" t="n">
        <v>0</v>
      </c>
      <c r="AK252" s="10" t="n">
        <v>0</v>
      </c>
      <c r="AL252" s="10" t="n">
        <v>0</v>
      </c>
      <c r="AM252" s="10" t="n">
        <v>0</v>
      </c>
      <c r="AN252" s="10" t="n">
        <v>0</v>
      </c>
      <c r="AO252" s="10" t="n">
        <v>0</v>
      </c>
      <c r="AP252" s="10" t="n">
        <v>0</v>
      </c>
      <c r="AQ252" s="10" t="n">
        <v>0</v>
      </c>
      <c r="AR252" s="10" t="n">
        <v>0</v>
      </c>
      <c r="AS252" s="10" t="n">
        <v>0</v>
      </c>
      <c r="AT252" s="10" t="n">
        <v>0</v>
      </c>
      <c r="AU252" s="10" t="n">
        <v>0</v>
      </c>
      <c r="AV252" s="10" t="n">
        <v>0</v>
      </c>
      <c r="AW252" s="10" t="n">
        <v>0</v>
      </c>
    </row>
    <row r="253" customFormat="false" ht="15" hidden="true" customHeight="true" outlineLevel="1" collapsed="false">
      <c r="A253" s="9" t="s">
        <v>12</v>
      </c>
      <c r="B253" s="9" t="s">
        <v>14</v>
      </c>
      <c r="C253" s="9" t="s">
        <v>27</v>
      </c>
      <c r="D253" s="9" t="s">
        <v>78</v>
      </c>
      <c r="E253" s="9" t="s">
        <v>95</v>
      </c>
      <c r="F253" s="10" t="n">
        <v>230</v>
      </c>
      <c r="G253" s="10" t="n">
        <v>671</v>
      </c>
      <c r="H253" s="10" t="n">
        <v>705</v>
      </c>
      <c r="I253" s="10" t="n">
        <v>-34</v>
      </c>
      <c r="J253" s="10" t="n">
        <v>0</v>
      </c>
      <c r="K253" s="10" t="n">
        <v>0</v>
      </c>
      <c r="L253" s="10" t="n">
        <v>0</v>
      </c>
      <c r="M253" s="10" t="n">
        <v>5</v>
      </c>
      <c r="N253" s="10" t="n">
        <v>7</v>
      </c>
      <c r="O253" s="10" t="n">
        <v>14</v>
      </c>
      <c r="P253" s="10" t="n">
        <v>5</v>
      </c>
      <c r="Q253" s="10" t="n">
        <v>0</v>
      </c>
      <c r="R253" s="10" t="n">
        <v>0</v>
      </c>
      <c r="S253" s="10" t="n">
        <v>4</v>
      </c>
      <c r="T253" s="10" t="n">
        <v>29</v>
      </c>
      <c r="U253" s="10" t="n">
        <v>40</v>
      </c>
      <c r="V253" s="10" t="n">
        <v>40</v>
      </c>
      <c r="W253" s="10" t="n">
        <v>24</v>
      </c>
      <c r="X253" s="10" t="n">
        <v>25</v>
      </c>
      <c r="Y253" s="10" t="n">
        <v>5</v>
      </c>
      <c r="Z253" s="10" t="n">
        <v>5</v>
      </c>
      <c r="AA253" s="10" t="n">
        <v>0</v>
      </c>
      <c r="AB253" s="10" t="n">
        <v>22</v>
      </c>
      <c r="AC253" s="10" t="n">
        <v>30</v>
      </c>
      <c r="AD253" s="10" t="n">
        <v>43</v>
      </c>
      <c r="AE253" s="10" t="n">
        <v>52</v>
      </c>
      <c r="AF253" s="10" t="n">
        <v>45</v>
      </c>
      <c r="AG253" s="10" t="n">
        <v>27</v>
      </c>
      <c r="AH253" s="10" t="n">
        <v>19</v>
      </c>
      <c r="AI253" s="10" t="n">
        <v>0</v>
      </c>
      <c r="AJ253" s="10" t="n">
        <v>0</v>
      </c>
      <c r="AK253" s="10" t="n">
        <v>0</v>
      </c>
      <c r="AL253" s="10" t="n">
        <v>0</v>
      </c>
      <c r="AM253" s="10" t="n">
        <v>0</v>
      </c>
      <c r="AN253" s="10" t="n">
        <v>0</v>
      </c>
      <c r="AO253" s="10" t="n">
        <v>0</v>
      </c>
      <c r="AP253" s="10" t="n">
        <v>0</v>
      </c>
      <c r="AQ253" s="10" t="n">
        <v>0</v>
      </c>
      <c r="AR253" s="10" t="n">
        <v>0</v>
      </c>
      <c r="AS253" s="10" t="n">
        <v>0</v>
      </c>
      <c r="AT253" s="10" t="n">
        <v>0</v>
      </c>
      <c r="AU253" s="10" t="n">
        <v>0</v>
      </c>
      <c r="AV253" s="10" t="n">
        <v>0</v>
      </c>
      <c r="AW253" s="10" t="n">
        <v>0</v>
      </c>
    </row>
    <row r="254" customFormat="false" ht="15" hidden="true" customHeight="true" outlineLevel="1" collapsed="false">
      <c r="A254" s="9" t="s">
        <v>12</v>
      </c>
      <c r="B254" s="9" t="s">
        <v>14</v>
      </c>
      <c r="C254" s="9" t="s">
        <v>27</v>
      </c>
      <c r="D254" s="9" t="s">
        <v>78</v>
      </c>
      <c r="E254" s="9" t="s">
        <v>82</v>
      </c>
      <c r="F254" s="10" t="n">
        <v>0</v>
      </c>
      <c r="G254" s="10" t="n">
        <v>0</v>
      </c>
      <c r="H254" s="10" t="n">
        <v>8</v>
      </c>
      <c r="I254" s="10" t="n">
        <v>-8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0</v>
      </c>
      <c r="U254" s="10" t="n">
        <v>0</v>
      </c>
      <c r="V254" s="10" t="n">
        <v>0</v>
      </c>
      <c r="W254" s="10" t="n">
        <v>0</v>
      </c>
      <c r="X254" s="10" t="n">
        <v>0</v>
      </c>
      <c r="Y254" s="10" t="n">
        <v>0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10" t="n">
        <v>0</v>
      </c>
      <c r="AG254" s="10" t="n">
        <v>0</v>
      </c>
      <c r="AH254" s="10" t="n">
        <v>0</v>
      </c>
      <c r="AI254" s="10" t="n">
        <v>0</v>
      </c>
      <c r="AJ254" s="10" t="n">
        <v>0</v>
      </c>
      <c r="AK254" s="10" t="n">
        <v>0</v>
      </c>
      <c r="AL254" s="10" t="n">
        <v>0</v>
      </c>
      <c r="AM254" s="10" t="n">
        <v>0</v>
      </c>
      <c r="AN254" s="10" t="n">
        <v>0</v>
      </c>
      <c r="AO254" s="10" t="n">
        <v>0</v>
      </c>
      <c r="AP254" s="10" t="n">
        <v>0</v>
      </c>
      <c r="AQ254" s="10" t="n">
        <v>0</v>
      </c>
      <c r="AR254" s="10" t="n">
        <v>0</v>
      </c>
      <c r="AS254" s="10" t="n">
        <v>0</v>
      </c>
      <c r="AT254" s="10" t="n">
        <v>0</v>
      </c>
      <c r="AU254" s="10" t="n">
        <v>0</v>
      </c>
      <c r="AV254" s="10" t="n">
        <v>0</v>
      </c>
      <c r="AW254" s="10" t="n">
        <v>0</v>
      </c>
    </row>
    <row r="255" customFormat="false" ht="15" hidden="true" customHeight="true" outlineLevel="1" collapsed="false">
      <c r="A255" s="9" t="s">
        <v>12</v>
      </c>
      <c r="B255" s="9" t="s">
        <v>14</v>
      </c>
      <c r="C255" s="9" t="s">
        <v>27</v>
      </c>
      <c r="D255" s="9" t="s">
        <v>78</v>
      </c>
      <c r="E255" s="9" t="s">
        <v>83</v>
      </c>
      <c r="F255" s="10" t="n">
        <v>5</v>
      </c>
      <c r="G255" s="10" t="n">
        <v>5</v>
      </c>
      <c r="H255" s="10" t="n">
        <v>22</v>
      </c>
      <c r="I255" s="10" t="n">
        <v>-17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0" t="n">
        <v>0</v>
      </c>
      <c r="P255" s="10" t="n">
        <v>0</v>
      </c>
      <c r="Q255" s="10" t="n">
        <v>0</v>
      </c>
      <c r="R255" s="10" t="n">
        <v>0</v>
      </c>
      <c r="S255" s="10" t="n">
        <v>0</v>
      </c>
      <c r="T255" s="10" t="n">
        <v>0</v>
      </c>
      <c r="U255" s="10" t="n">
        <v>0</v>
      </c>
      <c r="V255" s="10" t="n">
        <v>0</v>
      </c>
      <c r="W255" s="10" t="n">
        <v>0</v>
      </c>
      <c r="X255" s="10" t="n">
        <v>0</v>
      </c>
      <c r="Y255" s="10" t="n">
        <v>0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10" t="n">
        <v>0</v>
      </c>
      <c r="AG255" s="10" t="n">
        <v>0</v>
      </c>
      <c r="AH255" s="10" t="n">
        <v>0</v>
      </c>
      <c r="AI255" s="10" t="n">
        <v>0</v>
      </c>
      <c r="AJ255" s="10" t="n">
        <v>0</v>
      </c>
      <c r="AK255" s="10" t="n">
        <v>0</v>
      </c>
      <c r="AL255" s="10" t="n">
        <v>0</v>
      </c>
      <c r="AM255" s="10" t="n">
        <v>0</v>
      </c>
      <c r="AN255" s="10" t="n">
        <v>0</v>
      </c>
      <c r="AO255" s="10" t="n">
        <v>0</v>
      </c>
      <c r="AP255" s="10" t="n">
        <v>0</v>
      </c>
      <c r="AQ255" s="10" t="n">
        <v>0</v>
      </c>
      <c r="AR255" s="10" t="n">
        <v>0</v>
      </c>
      <c r="AS255" s="10" t="n">
        <v>0</v>
      </c>
      <c r="AT255" s="10" t="n">
        <v>0</v>
      </c>
      <c r="AU255" s="10" t="n">
        <v>0</v>
      </c>
      <c r="AV255" s="10" t="n">
        <v>0</v>
      </c>
      <c r="AW255" s="10" t="n">
        <v>0</v>
      </c>
    </row>
    <row r="256" customFormat="false" ht="15" hidden="true" customHeight="true" outlineLevel="1" collapsed="false">
      <c r="A256" s="9" t="s">
        <v>12</v>
      </c>
      <c r="B256" s="9" t="s">
        <v>14</v>
      </c>
      <c r="C256" s="9" t="s">
        <v>27</v>
      </c>
      <c r="D256" s="9" t="s">
        <v>78</v>
      </c>
      <c r="E256" s="9" t="s">
        <v>84</v>
      </c>
      <c r="F256" s="10" t="n">
        <v>0</v>
      </c>
      <c r="G256" s="10" t="n">
        <v>5</v>
      </c>
      <c r="H256" s="10" t="n">
        <v>15</v>
      </c>
      <c r="I256" s="10" t="n">
        <v>-10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10</v>
      </c>
      <c r="R256" s="10" t="n">
        <v>5</v>
      </c>
      <c r="S256" s="10" t="n">
        <v>0</v>
      </c>
      <c r="T256" s="10" t="n">
        <v>0</v>
      </c>
      <c r="U256" s="10" t="n">
        <v>0</v>
      </c>
      <c r="V256" s="10" t="n">
        <v>0</v>
      </c>
      <c r="W256" s="10" t="n">
        <v>0</v>
      </c>
      <c r="X256" s="10" t="n">
        <v>0</v>
      </c>
      <c r="Y256" s="10" t="n">
        <v>0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0" t="n">
        <v>0</v>
      </c>
      <c r="AE256" s="10" t="n">
        <v>0</v>
      </c>
      <c r="AF256" s="10" t="n">
        <v>0</v>
      </c>
      <c r="AG256" s="10" t="n">
        <v>0</v>
      </c>
      <c r="AH256" s="10" t="n">
        <v>0</v>
      </c>
      <c r="AI256" s="10" t="n">
        <v>0</v>
      </c>
      <c r="AJ256" s="10" t="n">
        <v>0</v>
      </c>
      <c r="AK256" s="10" t="n">
        <v>0</v>
      </c>
      <c r="AL256" s="10" t="n">
        <v>0</v>
      </c>
      <c r="AM256" s="10" t="n">
        <v>0</v>
      </c>
      <c r="AN256" s="10" t="n">
        <v>0</v>
      </c>
      <c r="AO256" s="10" t="n">
        <v>0</v>
      </c>
      <c r="AP256" s="10" t="n">
        <v>0</v>
      </c>
      <c r="AQ256" s="10" t="n">
        <v>0</v>
      </c>
      <c r="AR256" s="10" t="n">
        <v>0</v>
      </c>
      <c r="AS256" s="10" t="n">
        <v>0</v>
      </c>
      <c r="AT256" s="10" t="n">
        <v>0</v>
      </c>
      <c r="AU256" s="10" t="n">
        <v>0</v>
      </c>
      <c r="AV256" s="10" t="n">
        <v>0</v>
      </c>
      <c r="AW256" s="10" t="n">
        <v>0</v>
      </c>
    </row>
    <row r="257" customFormat="false" ht="15" hidden="true" customHeight="true" outlineLevel="1" collapsed="false">
      <c r="A257" s="9" t="s">
        <v>12</v>
      </c>
      <c r="B257" s="9" t="s">
        <v>14</v>
      </c>
      <c r="C257" s="9" t="s">
        <v>27</v>
      </c>
      <c r="D257" s="9" t="s">
        <v>78</v>
      </c>
      <c r="E257" s="9" t="s">
        <v>40</v>
      </c>
      <c r="F257" s="10" t="n">
        <v>0</v>
      </c>
      <c r="G257" s="10" t="n">
        <v>35</v>
      </c>
      <c r="H257" s="10" t="n">
        <v>35</v>
      </c>
      <c r="I257" s="10" t="n">
        <v>0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0" t="n">
        <v>0</v>
      </c>
      <c r="P257" s="10" t="n">
        <v>0</v>
      </c>
      <c r="Q257" s="10" t="n">
        <v>0</v>
      </c>
      <c r="R257" s="10" t="n">
        <v>0</v>
      </c>
      <c r="S257" s="10" t="n">
        <v>0</v>
      </c>
      <c r="T257" s="10" t="n">
        <v>0</v>
      </c>
      <c r="U257" s="10" t="n">
        <v>0</v>
      </c>
      <c r="V257" s="10" t="n">
        <v>0</v>
      </c>
      <c r="W257" s="10" t="n">
        <v>15</v>
      </c>
      <c r="X257" s="10" t="n">
        <v>0</v>
      </c>
      <c r="Y257" s="10" t="n">
        <v>0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10" t="n">
        <v>7</v>
      </c>
      <c r="AG257" s="10" t="n">
        <v>13</v>
      </c>
      <c r="AH257" s="10" t="n">
        <v>0</v>
      </c>
      <c r="AI257" s="10" t="n">
        <v>0</v>
      </c>
      <c r="AJ257" s="10" t="n">
        <v>0</v>
      </c>
      <c r="AK257" s="10" t="n">
        <v>0</v>
      </c>
      <c r="AL257" s="10" t="n">
        <v>0</v>
      </c>
      <c r="AM257" s="10" t="n">
        <v>0</v>
      </c>
      <c r="AN257" s="10" t="n">
        <v>0</v>
      </c>
      <c r="AO257" s="10" t="n">
        <v>0</v>
      </c>
      <c r="AP257" s="10" t="n">
        <v>0</v>
      </c>
      <c r="AQ257" s="10" t="n">
        <v>0</v>
      </c>
      <c r="AR257" s="10" t="n">
        <v>0</v>
      </c>
      <c r="AS257" s="10" t="n">
        <v>0</v>
      </c>
      <c r="AT257" s="10" t="n">
        <v>0</v>
      </c>
      <c r="AU257" s="10" t="n">
        <v>0</v>
      </c>
      <c r="AV257" s="10" t="n">
        <v>0</v>
      </c>
      <c r="AW257" s="10" t="n">
        <v>0</v>
      </c>
    </row>
    <row r="258" customFormat="false" ht="15" hidden="true" customHeight="true" outlineLevel="1" collapsed="false">
      <c r="A258" s="9" t="s">
        <v>12</v>
      </c>
      <c r="B258" s="9" t="s">
        <v>14</v>
      </c>
      <c r="C258" s="9" t="s">
        <v>27</v>
      </c>
      <c r="D258" s="9" t="s">
        <v>78</v>
      </c>
      <c r="E258" s="9" t="s">
        <v>86</v>
      </c>
      <c r="F258" s="10" t="n">
        <v>0</v>
      </c>
      <c r="G258" s="10" t="n">
        <v>0</v>
      </c>
      <c r="H258" s="10" t="n">
        <v>25</v>
      </c>
      <c r="I258" s="10" t="n">
        <v>-25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10" t="n">
        <v>0</v>
      </c>
      <c r="U258" s="10" t="n">
        <v>0</v>
      </c>
      <c r="V258" s="10" t="n">
        <v>0</v>
      </c>
      <c r="W258" s="10" t="n">
        <v>0</v>
      </c>
      <c r="X258" s="10" t="n">
        <v>0</v>
      </c>
      <c r="Y258" s="10" t="n">
        <v>0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10" t="n">
        <v>0</v>
      </c>
      <c r="AG258" s="10" t="n">
        <v>0</v>
      </c>
      <c r="AH258" s="10" t="n">
        <v>0</v>
      </c>
      <c r="AI258" s="10" t="n">
        <v>0</v>
      </c>
      <c r="AJ258" s="10" t="n">
        <v>0</v>
      </c>
      <c r="AK258" s="10" t="n">
        <v>0</v>
      </c>
      <c r="AL258" s="10" t="n">
        <v>0</v>
      </c>
      <c r="AM258" s="10" t="n">
        <v>0</v>
      </c>
      <c r="AN258" s="10" t="n">
        <v>0</v>
      </c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  <c r="AT258" s="10" t="n">
        <v>0</v>
      </c>
      <c r="AU258" s="10" t="n">
        <v>0</v>
      </c>
      <c r="AV258" s="10" t="n">
        <v>0</v>
      </c>
      <c r="AW258" s="10" t="n">
        <v>0</v>
      </c>
    </row>
    <row r="259" customFormat="false" ht="15" hidden="true" customHeight="true" outlineLevel="1" collapsed="false">
      <c r="A259" s="9" t="s">
        <v>12</v>
      </c>
      <c r="B259" s="9" t="s">
        <v>14</v>
      </c>
      <c r="C259" s="9" t="s">
        <v>27</v>
      </c>
      <c r="D259" s="9" t="s">
        <v>78</v>
      </c>
      <c r="E259" s="9" t="s">
        <v>99</v>
      </c>
      <c r="F259" s="10" t="n">
        <v>41</v>
      </c>
      <c r="G259" s="10" t="n">
        <v>41</v>
      </c>
      <c r="H259" s="10" t="n">
        <v>33</v>
      </c>
      <c r="I259" s="10" t="n">
        <v>8</v>
      </c>
      <c r="J259" s="10" t="n">
        <v>22</v>
      </c>
      <c r="K259" s="10" t="n">
        <v>0</v>
      </c>
      <c r="L259" s="10" t="n">
        <v>0</v>
      </c>
      <c r="M259" s="10" t="n">
        <v>0</v>
      </c>
      <c r="N259" s="10" t="n">
        <v>0</v>
      </c>
      <c r="O259" s="10" t="n">
        <v>0</v>
      </c>
      <c r="P259" s="10" t="n">
        <v>0</v>
      </c>
      <c r="Q259" s="10" t="n">
        <v>0</v>
      </c>
      <c r="R259" s="10" t="n">
        <v>0</v>
      </c>
      <c r="S259" s="10" t="n">
        <v>0</v>
      </c>
      <c r="T259" s="10" t="n">
        <v>0</v>
      </c>
      <c r="U259" s="10" t="n">
        <v>0</v>
      </c>
      <c r="V259" s="10" t="n">
        <v>0</v>
      </c>
      <c r="W259" s="10" t="n">
        <v>0</v>
      </c>
      <c r="X259" s="10" t="n">
        <v>0</v>
      </c>
      <c r="Y259" s="10" t="n">
        <v>0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10" t="n">
        <v>0</v>
      </c>
      <c r="AG259" s="10" t="n">
        <v>0</v>
      </c>
      <c r="AH259" s="10" t="n">
        <v>0</v>
      </c>
      <c r="AI259" s="10" t="n">
        <v>0</v>
      </c>
      <c r="AJ259" s="10" t="n">
        <v>0</v>
      </c>
      <c r="AK259" s="10" t="n">
        <v>0</v>
      </c>
      <c r="AL259" s="10" t="n">
        <v>0</v>
      </c>
      <c r="AM259" s="10" t="n">
        <v>0</v>
      </c>
      <c r="AN259" s="10" t="n">
        <v>0</v>
      </c>
      <c r="AO259" s="10" t="n">
        <v>0</v>
      </c>
      <c r="AP259" s="10" t="n">
        <v>0</v>
      </c>
      <c r="AQ259" s="10" t="n">
        <v>0</v>
      </c>
      <c r="AR259" s="10" t="n">
        <v>0</v>
      </c>
      <c r="AS259" s="10" t="n">
        <v>0</v>
      </c>
      <c r="AT259" s="10" t="n">
        <v>0</v>
      </c>
      <c r="AU259" s="10" t="n">
        <v>0</v>
      </c>
      <c r="AV259" s="10" t="n">
        <v>0</v>
      </c>
      <c r="AW259" s="10" t="n">
        <v>0</v>
      </c>
    </row>
    <row r="260" customFormat="false" ht="15" hidden="true" customHeight="true" outlineLevel="1" collapsed="false">
      <c r="A260" s="9" t="s">
        <v>12</v>
      </c>
      <c r="B260" s="9" t="s">
        <v>14</v>
      </c>
      <c r="C260" s="9" t="s">
        <v>27</v>
      </c>
      <c r="D260" s="9" t="s">
        <v>78</v>
      </c>
      <c r="E260" s="9" t="s">
        <v>100</v>
      </c>
      <c r="F260" s="10" t="n">
        <v>0</v>
      </c>
      <c r="G260" s="10" t="n">
        <v>0</v>
      </c>
      <c r="H260" s="10" t="n">
        <v>2</v>
      </c>
      <c r="I260" s="10" t="n">
        <v>-2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10" t="n">
        <v>0</v>
      </c>
      <c r="U260" s="10" t="n">
        <v>0</v>
      </c>
      <c r="V260" s="10" t="n">
        <v>0</v>
      </c>
      <c r="W260" s="10" t="n">
        <v>0</v>
      </c>
      <c r="X260" s="10" t="n">
        <v>0</v>
      </c>
      <c r="Y260" s="10" t="n">
        <v>0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10" t="n">
        <v>0</v>
      </c>
      <c r="AG260" s="10" t="n">
        <v>0</v>
      </c>
      <c r="AH260" s="10" t="n">
        <v>0</v>
      </c>
      <c r="AI260" s="10" t="n">
        <v>0</v>
      </c>
      <c r="AJ260" s="10" t="n">
        <v>0</v>
      </c>
      <c r="AK260" s="10" t="n">
        <v>0</v>
      </c>
      <c r="AL260" s="10" t="n">
        <v>0</v>
      </c>
      <c r="AM260" s="10" t="n">
        <v>0</v>
      </c>
      <c r="AN260" s="10" t="n">
        <v>0</v>
      </c>
      <c r="AO260" s="10" t="n">
        <v>0</v>
      </c>
      <c r="AP260" s="10" t="n">
        <v>0</v>
      </c>
      <c r="AQ260" s="10" t="n">
        <v>0</v>
      </c>
      <c r="AR260" s="10" t="n">
        <v>0</v>
      </c>
      <c r="AS260" s="10" t="n">
        <v>0</v>
      </c>
      <c r="AT260" s="10" t="n">
        <v>0</v>
      </c>
      <c r="AU260" s="10" t="n">
        <v>0</v>
      </c>
      <c r="AV260" s="10" t="n">
        <v>0</v>
      </c>
      <c r="AW260" s="10" t="n">
        <v>0</v>
      </c>
    </row>
    <row r="261" customFormat="false" ht="15" hidden="true" customHeight="true" outlineLevel="1" collapsed="false">
      <c r="A261" s="9" t="s">
        <v>12</v>
      </c>
      <c r="B261" s="9" t="s">
        <v>14</v>
      </c>
      <c r="C261" s="9" t="s">
        <v>27</v>
      </c>
      <c r="D261" s="9" t="s">
        <v>78</v>
      </c>
      <c r="E261" s="9" t="s">
        <v>87</v>
      </c>
      <c r="F261" s="10" t="n">
        <v>30</v>
      </c>
      <c r="G261" s="10" t="n">
        <v>30</v>
      </c>
      <c r="H261" s="10" t="n">
        <v>33</v>
      </c>
      <c r="I261" s="10" t="n">
        <v>-3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0" t="n">
        <v>0</v>
      </c>
      <c r="P261" s="10" t="n">
        <v>0</v>
      </c>
      <c r="Q261" s="10" t="n">
        <v>0</v>
      </c>
      <c r="R261" s="10" t="n">
        <v>0</v>
      </c>
      <c r="S261" s="10" t="n">
        <v>0</v>
      </c>
      <c r="T261" s="10" t="n">
        <v>0</v>
      </c>
      <c r="U261" s="10" t="n">
        <v>0</v>
      </c>
      <c r="V261" s="10" t="n">
        <v>0</v>
      </c>
      <c r="W261" s="10" t="n">
        <v>0</v>
      </c>
      <c r="X261" s="10" t="n">
        <v>0</v>
      </c>
      <c r="Y261" s="10" t="n">
        <v>0</v>
      </c>
      <c r="Z261" s="10" t="n">
        <v>0</v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0" t="n">
        <v>0</v>
      </c>
      <c r="AF261" s="10" t="n">
        <v>0</v>
      </c>
      <c r="AG261" s="10" t="n">
        <v>0</v>
      </c>
      <c r="AH261" s="10" t="n">
        <v>0</v>
      </c>
      <c r="AI261" s="10" t="n">
        <v>0</v>
      </c>
      <c r="AJ261" s="10" t="n">
        <v>0</v>
      </c>
      <c r="AK261" s="10" t="n">
        <v>0</v>
      </c>
      <c r="AL261" s="10" t="n">
        <v>0</v>
      </c>
      <c r="AM261" s="10" t="n">
        <v>0</v>
      </c>
      <c r="AN261" s="10" t="n">
        <v>0</v>
      </c>
      <c r="AO261" s="10" t="n">
        <v>0</v>
      </c>
      <c r="AP261" s="10" t="n">
        <v>0</v>
      </c>
      <c r="AQ261" s="10" t="n">
        <v>0</v>
      </c>
      <c r="AR261" s="10" t="n">
        <v>0</v>
      </c>
      <c r="AS261" s="10" t="n">
        <v>0</v>
      </c>
      <c r="AT261" s="10" t="n">
        <v>0</v>
      </c>
      <c r="AU261" s="10" t="n">
        <v>0</v>
      </c>
      <c r="AV261" s="10" t="n">
        <v>0</v>
      </c>
      <c r="AW261" s="10" t="n">
        <v>0</v>
      </c>
    </row>
    <row r="262" customFormat="false" ht="15" hidden="false" customHeight="true" outlineLevel="0" collapsed="false">
      <c r="A262" s="7" t="s">
        <v>12</v>
      </c>
      <c r="B262" s="7" t="s">
        <v>14</v>
      </c>
      <c r="C262" s="7" t="s">
        <v>21</v>
      </c>
      <c r="D262" s="7" t="s">
        <v>76</v>
      </c>
      <c r="E262" s="7" t="s">
        <v>77</v>
      </c>
      <c r="F262" s="8" t="n">
        <f aca="false">SUM(F263,F264,F265,F266,F267,F268,F269,F270,F271,F272,F273,F274)</f>
        <v>265.5</v>
      </c>
      <c r="G262" s="8" t="n">
        <f aca="false">SUM(G263,G264,G265,G266,G267,G268,G269,G270,G271,G272,G273,G274)</f>
        <v>1041.5</v>
      </c>
      <c r="H262" s="8" t="n">
        <f aca="false">SUM(H263,H264,H265,H266,H267,H268,H269,H270,H271,H272,H273,H274)</f>
        <v>1310.5</v>
      </c>
      <c r="I262" s="8" t="n">
        <f aca="false">SUM(I263,I264,I265,I266,I267,I268,I269,I270,I271,I272,I273,I274)</f>
        <v>-269</v>
      </c>
      <c r="J262" s="12" t="n">
        <f aca="false">SUM(J263,J264,J265,J266,J267,J268,J269,J270,J271,J272,J273,J274)</f>
        <v>71</v>
      </c>
      <c r="K262" s="12" t="n">
        <f aca="false">SUM(K263,K264,K265,K266,K267,K268,K269,K270,K271,K272,K273,K274)</f>
        <v>64</v>
      </c>
      <c r="L262" s="12" t="n">
        <f aca="false">SUM(L263,L264,L265,L266,L267,L268,L269,L270,L271,L272,L273,L274)</f>
        <v>65</v>
      </c>
      <c r="M262" s="8" t="n">
        <f aca="false">SUM(M263,M264,M265,M266,M267,M268,M269,M270,M271,M272,M273,M274)</f>
        <v>18</v>
      </c>
      <c r="N262" s="8" t="n">
        <f aca="false">SUM(N263,N264,N265,N266,N267,N268,N269,N270,N271,N272,N273,N274)</f>
        <v>12</v>
      </c>
      <c r="O262" s="8" t="n">
        <f aca="false">SUM(O263,O264,O265,O266,O267,O268,O269,O270,O271,O272,O273,O274)</f>
        <v>16</v>
      </c>
      <c r="P262" s="8" t="n">
        <f aca="false">SUM(P263,P264,P265,P266,P267,P268,P269,P270,P271,P272,P273,P274)</f>
        <v>37</v>
      </c>
      <c r="Q262" s="8" t="n">
        <f aca="false">SUM(Q263,Q264,Q265,Q266,Q267,Q268,Q269,Q270,Q271,Q272,Q273,Q274)</f>
        <v>36</v>
      </c>
      <c r="R262" s="12" t="n">
        <f aca="false">SUM(R263,R264,R265,R266,R267,R268,R269,R270,R271,R272,R273,R274)</f>
        <v>46</v>
      </c>
      <c r="S262" s="8" t="n">
        <f aca="false">SUM(S263,S264,S265,S266,S267,S268,S269,S270,S271,S272,S273,S274)</f>
        <v>22</v>
      </c>
      <c r="T262" s="8" t="n">
        <f aca="false">SUM(T263,T264,T265,T266,T267,T268,T269,T270,T271,T272,T273,T274)</f>
        <v>22</v>
      </c>
      <c r="U262" s="12" t="n">
        <f aca="false">SUM(U263,U264,U265,U266,U267,U268,U269,U270,U271,U272,U273,U274)</f>
        <v>67</v>
      </c>
      <c r="V262" s="12" t="n">
        <f aca="false">SUM(V263,V264,V265,V266,V267,V268,V269,V270,V271,V272,V273,V274)</f>
        <v>64</v>
      </c>
      <c r="W262" s="12" t="n">
        <f aca="false">SUM(W263,W264,W265,W266,W267,W268,W269,W270,W271,W272,W273,W274)</f>
        <v>67</v>
      </c>
      <c r="X262" s="8" t="n">
        <f aca="false">SUM(X263,X264,X265,X266,X267,X268,X269,X270,X271,X272,X273,X274)</f>
        <v>22</v>
      </c>
      <c r="Y262" s="8" t="n">
        <f aca="false">SUM(Y263,Y264,Y265,Y266,Y267,Y268,Y269,Y270,Y271,Y272,Y273,Y274)</f>
        <v>37</v>
      </c>
      <c r="Z262" s="8" t="n">
        <f aca="false">SUM(Z263,Z264,Z265,Z266,Z267,Z268,Z269,Z270,Z271,Z272,Z273,Z274)</f>
        <v>17</v>
      </c>
      <c r="AA262" s="8" t="n">
        <f aca="false">SUM(AA263,AA264,AA265,AA266,AA267,AA268,AA269,AA270,AA271,AA272,AA273,AA274)</f>
        <v>15</v>
      </c>
      <c r="AB262" s="8" t="n">
        <f aca="false">SUM(AB263,AB264,AB265,AB266,AB267,AB268,AB269,AB270,AB271,AB272,AB273,AB274)</f>
        <v>25.5</v>
      </c>
      <c r="AC262" s="8" t="n">
        <f aca="false">SUM(AC263,AC264,AC265,AC266,AC267,AC268,AC269,AC270,AC271,AC272,AC273,AC274)</f>
        <v>32.5</v>
      </c>
      <c r="AD262" s="8" t="n">
        <f aca="false">SUM(AD263,AD264,AD265,AD266,AD267,AD268,AD269,AD270,AD271,AD272,AD273,AD274)</f>
        <v>22.5</v>
      </c>
      <c r="AE262" s="8" t="n">
        <f aca="false">SUM(AE263,AE264,AE265,AE266,AE267,AE268,AE269,AE270,AE271,AE272,AE273,AE274)</f>
        <v>35.5</v>
      </c>
      <c r="AF262" s="8" t="n">
        <f aca="false">SUM(AF263,AF264,AF265,AF266,AF267,AF268,AF269,AF270,AF271,AF272,AF273,AF274)</f>
        <v>29.5</v>
      </c>
      <c r="AG262" s="8" t="n">
        <f aca="false">SUM(AG263,AG264,AG265,AG266,AG267,AG268,AG269,AG270,AG271,AG272,AG273,AG274)</f>
        <v>31.5</v>
      </c>
      <c r="AH262" s="8" t="n">
        <f aca="false">SUM(AH263,AH264,AH265,AH266,AH267,AH268,AH269,AH270,AH271,AH272,AH273,AH274)</f>
        <v>40.5</v>
      </c>
      <c r="AI262" s="8" t="n">
        <f aca="false">SUM(AI263,AI264,AI265,AI266,AI267,AI268,AI269,AI270,AI271,AI272,AI273,AI274)</f>
        <v>2.5</v>
      </c>
      <c r="AJ262" s="8" t="n">
        <f aca="false">SUM(AJ263,AJ264,AJ265,AJ266,AJ267,AJ268,AJ269,AJ270,AJ271,AJ272,AJ273,AJ274)</f>
        <v>0</v>
      </c>
      <c r="AK262" s="8" t="n">
        <f aca="false">SUM(AK263,AK264,AK265,AK266,AK267,AK268,AK269,AK270,AK271,AK272,AK273,AK274)</f>
        <v>0</v>
      </c>
      <c r="AL262" s="8" t="n">
        <f aca="false">SUM(AL263,AL264,AL265,AL266,AL267,AL268,AL269,AL270,AL271,AL272,AL273,AL274)</f>
        <v>0</v>
      </c>
      <c r="AM262" s="8" t="n">
        <f aca="false">SUM(AM263,AM264,AM265,AM266,AM267,AM268,AM269,AM270,AM271,AM272,AM273,AM274)</f>
        <v>0</v>
      </c>
      <c r="AN262" s="8" t="n">
        <f aca="false">SUM(AN263,AN264,AN265,AN266,AN267,AN268,AN269,AN270,AN271,AN272,AN273,AN274)</f>
        <v>0</v>
      </c>
      <c r="AO262" s="8" t="n">
        <f aca="false">SUM(AO263,AO264,AO265,AO266,AO267,AO268,AO269,AO270,AO271,AO272,AO273,AO274)</f>
        <v>0</v>
      </c>
      <c r="AP262" s="8" t="n">
        <f aca="false">SUM(AP263,AP264,AP265,AP266,AP267,AP268,AP269,AP270,AP271,AP272,AP273,AP274)</f>
        <v>0</v>
      </c>
      <c r="AQ262" s="8" t="n">
        <f aca="false">SUM(AQ263,AQ264,AQ265,AQ266,AQ267,AQ268,AQ269,AQ270,AQ271,AQ272,AQ273,AQ274)</f>
        <v>0</v>
      </c>
      <c r="AR262" s="8" t="n">
        <f aca="false">SUM(AR263,AR264,AR265,AR266,AR267,AR268,AR269,AR270,AR271,AR272,AR273,AR274)</f>
        <v>0</v>
      </c>
      <c r="AS262" s="8" t="n">
        <f aca="false">SUM(AS263,AS264,AS265,AS266,AS267,AS268,AS269,AS270,AS271,AS272,AS273,AS274)</f>
        <v>0</v>
      </c>
      <c r="AT262" s="8" t="n">
        <f aca="false">SUM(AT263,AT264,AT265,AT266,AT267,AT268,AT269,AT270,AT271,AT272,AT273,AT274)</f>
        <v>0</v>
      </c>
      <c r="AU262" s="8" t="n">
        <f aca="false">SUM(AU263,AU264,AU265,AU266,AU267,AU268,AU269,AU270,AU271,AU272,AU273,AU274)</f>
        <v>0</v>
      </c>
      <c r="AV262" s="8" t="n">
        <f aca="false">SUM(AV263,AV264,AV265,AV266,AV267,AV268,AV269,AV270,AV271,AV272,AV273,AV274)</f>
        <v>0</v>
      </c>
      <c r="AW262" s="8" t="n">
        <f aca="false">SUM(AW263,AW264,AW265,AW266,AW267,AW268,AW269,AW270,AW271,AW272,AW273,AW274)</f>
        <v>0</v>
      </c>
    </row>
    <row r="263" customFormat="false" ht="15" hidden="true" customHeight="true" outlineLevel="1" collapsed="false">
      <c r="A263" s="9" t="s">
        <v>12</v>
      </c>
      <c r="B263" s="9" t="s">
        <v>14</v>
      </c>
      <c r="C263" s="9" t="s">
        <v>21</v>
      </c>
      <c r="D263" s="9" t="s">
        <v>78</v>
      </c>
      <c r="E263" s="9" t="s">
        <v>110</v>
      </c>
      <c r="F263" s="10" t="n">
        <v>0</v>
      </c>
      <c r="G263" s="10" t="n">
        <v>0</v>
      </c>
      <c r="H263" s="10" t="n">
        <v>5</v>
      </c>
      <c r="I263" s="10" t="n">
        <v>-5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0" t="n">
        <v>0</v>
      </c>
      <c r="P263" s="10" t="n">
        <v>0</v>
      </c>
      <c r="Q263" s="10" t="n">
        <v>0</v>
      </c>
      <c r="R263" s="10" t="n">
        <v>0</v>
      </c>
      <c r="S263" s="10" t="n">
        <v>0</v>
      </c>
      <c r="T263" s="10" t="n">
        <v>0</v>
      </c>
      <c r="U263" s="10" t="n">
        <v>0</v>
      </c>
      <c r="V263" s="10" t="n">
        <v>0</v>
      </c>
      <c r="W263" s="10" t="n">
        <v>0</v>
      </c>
      <c r="X263" s="10" t="n">
        <v>0</v>
      </c>
      <c r="Y263" s="10" t="n">
        <v>0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10" t="n">
        <v>0</v>
      </c>
      <c r="AG263" s="10" t="n">
        <v>0</v>
      </c>
      <c r="AH263" s="10" t="n">
        <v>0</v>
      </c>
      <c r="AI263" s="10" t="n">
        <v>0</v>
      </c>
      <c r="AJ263" s="10" t="n">
        <v>0</v>
      </c>
      <c r="AK263" s="10" t="n">
        <v>0</v>
      </c>
      <c r="AL263" s="10" t="n">
        <v>0</v>
      </c>
      <c r="AM263" s="10" t="n">
        <v>0</v>
      </c>
      <c r="AN263" s="10" t="n">
        <v>0</v>
      </c>
      <c r="AO263" s="10" t="n">
        <v>0</v>
      </c>
      <c r="AP263" s="10" t="n">
        <v>0</v>
      </c>
      <c r="AQ263" s="10" t="n">
        <v>0</v>
      </c>
      <c r="AR263" s="10" t="n">
        <v>0</v>
      </c>
      <c r="AS263" s="10" t="n">
        <v>0</v>
      </c>
      <c r="AT263" s="10" t="n">
        <v>0</v>
      </c>
      <c r="AU263" s="10" t="n">
        <v>0</v>
      </c>
      <c r="AV263" s="10" t="n">
        <v>0</v>
      </c>
      <c r="AW263" s="10" t="n">
        <v>0</v>
      </c>
    </row>
    <row r="264" customFormat="false" ht="15" hidden="true" customHeight="true" outlineLevel="1" collapsed="false">
      <c r="A264" s="9" t="s">
        <v>12</v>
      </c>
      <c r="B264" s="9" t="s">
        <v>14</v>
      </c>
      <c r="C264" s="9" t="s">
        <v>21</v>
      </c>
      <c r="D264" s="9" t="s">
        <v>78</v>
      </c>
      <c r="E264" s="9" t="s">
        <v>82</v>
      </c>
      <c r="F264" s="10" t="n">
        <v>16</v>
      </c>
      <c r="G264" s="10" t="n">
        <v>16</v>
      </c>
      <c r="H264" s="10" t="n">
        <v>19</v>
      </c>
      <c r="I264" s="10" t="n">
        <v>-3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10" t="n">
        <v>0</v>
      </c>
      <c r="AG264" s="10" t="n">
        <v>0</v>
      </c>
      <c r="AH264" s="10" t="n">
        <v>0</v>
      </c>
      <c r="AI264" s="10" t="n">
        <v>0</v>
      </c>
      <c r="AJ264" s="10" t="n">
        <v>0</v>
      </c>
      <c r="AK264" s="10" t="n">
        <v>0</v>
      </c>
      <c r="AL264" s="10" t="n">
        <v>0</v>
      </c>
      <c r="AM264" s="10" t="n">
        <v>0</v>
      </c>
      <c r="AN264" s="10" t="n">
        <v>0</v>
      </c>
      <c r="AO264" s="10" t="n">
        <v>0</v>
      </c>
      <c r="AP264" s="10" t="n">
        <v>0</v>
      </c>
      <c r="AQ264" s="10" t="n">
        <v>0</v>
      </c>
      <c r="AR264" s="10" t="n">
        <v>0</v>
      </c>
      <c r="AS264" s="10" t="n">
        <v>0</v>
      </c>
      <c r="AT264" s="10" t="n">
        <v>0</v>
      </c>
      <c r="AU264" s="10" t="n">
        <v>0</v>
      </c>
      <c r="AV264" s="10" t="n">
        <v>0</v>
      </c>
      <c r="AW264" s="10" t="n">
        <v>0</v>
      </c>
    </row>
    <row r="265" customFormat="false" ht="15" hidden="true" customHeight="true" outlineLevel="1" collapsed="false">
      <c r="A265" s="9" t="s">
        <v>12</v>
      </c>
      <c r="B265" s="9" t="s">
        <v>14</v>
      </c>
      <c r="C265" s="9" t="s">
        <v>21</v>
      </c>
      <c r="D265" s="9" t="s">
        <v>78</v>
      </c>
      <c r="E265" s="9" t="s">
        <v>83</v>
      </c>
      <c r="F265" s="10" t="n">
        <v>10</v>
      </c>
      <c r="G265" s="10" t="n">
        <v>10</v>
      </c>
      <c r="H265" s="10" t="n">
        <v>26.5</v>
      </c>
      <c r="I265" s="10" t="n">
        <v>-16.5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0" t="n">
        <v>0</v>
      </c>
      <c r="P265" s="10" t="n">
        <v>0</v>
      </c>
      <c r="Q265" s="10" t="n">
        <v>0</v>
      </c>
      <c r="R265" s="10" t="n">
        <v>0</v>
      </c>
      <c r="S265" s="10" t="n">
        <v>0</v>
      </c>
      <c r="T265" s="10" t="n">
        <v>0</v>
      </c>
      <c r="U265" s="10" t="n">
        <v>0</v>
      </c>
      <c r="V265" s="10" t="n">
        <v>0</v>
      </c>
      <c r="W265" s="10" t="n">
        <v>0</v>
      </c>
      <c r="X265" s="10" t="n">
        <v>0</v>
      </c>
      <c r="Y265" s="10" t="n">
        <v>0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0" t="n">
        <v>0</v>
      </c>
      <c r="AF265" s="10" t="n">
        <v>0</v>
      </c>
      <c r="AG265" s="10" t="n">
        <v>0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n">
        <v>0</v>
      </c>
      <c r="AN265" s="10" t="n">
        <v>0</v>
      </c>
      <c r="AO265" s="10" t="n">
        <v>0</v>
      </c>
      <c r="AP265" s="10" t="n">
        <v>0</v>
      </c>
      <c r="AQ265" s="10" t="n">
        <v>0</v>
      </c>
      <c r="AR265" s="10" t="n">
        <v>0</v>
      </c>
      <c r="AS265" s="10" t="n">
        <v>0</v>
      </c>
      <c r="AT265" s="10" t="n">
        <v>0</v>
      </c>
      <c r="AU265" s="10" t="n">
        <v>0</v>
      </c>
      <c r="AV265" s="10" t="n">
        <v>0</v>
      </c>
      <c r="AW265" s="10" t="n">
        <v>0</v>
      </c>
    </row>
    <row r="266" customFormat="false" ht="15" hidden="true" customHeight="true" outlineLevel="1" collapsed="false">
      <c r="A266" s="9" t="s">
        <v>12</v>
      </c>
      <c r="B266" s="9" t="s">
        <v>14</v>
      </c>
      <c r="C266" s="9" t="s">
        <v>21</v>
      </c>
      <c r="D266" s="9" t="s">
        <v>78</v>
      </c>
      <c r="E266" s="9" t="s">
        <v>84</v>
      </c>
      <c r="F266" s="10" t="n">
        <v>0</v>
      </c>
      <c r="G266" s="10" t="n">
        <v>10</v>
      </c>
      <c r="H266" s="10" t="n">
        <v>10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0</v>
      </c>
      <c r="Q266" s="10" t="n">
        <v>5</v>
      </c>
      <c r="R266" s="10" t="n">
        <v>5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10" t="n">
        <v>0</v>
      </c>
      <c r="AG266" s="10" t="n">
        <v>0</v>
      </c>
      <c r="AH266" s="10" t="n">
        <v>0</v>
      </c>
      <c r="AI266" s="10" t="n">
        <v>0</v>
      </c>
      <c r="AJ266" s="10" t="n">
        <v>0</v>
      </c>
      <c r="AK266" s="10" t="n">
        <v>0</v>
      </c>
      <c r="AL266" s="10" t="n">
        <v>0</v>
      </c>
      <c r="AM266" s="10" t="n">
        <v>0</v>
      </c>
      <c r="AN266" s="10" t="n">
        <v>0</v>
      </c>
      <c r="AO266" s="10" t="n">
        <v>0</v>
      </c>
      <c r="AP266" s="10" t="n">
        <v>0</v>
      </c>
      <c r="AQ266" s="10" t="n">
        <v>0</v>
      </c>
      <c r="AR266" s="10" t="n">
        <v>0</v>
      </c>
      <c r="AS266" s="10" t="n">
        <v>0</v>
      </c>
      <c r="AT266" s="10" t="n">
        <v>0</v>
      </c>
      <c r="AU266" s="10" t="n">
        <v>0</v>
      </c>
      <c r="AV266" s="10" t="n">
        <v>0</v>
      </c>
      <c r="AW266" s="10" t="n">
        <v>0</v>
      </c>
    </row>
    <row r="267" customFormat="false" ht="15" hidden="true" customHeight="true" outlineLevel="1" collapsed="false">
      <c r="A267" s="9" t="s">
        <v>12</v>
      </c>
      <c r="B267" s="9" t="s">
        <v>14</v>
      </c>
      <c r="C267" s="9" t="s">
        <v>21</v>
      </c>
      <c r="D267" s="9" t="s">
        <v>78</v>
      </c>
      <c r="E267" s="9" t="s">
        <v>40</v>
      </c>
      <c r="F267" s="10" t="n">
        <v>0</v>
      </c>
      <c r="G267" s="10" t="n">
        <v>28</v>
      </c>
      <c r="H267" s="10" t="n">
        <v>50</v>
      </c>
      <c r="I267" s="10" t="n">
        <v>-22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0" t="n">
        <v>0</v>
      </c>
      <c r="P267" s="10" t="n">
        <v>0</v>
      </c>
      <c r="Q267" s="10" t="n">
        <v>0</v>
      </c>
      <c r="R267" s="10" t="n">
        <v>0</v>
      </c>
      <c r="S267" s="10" t="n">
        <v>0</v>
      </c>
      <c r="T267" s="10" t="n">
        <v>0</v>
      </c>
      <c r="U267" s="10" t="n">
        <v>0</v>
      </c>
      <c r="V267" s="10" t="n">
        <v>0</v>
      </c>
      <c r="W267" s="10" t="n">
        <v>0</v>
      </c>
      <c r="X267" s="10" t="n">
        <v>0</v>
      </c>
      <c r="Y267" s="10" t="n">
        <v>0</v>
      </c>
      <c r="Z267" s="10" t="n">
        <v>0</v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10" t="n">
        <v>10</v>
      </c>
      <c r="AG267" s="10" t="n">
        <v>15</v>
      </c>
      <c r="AH267" s="10" t="n">
        <v>25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n">
        <v>0</v>
      </c>
      <c r="AN267" s="10" t="n">
        <v>0</v>
      </c>
      <c r="AO267" s="10" t="n">
        <v>0</v>
      </c>
      <c r="AP267" s="10" t="n">
        <v>0</v>
      </c>
      <c r="AQ267" s="10" t="n">
        <v>0</v>
      </c>
      <c r="AR267" s="10" t="n">
        <v>0</v>
      </c>
      <c r="AS267" s="10" t="n">
        <v>0</v>
      </c>
      <c r="AT267" s="10" t="n">
        <v>0</v>
      </c>
      <c r="AU267" s="10" t="n">
        <v>0</v>
      </c>
      <c r="AV267" s="10" t="n">
        <v>0</v>
      </c>
      <c r="AW267" s="10" t="n">
        <v>0</v>
      </c>
    </row>
    <row r="268" customFormat="false" ht="15" hidden="true" customHeight="true" outlineLevel="1" collapsed="false">
      <c r="A268" s="9" t="s">
        <v>12</v>
      </c>
      <c r="B268" s="9" t="s">
        <v>14</v>
      </c>
      <c r="C268" s="9" t="s">
        <v>21</v>
      </c>
      <c r="D268" s="9" t="s">
        <v>78</v>
      </c>
      <c r="E268" s="9" t="s">
        <v>85</v>
      </c>
      <c r="F268" s="10" t="n">
        <v>166.5</v>
      </c>
      <c r="G268" s="10" t="n">
        <v>534.5</v>
      </c>
      <c r="H268" s="10" t="n">
        <v>768.5</v>
      </c>
      <c r="I268" s="10" t="n">
        <v>-234</v>
      </c>
      <c r="J268" s="10" t="n">
        <v>50</v>
      </c>
      <c r="K268" s="10" t="n">
        <v>49</v>
      </c>
      <c r="L268" s="10" t="n">
        <v>50</v>
      </c>
      <c r="M268" s="10" t="n">
        <v>8</v>
      </c>
      <c r="N268" s="10" t="n">
        <v>2</v>
      </c>
      <c r="O268" s="10" t="n">
        <v>6</v>
      </c>
      <c r="P268" s="10" t="n">
        <v>32</v>
      </c>
      <c r="Q268" s="10" t="n">
        <v>14</v>
      </c>
      <c r="R268" s="10" t="n">
        <v>32</v>
      </c>
      <c r="S268" s="10" t="n">
        <v>12</v>
      </c>
      <c r="T268" s="10" t="n">
        <v>2</v>
      </c>
      <c r="U268" s="10" t="n">
        <v>47</v>
      </c>
      <c r="V268" s="10" t="n">
        <v>44</v>
      </c>
      <c r="W268" s="10" t="n">
        <v>47</v>
      </c>
      <c r="X268" s="10" t="n">
        <v>2</v>
      </c>
      <c r="Y268" s="10" t="n">
        <v>17</v>
      </c>
      <c r="Z268" s="10" t="n">
        <v>2</v>
      </c>
      <c r="AA268" s="10" t="n">
        <v>0</v>
      </c>
      <c r="AB268" s="10" t="n">
        <v>25.5</v>
      </c>
      <c r="AC268" s="10" t="n">
        <v>32.5</v>
      </c>
      <c r="AD268" s="10" t="n">
        <v>22.5</v>
      </c>
      <c r="AE268" s="10" t="n">
        <v>35.5</v>
      </c>
      <c r="AF268" s="10" t="n">
        <v>19.5</v>
      </c>
      <c r="AG268" s="10" t="n">
        <v>16.5</v>
      </c>
      <c r="AH268" s="10" t="n">
        <v>15.5</v>
      </c>
      <c r="AI268" s="10" t="n">
        <v>2.5</v>
      </c>
      <c r="AJ268" s="10" t="n">
        <v>0</v>
      </c>
      <c r="AK268" s="10" t="n">
        <v>0</v>
      </c>
      <c r="AL268" s="10" t="n">
        <v>0</v>
      </c>
      <c r="AM268" s="10" t="n">
        <v>0</v>
      </c>
      <c r="AN268" s="10" t="n">
        <v>0</v>
      </c>
      <c r="AO268" s="10" t="n">
        <v>0</v>
      </c>
      <c r="AP268" s="10" t="n">
        <v>0</v>
      </c>
      <c r="AQ268" s="10" t="n">
        <v>0</v>
      </c>
      <c r="AR268" s="10" t="n">
        <v>0</v>
      </c>
      <c r="AS268" s="10" t="n">
        <v>0</v>
      </c>
      <c r="AT268" s="10" t="n">
        <v>0</v>
      </c>
      <c r="AU268" s="10" t="n">
        <v>0</v>
      </c>
      <c r="AV268" s="10" t="n">
        <v>0</v>
      </c>
      <c r="AW268" s="10" t="n">
        <v>0</v>
      </c>
    </row>
    <row r="269" customFormat="false" ht="15" hidden="true" customHeight="true" outlineLevel="1" collapsed="false">
      <c r="A269" s="9" t="s">
        <v>12</v>
      </c>
      <c r="B269" s="9" t="s">
        <v>14</v>
      </c>
      <c r="C269" s="9" t="s">
        <v>21</v>
      </c>
      <c r="D269" s="9" t="s">
        <v>78</v>
      </c>
      <c r="E269" s="9" t="s">
        <v>86</v>
      </c>
      <c r="F269" s="10" t="n">
        <v>0</v>
      </c>
      <c r="G269" s="10" t="n">
        <v>0</v>
      </c>
      <c r="H269" s="10" t="n">
        <v>38.5</v>
      </c>
      <c r="I269" s="10" t="n">
        <v>-38.5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n">
        <v>0</v>
      </c>
      <c r="S269" s="10" t="n">
        <v>0</v>
      </c>
      <c r="T269" s="10" t="n">
        <v>0</v>
      </c>
      <c r="U269" s="10" t="n">
        <v>0</v>
      </c>
      <c r="V269" s="10" t="n">
        <v>0</v>
      </c>
      <c r="W269" s="10" t="n">
        <v>0</v>
      </c>
      <c r="X269" s="10" t="n">
        <v>0</v>
      </c>
      <c r="Y269" s="10" t="n">
        <v>0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10" t="n">
        <v>0</v>
      </c>
      <c r="AG269" s="10" t="n">
        <v>0</v>
      </c>
      <c r="AH269" s="10" t="n">
        <v>0</v>
      </c>
      <c r="AI269" s="10" t="n">
        <v>0</v>
      </c>
      <c r="AJ269" s="10" t="n">
        <v>0</v>
      </c>
      <c r="AK269" s="10" t="n">
        <v>0</v>
      </c>
      <c r="AL269" s="10" t="n">
        <v>0</v>
      </c>
      <c r="AM269" s="10" t="n">
        <v>0</v>
      </c>
      <c r="AN269" s="10" t="n">
        <v>0</v>
      </c>
      <c r="AO269" s="10" t="n">
        <v>0</v>
      </c>
      <c r="AP269" s="10" t="n">
        <v>0</v>
      </c>
      <c r="AQ269" s="10" t="n">
        <v>0</v>
      </c>
      <c r="AR269" s="10" t="n">
        <v>0</v>
      </c>
      <c r="AS269" s="10" t="n">
        <v>0</v>
      </c>
      <c r="AT269" s="10" t="n">
        <v>0</v>
      </c>
      <c r="AU269" s="10" t="n">
        <v>0</v>
      </c>
      <c r="AV269" s="10" t="n">
        <v>0</v>
      </c>
      <c r="AW269" s="10" t="n">
        <v>0</v>
      </c>
    </row>
    <row r="270" customFormat="false" ht="15" hidden="true" customHeight="true" outlineLevel="1" collapsed="false">
      <c r="A270" s="9" t="s">
        <v>12</v>
      </c>
      <c r="B270" s="9" t="s">
        <v>14</v>
      </c>
      <c r="C270" s="9" t="s">
        <v>21</v>
      </c>
      <c r="D270" s="9" t="s">
        <v>78</v>
      </c>
      <c r="E270" s="9" t="s">
        <v>43</v>
      </c>
      <c r="F270" s="10" t="n">
        <v>40</v>
      </c>
      <c r="G270" s="10" t="n">
        <v>394</v>
      </c>
      <c r="H270" s="10" t="n">
        <v>304.5</v>
      </c>
      <c r="I270" s="10" t="n">
        <v>89.5</v>
      </c>
      <c r="J270" s="10" t="n">
        <v>21</v>
      </c>
      <c r="K270" s="10" t="n">
        <v>15</v>
      </c>
      <c r="L270" s="10" t="n">
        <v>15</v>
      </c>
      <c r="M270" s="10" t="n">
        <v>10</v>
      </c>
      <c r="N270" s="10" t="n">
        <v>10</v>
      </c>
      <c r="O270" s="10" t="n">
        <v>10</v>
      </c>
      <c r="P270" s="10" t="n">
        <v>5</v>
      </c>
      <c r="Q270" s="10" t="n">
        <v>5</v>
      </c>
      <c r="R270" s="10" t="n">
        <v>5</v>
      </c>
      <c r="S270" s="10" t="n">
        <v>10</v>
      </c>
      <c r="T270" s="10" t="n">
        <v>20</v>
      </c>
      <c r="U270" s="10" t="n">
        <v>20</v>
      </c>
      <c r="V270" s="10" t="n">
        <v>20</v>
      </c>
      <c r="W270" s="10" t="n">
        <v>20</v>
      </c>
      <c r="X270" s="10" t="n">
        <v>20</v>
      </c>
      <c r="Y270" s="10" t="n">
        <v>20</v>
      </c>
      <c r="Z270" s="10" t="n">
        <v>15</v>
      </c>
      <c r="AA270" s="10" t="n">
        <v>15</v>
      </c>
      <c r="AB270" s="10" t="n">
        <v>0</v>
      </c>
      <c r="AC270" s="10" t="n">
        <v>0</v>
      </c>
      <c r="AD270" s="10" t="n">
        <v>0</v>
      </c>
      <c r="AE270" s="10" t="n">
        <v>0</v>
      </c>
      <c r="AF270" s="10" t="n">
        <v>0</v>
      </c>
      <c r="AG270" s="10" t="n">
        <v>0</v>
      </c>
      <c r="AH270" s="10" t="n">
        <v>0</v>
      </c>
      <c r="AI270" s="10" t="n">
        <v>0</v>
      </c>
      <c r="AJ270" s="10" t="n">
        <v>0</v>
      </c>
      <c r="AK270" s="10" t="n">
        <v>0</v>
      </c>
      <c r="AL270" s="10" t="n">
        <v>0</v>
      </c>
      <c r="AM270" s="10" t="n">
        <v>0</v>
      </c>
      <c r="AN270" s="10" t="n">
        <v>0</v>
      </c>
      <c r="AO270" s="10" t="n">
        <v>0</v>
      </c>
      <c r="AP270" s="10" t="n">
        <v>0</v>
      </c>
      <c r="AQ270" s="10" t="n">
        <v>0</v>
      </c>
      <c r="AR270" s="10" t="n">
        <v>0</v>
      </c>
      <c r="AS270" s="10" t="n">
        <v>0</v>
      </c>
      <c r="AT270" s="10" t="n">
        <v>0</v>
      </c>
      <c r="AU270" s="10" t="n">
        <v>0</v>
      </c>
      <c r="AV270" s="10" t="n">
        <v>0</v>
      </c>
      <c r="AW270" s="10" t="n">
        <v>0</v>
      </c>
    </row>
    <row r="271" customFormat="false" ht="15" hidden="true" customHeight="true" outlineLevel="1" collapsed="false">
      <c r="A271" s="9" t="s">
        <v>12</v>
      </c>
      <c r="B271" s="9" t="s">
        <v>14</v>
      </c>
      <c r="C271" s="9" t="s">
        <v>21</v>
      </c>
      <c r="D271" s="9" t="s">
        <v>78</v>
      </c>
      <c r="E271" s="9" t="s">
        <v>93</v>
      </c>
      <c r="F271" s="10" t="n">
        <v>16</v>
      </c>
      <c r="G271" s="10" t="n">
        <v>16</v>
      </c>
      <c r="H271" s="10" t="n">
        <v>16</v>
      </c>
      <c r="I271" s="10" t="n">
        <v>0</v>
      </c>
      <c r="J271" s="10" t="n">
        <v>0</v>
      </c>
      <c r="K271" s="10" t="n">
        <v>0</v>
      </c>
      <c r="L271" s="10" t="n">
        <v>0</v>
      </c>
      <c r="M271" s="10" t="n">
        <v>0</v>
      </c>
      <c r="N271" s="10" t="n">
        <v>0</v>
      </c>
      <c r="O271" s="10" t="n">
        <v>0</v>
      </c>
      <c r="P271" s="10" t="n">
        <v>0</v>
      </c>
      <c r="Q271" s="10" t="n">
        <v>0</v>
      </c>
      <c r="R271" s="10" t="n">
        <v>0</v>
      </c>
      <c r="S271" s="10" t="n">
        <v>0</v>
      </c>
      <c r="T271" s="10" t="n">
        <v>0</v>
      </c>
      <c r="U271" s="10" t="n">
        <v>0</v>
      </c>
      <c r="V271" s="10" t="n">
        <v>0</v>
      </c>
      <c r="W271" s="10" t="n">
        <v>0</v>
      </c>
      <c r="X271" s="10" t="n">
        <v>0</v>
      </c>
      <c r="Y271" s="10" t="n">
        <v>0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0" t="n">
        <v>0</v>
      </c>
      <c r="AE271" s="10" t="n">
        <v>0</v>
      </c>
      <c r="AF271" s="10" t="n">
        <v>0</v>
      </c>
      <c r="AG271" s="10" t="n">
        <v>0</v>
      </c>
      <c r="AH271" s="10" t="n">
        <v>0</v>
      </c>
      <c r="AI271" s="10" t="n">
        <v>0</v>
      </c>
      <c r="AJ271" s="10" t="n">
        <v>0</v>
      </c>
      <c r="AK271" s="10" t="n">
        <v>0</v>
      </c>
      <c r="AL271" s="10" t="n">
        <v>0</v>
      </c>
      <c r="AM271" s="10" t="n">
        <v>0</v>
      </c>
      <c r="AN271" s="10" t="n">
        <v>0</v>
      </c>
      <c r="AO271" s="10" t="n">
        <v>0</v>
      </c>
      <c r="AP271" s="10" t="n">
        <v>0</v>
      </c>
      <c r="AQ271" s="10" t="n">
        <v>0</v>
      </c>
      <c r="AR271" s="10" t="n">
        <v>0</v>
      </c>
      <c r="AS271" s="10" t="n">
        <v>0</v>
      </c>
      <c r="AT271" s="10" t="n">
        <v>0</v>
      </c>
      <c r="AU271" s="10" t="n">
        <v>0</v>
      </c>
      <c r="AV271" s="10" t="n">
        <v>0</v>
      </c>
      <c r="AW271" s="10" t="n">
        <v>0</v>
      </c>
    </row>
    <row r="272" customFormat="false" ht="15" hidden="true" customHeight="true" outlineLevel="1" collapsed="false">
      <c r="A272" s="9" t="s">
        <v>12</v>
      </c>
      <c r="B272" s="9" t="s">
        <v>14</v>
      </c>
      <c r="C272" s="9" t="s">
        <v>21</v>
      </c>
      <c r="D272" s="9" t="s">
        <v>78</v>
      </c>
      <c r="E272" s="9" t="s">
        <v>87</v>
      </c>
      <c r="F272" s="10" t="n">
        <v>16</v>
      </c>
      <c r="G272" s="10" t="n">
        <v>16</v>
      </c>
      <c r="H272" s="10" t="n">
        <v>29.5</v>
      </c>
      <c r="I272" s="10" t="n">
        <v>-13.5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10" t="n">
        <v>0</v>
      </c>
      <c r="AG272" s="10" t="n">
        <v>0</v>
      </c>
      <c r="AH272" s="10" t="n">
        <v>0</v>
      </c>
      <c r="AI272" s="10" t="n">
        <v>0</v>
      </c>
      <c r="AJ272" s="10" t="n">
        <v>0</v>
      </c>
      <c r="AK272" s="10" t="n">
        <v>0</v>
      </c>
      <c r="AL272" s="10" t="n">
        <v>0</v>
      </c>
      <c r="AM272" s="10" t="n">
        <v>0</v>
      </c>
      <c r="AN272" s="10" t="n">
        <v>0</v>
      </c>
      <c r="AO272" s="10" t="n">
        <v>0</v>
      </c>
      <c r="AP272" s="10" t="n">
        <v>0</v>
      </c>
      <c r="AQ272" s="10" t="n">
        <v>0</v>
      </c>
      <c r="AR272" s="10" t="n">
        <v>0</v>
      </c>
      <c r="AS272" s="10" t="n">
        <v>0</v>
      </c>
      <c r="AT272" s="10" t="n">
        <v>0</v>
      </c>
      <c r="AU272" s="10" t="n">
        <v>0</v>
      </c>
      <c r="AV272" s="10" t="n">
        <v>0</v>
      </c>
      <c r="AW272" s="10" t="n">
        <v>0</v>
      </c>
    </row>
    <row r="273" customFormat="false" ht="15" hidden="true" customHeight="true" outlineLevel="1" collapsed="false">
      <c r="A273" s="9" t="s">
        <v>12</v>
      </c>
      <c r="B273" s="9" t="s">
        <v>14</v>
      </c>
      <c r="C273" s="9" t="s">
        <v>21</v>
      </c>
      <c r="D273" s="9" t="s">
        <v>78</v>
      </c>
      <c r="E273" s="9" t="s">
        <v>88</v>
      </c>
      <c r="F273" s="10" t="n">
        <v>0</v>
      </c>
      <c r="G273" s="10" t="n">
        <v>16</v>
      </c>
      <c r="H273" s="10" t="n">
        <v>16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12</v>
      </c>
      <c r="R273" s="10" t="n">
        <v>4</v>
      </c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  <c r="X273" s="10" t="n">
        <v>0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10" t="n">
        <v>0</v>
      </c>
      <c r="AG273" s="10" t="n">
        <v>0</v>
      </c>
      <c r="AH273" s="10" t="n">
        <v>0</v>
      </c>
      <c r="AI273" s="10" t="n">
        <v>0</v>
      </c>
      <c r="AJ273" s="10" t="n">
        <v>0</v>
      </c>
      <c r="AK273" s="10" t="n">
        <v>0</v>
      </c>
      <c r="AL273" s="10" t="n">
        <v>0</v>
      </c>
      <c r="AM273" s="10" t="n">
        <v>0</v>
      </c>
      <c r="AN273" s="10" t="n">
        <v>0</v>
      </c>
      <c r="AO273" s="10" t="n">
        <v>0</v>
      </c>
      <c r="AP273" s="10" t="n">
        <v>0</v>
      </c>
      <c r="AQ273" s="10" t="n">
        <v>0</v>
      </c>
      <c r="AR273" s="10" t="n">
        <v>0</v>
      </c>
      <c r="AS273" s="10" t="n">
        <v>0</v>
      </c>
      <c r="AT273" s="10" t="n">
        <v>0</v>
      </c>
      <c r="AU273" s="10" t="n">
        <v>0</v>
      </c>
      <c r="AV273" s="10" t="n">
        <v>0</v>
      </c>
      <c r="AW273" s="10" t="n">
        <v>0</v>
      </c>
    </row>
    <row r="274" customFormat="false" ht="15" hidden="true" customHeight="true" outlineLevel="1" collapsed="false">
      <c r="A274" s="9" t="s">
        <v>12</v>
      </c>
      <c r="B274" s="9" t="s">
        <v>14</v>
      </c>
      <c r="C274" s="9" t="s">
        <v>21</v>
      </c>
      <c r="D274" s="9" t="s">
        <v>78</v>
      </c>
      <c r="E274" s="9" t="s">
        <v>105</v>
      </c>
      <c r="F274" s="10" t="n">
        <v>1</v>
      </c>
      <c r="G274" s="10" t="n">
        <v>1</v>
      </c>
      <c r="H274" s="10" t="n">
        <v>27</v>
      </c>
      <c r="I274" s="10" t="n">
        <v>-26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0</v>
      </c>
      <c r="T274" s="10" t="n">
        <v>0</v>
      </c>
      <c r="U274" s="10" t="n">
        <v>0</v>
      </c>
      <c r="V274" s="10" t="n">
        <v>0</v>
      </c>
      <c r="W274" s="10" t="n">
        <v>0</v>
      </c>
      <c r="X274" s="10" t="n">
        <v>0</v>
      </c>
      <c r="Y274" s="10" t="n">
        <v>0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10" t="n">
        <v>0</v>
      </c>
      <c r="AG274" s="10" t="n">
        <v>0</v>
      </c>
      <c r="AH274" s="10" t="n">
        <v>0</v>
      </c>
      <c r="AI274" s="10" t="n">
        <v>0</v>
      </c>
      <c r="AJ274" s="10" t="n">
        <v>0</v>
      </c>
      <c r="AK274" s="10" t="n">
        <v>0</v>
      </c>
      <c r="AL274" s="10" t="n">
        <v>0</v>
      </c>
      <c r="AM274" s="10" t="n">
        <v>0</v>
      </c>
      <c r="AN274" s="10" t="n">
        <v>0</v>
      </c>
      <c r="AO274" s="10" t="n">
        <v>0</v>
      </c>
      <c r="AP274" s="10" t="n">
        <v>0</v>
      </c>
      <c r="AQ274" s="10" t="n">
        <v>0</v>
      </c>
      <c r="AR274" s="10" t="n">
        <v>0</v>
      </c>
      <c r="AS274" s="10" t="n">
        <v>0</v>
      </c>
      <c r="AT274" s="10" t="n">
        <v>0</v>
      </c>
      <c r="AU274" s="10" t="n">
        <v>0</v>
      </c>
      <c r="AV274" s="10" t="n">
        <v>0</v>
      </c>
      <c r="AW274" s="10" t="n">
        <v>0</v>
      </c>
    </row>
    <row r="275" customFormat="false" ht="15" hidden="false" customHeight="true" outlineLevel="0" collapsed="false">
      <c r="A275" s="7" t="s">
        <v>29</v>
      </c>
      <c r="B275" s="7" t="s">
        <v>14</v>
      </c>
      <c r="C275" s="7" t="s">
        <v>32</v>
      </c>
      <c r="D275" s="7" t="s">
        <v>76</v>
      </c>
      <c r="E275" s="7" t="s">
        <v>77</v>
      </c>
      <c r="F275" s="8" t="n">
        <f aca="false">SUM(F276,F277)</f>
        <v>310</v>
      </c>
      <c r="G275" s="8" t="n">
        <f aca="false">SUM(G276,G277)</f>
        <v>1255</v>
      </c>
      <c r="H275" s="8" t="n">
        <f aca="false">SUM(H276,H277)</f>
        <v>1178</v>
      </c>
      <c r="I275" s="8" t="n">
        <f aca="false">SUM(I276,I277)</f>
        <v>77</v>
      </c>
      <c r="J275" s="8" t="n">
        <f aca="false">SUM(J276,J277)</f>
        <v>20</v>
      </c>
      <c r="K275" s="8" t="n">
        <f aca="false">SUM(K276,K277)</f>
        <v>18</v>
      </c>
      <c r="L275" s="8" t="n">
        <f aca="false">SUM(L276,L277)</f>
        <v>18</v>
      </c>
      <c r="M275" s="8" t="n">
        <f aca="false">SUM(M276,M277)</f>
        <v>18</v>
      </c>
      <c r="N275" s="8" t="n">
        <f aca="false">SUM(N276,N277)</f>
        <v>25</v>
      </c>
      <c r="O275" s="8" t="n">
        <f aca="false">SUM(O276,O277)</f>
        <v>35</v>
      </c>
      <c r="P275" s="12" t="n">
        <f aca="false">SUM(P276,P277)</f>
        <v>50</v>
      </c>
      <c r="Q275" s="8" t="n">
        <f aca="false">SUM(Q276,Q277)</f>
        <v>40</v>
      </c>
      <c r="R275" s="8" t="n">
        <f aca="false">SUM(R276,R277)</f>
        <v>40</v>
      </c>
      <c r="S275" s="8" t="n">
        <f aca="false">SUM(S276,S277)</f>
        <v>15</v>
      </c>
      <c r="T275" s="8" t="n">
        <f aca="false">SUM(T276,T277)</f>
        <v>15</v>
      </c>
      <c r="U275" s="8" t="n">
        <f aca="false">SUM(U276,U277)</f>
        <v>15</v>
      </c>
      <c r="V275" s="8" t="n">
        <f aca="false">SUM(V276,V277)</f>
        <v>15</v>
      </c>
      <c r="W275" s="8" t="n">
        <f aca="false">SUM(W276,W277)</f>
        <v>5</v>
      </c>
      <c r="X275" s="8" t="n">
        <f aca="false">SUM(X276,X277)</f>
        <v>5</v>
      </c>
      <c r="Y275" s="8" t="n">
        <f aca="false">SUM(Y276,Y277)</f>
        <v>5</v>
      </c>
      <c r="Z275" s="8" t="n">
        <f aca="false">SUM(Z276,Z277)</f>
        <v>0</v>
      </c>
      <c r="AA275" s="8" t="n">
        <f aca="false">SUM(AA276,AA277)</f>
        <v>0</v>
      </c>
      <c r="AB275" s="8" t="n">
        <f aca="false">SUM(AB276,AB277)</f>
        <v>30</v>
      </c>
      <c r="AC275" s="8" t="n">
        <f aca="false">SUM(AC276,AC277)</f>
        <v>40</v>
      </c>
      <c r="AD275" s="8" t="n">
        <f aca="false">SUM(AD276,AD277)</f>
        <v>55</v>
      </c>
      <c r="AE275" s="8" t="n">
        <f aca="false">SUM(AE276,AE277)</f>
        <v>55</v>
      </c>
      <c r="AF275" s="8" t="n">
        <f aca="false">SUM(AF276,AF277)</f>
        <v>55</v>
      </c>
      <c r="AG275" s="8" t="n">
        <f aca="false">SUM(AG276,AG277)</f>
        <v>55</v>
      </c>
      <c r="AH275" s="8" t="n">
        <f aca="false">SUM(AH276,AH277)</f>
        <v>50</v>
      </c>
      <c r="AI275" s="8" t="n">
        <f aca="false">SUM(AI276,AI277)</f>
        <v>25</v>
      </c>
      <c r="AJ275" s="8" t="n">
        <f aca="false">SUM(AJ276,AJ277)</f>
        <v>25</v>
      </c>
      <c r="AK275" s="8" t="n">
        <f aca="false">SUM(AK276,AK277)</f>
        <v>25</v>
      </c>
      <c r="AL275" s="8" t="n">
        <f aca="false">SUM(AL276,AL277)</f>
        <v>25</v>
      </c>
      <c r="AM275" s="8" t="n">
        <f aca="false">SUM(AM276,AM277)</f>
        <v>25</v>
      </c>
      <c r="AN275" s="8" t="n">
        <f aca="false">SUM(AN276,AN277)</f>
        <v>25</v>
      </c>
      <c r="AO275" s="8" t="n">
        <f aca="false">SUM(AO276,AO277)</f>
        <v>25</v>
      </c>
      <c r="AP275" s="8" t="n">
        <f aca="false">SUM(AP276,AP277)</f>
        <v>25</v>
      </c>
      <c r="AQ275" s="8" t="n">
        <f aca="false">SUM(AQ276,AQ277)</f>
        <v>10</v>
      </c>
      <c r="AR275" s="8" t="n">
        <f aca="false">SUM(AR276,AR277)</f>
        <v>10</v>
      </c>
      <c r="AS275" s="8" t="n">
        <f aca="false">SUM(AS276,AS277)</f>
        <v>5</v>
      </c>
      <c r="AT275" s="8" t="n">
        <f aca="false">SUM(AT276,AT277)</f>
        <v>0</v>
      </c>
      <c r="AU275" s="8" t="n">
        <f aca="false">SUM(AU276,AU277)</f>
        <v>0</v>
      </c>
      <c r="AV275" s="8" t="n">
        <f aca="false">SUM(AV276,AV277)</f>
        <v>0</v>
      </c>
      <c r="AW275" s="8" t="n">
        <f aca="false">SUM(AW276,AW277)</f>
        <v>0</v>
      </c>
    </row>
    <row r="276" customFormat="false" ht="15" hidden="true" customHeight="true" outlineLevel="1" collapsed="false">
      <c r="A276" s="9" t="s">
        <v>29</v>
      </c>
      <c r="B276" s="9" t="s">
        <v>14</v>
      </c>
      <c r="C276" s="9" t="s">
        <v>32</v>
      </c>
      <c r="D276" s="9" t="s">
        <v>78</v>
      </c>
      <c r="E276" s="9" t="s">
        <v>91</v>
      </c>
      <c r="F276" s="10" t="n">
        <v>50</v>
      </c>
      <c r="G276" s="10" t="n">
        <v>455</v>
      </c>
      <c r="H276" s="10" t="n">
        <v>548</v>
      </c>
      <c r="I276" s="10" t="n">
        <v>-93</v>
      </c>
      <c r="J276" s="10" t="n">
        <v>10</v>
      </c>
      <c r="K276" s="10" t="n">
        <v>10</v>
      </c>
      <c r="L276" s="10" t="n">
        <v>10</v>
      </c>
      <c r="M276" s="10" t="n">
        <v>10</v>
      </c>
      <c r="N276" s="10" t="n">
        <v>20</v>
      </c>
      <c r="O276" s="10" t="n">
        <v>30</v>
      </c>
      <c r="P276" s="10" t="n">
        <v>30</v>
      </c>
      <c r="Q276" s="10" t="n">
        <v>20</v>
      </c>
      <c r="R276" s="10" t="n">
        <v>20</v>
      </c>
      <c r="S276" s="10" t="n">
        <v>10</v>
      </c>
      <c r="T276" s="10" t="n">
        <v>10</v>
      </c>
      <c r="U276" s="10" t="n">
        <v>10</v>
      </c>
      <c r="V276" s="10" t="n">
        <v>10</v>
      </c>
      <c r="W276" s="10" t="n">
        <v>0</v>
      </c>
      <c r="X276" s="10" t="n">
        <v>0</v>
      </c>
      <c r="Y276" s="10" t="n">
        <v>0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10" t="n">
        <v>0</v>
      </c>
      <c r="AG276" s="10" t="n">
        <v>0</v>
      </c>
      <c r="AH276" s="10" t="n">
        <v>0</v>
      </c>
      <c r="AI276" s="10" t="n">
        <v>5</v>
      </c>
      <c r="AJ276" s="10" t="n">
        <v>25</v>
      </c>
      <c r="AK276" s="10" t="n">
        <v>25</v>
      </c>
      <c r="AL276" s="10" t="n">
        <v>25</v>
      </c>
      <c r="AM276" s="10" t="n">
        <v>25</v>
      </c>
      <c r="AN276" s="10" t="n">
        <v>25</v>
      </c>
      <c r="AO276" s="10" t="n">
        <v>25</v>
      </c>
      <c r="AP276" s="10" t="n">
        <v>25</v>
      </c>
      <c r="AQ276" s="10" t="n">
        <v>10</v>
      </c>
      <c r="AR276" s="10" t="n">
        <v>10</v>
      </c>
      <c r="AS276" s="10" t="n">
        <v>5</v>
      </c>
      <c r="AT276" s="10" t="n">
        <v>0</v>
      </c>
      <c r="AU276" s="10" t="n">
        <v>0</v>
      </c>
      <c r="AV276" s="10" t="n">
        <v>0</v>
      </c>
      <c r="AW276" s="10" t="n">
        <v>0</v>
      </c>
    </row>
    <row r="277" customFormat="false" ht="15" hidden="true" customHeight="true" outlineLevel="1" collapsed="false">
      <c r="A277" s="9" t="s">
        <v>29</v>
      </c>
      <c r="B277" s="9" t="s">
        <v>14</v>
      </c>
      <c r="C277" s="9" t="s">
        <v>32</v>
      </c>
      <c r="D277" s="9" t="s">
        <v>78</v>
      </c>
      <c r="E277" s="9" t="s">
        <v>92</v>
      </c>
      <c r="F277" s="10" t="n">
        <v>260</v>
      </c>
      <c r="G277" s="10" t="n">
        <v>800</v>
      </c>
      <c r="H277" s="10" t="n">
        <v>630</v>
      </c>
      <c r="I277" s="10" t="n">
        <v>170</v>
      </c>
      <c r="J277" s="10" t="n">
        <v>10</v>
      </c>
      <c r="K277" s="10" t="n">
        <v>8</v>
      </c>
      <c r="L277" s="10" t="n">
        <v>8</v>
      </c>
      <c r="M277" s="10" t="n">
        <v>8</v>
      </c>
      <c r="N277" s="10" t="n">
        <v>5</v>
      </c>
      <c r="O277" s="10" t="n">
        <v>5</v>
      </c>
      <c r="P277" s="10" t="n">
        <v>20</v>
      </c>
      <c r="Q277" s="10" t="n">
        <v>20</v>
      </c>
      <c r="R277" s="10" t="n">
        <v>20</v>
      </c>
      <c r="S277" s="10" t="n">
        <v>5</v>
      </c>
      <c r="T277" s="10" t="n">
        <v>5</v>
      </c>
      <c r="U277" s="10" t="n">
        <v>5</v>
      </c>
      <c r="V277" s="10" t="n">
        <v>5</v>
      </c>
      <c r="W277" s="10" t="n">
        <v>5</v>
      </c>
      <c r="X277" s="10" t="n">
        <v>5</v>
      </c>
      <c r="Y277" s="10" t="n">
        <v>5</v>
      </c>
      <c r="Z277" s="10" t="n">
        <v>0</v>
      </c>
      <c r="AA277" s="10" t="n">
        <v>0</v>
      </c>
      <c r="AB277" s="10" t="n">
        <v>30</v>
      </c>
      <c r="AC277" s="10" t="n">
        <v>40</v>
      </c>
      <c r="AD277" s="10" t="n">
        <v>55</v>
      </c>
      <c r="AE277" s="10" t="n">
        <v>55</v>
      </c>
      <c r="AF277" s="10" t="n">
        <v>55</v>
      </c>
      <c r="AG277" s="10" t="n">
        <v>55</v>
      </c>
      <c r="AH277" s="10" t="n">
        <v>50</v>
      </c>
      <c r="AI277" s="10" t="n">
        <v>20</v>
      </c>
      <c r="AJ277" s="10" t="n">
        <v>0</v>
      </c>
      <c r="AK277" s="10" t="n">
        <v>0</v>
      </c>
      <c r="AL277" s="10" t="n">
        <v>0</v>
      </c>
      <c r="AM277" s="10" t="n">
        <v>0</v>
      </c>
      <c r="AN277" s="10" t="n">
        <v>0</v>
      </c>
      <c r="AO277" s="10" t="n">
        <v>0</v>
      </c>
      <c r="AP277" s="10" t="n">
        <v>0</v>
      </c>
      <c r="AQ277" s="10" t="n">
        <v>0</v>
      </c>
      <c r="AR277" s="10" t="n">
        <v>0</v>
      </c>
      <c r="AS277" s="10" t="n">
        <v>0</v>
      </c>
      <c r="AT277" s="10" t="n">
        <v>0</v>
      </c>
      <c r="AU277" s="10" t="n">
        <v>0</v>
      </c>
      <c r="AV277" s="10" t="n">
        <v>0</v>
      </c>
      <c r="AW277" s="10" t="n">
        <v>0</v>
      </c>
    </row>
    <row r="278" customFormat="false" ht="15" hidden="false" customHeight="true" outlineLevel="0" collapsed="false">
      <c r="A278" s="7" t="s">
        <v>12</v>
      </c>
      <c r="B278" s="7" t="s">
        <v>14</v>
      </c>
      <c r="C278" s="7" t="s">
        <v>30</v>
      </c>
      <c r="D278" s="7" t="s">
        <v>76</v>
      </c>
      <c r="E278" s="7" t="s">
        <v>77</v>
      </c>
      <c r="F278" s="8" t="n">
        <f aca="false">SUM(F279,F280,F281,F282,F283,F284,F285,F286)</f>
        <v>332.5</v>
      </c>
      <c r="G278" s="8" t="n">
        <f aca="false">SUM(G279,G280,G281,G282,G283,G284,G285,G286)</f>
        <v>828.5</v>
      </c>
      <c r="H278" s="8" t="n">
        <f aca="false">SUM(H279,H280,H281,H282,H283,H284,H285,H286)</f>
        <v>1016</v>
      </c>
      <c r="I278" s="8" t="n">
        <f aca="false">SUM(I279,I280,I281,I282,I283,I284,I285,I286)</f>
        <v>-187.5</v>
      </c>
      <c r="J278" s="8" t="n">
        <f aca="false">SUM(J279,J280,J281,J282,J283,J284,J285,J286)</f>
        <v>23</v>
      </c>
      <c r="K278" s="8" t="n">
        <f aca="false">SUM(K279,K280,K281,K282,K283,K284,K285,K286)</f>
        <v>19</v>
      </c>
      <c r="L278" s="8" t="n">
        <f aca="false">SUM(L279,L280,L281,L282,L283,L284,L285,L286)</f>
        <v>34</v>
      </c>
      <c r="M278" s="8" t="n">
        <f aca="false">SUM(M279,M280,M281,M282,M283,M284,M285,M286)</f>
        <v>19</v>
      </c>
      <c r="N278" s="8" t="n">
        <f aca="false">SUM(N279,N280,N281,N282,N283,N284,N285,N286)</f>
        <v>17</v>
      </c>
      <c r="O278" s="8" t="n">
        <f aca="false">SUM(O279,O280,O281,O282,O283,O284,O285,O286)</f>
        <v>24</v>
      </c>
      <c r="P278" s="12" t="n">
        <f aca="false">SUM(P279,P280,P281,P282,P283,P284,P285,P286)</f>
        <v>55</v>
      </c>
      <c r="Q278" s="8" t="n">
        <f aca="false">SUM(Q279,Q280,Q281,Q282,Q283,Q284,Q285,Q286)</f>
        <v>29</v>
      </c>
      <c r="R278" s="8" t="n">
        <f aca="false">SUM(R279,R280,R281,R282,R283,R284,R285,R286)</f>
        <v>17</v>
      </c>
      <c r="S278" s="8" t="n">
        <f aca="false">SUM(S279,S280,S281,S282,S283,S284,S285,S286)</f>
        <v>5</v>
      </c>
      <c r="T278" s="8" t="n">
        <f aca="false">SUM(T279,T280,T281,T282,T283,T284,T285,T286)</f>
        <v>3</v>
      </c>
      <c r="U278" s="8" t="n">
        <f aca="false">SUM(U279,U280,U281,U282,U283,U284,U285,U286)</f>
        <v>2</v>
      </c>
      <c r="V278" s="8" t="n">
        <f aca="false">SUM(V279,V280,V281,V282,V283,V284,V285,V286)</f>
        <v>2</v>
      </c>
      <c r="W278" s="8" t="n">
        <f aca="false">SUM(W279,W280,W281,W282,W283,W284,W285,W286)</f>
        <v>2</v>
      </c>
      <c r="X278" s="8" t="n">
        <f aca="false">SUM(X279,X280,X281,X282,X283,X284,X285,X286)</f>
        <v>2</v>
      </c>
      <c r="Y278" s="8" t="n">
        <f aca="false">SUM(Y279,Y280,Y281,Y282,Y283,Y284,Y285,Y286)</f>
        <v>17</v>
      </c>
      <c r="Z278" s="8" t="n">
        <f aca="false">SUM(Z279,Z280,Z281,Z282,Z283,Z284,Z285,Z286)</f>
        <v>2</v>
      </c>
      <c r="AA278" s="8" t="n">
        <f aca="false">SUM(AA279,AA280,AA281,AA282,AA283,AA284,AA285,AA286)</f>
        <v>0</v>
      </c>
      <c r="AB278" s="8" t="n">
        <f aca="false">SUM(AB279,AB280,AB281,AB282,AB283,AB284,AB285,AB286)</f>
        <v>9</v>
      </c>
      <c r="AC278" s="8" t="n">
        <f aca="false">SUM(AC279,AC280,AC281,AC282,AC283,AC284,AC285,AC286)</f>
        <v>40</v>
      </c>
      <c r="AD278" s="8" t="n">
        <f aca="false">SUM(AD279,AD280,AD281,AD282,AD283,AD284,AD285,AD286)</f>
        <v>12</v>
      </c>
      <c r="AE278" s="8" t="n">
        <f aca="false">SUM(AE279,AE280,AE281,AE282,AE283,AE284,AE285,AE286)</f>
        <v>14</v>
      </c>
      <c r="AF278" s="8" t="n">
        <f aca="false">SUM(AF279,AF280,AF281,AF282,AF283,AF284,AF285,AF286)</f>
        <v>50</v>
      </c>
      <c r="AG278" s="8" t="n">
        <f aca="false">SUM(AG279,AG280,AG281,AG282,AG283,AG284,AG285,AG286)</f>
        <v>44</v>
      </c>
      <c r="AH278" s="8" t="n">
        <f aca="false">SUM(AH279,AH280,AH281,AH282,AH283,AH284,AH285,AH286)</f>
        <v>40</v>
      </c>
      <c r="AI278" s="8" t="n">
        <f aca="false">SUM(AI279,AI280,AI281,AI282,AI283,AI284,AI285,AI286)</f>
        <v>32</v>
      </c>
      <c r="AJ278" s="8" t="n">
        <f aca="false">SUM(AJ279,AJ280,AJ281,AJ282,AJ283,AJ284,AJ285,AJ286)</f>
        <v>30</v>
      </c>
      <c r="AK278" s="8" t="n">
        <f aca="false">SUM(AK279,AK280,AK281,AK282,AK283,AK284,AK285,AK286)</f>
        <v>30</v>
      </c>
      <c r="AL278" s="8" t="n">
        <f aca="false">SUM(AL279,AL280,AL281,AL282,AL283,AL284,AL285,AL286)</f>
        <v>30</v>
      </c>
      <c r="AM278" s="8" t="n">
        <f aca="false">SUM(AM279,AM280,AM281,AM282,AM283,AM284,AM285,AM286)</f>
        <v>0</v>
      </c>
      <c r="AN278" s="8" t="n">
        <f aca="false">SUM(AN279,AN280,AN281,AN282,AN283,AN284,AN285,AN286)</f>
        <v>0</v>
      </c>
      <c r="AO278" s="8" t="n">
        <f aca="false">SUM(AO279,AO280,AO281,AO282,AO283,AO284,AO285,AO286)</f>
        <v>0</v>
      </c>
      <c r="AP278" s="8" t="n">
        <f aca="false">SUM(AP279,AP280,AP281,AP282,AP283,AP284,AP285,AP286)</f>
        <v>0</v>
      </c>
      <c r="AQ278" s="8" t="n">
        <f aca="false">SUM(AQ279,AQ280,AQ281,AQ282,AQ283,AQ284,AQ285,AQ286)</f>
        <v>0</v>
      </c>
      <c r="AR278" s="8" t="n">
        <f aca="false">SUM(AR279,AR280,AR281,AR282,AR283,AR284,AR285,AR286)</f>
        <v>0</v>
      </c>
      <c r="AS278" s="8" t="n">
        <f aca="false">SUM(AS279,AS280,AS281,AS282,AS283,AS284,AS285,AS286)</f>
        <v>0</v>
      </c>
      <c r="AT278" s="8" t="n">
        <f aca="false">SUM(AT279,AT280,AT281,AT282,AT283,AT284,AT285,AT286)</f>
        <v>0</v>
      </c>
      <c r="AU278" s="8" t="n">
        <f aca="false">SUM(AU279,AU280,AU281,AU282,AU283,AU284,AU285,AU286)</f>
        <v>0</v>
      </c>
      <c r="AV278" s="8" t="n">
        <f aca="false">SUM(AV279,AV280,AV281,AV282,AV283,AV284,AV285,AV286)</f>
        <v>0</v>
      </c>
      <c r="AW278" s="8" t="n">
        <f aca="false">SUM(AW279,AW280,AW281,AW282,AW283,AW284,AW285,AW286)</f>
        <v>0</v>
      </c>
    </row>
    <row r="279" customFormat="false" ht="15" hidden="true" customHeight="true" outlineLevel="1" collapsed="false">
      <c r="A279" s="9" t="s">
        <v>12</v>
      </c>
      <c r="B279" s="9" t="s">
        <v>14</v>
      </c>
      <c r="C279" s="9" t="s">
        <v>30</v>
      </c>
      <c r="D279" s="9" t="s">
        <v>78</v>
      </c>
      <c r="E279" s="9" t="s">
        <v>94</v>
      </c>
      <c r="F279" s="10" t="n">
        <v>14</v>
      </c>
      <c r="G279" s="10" t="n">
        <v>14</v>
      </c>
      <c r="H279" s="10" t="n">
        <v>14</v>
      </c>
      <c r="I279" s="10" t="n">
        <v>0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0</v>
      </c>
      <c r="O279" s="10" t="n">
        <v>0</v>
      </c>
      <c r="P279" s="10" t="n">
        <v>0</v>
      </c>
      <c r="Q279" s="10" t="n">
        <v>0</v>
      </c>
      <c r="R279" s="10" t="n">
        <v>0</v>
      </c>
      <c r="S279" s="10" t="n">
        <v>0</v>
      </c>
      <c r="T279" s="10" t="n">
        <v>0</v>
      </c>
      <c r="U279" s="10" t="n">
        <v>0</v>
      </c>
      <c r="V279" s="10" t="n">
        <v>0</v>
      </c>
      <c r="W279" s="10" t="n">
        <v>0</v>
      </c>
      <c r="X279" s="10" t="n">
        <v>0</v>
      </c>
      <c r="Y279" s="10" t="n">
        <v>0</v>
      </c>
      <c r="Z279" s="10" t="n">
        <v>0</v>
      </c>
      <c r="AA279" s="10" t="n">
        <v>0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10" t="n">
        <v>0</v>
      </c>
      <c r="AG279" s="10" t="n">
        <v>0</v>
      </c>
      <c r="AH279" s="10" t="n">
        <v>0</v>
      </c>
      <c r="AI279" s="10" t="n">
        <v>0</v>
      </c>
      <c r="AJ279" s="10" t="n">
        <v>0</v>
      </c>
      <c r="AK279" s="10" t="n">
        <v>0</v>
      </c>
      <c r="AL279" s="10" t="n">
        <v>0</v>
      </c>
      <c r="AM279" s="10" t="n">
        <v>0</v>
      </c>
      <c r="AN279" s="10" t="n">
        <v>0</v>
      </c>
      <c r="AO279" s="10" t="n">
        <v>0</v>
      </c>
      <c r="AP279" s="10" t="n">
        <v>0</v>
      </c>
      <c r="AQ279" s="10" t="n">
        <v>0</v>
      </c>
      <c r="AR279" s="10" t="n">
        <v>0</v>
      </c>
      <c r="AS279" s="10" t="n">
        <v>0</v>
      </c>
      <c r="AT279" s="10" t="n">
        <v>0</v>
      </c>
      <c r="AU279" s="10" t="n">
        <v>0</v>
      </c>
      <c r="AV279" s="10" t="n">
        <v>0</v>
      </c>
      <c r="AW279" s="10" t="n">
        <v>0</v>
      </c>
    </row>
    <row r="280" customFormat="false" ht="15" hidden="true" customHeight="true" outlineLevel="1" collapsed="false">
      <c r="A280" s="9" t="s">
        <v>12</v>
      </c>
      <c r="B280" s="9" t="s">
        <v>14</v>
      </c>
      <c r="C280" s="9" t="s">
        <v>30</v>
      </c>
      <c r="D280" s="9" t="s">
        <v>78</v>
      </c>
      <c r="E280" s="9" t="s">
        <v>110</v>
      </c>
      <c r="F280" s="10" t="n">
        <v>6</v>
      </c>
      <c r="G280" s="10" t="n">
        <v>6</v>
      </c>
      <c r="H280" s="10" t="n">
        <v>6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n">
        <v>0</v>
      </c>
      <c r="S280" s="10" t="n">
        <v>0</v>
      </c>
      <c r="T280" s="10" t="n">
        <v>0</v>
      </c>
      <c r="U280" s="10" t="n">
        <v>0</v>
      </c>
      <c r="V280" s="10" t="n">
        <v>0</v>
      </c>
      <c r="W280" s="10" t="n">
        <v>0</v>
      </c>
      <c r="X280" s="10" t="n">
        <v>0</v>
      </c>
      <c r="Y280" s="10" t="n">
        <v>0</v>
      </c>
      <c r="Z280" s="10" t="n">
        <v>0</v>
      </c>
      <c r="AA280" s="10" t="n">
        <v>0</v>
      </c>
      <c r="AB280" s="10" t="n">
        <v>0</v>
      </c>
      <c r="AC280" s="10" t="n">
        <v>0</v>
      </c>
      <c r="AD280" s="10" t="n">
        <v>0</v>
      </c>
      <c r="AE280" s="10" t="n">
        <v>0</v>
      </c>
      <c r="AF280" s="10" t="n">
        <v>0</v>
      </c>
      <c r="AG280" s="10" t="n">
        <v>0</v>
      </c>
      <c r="AH280" s="10" t="n">
        <v>0</v>
      </c>
      <c r="AI280" s="10" t="n">
        <v>0</v>
      </c>
      <c r="AJ280" s="10" t="n">
        <v>0</v>
      </c>
      <c r="AK280" s="10" t="n">
        <v>0</v>
      </c>
      <c r="AL280" s="10" t="n">
        <v>0</v>
      </c>
      <c r="AM280" s="10" t="n">
        <v>0</v>
      </c>
      <c r="AN280" s="10" t="n">
        <v>0</v>
      </c>
      <c r="AO280" s="10" t="n">
        <v>0</v>
      </c>
      <c r="AP280" s="10" t="n">
        <v>0</v>
      </c>
      <c r="AQ280" s="10" t="n">
        <v>0</v>
      </c>
      <c r="AR280" s="10" t="n">
        <v>0</v>
      </c>
      <c r="AS280" s="10" t="n">
        <v>0</v>
      </c>
      <c r="AT280" s="10" t="n">
        <v>0</v>
      </c>
      <c r="AU280" s="10" t="n">
        <v>0</v>
      </c>
      <c r="AV280" s="10" t="n">
        <v>0</v>
      </c>
      <c r="AW280" s="10" t="n">
        <v>0</v>
      </c>
    </row>
    <row r="281" customFormat="false" ht="15" hidden="true" customHeight="true" outlineLevel="1" collapsed="false">
      <c r="A281" s="9" t="s">
        <v>12</v>
      </c>
      <c r="B281" s="9" t="s">
        <v>14</v>
      </c>
      <c r="C281" s="9" t="s">
        <v>30</v>
      </c>
      <c r="D281" s="9" t="s">
        <v>78</v>
      </c>
      <c r="E281" s="9" t="s">
        <v>83</v>
      </c>
      <c r="F281" s="10" t="n">
        <v>0</v>
      </c>
      <c r="G281" s="10" t="n">
        <v>0</v>
      </c>
      <c r="H281" s="10" t="n">
        <v>2</v>
      </c>
      <c r="I281" s="10" t="n">
        <v>-2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0" t="n">
        <v>0</v>
      </c>
      <c r="P281" s="10" t="n">
        <v>0</v>
      </c>
      <c r="Q281" s="10" t="n">
        <v>0</v>
      </c>
      <c r="R281" s="10" t="n">
        <v>0</v>
      </c>
      <c r="S281" s="10" t="n">
        <v>0</v>
      </c>
      <c r="T281" s="10" t="n">
        <v>0</v>
      </c>
      <c r="U281" s="10" t="n">
        <v>0</v>
      </c>
      <c r="V281" s="10" t="n">
        <v>0</v>
      </c>
      <c r="W281" s="10" t="n">
        <v>0</v>
      </c>
      <c r="X281" s="10" t="n">
        <v>0</v>
      </c>
      <c r="Y281" s="10" t="n">
        <v>0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0" t="n">
        <v>0</v>
      </c>
      <c r="AF281" s="10" t="n">
        <v>0</v>
      </c>
      <c r="AG281" s="10" t="n">
        <v>0</v>
      </c>
      <c r="AH281" s="10" t="n">
        <v>0</v>
      </c>
      <c r="AI281" s="10" t="n">
        <v>0</v>
      </c>
      <c r="AJ281" s="10" t="n">
        <v>0</v>
      </c>
      <c r="AK281" s="10" t="n">
        <v>0</v>
      </c>
      <c r="AL281" s="10" t="n">
        <v>0</v>
      </c>
      <c r="AM281" s="10" t="n">
        <v>0</v>
      </c>
      <c r="AN281" s="10" t="n">
        <v>0</v>
      </c>
      <c r="AO281" s="10" t="n">
        <v>0</v>
      </c>
      <c r="AP281" s="10" t="n">
        <v>0</v>
      </c>
      <c r="AQ281" s="10" t="n">
        <v>0</v>
      </c>
      <c r="AR281" s="10" t="n">
        <v>0</v>
      </c>
      <c r="AS281" s="10" t="n">
        <v>0</v>
      </c>
      <c r="AT281" s="10" t="n">
        <v>0</v>
      </c>
      <c r="AU281" s="10" t="n">
        <v>0</v>
      </c>
      <c r="AV281" s="10" t="n">
        <v>0</v>
      </c>
      <c r="AW281" s="10" t="n">
        <v>0</v>
      </c>
    </row>
    <row r="282" customFormat="false" ht="15" hidden="true" customHeight="true" outlineLevel="1" collapsed="false">
      <c r="A282" s="9" t="s">
        <v>12</v>
      </c>
      <c r="B282" s="9" t="s">
        <v>14</v>
      </c>
      <c r="C282" s="9" t="s">
        <v>30</v>
      </c>
      <c r="D282" s="9" t="s">
        <v>78</v>
      </c>
      <c r="E282" s="9" t="s">
        <v>85</v>
      </c>
      <c r="F282" s="10" t="n">
        <v>150.5</v>
      </c>
      <c r="G282" s="10" t="n">
        <v>518.5</v>
      </c>
      <c r="H282" s="10" t="n">
        <v>396.5</v>
      </c>
      <c r="I282" s="10" t="n">
        <v>122</v>
      </c>
      <c r="J282" s="10" t="n">
        <v>10</v>
      </c>
      <c r="K282" s="10" t="n">
        <v>2</v>
      </c>
      <c r="L282" s="10" t="n">
        <v>14</v>
      </c>
      <c r="M282" s="10" t="n">
        <v>2</v>
      </c>
      <c r="N282" s="10" t="n">
        <v>2</v>
      </c>
      <c r="O282" s="10" t="n">
        <v>9</v>
      </c>
      <c r="P282" s="10" t="n">
        <v>40</v>
      </c>
      <c r="Q282" s="10" t="n">
        <v>14</v>
      </c>
      <c r="R282" s="10" t="n">
        <v>2</v>
      </c>
      <c r="S282" s="10" t="n">
        <v>2</v>
      </c>
      <c r="T282" s="10" t="n">
        <v>2</v>
      </c>
      <c r="U282" s="10" t="n">
        <v>2</v>
      </c>
      <c r="V282" s="10" t="n">
        <v>2</v>
      </c>
      <c r="W282" s="10" t="n">
        <v>2</v>
      </c>
      <c r="X282" s="10" t="n">
        <v>2</v>
      </c>
      <c r="Y282" s="10" t="n">
        <v>14</v>
      </c>
      <c r="Z282" s="10" t="n">
        <v>2</v>
      </c>
      <c r="AA282" s="10" t="n">
        <v>0</v>
      </c>
      <c r="AB282" s="10" t="n">
        <v>9</v>
      </c>
      <c r="AC282" s="10" t="n">
        <v>40</v>
      </c>
      <c r="AD282" s="10" t="n">
        <v>12</v>
      </c>
      <c r="AE282" s="10" t="n">
        <v>4</v>
      </c>
      <c r="AF282" s="10" t="n">
        <v>25</v>
      </c>
      <c r="AG282" s="10" t="n">
        <v>14</v>
      </c>
      <c r="AH282" s="10" t="n">
        <v>10</v>
      </c>
      <c r="AI282" s="10" t="n">
        <v>2</v>
      </c>
      <c r="AJ282" s="10" t="n">
        <v>0</v>
      </c>
      <c r="AK282" s="10" t="n">
        <v>0</v>
      </c>
      <c r="AL282" s="10" t="n">
        <v>0</v>
      </c>
      <c r="AM282" s="10" t="n">
        <v>0</v>
      </c>
      <c r="AN282" s="10" t="n">
        <v>0</v>
      </c>
      <c r="AO282" s="10" t="n">
        <v>0</v>
      </c>
      <c r="AP282" s="10" t="n">
        <v>0</v>
      </c>
      <c r="AQ282" s="10" t="n">
        <v>0</v>
      </c>
      <c r="AR282" s="10" t="n">
        <v>0</v>
      </c>
      <c r="AS282" s="10" t="n">
        <v>0</v>
      </c>
      <c r="AT282" s="10" t="n">
        <v>0</v>
      </c>
      <c r="AU282" s="10" t="n">
        <v>0</v>
      </c>
      <c r="AV282" s="10" t="n">
        <v>0</v>
      </c>
      <c r="AW282" s="10" t="n">
        <v>0</v>
      </c>
    </row>
    <row r="283" customFormat="false" ht="15" hidden="true" customHeight="true" outlineLevel="1" collapsed="false">
      <c r="A283" s="9" t="s">
        <v>12</v>
      </c>
      <c r="B283" s="9" t="s">
        <v>14</v>
      </c>
      <c r="C283" s="9" t="s">
        <v>30</v>
      </c>
      <c r="D283" s="9" t="s">
        <v>78</v>
      </c>
      <c r="E283" s="9" t="s">
        <v>99</v>
      </c>
      <c r="F283" s="10" t="n">
        <v>162</v>
      </c>
      <c r="G283" s="10" t="n">
        <v>200</v>
      </c>
      <c r="H283" s="10" t="n">
        <v>132.5</v>
      </c>
      <c r="I283" s="10" t="n">
        <v>67.5</v>
      </c>
      <c r="J283" s="10" t="n">
        <v>13</v>
      </c>
      <c r="K283" s="10" t="n">
        <v>12</v>
      </c>
      <c r="L283" s="10" t="n">
        <v>10</v>
      </c>
      <c r="M283" s="10" t="n">
        <v>7</v>
      </c>
      <c r="N283" s="10" t="n">
        <v>0</v>
      </c>
      <c r="O283" s="10" t="n">
        <v>0</v>
      </c>
      <c r="P283" s="10" t="n">
        <v>0</v>
      </c>
      <c r="Q283" s="10" t="n">
        <v>0</v>
      </c>
      <c r="R283" s="10" t="n">
        <v>0</v>
      </c>
      <c r="S283" s="10" t="n">
        <v>0</v>
      </c>
      <c r="T283" s="10" t="n">
        <v>0</v>
      </c>
      <c r="U283" s="10" t="n">
        <v>0</v>
      </c>
      <c r="V283" s="10" t="n">
        <v>0</v>
      </c>
      <c r="W283" s="10" t="n">
        <v>0</v>
      </c>
      <c r="X283" s="10" t="n">
        <v>0</v>
      </c>
      <c r="Y283" s="10" t="n">
        <v>0</v>
      </c>
      <c r="Z283" s="10" t="n">
        <v>0</v>
      </c>
      <c r="AA283" s="10" t="n">
        <v>0</v>
      </c>
      <c r="AB283" s="10" t="n">
        <v>0</v>
      </c>
      <c r="AC283" s="10" t="n">
        <v>0</v>
      </c>
      <c r="AD283" s="10" t="n">
        <v>0</v>
      </c>
      <c r="AE283" s="10" t="n">
        <v>0</v>
      </c>
      <c r="AF283" s="10" t="n">
        <v>0</v>
      </c>
      <c r="AG283" s="10" t="n">
        <v>0</v>
      </c>
      <c r="AH283" s="10" t="n">
        <v>0</v>
      </c>
      <c r="AI283" s="10" t="n">
        <v>0</v>
      </c>
      <c r="AJ283" s="10" t="n">
        <v>0</v>
      </c>
      <c r="AK283" s="10" t="n">
        <v>0</v>
      </c>
      <c r="AL283" s="10" t="n">
        <v>0</v>
      </c>
      <c r="AM283" s="10" t="n">
        <v>0</v>
      </c>
      <c r="AN283" s="10" t="n">
        <v>0</v>
      </c>
      <c r="AO283" s="10" t="n">
        <v>0</v>
      </c>
      <c r="AP283" s="10" t="n">
        <v>0</v>
      </c>
      <c r="AQ283" s="10" t="n">
        <v>0</v>
      </c>
      <c r="AR283" s="10" t="n">
        <v>0</v>
      </c>
      <c r="AS283" s="10" t="n">
        <v>0</v>
      </c>
      <c r="AT283" s="10" t="n">
        <v>0</v>
      </c>
      <c r="AU283" s="10" t="n">
        <v>0</v>
      </c>
      <c r="AV283" s="10" t="n">
        <v>0</v>
      </c>
      <c r="AW283" s="10" t="n">
        <v>0</v>
      </c>
    </row>
    <row r="284" customFormat="false" ht="15" hidden="true" customHeight="true" outlineLevel="1" collapsed="false">
      <c r="A284" s="9" t="s">
        <v>12</v>
      </c>
      <c r="B284" s="9" t="s">
        <v>14</v>
      </c>
      <c r="C284" s="9" t="s">
        <v>30</v>
      </c>
      <c r="D284" s="9" t="s">
        <v>78</v>
      </c>
      <c r="E284" s="9" t="s">
        <v>100</v>
      </c>
      <c r="F284" s="10" t="n">
        <v>0</v>
      </c>
      <c r="G284" s="10" t="n">
        <v>0</v>
      </c>
      <c r="H284" s="10" t="n">
        <v>342</v>
      </c>
      <c r="I284" s="10" t="n">
        <v>-342</v>
      </c>
      <c r="J284" s="10" t="n">
        <v>0</v>
      </c>
      <c r="K284" s="10" t="n">
        <v>5</v>
      </c>
      <c r="L284" s="10" t="n">
        <v>10</v>
      </c>
      <c r="M284" s="10" t="n">
        <v>10</v>
      </c>
      <c r="N284" s="10" t="n">
        <v>15</v>
      </c>
      <c r="O284" s="10" t="n">
        <v>15</v>
      </c>
      <c r="P284" s="10" t="n">
        <v>15</v>
      </c>
      <c r="Q284" s="10" t="n">
        <v>15</v>
      </c>
      <c r="R284" s="10" t="n">
        <v>15</v>
      </c>
      <c r="S284" s="10" t="n">
        <v>3</v>
      </c>
      <c r="T284" s="10" t="n">
        <v>1</v>
      </c>
      <c r="U284" s="10" t="n">
        <v>0</v>
      </c>
      <c r="V284" s="10" t="n">
        <v>0</v>
      </c>
      <c r="W284" s="10" t="n">
        <v>0</v>
      </c>
      <c r="X284" s="10" t="n">
        <v>0</v>
      </c>
      <c r="Y284" s="10" t="n">
        <v>3</v>
      </c>
      <c r="Z284" s="10" t="n">
        <v>0</v>
      </c>
      <c r="AA284" s="10" t="n">
        <v>0</v>
      </c>
      <c r="AB284" s="10" t="n">
        <v>0</v>
      </c>
      <c r="AC284" s="10" t="n">
        <v>0</v>
      </c>
      <c r="AD284" s="10" t="n">
        <v>0</v>
      </c>
      <c r="AE284" s="10" t="n">
        <v>10</v>
      </c>
      <c r="AF284" s="10" t="n">
        <v>25</v>
      </c>
      <c r="AG284" s="10" t="n">
        <v>30</v>
      </c>
      <c r="AH284" s="10" t="n">
        <v>30</v>
      </c>
      <c r="AI284" s="10" t="n">
        <v>30</v>
      </c>
      <c r="AJ284" s="10" t="n">
        <v>0</v>
      </c>
      <c r="AK284" s="10" t="n">
        <v>0</v>
      </c>
      <c r="AL284" s="10" t="n">
        <v>0</v>
      </c>
      <c r="AM284" s="10" t="n">
        <v>0</v>
      </c>
      <c r="AN284" s="10" t="n">
        <v>0</v>
      </c>
      <c r="AO284" s="10" t="n">
        <v>0</v>
      </c>
      <c r="AP284" s="10" t="n">
        <v>0</v>
      </c>
      <c r="AQ284" s="10" t="n">
        <v>0</v>
      </c>
      <c r="AR284" s="10" t="n">
        <v>0</v>
      </c>
      <c r="AS284" s="10" t="n">
        <v>0</v>
      </c>
      <c r="AT284" s="10" t="n">
        <v>0</v>
      </c>
      <c r="AU284" s="10" t="n">
        <v>0</v>
      </c>
      <c r="AV284" s="10" t="n">
        <v>0</v>
      </c>
      <c r="AW284" s="10" t="n">
        <v>0</v>
      </c>
    </row>
    <row r="285" customFormat="false" ht="15" hidden="true" customHeight="true" outlineLevel="1" collapsed="false">
      <c r="A285" s="9" t="s">
        <v>12</v>
      </c>
      <c r="B285" s="9" t="s">
        <v>14</v>
      </c>
      <c r="C285" s="9" t="s">
        <v>30</v>
      </c>
      <c r="D285" s="9" t="s">
        <v>78</v>
      </c>
      <c r="E285" s="9" t="s">
        <v>114</v>
      </c>
      <c r="F285" s="10" t="n">
        <v>0</v>
      </c>
      <c r="G285" s="10" t="n">
        <v>90</v>
      </c>
      <c r="H285" s="10" t="n">
        <v>90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  <c r="S285" s="10" t="n">
        <v>0</v>
      </c>
      <c r="T285" s="10" t="n">
        <v>0</v>
      </c>
      <c r="U285" s="10" t="n">
        <v>0</v>
      </c>
      <c r="V285" s="10" t="n">
        <v>0</v>
      </c>
      <c r="W285" s="10" t="n">
        <v>0</v>
      </c>
      <c r="X285" s="10" t="n">
        <v>0</v>
      </c>
      <c r="Y285" s="10" t="n">
        <v>0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0" t="n">
        <v>0</v>
      </c>
      <c r="AF285" s="10" t="n">
        <v>0</v>
      </c>
      <c r="AG285" s="10" t="n">
        <v>0</v>
      </c>
      <c r="AH285" s="10" t="n">
        <v>0</v>
      </c>
      <c r="AI285" s="10" t="n">
        <v>0</v>
      </c>
      <c r="AJ285" s="10" t="n">
        <v>30</v>
      </c>
      <c r="AK285" s="10" t="n">
        <v>30</v>
      </c>
      <c r="AL285" s="10" t="n">
        <v>30</v>
      </c>
      <c r="AM285" s="10" t="n">
        <v>0</v>
      </c>
      <c r="AN285" s="10" t="n">
        <v>0</v>
      </c>
      <c r="AO285" s="10" t="n">
        <v>0</v>
      </c>
      <c r="AP285" s="10" t="n">
        <v>0</v>
      </c>
      <c r="AQ285" s="10" t="n">
        <v>0</v>
      </c>
      <c r="AR285" s="10" t="n">
        <v>0</v>
      </c>
      <c r="AS285" s="10" t="n">
        <v>0</v>
      </c>
      <c r="AT285" s="10" t="n">
        <v>0</v>
      </c>
      <c r="AU285" s="10" t="n">
        <v>0</v>
      </c>
      <c r="AV285" s="10" t="n">
        <v>0</v>
      </c>
      <c r="AW285" s="10" t="n">
        <v>0</v>
      </c>
    </row>
    <row r="286" customFormat="false" ht="15" hidden="true" customHeight="true" outlineLevel="1" collapsed="false">
      <c r="A286" s="9" t="s">
        <v>12</v>
      </c>
      <c r="B286" s="9" t="s">
        <v>14</v>
      </c>
      <c r="C286" s="9" t="s">
        <v>30</v>
      </c>
      <c r="D286" s="9" t="s">
        <v>78</v>
      </c>
      <c r="E286" s="9" t="s">
        <v>87</v>
      </c>
      <c r="F286" s="10" t="n">
        <v>0</v>
      </c>
      <c r="G286" s="10" t="n">
        <v>0</v>
      </c>
      <c r="H286" s="10" t="n">
        <v>33</v>
      </c>
      <c r="I286" s="10" t="n">
        <v>-33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  <c r="S286" s="10" t="n">
        <v>0</v>
      </c>
      <c r="T286" s="10" t="n">
        <v>0</v>
      </c>
      <c r="U286" s="10" t="n">
        <v>0</v>
      </c>
      <c r="V286" s="10" t="n">
        <v>0</v>
      </c>
      <c r="W286" s="10" t="n">
        <v>0</v>
      </c>
      <c r="X286" s="10" t="n">
        <v>0</v>
      </c>
      <c r="Y286" s="10" t="n">
        <v>0</v>
      </c>
      <c r="Z286" s="10" t="n">
        <v>0</v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10" t="n">
        <v>0</v>
      </c>
      <c r="AG286" s="10" t="n">
        <v>0</v>
      </c>
      <c r="AH286" s="10" t="n">
        <v>0</v>
      </c>
      <c r="AI286" s="10" t="n">
        <v>0</v>
      </c>
      <c r="AJ286" s="10" t="n">
        <v>0</v>
      </c>
      <c r="AK286" s="10" t="n">
        <v>0</v>
      </c>
      <c r="AL286" s="10" t="n">
        <v>0</v>
      </c>
      <c r="AM286" s="10" t="n">
        <v>0</v>
      </c>
      <c r="AN286" s="10" t="n">
        <v>0</v>
      </c>
      <c r="AO286" s="10" t="n">
        <v>0</v>
      </c>
      <c r="AP286" s="10" t="n">
        <v>0</v>
      </c>
      <c r="AQ286" s="10" t="n">
        <v>0</v>
      </c>
      <c r="AR286" s="10" t="n">
        <v>0</v>
      </c>
      <c r="AS286" s="10" t="n">
        <v>0</v>
      </c>
      <c r="AT286" s="10" t="n">
        <v>0</v>
      </c>
      <c r="AU286" s="10" t="n">
        <v>0</v>
      </c>
      <c r="AV286" s="10" t="n">
        <v>0</v>
      </c>
      <c r="AW286" s="10" t="n">
        <v>0</v>
      </c>
    </row>
    <row r="287" customFormat="false" ht="15" hidden="false" customHeight="true" outlineLevel="0" collapsed="false">
      <c r="A287" s="7" t="s">
        <v>12</v>
      </c>
      <c r="B287" s="7" t="s">
        <v>14</v>
      </c>
      <c r="C287" s="7" t="s">
        <v>126</v>
      </c>
      <c r="D287" s="7" t="s">
        <v>76</v>
      </c>
      <c r="E287" s="7" t="s">
        <v>77</v>
      </c>
      <c r="F287" s="8" t="n">
        <f aca="false">SUM(F288)</f>
        <v>0</v>
      </c>
      <c r="G287" s="8" t="n">
        <f aca="false">SUM(G288)</f>
        <v>10</v>
      </c>
      <c r="H287" s="8" t="n">
        <f aca="false">SUM(H288)</f>
        <v>10</v>
      </c>
      <c r="I287" s="8" t="n">
        <f aca="false">SUM(I288)</f>
        <v>0</v>
      </c>
      <c r="J287" s="8" t="n">
        <f aca="false">SUM(J288)</f>
        <v>0</v>
      </c>
      <c r="K287" s="8" t="n">
        <f aca="false">SUM(K288)</f>
        <v>0</v>
      </c>
      <c r="L287" s="8" t="n">
        <f aca="false">SUM(L288)</f>
        <v>0</v>
      </c>
      <c r="M287" s="8" t="n">
        <f aca="false">SUM(M288)</f>
        <v>0</v>
      </c>
      <c r="N287" s="8" t="n">
        <f aca="false">SUM(N288)</f>
        <v>0</v>
      </c>
      <c r="O287" s="8" t="n">
        <f aca="false">SUM(O288)</f>
        <v>0</v>
      </c>
      <c r="P287" s="8" t="n">
        <f aca="false">SUM(P288)</f>
        <v>0</v>
      </c>
      <c r="Q287" s="8" t="n">
        <f aca="false">SUM(Q288)</f>
        <v>5</v>
      </c>
      <c r="R287" s="8" t="n">
        <f aca="false">SUM(R288)</f>
        <v>5</v>
      </c>
      <c r="S287" s="8" t="n">
        <f aca="false">SUM(S288)</f>
        <v>0</v>
      </c>
      <c r="T287" s="8" t="n">
        <f aca="false">SUM(T288)</f>
        <v>0</v>
      </c>
      <c r="U287" s="8" t="n">
        <f aca="false">SUM(U288)</f>
        <v>0</v>
      </c>
      <c r="V287" s="8" t="n">
        <f aca="false">SUM(V288)</f>
        <v>0</v>
      </c>
      <c r="W287" s="8" t="n">
        <f aca="false">SUM(W288)</f>
        <v>0</v>
      </c>
      <c r="X287" s="8" t="n">
        <f aca="false">SUM(X288)</f>
        <v>0</v>
      </c>
      <c r="Y287" s="8" t="n">
        <f aca="false">SUM(Y288)</f>
        <v>0</v>
      </c>
      <c r="Z287" s="8" t="n">
        <f aca="false">SUM(Z288)</f>
        <v>0</v>
      </c>
      <c r="AA287" s="8" t="n">
        <f aca="false">SUM(AA288)</f>
        <v>0</v>
      </c>
      <c r="AB287" s="8" t="n">
        <f aca="false">SUM(AB288)</f>
        <v>0</v>
      </c>
      <c r="AC287" s="8" t="n">
        <f aca="false">SUM(AC288)</f>
        <v>0</v>
      </c>
      <c r="AD287" s="8" t="n">
        <f aca="false">SUM(AD288)</f>
        <v>0</v>
      </c>
      <c r="AE287" s="8" t="n">
        <f aca="false">SUM(AE288)</f>
        <v>0</v>
      </c>
      <c r="AF287" s="8" t="n">
        <f aca="false">SUM(AF288)</f>
        <v>0</v>
      </c>
      <c r="AG287" s="8" t="n">
        <f aca="false">SUM(AG288)</f>
        <v>0</v>
      </c>
      <c r="AH287" s="8" t="n">
        <f aca="false">SUM(AH288)</f>
        <v>0</v>
      </c>
      <c r="AI287" s="8" t="n">
        <f aca="false">SUM(AI288)</f>
        <v>0</v>
      </c>
      <c r="AJ287" s="8" t="n">
        <f aca="false">SUM(AJ288)</f>
        <v>0</v>
      </c>
      <c r="AK287" s="8" t="n">
        <f aca="false">SUM(AK288)</f>
        <v>0</v>
      </c>
      <c r="AL287" s="8" t="n">
        <f aca="false">SUM(AL288)</f>
        <v>0</v>
      </c>
      <c r="AM287" s="8" t="n">
        <f aca="false">SUM(AM288)</f>
        <v>0</v>
      </c>
      <c r="AN287" s="8" t="n">
        <f aca="false">SUM(AN288)</f>
        <v>0</v>
      </c>
      <c r="AO287" s="8" t="n">
        <f aca="false">SUM(AO288)</f>
        <v>0</v>
      </c>
      <c r="AP287" s="8" t="n">
        <f aca="false">SUM(AP288)</f>
        <v>0</v>
      </c>
      <c r="AQ287" s="8" t="n">
        <f aca="false">SUM(AQ288)</f>
        <v>0</v>
      </c>
      <c r="AR287" s="8" t="n">
        <f aca="false">SUM(AR288)</f>
        <v>0</v>
      </c>
      <c r="AS287" s="8" t="n">
        <f aca="false">SUM(AS288)</f>
        <v>0</v>
      </c>
      <c r="AT287" s="8" t="n">
        <f aca="false">SUM(AT288)</f>
        <v>0</v>
      </c>
      <c r="AU287" s="8" t="n">
        <f aca="false">SUM(AU288)</f>
        <v>0</v>
      </c>
      <c r="AV287" s="8" t="n">
        <f aca="false">SUM(AV288)</f>
        <v>0</v>
      </c>
      <c r="AW287" s="8" t="n">
        <f aca="false">SUM(AW288)</f>
        <v>0</v>
      </c>
    </row>
    <row r="288" customFormat="false" ht="15" hidden="true" customHeight="true" outlineLevel="1" collapsed="false">
      <c r="A288" s="9" t="s">
        <v>12</v>
      </c>
      <c r="B288" s="9" t="s">
        <v>14</v>
      </c>
      <c r="C288" s="9" t="s">
        <v>126</v>
      </c>
      <c r="D288" s="9" t="s">
        <v>78</v>
      </c>
      <c r="E288" s="9" t="s">
        <v>84</v>
      </c>
      <c r="F288" s="10" t="n">
        <v>0</v>
      </c>
      <c r="G288" s="10" t="n">
        <v>10</v>
      </c>
      <c r="H288" s="10" t="n">
        <v>10</v>
      </c>
      <c r="I288" s="10" t="n">
        <v>0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5</v>
      </c>
      <c r="R288" s="10" t="n">
        <v>5</v>
      </c>
      <c r="S288" s="10" t="n">
        <v>0</v>
      </c>
      <c r="T288" s="10" t="n">
        <v>0</v>
      </c>
      <c r="U288" s="10" t="n">
        <v>0</v>
      </c>
      <c r="V288" s="10" t="n">
        <v>0</v>
      </c>
      <c r="W288" s="10" t="n">
        <v>0</v>
      </c>
      <c r="X288" s="10" t="n">
        <v>0</v>
      </c>
      <c r="Y288" s="10" t="n">
        <v>0</v>
      </c>
      <c r="Z288" s="10" t="n">
        <v>0</v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10" t="n">
        <v>0</v>
      </c>
      <c r="AG288" s="10" t="n">
        <v>0</v>
      </c>
      <c r="AH288" s="10" t="n">
        <v>0</v>
      </c>
      <c r="AI288" s="10" t="n">
        <v>0</v>
      </c>
      <c r="AJ288" s="10" t="n">
        <v>0</v>
      </c>
      <c r="AK288" s="10" t="n">
        <v>0</v>
      </c>
      <c r="AL288" s="10" t="n">
        <v>0</v>
      </c>
      <c r="AM288" s="10" t="n">
        <v>0</v>
      </c>
      <c r="AN288" s="10" t="n">
        <v>0</v>
      </c>
      <c r="AO288" s="10" t="n">
        <v>0</v>
      </c>
      <c r="AP288" s="10" t="n">
        <v>0</v>
      </c>
      <c r="AQ288" s="10" t="n">
        <v>0</v>
      </c>
      <c r="AR288" s="10" t="n">
        <v>0</v>
      </c>
      <c r="AS288" s="10" t="n">
        <v>0</v>
      </c>
      <c r="AT288" s="10" t="n">
        <v>0</v>
      </c>
      <c r="AU288" s="10" t="n">
        <v>0</v>
      </c>
      <c r="AV288" s="10" t="n">
        <v>0</v>
      </c>
      <c r="AW288" s="10" t="n">
        <v>0</v>
      </c>
    </row>
    <row r="289" customFormat="false" ht="15" hidden="false" customHeight="true" outlineLevel="0" collapsed="false">
      <c r="A289" s="7" t="s">
        <v>12</v>
      </c>
      <c r="B289" s="7" t="s">
        <v>14</v>
      </c>
      <c r="C289" s="7" t="s">
        <v>127</v>
      </c>
      <c r="D289" s="7" t="s">
        <v>76</v>
      </c>
      <c r="E289" s="7" t="s">
        <v>77</v>
      </c>
      <c r="F289" s="8" t="n">
        <f aca="false">SUM(F290)</f>
        <v>0</v>
      </c>
      <c r="G289" s="8" t="n">
        <f aca="false">SUM(G290)</f>
        <v>28</v>
      </c>
      <c r="H289" s="8" t="n">
        <f aca="false">SUM(H290)</f>
        <v>28</v>
      </c>
      <c r="I289" s="8" t="n">
        <f aca="false">SUM(I290)</f>
        <v>0</v>
      </c>
      <c r="J289" s="8" t="n">
        <f aca="false">SUM(J290)</f>
        <v>0</v>
      </c>
      <c r="K289" s="8" t="n">
        <f aca="false">SUM(K290)</f>
        <v>0</v>
      </c>
      <c r="L289" s="8" t="n">
        <f aca="false">SUM(L290)</f>
        <v>0</v>
      </c>
      <c r="M289" s="8" t="n">
        <f aca="false">SUM(M290)</f>
        <v>0</v>
      </c>
      <c r="N289" s="8" t="n">
        <f aca="false">SUM(N290)</f>
        <v>0</v>
      </c>
      <c r="O289" s="8" t="n">
        <f aca="false">SUM(O290)</f>
        <v>0</v>
      </c>
      <c r="P289" s="8" t="n">
        <f aca="false">SUM(P290)</f>
        <v>0</v>
      </c>
      <c r="Q289" s="8" t="n">
        <f aca="false">SUM(Q290)</f>
        <v>0</v>
      </c>
      <c r="R289" s="8" t="n">
        <f aca="false">SUM(R290)</f>
        <v>0</v>
      </c>
      <c r="S289" s="8" t="n">
        <f aca="false">SUM(S290)</f>
        <v>0</v>
      </c>
      <c r="T289" s="8" t="n">
        <f aca="false">SUM(T290)</f>
        <v>0</v>
      </c>
      <c r="U289" s="8" t="n">
        <f aca="false">SUM(U290)</f>
        <v>0</v>
      </c>
      <c r="V289" s="8" t="n">
        <f aca="false">SUM(V290)</f>
        <v>0</v>
      </c>
      <c r="W289" s="8" t="n">
        <f aca="false">SUM(W290)</f>
        <v>0</v>
      </c>
      <c r="X289" s="8" t="n">
        <f aca="false">SUM(X290)</f>
        <v>0</v>
      </c>
      <c r="Y289" s="8" t="n">
        <f aca="false">SUM(Y290)</f>
        <v>0</v>
      </c>
      <c r="Z289" s="8" t="n">
        <f aca="false">SUM(Z290)</f>
        <v>0</v>
      </c>
      <c r="AA289" s="8" t="n">
        <f aca="false">SUM(AA290)</f>
        <v>0</v>
      </c>
      <c r="AB289" s="8" t="n">
        <f aca="false">SUM(AB290)</f>
        <v>0</v>
      </c>
      <c r="AC289" s="8" t="n">
        <f aca="false">SUM(AC290)</f>
        <v>0</v>
      </c>
      <c r="AD289" s="8" t="n">
        <f aca="false">SUM(AD290)</f>
        <v>0</v>
      </c>
      <c r="AE289" s="8" t="n">
        <f aca="false">SUM(AE290)</f>
        <v>0</v>
      </c>
      <c r="AF289" s="8" t="n">
        <f aca="false">SUM(AF290)</f>
        <v>0</v>
      </c>
      <c r="AG289" s="8" t="n">
        <f aca="false">SUM(AG290)</f>
        <v>10</v>
      </c>
      <c r="AH289" s="8" t="n">
        <f aca="false">SUM(AH290)</f>
        <v>8</v>
      </c>
      <c r="AI289" s="8" t="n">
        <f aca="false">SUM(AI290)</f>
        <v>10</v>
      </c>
      <c r="AJ289" s="8" t="n">
        <f aca="false">SUM(AJ290)</f>
        <v>0</v>
      </c>
      <c r="AK289" s="8" t="n">
        <f aca="false">SUM(AK290)</f>
        <v>0</v>
      </c>
      <c r="AL289" s="8" t="n">
        <f aca="false">SUM(AL290)</f>
        <v>0</v>
      </c>
      <c r="AM289" s="8" t="n">
        <f aca="false">SUM(AM290)</f>
        <v>0</v>
      </c>
      <c r="AN289" s="8" t="n">
        <f aca="false">SUM(AN290)</f>
        <v>0</v>
      </c>
      <c r="AO289" s="8" t="n">
        <f aca="false">SUM(AO290)</f>
        <v>0</v>
      </c>
      <c r="AP289" s="8" t="n">
        <f aca="false">SUM(AP290)</f>
        <v>0</v>
      </c>
      <c r="AQ289" s="8" t="n">
        <f aca="false">SUM(AQ290)</f>
        <v>0</v>
      </c>
      <c r="AR289" s="8" t="n">
        <f aca="false">SUM(AR290)</f>
        <v>0</v>
      </c>
      <c r="AS289" s="8" t="n">
        <f aca="false">SUM(AS290)</f>
        <v>0</v>
      </c>
      <c r="AT289" s="8" t="n">
        <f aca="false">SUM(AT290)</f>
        <v>0</v>
      </c>
      <c r="AU289" s="8" t="n">
        <f aca="false">SUM(AU290)</f>
        <v>0</v>
      </c>
      <c r="AV289" s="8" t="n">
        <f aca="false">SUM(AV290)</f>
        <v>0</v>
      </c>
      <c r="AW289" s="8" t="n">
        <f aca="false">SUM(AW290)</f>
        <v>0</v>
      </c>
    </row>
    <row r="290" customFormat="false" ht="15" hidden="true" customHeight="true" outlineLevel="1" collapsed="false">
      <c r="A290" s="9" t="s">
        <v>12</v>
      </c>
      <c r="B290" s="9" t="s">
        <v>14</v>
      </c>
      <c r="C290" s="9" t="s">
        <v>127</v>
      </c>
      <c r="D290" s="9" t="s">
        <v>78</v>
      </c>
      <c r="E290" s="9" t="s">
        <v>40</v>
      </c>
      <c r="F290" s="10" t="n">
        <v>0</v>
      </c>
      <c r="G290" s="10" t="n">
        <v>28</v>
      </c>
      <c r="H290" s="10" t="n">
        <v>28</v>
      </c>
      <c r="I290" s="10" t="n">
        <v>0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n">
        <v>0</v>
      </c>
      <c r="S290" s="10" t="n">
        <v>0</v>
      </c>
      <c r="T290" s="10" t="n">
        <v>0</v>
      </c>
      <c r="U290" s="10" t="n">
        <v>0</v>
      </c>
      <c r="V290" s="10" t="n">
        <v>0</v>
      </c>
      <c r="W290" s="10" t="n">
        <v>0</v>
      </c>
      <c r="X290" s="10" t="n">
        <v>0</v>
      </c>
      <c r="Y290" s="10" t="n">
        <v>0</v>
      </c>
      <c r="Z290" s="10" t="n">
        <v>0</v>
      </c>
      <c r="AA290" s="10" t="n">
        <v>0</v>
      </c>
      <c r="AB290" s="10" t="n">
        <v>0</v>
      </c>
      <c r="AC290" s="10" t="n">
        <v>0</v>
      </c>
      <c r="AD290" s="10" t="n">
        <v>0</v>
      </c>
      <c r="AE290" s="10" t="n">
        <v>0</v>
      </c>
      <c r="AF290" s="10" t="n">
        <v>0</v>
      </c>
      <c r="AG290" s="10" t="n">
        <v>10</v>
      </c>
      <c r="AH290" s="10" t="n">
        <v>8</v>
      </c>
      <c r="AI290" s="10" t="n">
        <v>10</v>
      </c>
      <c r="AJ290" s="10" t="n">
        <v>0</v>
      </c>
      <c r="AK290" s="10" t="n">
        <v>0</v>
      </c>
      <c r="AL290" s="10" t="n">
        <v>0</v>
      </c>
      <c r="AM290" s="10" t="n">
        <v>0</v>
      </c>
      <c r="AN290" s="10" t="n">
        <v>0</v>
      </c>
      <c r="AO290" s="10" t="n">
        <v>0</v>
      </c>
      <c r="AP290" s="10" t="n">
        <v>0</v>
      </c>
      <c r="AQ290" s="10" t="n">
        <v>0</v>
      </c>
      <c r="AR290" s="10" t="n">
        <v>0</v>
      </c>
      <c r="AS290" s="10" t="n">
        <v>0</v>
      </c>
      <c r="AT290" s="10" t="n">
        <v>0</v>
      </c>
      <c r="AU290" s="10" t="n">
        <v>0</v>
      </c>
      <c r="AV290" s="10" t="n">
        <v>0</v>
      </c>
      <c r="AW290" s="10" t="n">
        <v>0</v>
      </c>
    </row>
    <row r="291" customFormat="false" ht="15" hidden="false" customHeight="true" outlineLevel="0" collapsed="false">
      <c r="A291" s="7" t="s">
        <v>12</v>
      </c>
      <c r="B291" s="7" t="s">
        <v>14</v>
      </c>
      <c r="C291" s="7" t="s">
        <v>128</v>
      </c>
      <c r="D291" s="7" t="s">
        <v>76</v>
      </c>
      <c r="E291" s="7" t="s">
        <v>77</v>
      </c>
      <c r="F291" s="8" t="n">
        <f aca="false">SUM(F292)</f>
        <v>0</v>
      </c>
      <c r="G291" s="8" t="n">
        <f aca="false">SUM(G292)</f>
        <v>0</v>
      </c>
      <c r="H291" s="8" t="n">
        <f aca="false">SUM(H292)</f>
        <v>146.9</v>
      </c>
      <c r="I291" s="8" t="n">
        <f aca="false">SUM(I292)</f>
        <v>-146.9</v>
      </c>
      <c r="J291" s="8" t="n">
        <f aca="false">SUM(J292)</f>
        <v>2</v>
      </c>
      <c r="K291" s="8" t="n">
        <f aca="false">SUM(K292)</f>
        <v>5</v>
      </c>
      <c r="L291" s="8" t="n">
        <f aca="false">SUM(L292)</f>
        <v>5</v>
      </c>
      <c r="M291" s="8" t="n">
        <f aca="false">SUM(M292)</f>
        <v>4</v>
      </c>
      <c r="N291" s="8" t="n">
        <f aca="false">SUM(N292)</f>
        <v>3</v>
      </c>
      <c r="O291" s="8" t="n">
        <f aca="false">SUM(O292)</f>
        <v>0.9</v>
      </c>
      <c r="P291" s="8" t="n">
        <f aca="false">SUM(P292)</f>
        <v>0</v>
      </c>
      <c r="Q291" s="8" t="n">
        <f aca="false">SUM(Q292)</f>
        <v>0</v>
      </c>
      <c r="R291" s="8" t="n">
        <f aca="false">SUM(R292)</f>
        <v>0</v>
      </c>
      <c r="S291" s="8" t="n">
        <f aca="false">SUM(S292)</f>
        <v>0</v>
      </c>
      <c r="T291" s="8" t="n">
        <f aca="false">SUM(T292)</f>
        <v>0</v>
      </c>
      <c r="U291" s="8" t="n">
        <f aca="false">SUM(U292)</f>
        <v>0</v>
      </c>
      <c r="V291" s="8" t="n">
        <f aca="false">SUM(V292)</f>
        <v>0</v>
      </c>
      <c r="W291" s="8" t="n">
        <f aca="false">SUM(W292)</f>
        <v>0</v>
      </c>
      <c r="X291" s="8" t="n">
        <f aca="false">SUM(X292)</f>
        <v>1</v>
      </c>
      <c r="Y291" s="8" t="n">
        <f aca="false">SUM(Y292)</f>
        <v>1</v>
      </c>
      <c r="Z291" s="8" t="n">
        <f aca="false">SUM(Z292)</f>
        <v>0</v>
      </c>
      <c r="AA291" s="8" t="n">
        <f aca="false">SUM(AA292)</f>
        <v>0</v>
      </c>
      <c r="AB291" s="8" t="n">
        <f aca="false">SUM(AB292)</f>
        <v>21</v>
      </c>
      <c r="AC291" s="8" t="n">
        <f aca="false">SUM(AC292)</f>
        <v>31</v>
      </c>
      <c r="AD291" s="8" t="n">
        <f aca="false">SUM(AD292)</f>
        <v>20.5</v>
      </c>
      <c r="AE291" s="8" t="n">
        <f aca="false">SUM(AE292)</f>
        <v>22.5</v>
      </c>
      <c r="AF291" s="8" t="n">
        <f aca="false">SUM(AF292)</f>
        <v>26.5</v>
      </c>
      <c r="AG291" s="8" t="n">
        <f aca="false">SUM(AG292)</f>
        <v>3.5</v>
      </c>
      <c r="AH291" s="8" t="n">
        <f aca="false">SUM(AH292)</f>
        <v>0</v>
      </c>
      <c r="AI291" s="8" t="n">
        <f aca="false">SUM(AI292)</f>
        <v>0</v>
      </c>
      <c r="AJ291" s="8" t="n">
        <f aca="false">SUM(AJ292)</f>
        <v>0</v>
      </c>
      <c r="AK291" s="8" t="n">
        <f aca="false">SUM(AK292)</f>
        <v>0</v>
      </c>
      <c r="AL291" s="8" t="n">
        <f aca="false">SUM(AL292)</f>
        <v>0</v>
      </c>
      <c r="AM291" s="8" t="n">
        <f aca="false">SUM(AM292)</f>
        <v>0</v>
      </c>
      <c r="AN291" s="8" t="n">
        <f aca="false">SUM(AN292)</f>
        <v>0</v>
      </c>
      <c r="AO291" s="8" t="n">
        <f aca="false">SUM(AO292)</f>
        <v>0</v>
      </c>
      <c r="AP291" s="8" t="n">
        <f aca="false">SUM(AP292)</f>
        <v>0</v>
      </c>
      <c r="AQ291" s="8" t="n">
        <f aca="false">SUM(AQ292)</f>
        <v>0</v>
      </c>
      <c r="AR291" s="8" t="n">
        <f aca="false">SUM(AR292)</f>
        <v>0</v>
      </c>
      <c r="AS291" s="8" t="n">
        <f aca="false">SUM(AS292)</f>
        <v>0</v>
      </c>
      <c r="AT291" s="8" t="n">
        <f aca="false">SUM(AT292)</f>
        <v>0</v>
      </c>
      <c r="AU291" s="8" t="n">
        <f aca="false">SUM(AU292)</f>
        <v>0</v>
      </c>
      <c r="AV291" s="8" t="n">
        <f aca="false">SUM(AV292)</f>
        <v>0</v>
      </c>
      <c r="AW291" s="8" t="n">
        <f aca="false">SUM(AW292)</f>
        <v>0</v>
      </c>
    </row>
    <row r="292" customFormat="false" ht="15" hidden="true" customHeight="true" outlineLevel="1" collapsed="false">
      <c r="A292" s="9" t="s">
        <v>12</v>
      </c>
      <c r="B292" s="9" t="s">
        <v>14</v>
      </c>
      <c r="C292" s="9" t="s">
        <v>128</v>
      </c>
      <c r="D292" s="9" t="s">
        <v>78</v>
      </c>
      <c r="E292" s="9" t="s">
        <v>108</v>
      </c>
      <c r="F292" s="10" t="n">
        <v>0</v>
      </c>
      <c r="G292" s="10" t="n">
        <v>0</v>
      </c>
      <c r="H292" s="10" t="n">
        <v>146.9</v>
      </c>
      <c r="I292" s="10" t="n">
        <v>-146.9</v>
      </c>
      <c r="J292" s="10" t="n">
        <v>2</v>
      </c>
      <c r="K292" s="10" t="n">
        <v>5</v>
      </c>
      <c r="L292" s="10" t="n">
        <v>5</v>
      </c>
      <c r="M292" s="10" t="n">
        <v>4</v>
      </c>
      <c r="N292" s="10" t="n">
        <v>3</v>
      </c>
      <c r="O292" s="10" t="n">
        <v>0.9</v>
      </c>
      <c r="P292" s="10" t="n">
        <v>0</v>
      </c>
      <c r="Q292" s="10" t="n">
        <v>0</v>
      </c>
      <c r="R292" s="10" t="n">
        <v>0</v>
      </c>
      <c r="S292" s="10" t="n">
        <v>0</v>
      </c>
      <c r="T292" s="10" t="n">
        <v>0</v>
      </c>
      <c r="U292" s="10" t="n">
        <v>0</v>
      </c>
      <c r="V292" s="10" t="n">
        <v>0</v>
      </c>
      <c r="W292" s="10" t="n">
        <v>0</v>
      </c>
      <c r="X292" s="10" t="n">
        <v>1</v>
      </c>
      <c r="Y292" s="10" t="n">
        <v>1</v>
      </c>
      <c r="Z292" s="10" t="n">
        <v>0</v>
      </c>
      <c r="AA292" s="10" t="n">
        <v>0</v>
      </c>
      <c r="AB292" s="10" t="n">
        <v>21</v>
      </c>
      <c r="AC292" s="10" t="n">
        <v>31</v>
      </c>
      <c r="AD292" s="10" t="n">
        <v>20.5</v>
      </c>
      <c r="AE292" s="10" t="n">
        <v>22.5</v>
      </c>
      <c r="AF292" s="10" t="n">
        <v>26.5</v>
      </c>
      <c r="AG292" s="10" t="n">
        <v>3.5</v>
      </c>
      <c r="AH292" s="10" t="n">
        <v>0</v>
      </c>
      <c r="AI292" s="10" t="n">
        <v>0</v>
      </c>
      <c r="AJ292" s="10" t="n">
        <v>0</v>
      </c>
      <c r="AK292" s="10" t="n">
        <v>0</v>
      </c>
      <c r="AL292" s="10" t="n">
        <v>0</v>
      </c>
      <c r="AM292" s="10" t="n">
        <v>0</v>
      </c>
      <c r="AN292" s="10" t="n">
        <v>0</v>
      </c>
      <c r="AO292" s="10" t="n">
        <v>0</v>
      </c>
      <c r="AP292" s="10" t="n">
        <v>0</v>
      </c>
      <c r="AQ292" s="10" t="n">
        <v>0</v>
      </c>
      <c r="AR292" s="10" t="n">
        <v>0</v>
      </c>
      <c r="AS292" s="10" t="n">
        <v>0</v>
      </c>
      <c r="AT292" s="10" t="n">
        <v>0</v>
      </c>
      <c r="AU292" s="10" t="n">
        <v>0</v>
      </c>
      <c r="AV292" s="10" t="n">
        <v>0</v>
      </c>
      <c r="AW292" s="10" t="n">
        <v>0</v>
      </c>
    </row>
    <row r="293" customFormat="false" ht="15" hidden="false" customHeight="true" outlineLevel="0" collapsed="false">
      <c r="A293" s="7" t="s">
        <v>12</v>
      </c>
      <c r="B293" s="7" t="s">
        <v>14</v>
      </c>
      <c r="C293" s="7" t="s">
        <v>129</v>
      </c>
      <c r="D293" s="7" t="s">
        <v>76</v>
      </c>
      <c r="E293" s="7" t="s">
        <v>77</v>
      </c>
      <c r="F293" s="8" t="n">
        <f aca="false">SUM(F294)</f>
        <v>0</v>
      </c>
      <c r="G293" s="8" t="n">
        <f aca="false">SUM(G294)</f>
        <v>0</v>
      </c>
      <c r="H293" s="8" t="n">
        <f aca="false">SUM(H294)</f>
        <v>520</v>
      </c>
      <c r="I293" s="8" t="n">
        <f aca="false">SUM(I294)</f>
        <v>-520</v>
      </c>
      <c r="J293" s="8" t="n">
        <f aca="false">SUM(J294)</f>
        <v>0</v>
      </c>
      <c r="K293" s="8" t="n">
        <f aca="false">SUM(K294)</f>
        <v>20</v>
      </c>
      <c r="L293" s="8" t="n">
        <f aca="false">SUM(L294)</f>
        <v>20</v>
      </c>
      <c r="M293" s="8" t="n">
        <f aca="false">SUM(M294)</f>
        <v>28</v>
      </c>
      <c r="N293" s="8" t="n">
        <f aca="false">SUM(N294)</f>
        <v>16</v>
      </c>
      <c r="O293" s="8" t="n">
        <f aca="false">SUM(O294)</f>
        <v>20</v>
      </c>
      <c r="P293" s="8" t="n">
        <f aca="false">SUM(P294)</f>
        <v>20</v>
      </c>
      <c r="Q293" s="8" t="n">
        <f aca="false">SUM(Q294)</f>
        <v>15</v>
      </c>
      <c r="R293" s="8" t="n">
        <f aca="false">SUM(R294)</f>
        <v>15</v>
      </c>
      <c r="S293" s="8" t="n">
        <f aca="false">SUM(S294)</f>
        <v>14</v>
      </c>
      <c r="T293" s="8" t="n">
        <f aca="false">SUM(T294)</f>
        <v>15</v>
      </c>
      <c r="U293" s="8" t="n">
        <f aca="false">SUM(U294)</f>
        <v>15</v>
      </c>
      <c r="V293" s="8" t="n">
        <f aca="false">SUM(V294)</f>
        <v>15</v>
      </c>
      <c r="W293" s="8" t="n">
        <f aca="false">SUM(W294)</f>
        <v>10</v>
      </c>
      <c r="X293" s="8" t="n">
        <f aca="false">SUM(X294)</f>
        <v>15</v>
      </c>
      <c r="Y293" s="8" t="n">
        <f aca="false">SUM(Y294)</f>
        <v>10</v>
      </c>
      <c r="Z293" s="8" t="n">
        <f aca="false">SUM(Z294)</f>
        <v>0</v>
      </c>
      <c r="AA293" s="8" t="n">
        <f aca="false">SUM(AA294)</f>
        <v>0</v>
      </c>
      <c r="AB293" s="8" t="n">
        <f aca="false">SUM(AB294)</f>
        <v>36</v>
      </c>
      <c r="AC293" s="8" t="n">
        <f aca="false">SUM(AC294)</f>
        <v>41</v>
      </c>
      <c r="AD293" s="8" t="n">
        <f aca="false">SUM(AD294)</f>
        <v>48</v>
      </c>
      <c r="AE293" s="8" t="n">
        <f aca="false">SUM(AE294)</f>
        <v>45</v>
      </c>
      <c r="AF293" s="8" t="n">
        <f aca="false">SUM(AF294)</f>
        <v>47</v>
      </c>
      <c r="AG293" s="8" t="n">
        <f aca="false">SUM(AG294)</f>
        <v>38</v>
      </c>
      <c r="AH293" s="8" t="n">
        <f aca="false">SUM(AH294)</f>
        <v>17</v>
      </c>
      <c r="AI293" s="8" t="n">
        <f aca="false">SUM(AI294)</f>
        <v>0</v>
      </c>
      <c r="AJ293" s="8" t="n">
        <f aca="false">SUM(AJ294)</f>
        <v>0</v>
      </c>
      <c r="AK293" s="8" t="n">
        <f aca="false">SUM(AK294)</f>
        <v>0</v>
      </c>
      <c r="AL293" s="8" t="n">
        <f aca="false">SUM(AL294)</f>
        <v>0</v>
      </c>
      <c r="AM293" s="8" t="n">
        <f aca="false">SUM(AM294)</f>
        <v>0</v>
      </c>
      <c r="AN293" s="8" t="n">
        <f aca="false">SUM(AN294)</f>
        <v>0</v>
      </c>
      <c r="AO293" s="8" t="n">
        <f aca="false">SUM(AO294)</f>
        <v>0</v>
      </c>
      <c r="AP293" s="8" t="n">
        <f aca="false">SUM(AP294)</f>
        <v>0</v>
      </c>
      <c r="AQ293" s="8" t="n">
        <f aca="false">SUM(AQ294)</f>
        <v>0</v>
      </c>
      <c r="AR293" s="8" t="n">
        <f aca="false">SUM(AR294)</f>
        <v>0</v>
      </c>
      <c r="AS293" s="8" t="n">
        <f aca="false">SUM(AS294)</f>
        <v>0</v>
      </c>
      <c r="AT293" s="8" t="n">
        <f aca="false">SUM(AT294)</f>
        <v>0</v>
      </c>
      <c r="AU293" s="8" t="n">
        <f aca="false">SUM(AU294)</f>
        <v>0</v>
      </c>
      <c r="AV293" s="8" t="n">
        <f aca="false">SUM(AV294)</f>
        <v>0</v>
      </c>
      <c r="AW293" s="8" t="n">
        <f aca="false">SUM(AW294)</f>
        <v>0</v>
      </c>
    </row>
    <row r="294" customFormat="false" ht="15" hidden="true" customHeight="true" outlineLevel="1" collapsed="false">
      <c r="A294" s="9" t="s">
        <v>12</v>
      </c>
      <c r="B294" s="9" t="s">
        <v>14</v>
      </c>
      <c r="C294" s="9" t="s">
        <v>129</v>
      </c>
      <c r="D294" s="9" t="s">
        <v>78</v>
      </c>
      <c r="E294" s="9" t="s">
        <v>102</v>
      </c>
      <c r="F294" s="10" t="n">
        <v>0</v>
      </c>
      <c r="G294" s="10" t="n">
        <v>0</v>
      </c>
      <c r="H294" s="10" t="n">
        <v>520</v>
      </c>
      <c r="I294" s="10" t="n">
        <v>-520</v>
      </c>
      <c r="J294" s="10" t="n">
        <v>0</v>
      </c>
      <c r="K294" s="10" t="n">
        <v>20</v>
      </c>
      <c r="L294" s="10" t="n">
        <v>20</v>
      </c>
      <c r="M294" s="10" t="n">
        <v>28</v>
      </c>
      <c r="N294" s="10" t="n">
        <v>16</v>
      </c>
      <c r="O294" s="10" t="n">
        <v>20</v>
      </c>
      <c r="P294" s="10" t="n">
        <v>20</v>
      </c>
      <c r="Q294" s="10" t="n">
        <v>15</v>
      </c>
      <c r="R294" s="10" t="n">
        <v>15</v>
      </c>
      <c r="S294" s="10" t="n">
        <v>14</v>
      </c>
      <c r="T294" s="10" t="n">
        <v>15</v>
      </c>
      <c r="U294" s="10" t="n">
        <v>15</v>
      </c>
      <c r="V294" s="10" t="n">
        <v>15</v>
      </c>
      <c r="W294" s="10" t="n">
        <v>10</v>
      </c>
      <c r="X294" s="10" t="n">
        <v>15</v>
      </c>
      <c r="Y294" s="10" t="n">
        <v>10</v>
      </c>
      <c r="Z294" s="10" t="n">
        <v>0</v>
      </c>
      <c r="AA294" s="10" t="n">
        <v>0</v>
      </c>
      <c r="AB294" s="10" t="n">
        <v>36</v>
      </c>
      <c r="AC294" s="10" t="n">
        <v>41</v>
      </c>
      <c r="AD294" s="10" t="n">
        <v>48</v>
      </c>
      <c r="AE294" s="10" t="n">
        <v>45</v>
      </c>
      <c r="AF294" s="10" t="n">
        <v>47</v>
      </c>
      <c r="AG294" s="10" t="n">
        <v>38</v>
      </c>
      <c r="AH294" s="10" t="n">
        <v>17</v>
      </c>
      <c r="AI294" s="10" t="n">
        <v>0</v>
      </c>
      <c r="AJ294" s="10" t="n">
        <v>0</v>
      </c>
      <c r="AK294" s="10" t="n">
        <v>0</v>
      </c>
      <c r="AL294" s="10" t="n">
        <v>0</v>
      </c>
      <c r="AM294" s="10" t="n">
        <v>0</v>
      </c>
      <c r="AN294" s="10" t="n">
        <v>0</v>
      </c>
      <c r="AO294" s="10" t="n">
        <v>0</v>
      </c>
      <c r="AP294" s="10" t="n">
        <v>0</v>
      </c>
      <c r="AQ294" s="10" t="n">
        <v>0</v>
      </c>
      <c r="AR294" s="10" t="n">
        <v>0</v>
      </c>
      <c r="AS294" s="10" t="n">
        <v>0</v>
      </c>
      <c r="AT294" s="10" t="n">
        <v>0</v>
      </c>
      <c r="AU294" s="10" t="n">
        <v>0</v>
      </c>
      <c r="AV294" s="10" t="n">
        <v>0</v>
      </c>
      <c r="AW294" s="10" t="n">
        <v>0</v>
      </c>
    </row>
    <row r="295" customFormat="false" ht="15" hidden="false" customHeight="true" outlineLevel="0" collapsed="false">
      <c r="A295" s="7" t="s">
        <v>12</v>
      </c>
      <c r="B295" s="7" t="s">
        <v>14</v>
      </c>
      <c r="C295" s="7" t="s">
        <v>130</v>
      </c>
      <c r="D295" s="7" t="s">
        <v>76</v>
      </c>
      <c r="E295" s="7" t="s">
        <v>77</v>
      </c>
      <c r="F295" s="8" t="n">
        <f aca="false">SUM(F296)</f>
        <v>0</v>
      </c>
      <c r="G295" s="8" t="n">
        <f aca="false">SUM(G296)</f>
        <v>0</v>
      </c>
      <c r="H295" s="8" t="n">
        <f aca="false">SUM(H296)</f>
        <v>309</v>
      </c>
      <c r="I295" s="8" t="n">
        <f aca="false">SUM(I296)</f>
        <v>-309</v>
      </c>
      <c r="J295" s="8" t="n">
        <f aca="false">SUM(J296)</f>
        <v>0</v>
      </c>
      <c r="K295" s="8" t="n">
        <f aca="false">SUM(K296)</f>
        <v>24</v>
      </c>
      <c r="L295" s="8" t="n">
        <f aca="false">SUM(L296)</f>
        <v>24</v>
      </c>
      <c r="M295" s="8" t="n">
        <f aca="false">SUM(M296)</f>
        <v>2</v>
      </c>
      <c r="N295" s="8" t="n">
        <f aca="false">SUM(N296)</f>
        <v>22</v>
      </c>
      <c r="O295" s="8" t="n">
        <f aca="false">SUM(O296)</f>
        <v>26</v>
      </c>
      <c r="P295" s="8" t="n">
        <f aca="false">SUM(P296)</f>
        <v>22</v>
      </c>
      <c r="Q295" s="8" t="n">
        <f aca="false">SUM(Q296)</f>
        <v>2</v>
      </c>
      <c r="R295" s="8" t="n">
        <f aca="false">SUM(R296)</f>
        <v>2</v>
      </c>
      <c r="S295" s="8" t="n">
        <f aca="false">SUM(S296)</f>
        <v>2</v>
      </c>
      <c r="T295" s="8" t="n">
        <f aca="false">SUM(T296)</f>
        <v>2</v>
      </c>
      <c r="U295" s="8" t="n">
        <f aca="false">SUM(U296)</f>
        <v>2</v>
      </c>
      <c r="V295" s="8" t="n">
        <f aca="false">SUM(V296)</f>
        <v>22</v>
      </c>
      <c r="W295" s="8" t="n">
        <f aca="false">SUM(W296)</f>
        <v>22</v>
      </c>
      <c r="X295" s="8" t="n">
        <f aca="false">SUM(X296)</f>
        <v>25.5</v>
      </c>
      <c r="Y295" s="8" t="n">
        <f aca="false">SUM(Y296)</f>
        <v>5.5</v>
      </c>
      <c r="Z295" s="8" t="n">
        <f aca="false">SUM(Z296)</f>
        <v>2</v>
      </c>
      <c r="AA295" s="8" t="n">
        <f aca="false">SUM(AA296)</f>
        <v>0</v>
      </c>
      <c r="AB295" s="8" t="n">
        <f aca="false">SUM(AB296)</f>
        <v>6</v>
      </c>
      <c r="AC295" s="8" t="n">
        <f aca="false">SUM(AC296)</f>
        <v>2</v>
      </c>
      <c r="AD295" s="8" t="n">
        <f aca="false">SUM(AD296)</f>
        <v>29</v>
      </c>
      <c r="AE295" s="8" t="n">
        <f aca="false">SUM(AE296)</f>
        <v>29</v>
      </c>
      <c r="AF295" s="8" t="n">
        <f aca="false">SUM(AF296)</f>
        <v>26</v>
      </c>
      <c r="AG295" s="8" t="n">
        <f aca="false">SUM(AG296)</f>
        <v>2</v>
      </c>
      <c r="AH295" s="8" t="n">
        <f aca="false">SUM(AH296)</f>
        <v>6</v>
      </c>
      <c r="AI295" s="8" t="n">
        <f aca="false">SUM(AI296)</f>
        <v>2</v>
      </c>
      <c r="AJ295" s="8" t="n">
        <f aca="false">SUM(AJ296)</f>
        <v>0</v>
      </c>
      <c r="AK295" s="8" t="n">
        <f aca="false">SUM(AK296)</f>
        <v>0</v>
      </c>
      <c r="AL295" s="8" t="n">
        <f aca="false">SUM(AL296)</f>
        <v>0</v>
      </c>
      <c r="AM295" s="8" t="n">
        <f aca="false">SUM(AM296)</f>
        <v>0</v>
      </c>
      <c r="AN295" s="8" t="n">
        <f aca="false">SUM(AN296)</f>
        <v>0</v>
      </c>
      <c r="AO295" s="8" t="n">
        <f aca="false">SUM(AO296)</f>
        <v>0</v>
      </c>
      <c r="AP295" s="8" t="n">
        <f aca="false">SUM(AP296)</f>
        <v>0</v>
      </c>
      <c r="AQ295" s="8" t="n">
        <f aca="false">SUM(AQ296)</f>
        <v>0</v>
      </c>
      <c r="AR295" s="8" t="n">
        <f aca="false">SUM(AR296)</f>
        <v>0</v>
      </c>
      <c r="AS295" s="8" t="n">
        <f aca="false">SUM(AS296)</f>
        <v>0</v>
      </c>
      <c r="AT295" s="8" t="n">
        <f aca="false">SUM(AT296)</f>
        <v>0</v>
      </c>
      <c r="AU295" s="8" t="n">
        <f aca="false">SUM(AU296)</f>
        <v>0</v>
      </c>
      <c r="AV295" s="8" t="n">
        <f aca="false">SUM(AV296)</f>
        <v>0</v>
      </c>
      <c r="AW295" s="8" t="n">
        <f aca="false">SUM(AW296)</f>
        <v>0</v>
      </c>
    </row>
    <row r="296" customFormat="false" ht="15" hidden="true" customHeight="true" outlineLevel="1" collapsed="false">
      <c r="A296" s="9" t="s">
        <v>12</v>
      </c>
      <c r="B296" s="9" t="s">
        <v>14</v>
      </c>
      <c r="C296" s="9" t="s">
        <v>130</v>
      </c>
      <c r="D296" s="9" t="s">
        <v>78</v>
      </c>
      <c r="E296" s="9" t="s">
        <v>85</v>
      </c>
      <c r="F296" s="10" t="n">
        <v>0</v>
      </c>
      <c r="G296" s="10" t="n">
        <v>0</v>
      </c>
      <c r="H296" s="10" t="n">
        <v>309</v>
      </c>
      <c r="I296" s="10" t="n">
        <v>-309</v>
      </c>
      <c r="J296" s="10" t="n">
        <v>0</v>
      </c>
      <c r="K296" s="10" t="n">
        <v>24</v>
      </c>
      <c r="L296" s="10" t="n">
        <v>24</v>
      </c>
      <c r="M296" s="10" t="n">
        <v>2</v>
      </c>
      <c r="N296" s="10" t="n">
        <v>22</v>
      </c>
      <c r="O296" s="10" t="n">
        <v>26</v>
      </c>
      <c r="P296" s="10" t="n">
        <v>22</v>
      </c>
      <c r="Q296" s="10" t="n">
        <v>2</v>
      </c>
      <c r="R296" s="10" t="n">
        <v>2</v>
      </c>
      <c r="S296" s="10" t="n">
        <v>2</v>
      </c>
      <c r="T296" s="10" t="n">
        <v>2</v>
      </c>
      <c r="U296" s="10" t="n">
        <v>2</v>
      </c>
      <c r="V296" s="10" t="n">
        <v>22</v>
      </c>
      <c r="W296" s="10" t="n">
        <v>22</v>
      </c>
      <c r="X296" s="10" t="n">
        <v>25.5</v>
      </c>
      <c r="Y296" s="10" t="n">
        <v>5.5</v>
      </c>
      <c r="Z296" s="10" t="n">
        <v>2</v>
      </c>
      <c r="AA296" s="10" t="n">
        <v>0</v>
      </c>
      <c r="AB296" s="10" t="n">
        <v>6</v>
      </c>
      <c r="AC296" s="10" t="n">
        <v>2</v>
      </c>
      <c r="AD296" s="10" t="n">
        <v>29</v>
      </c>
      <c r="AE296" s="10" t="n">
        <v>29</v>
      </c>
      <c r="AF296" s="10" t="n">
        <v>26</v>
      </c>
      <c r="AG296" s="10" t="n">
        <v>2</v>
      </c>
      <c r="AH296" s="10" t="n">
        <v>6</v>
      </c>
      <c r="AI296" s="10" t="n">
        <v>2</v>
      </c>
      <c r="AJ296" s="10" t="n">
        <v>0</v>
      </c>
      <c r="AK296" s="10" t="n">
        <v>0</v>
      </c>
      <c r="AL296" s="10" t="n">
        <v>0</v>
      </c>
      <c r="AM296" s="10" t="n">
        <v>0</v>
      </c>
      <c r="AN296" s="10" t="n">
        <v>0</v>
      </c>
      <c r="AO296" s="10" t="n">
        <v>0</v>
      </c>
      <c r="AP296" s="10" t="n">
        <v>0</v>
      </c>
      <c r="AQ296" s="10" t="n">
        <v>0</v>
      </c>
      <c r="AR296" s="10" t="n">
        <v>0</v>
      </c>
      <c r="AS296" s="10" t="n">
        <v>0</v>
      </c>
      <c r="AT296" s="10" t="n">
        <v>0</v>
      </c>
      <c r="AU296" s="10" t="n">
        <v>0</v>
      </c>
      <c r="AV296" s="10" t="n">
        <v>0</v>
      </c>
      <c r="AW296" s="10" t="n">
        <v>0</v>
      </c>
    </row>
    <row r="297" customFormat="false" ht="15" hidden="false" customHeight="true" outlineLevel="0" collapsed="false">
      <c r="A297" s="7" t="s">
        <v>12</v>
      </c>
      <c r="B297" s="7" t="s">
        <v>14</v>
      </c>
      <c r="C297" s="7" t="s">
        <v>131</v>
      </c>
      <c r="D297" s="7" t="s">
        <v>76</v>
      </c>
      <c r="E297" s="7" t="s">
        <v>77</v>
      </c>
      <c r="F297" s="8" t="n">
        <f aca="false">SUM(F298)</f>
        <v>0</v>
      </c>
      <c r="G297" s="8" t="n">
        <f aca="false">SUM(G298)</f>
        <v>375</v>
      </c>
      <c r="H297" s="8" t="n">
        <f aca="false">SUM(H298)</f>
        <v>385</v>
      </c>
      <c r="I297" s="8" t="n">
        <f aca="false">SUM(I298)</f>
        <v>-10</v>
      </c>
      <c r="J297" s="8" t="n">
        <f aca="false">SUM(J298)</f>
        <v>0</v>
      </c>
      <c r="K297" s="8" t="n">
        <f aca="false">SUM(K298)</f>
        <v>0</v>
      </c>
      <c r="L297" s="8" t="n">
        <f aca="false">SUM(L298)</f>
        <v>0</v>
      </c>
      <c r="M297" s="8" t="n">
        <f aca="false">SUM(M298)</f>
        <v>0</v>
      </c>
      <c r="N297" s="8" t="n">
        <f aca="false">SUM(N298)</f>
        <v>0</v>
      </c>
      <c r="O297" s="8" t="n">
        <f aca="false">SUM(O298)</f>
        <v>0</v>
      </c>
      <c r="P297" s="8" t="n">
        <f aca="false">SUM(P298)</f>
        <v>0</v>
      </c>
      <c r="Q297" s="8" t="n">
        <f aca="false">SUM(Q298)</f>
        <v>0</v>
      </c>
      <c r="R297" s="8" t="n">
        <f aca="false">SUM(R298)</f>
        <v>0</v>
      </c>
      <c r="S297" s="8" t="n">
        <f aca="false">SUM(S298)</f>
        <v>0</v>
      </c>
      <c r="T297" s="8" t="n">
        <f aca="false">SUM(T298)</f>
        <v>0</v>
      </c>
      <c r="U297" s="8" t="n">
        <f aca="false">SUM(U298)</f>
        <v>0</v>
      </c>
      <c r="V297" s="8" t="n">
        <f aca="false">SUM(V298)</f>
        <v>0</v>
      </c>
      <c r="W297" s="8" t="n">
        <f aca="false">SUM(W298)</f>
        <v>0</v>
      </c>
      <c r="X297" s="8" t="n">
        <f aca="false">SUM(X298)</f>
        <v>0</v>
      </c>
      <c r="Y297" s="8" t="n">
        <f aca="false">SUM(Y298)</f>
        <v>0</v>
      </c>
      <c r="Z297" s="8" t="n">
        <f aca="false">SUM(Z298)</f>
        <v>0</v>
      </c>
      <c r="AA297" s="8" t="n">
        <f aca="false">SUM(AA298)</f>
        <v>0</v>
      </c>
      <c r="AB297" s="8" t="n">
        <f aca="false">SUM(AB298)</f>
        <v>35</v>
      </c>
      <c r="AC297" s="8" t="n">
        <f aca="false">SUM(AC298)</f>
        <v>45</v>
      </c>
      <c r="AD297" s="8" t="n">
        <f aca="false">SUM(AD298)</f>
        <v>55</v>
      </c>
      <c r="AE297" s="11" t="n">
        <f aca="false">SUM(AE298)</f>
        <v>65</v>
      </c>
      <c r="AF297" s="11" t="n">
        <f aca="false">SUM(AF298)</f>
        <v>65</v>
      </c>
      <c r="AG297" s="11" t="n">
        <f aca="false">SUM(AG298)</f>
        <v>65</v>
      </c>
      <c r="AH297" s="8" t="n">
        <f aca="false">SUM(AH298)</f>
        <v>55</v>
      </c>
      <c r="AI297" s="8" t="n">
        <f aca="false">SUM(AI298)</f>
        <v>0</v>
      </c>
      <c r="AJ297" s="8" t="n">
        <f aca="false">SUM(AJ298)</f>
        <v>0</v>
      </c>
      <c r="AK297" s="8" t="n">
        <f aca="false">SUM(AK298)</f>
        <v>0</v>
      </c>
      <c r="AL297" s="8" t="n">
        <f aca="false">SUM(AL298)</f>
        <v>0</v>
      </c>
      <c r="AM297" s="8" t="n">
        <f aca="false">SUM(AM298)</f>
        <v>0</v>
      </c>
      <c r="AN297" s="8" t="n">
        <f aca="false">SUM(AN298)</f>
        <v>0</v>
      </c>
      <c r="AO297" s="8" t="n">
        <f aca="false">SUM(AO298)</f>
        <v>0</v>
      </c>
      <c r="AP297" s="8" t="n">
        <f aca="false">SUM(AP298)</f>
        <v>0</v>
      </c>
      <c r="AQ297" s="8" t="n">
        <f aca="false">SUM(AQ298)</f>
        <v>0</v>
      </c>
      <c r="AR297" s="8" t="n">
        <f aca="false">SUM(AR298)</f>
        <v>0</v>
      </c>
      <c r="AS297" s="8" t="n">
        <f aca="false">SUM(AS298)</f>
        <v>0</v>
      </c>
      <c r="AT297" s="8" t="n">
        <f aca="false">SUM(AT298)</f>
        <v>0</v>
      </c>
      <c r="AU297" s="8" t="n">
        <f aca="false">SUM(AU298)</f>
        <v>0</v>
      </c>
      <c r="AV297" s="8" t="n">
        <f aca="false">SUM(AV298)</f>
        <v>0</v>
      </c>
      <c r="AW297" s="8" t="n">
        <f aca="false">SUM(AW298)</f>
        <v>0</v>
      </c>
    </row>
    <row r="298" customFormat="false" ht="15" hidden="true" customHeight="true" outlineLevel="1" collapsed="false">
      <c r="A298" s="9" t="s">
        <v>12</v>
      </c>
      <c r="B298" s="9" t="s">
        <v>14</v>
      </c>
      <c r="C298" s="9" t="s">
        <v>131</v>
      </c>
      <c r="D298" s="9" t="s">
        <v>78</v>
      </c>
      <c r="E298" s="9" t="s">
        <v>103</v>
      </c>
      <c r="F298" s="10" t="n">
        <v>0</v>
      </c>
      <c r="G298" s="10" t="n">
        <v>375</v>
      </c>
      <c r="H298" s="10" t="n">
        <v>385</v>
      </c>
      <c r="I298" s="10" t="n">
        <v>-10</v>
      </c>
      <c r="J298" s="10" t="n">
        <v>0</v>
      </c>
      <c r="K298" s="10" t="n">
        <v>0</v>
      </c>
      <c r="L298" s="10" t="n">
        <v>0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  <c r="S298" s="10" t="n">
        <v>0</v>
      </c>
      <c r="T298" s="10" t="n">
        <v>0</v>
      </c>
      <c r="U298" s="10" t="n">
        <v>0</v>
      </c>
      <c r="V298" s="10" t="n">
        <v>0</v>
      </c>
      <c r="W298" s="10" t="n">
        <v>0</v>
      </c>
      <c r="X298" s="10" t="n">
        <v>0</v>
      </c>
      <c r="Y298" s="10" t="n">
        <v>0</v>
      </c>
      <c r="Z298" s="10" t="n">
        <v>0</v>
      </c>
      <c r="AA298" s="10" t="n">
        <v>0</v>
      </c>
      <c r="AB298" s="10" t="n">
        <v>35</v>
      </c>
      <c r="AC298" s="10" t="n">
        <v>45</v>
      </c>
      <c r="AD298" s="10" t="n">
        <v>55</v>
      </c>
      <c r="AE298" s="10" t="n">
        <v>65</v>
      </c>
      <c r="AF298" s="10" t="n">
        <v>65</v>
      </c>
      <c r="AG298" s="10" t="n">
        <v>65</v>
      </c>
      <c r="AH298" s="10" t="n">
        <v>55</v>
      </c>
      <c r="AI298" s="10" t="n">
        <v>0</v>
      </c>
      <c r="AJ298" s="10" t="n">
        <v>0</v>
      </c>
      <c r="AK298" s="10" t="n">
        <v>0</v>
      </c>
      <c r="AL298" s="10" t="n">
        <v>0</v>
      </c>
      <c r="AM298" s="10" t="n">
        <v>0</v>
      </c>
      <c r="AN298" s="10" t="n">
        <v>0</v>
      </c>
      <c r="AO298" s="10" t="n">
        <v>0</v>
      </c>
      <c r="AP298" s="10" t="n">
        <v>0</v>
      </c>
      <c r="AQ298" s="10" t="n">
        <v>0</v>
      </c>
      <c r="AR298" s="10" t="n">
        <v>0</v>
      </c>
      <c r="AS298" s="10" t="n">
        <v>0</v>
      </c>
      <c r="AT298" s="10" t="n">
        <v>0</v>
      </c>
      <c r="AU298" s="10" t="n">
        <v>0</v>
      </c>
      <c r="AV298" s="10" t="n">
        <v>0</v>
      </c>
      <c r="AW298" s="10" t="n">
        <v>0</v>
      </c>
    </row>
    <row r="299" customFormat="false" ht="15" hidden="false" customHeight="true" outlineLevel="0" collapsed="false">
      <c r="A299" s="7" t="s">
        <v>12</v>
      </c>
      <c r="B299" s="7" t="s">
        <v>14</v>
      </c>
      <c r="C299" s="7" t="s">
        <v>132</v>
      </c>
      <c r="D299" s="7" t="s">
        <v>76</v>
      </c>
      <c r="E299" s="7" t="s">
        <v>77</v>
      </c>
      <c r="F299" s="8" t="n">
        <f aca="false">SUM(F300)</f>
        <v>120</v>
      </c>
      <c r="G299" s="8" t="n">
        <f aca="false">SUM(G300)</f>
        <v>760</v>
      </c>
      <c r="H299" s="8" t="n">
        <f aca="false">SUM(H300)</f>
        <v>550</v>
      </c>
      <c r="I299" s="8" t="n">
        <f aca="false">SUM(I300)</f>
        <v>210</v>
      </c>
      <c r="J299" s="8" t="n">
        <f aca="false">SUM(J300)</f>
        <v>0</v>
      </c>
      <c r="K299" s="8" t="n">
        <f aca="false">SUM(K300)</f>
        <v>0</v>
      </c>
      <c r="L299" s="8" t="n">
        <f aca="false">SUM(L300)</f>
        <v>0</v>
      </c>
      <c r="M299" s="8" t="n">
        <f aca="false">SUM(M300)</f>
        <v>15</v>
      </c>
      <c r="N299" s="8" t="n">
        <f aca="false">SUM(N300)</f>
        <v>15</v>
      </c>
      <c r="O299" s="8" t="n">
        <f aca="false">SUM(O300)</f>
        <v>10</v>
      </c>
      <c r="P299" s="8" t="n">
        <f aca="false">SUM(P300)</f>
        <v>15</v>
      </c>
      <c r="Q299" s="8" t="n">
        <f aca="false">SUM(Q300)</f>
        <v>15</v>
      </c>
      <c r="R299" s="8" t="n">
        <f aca="false">SUM(R300)</f>
        <v>15</v>
      </c>
      <c r="S299" s="8" t="n">
        <f aca="false">SUM(S300)</f>
        <v>15</v>
      </c>
      <c r="T299" s="8" t="n">
        <f aca="false">SUM(T300)</f>
        <v>20</v>
      </c>
      <c r="U299" s="8" t="n">
        <f aca="false">SUM(U300)</f>
        <v>20</v>
      </c>
      <c r="V299" s="8" t="n">
        <f aca="false">SUM(V300)</f>
        <v>15</v>
      </c>
      <c r="W299" s="8" t="n">
        <f aca="false">SUM(W300)</f>
        <v>10</v>
      </c>
      <c r="X299" s="8" t="n">
        <f aca="false">SUM(X300)</f>
        <v>10</v>
      </c>
      <c r="Y299" s="8" t="n">
        <f aca="false">SUM(Y300)</f>
        <v>5</v>
      </c>
      <c r="Z299" s="8" t="n">
        <f aca="false">SUM(Z300)</f>
        <v>0</v>
      </c>
      <c r="AA299" s="8" t="n">
        <f aca="false">SUM(AA300)</f>
        <v>0</v>
      </c>
      <c r="AB299" s="8" t="n">
        <f aca="false">SUM(AB300)</f>
        <v>20</v>
      </c>
      <c r="AC299" s="8" t="n">
        <f aca="false">SUM(AC300)</f>
        <v>50</v>
      </c>
      <c r="AD299" s="8" t="n">
        <f aca="false">SUM(AD300)</f>
        <v>55</v>
      </c>
      <c r="AE299" s="11" t="n">
        <f aca="false">SUM(AE300)</f>
        <v>60</v>
      </c>
      <c r="AF299" s="11" t="n">
        <f aca="false">SUM(AF300)</f>
        <v>65</v>
      </c>
      <c r="AG299" s="11" t="n">
        <f aca="false">SUM(AG300)</f>
        <v>65</v>
      </c>
      <c r="AH299" s="8" t="n">
        <f aca="false">SUM(AH300)</f>
        <v>55</v>
      </c>
      <c r="AI299" s="8" t="n">
        <f aca="false">SUM(AI300)</f>
        <v>0</v>
      </c>
      <c r="AJ299" s="8" t="n">
        <f aca="false">SUM(AJ300)</f>
        <v>0</v>
      </c>
      <c r="AK299" s="8" t="n">
        <f aca="false">SUM(AK300)</f>
        <v>0</v>
      </c>
      <c r="AL299" s="8" t="n">
        <f aca="false">SUM(AL300)</f>
        <v>0</v>
      </c>
      <c r="AM299" s="8" t="n">
        <f aca="false">SUM(AM300)</f>
        <v>0</v>
      </c>
      <c r="AN299" s="8" t="n">
        <f aca="false">SUM(AN300)</f>
        <v>0</v>
      </c>
      <c r="AO299" s="8" t="n">
        <f aca="false">SUM(AO300)</f>
        <v>0</v>
      </c>
      <c r="AP299" s="8" t="n">
        <f aca="false">SUM(AP300)</f>
        <v>0</v>
      </c>
      <c r="AQ299" s="8" t="n">
        <f aca="false">SUM(AQ300)</f>
        <v>0</v>
      </c>
      <c r="AR299" s="8" t="n">
        <f aca="false">SUM(AR300)</f>
        <v>0</v>
      </c>
      <c r="AS299" s="8" t="n">
        <f aca="false">SUM(AS300)</f>
        <v>0</v>
      </c>
      <c r="AT299" s="8" t="n">
        <f aca="false">SUM(AT300)</f>
        <v>0</v>
      </c>
      <c r="AU299" s="8" t="n">
        <f aca="false">SUM(AU300)</f>
        <v>0</v>
      </c>
      <c r="AV299" s="8" t="n">
        <f aca="false">SUM(AV300)</f>
        <v>0</v>
      </c>
      <c r="AW299" s="8" t="n">
        <f aca="false">SUM(AW300)</f>
        <v>0</v>
      </c>
    </row>
    <row r="300" customFormat="false" ht="15" hidden="true" customHeight="true" outlineLevel="1" collapsed="false">
      <c r="A300" s="9" t="s">
        <v>12</v>
      </c>
      <c r="B300" s="9" t="s">
        <v>14</v>
      </c>
      <c r="C300" s="9" t="s">
        <v>132</v>
      </c>
      <c r="D300" s="9" t="s">
        <v>78</v>
      </c>
      <c r="E300" s="9" t="s">
        <v>103</v>
      </c>
      <c r="F300" s="10" t="n">
        <v>120</v>
      </c>
      <c r="G300" s="10" t="n">
        <v>760</v>
      </c>
      <c r="H300" s="10" t="n">
        <v>550</v>
      </c>
      <c r="I300" s="10" t="n">
        <v>210</v>
      </c>
      <c r="J300" s="10" t="n">
        <v>0</v>
      </c>
      <c r="K300" s="10" t="n">
        <v>0</v>
      </c>
      <c r="L300" s="10" t="n">
        <v>0</v>
      </c>
      <c r="M300" s="10" t="n">
        <v>15</v>
      </c>
      <c r="N300" s="10" t="n">
        <v>15</v>
      </c>
      <c r="O300" s="10" t="n">
        <v>10</v>
      </c>
      <c r="P300" s="10" t="n">
        <v>15</v>
      </c>
      <c r="Q300" s="10" t="n">
        <v>15</v>
      </c>
      <c r="R300" s="10" t="n">
        <v>15</v>
      </c>
      <c r="S300" s="10" t="n">
        <v>15</v>
      </c>
      <c r="T300" s="10" t="n">
        <v>20</v>
      </c>
      <c r="U300" s="10" t="n">
        <v>20</v>
      </c>
      <c r="V300" s="10" t="n">
        <v>15</v>
      </c>
      <c r="W300" s="10" t="n">
        <v>10</v>
      </c>
      <c r="X300" s="10" t="n">
        <v>10</v>
      </c>
      <c r="Y300" s="10" t="n">
        <v>5</v>
      </c>
      <c r="Z300" s="10" t="n">
        <v>0</v>
      </c>
      <c r="AA300" s="10" t="n">
        <v>0</v>
      </c>
      <c r="AB300" s="10" t="n">
        <v>20</v>
      </c>
      <c r="AC300" s="10" t="n">
        <v>50</v>
      </c>
      <c r="AD300" s="10" t="n">
        <v>55</v>
      </c>
      <c r="AE300" s="10" t="n">
        <v>60</v>
      </c>
      <c r="AF300" s="10" t="n">
        <v>65</v>
      </c>
      <c r="AG300" s="10" t="n">
        <v>65</v>
      </c>
      <c r="AH300" s="10" t="n">
        <v>55</v>
      </c>
      <c r="AI300" s="10" t="n">
        <v>0</v>
      </c>
      <c r="AJ300" s="10" t="n">
        <v>0</v>
      </c>
      <c r="AK300" s="10" t="n">
        <v>0</v>
      </c>
      <c r="AL300" s="10" t="n">
        <v>0</v>
      </c>
      <c r="AM300" s="10" t="n">
        <v>0</v>
      </c>
      <c r="AN300" s="10" t="n">
        <v>0</v>
      </c>
      <c r="AO300" s="10" t="n">
        <v>0</v>
      </c>
      <c r="AP300" s="10" t="n">
        <v>0</v>
      </c>
      <c r="AQ300" s="10" t="n">
        <v>0</v>
      </c>
      <c r="AR300" s="10" t="n">
        <v>0</v>
      </c>
      <c r="AS300" s="10" t="n">
        <v>0</v>
      </c>
      <c r="AT300" s="10" t="n">
        <v>0</v>
      </c>
      <c r="AU300" s="10" t="n">
        <v>0</v>
      </c>
      <c r="AV300" s="10" t="n">
        <v>0</v>
      </c>
      <c r="AW300" s="10" t="n">
        <v>0</v>
      </c>
    </row>
    <row r="301" customFormat="false" ht="15" hidden="false" customHeight="true" outlineLevel="0" collapsed="false">
      <c r="A301" s="7" t="s">
        <v>12</v>
      </c>
      <c r="B301" s="7" t="s">
        <v>14</v>
      </c>
      <c r="C301" s="7" t="s">
        <v>133</v>
      </c>
      <c r="D301" s="7" t="s">
        <v>76</v>
      </c>
      <c r="E301" s="7" t="s">
        <v>77</v>
      </c>
      <c r="F301" s="8" t="n">
        <f aca="false">SUM(F302)</f>
        <v>37.5</v>
      </c>
      <c r="G301" s="8" t="n">
        <f aca="false">SUM(G302)</f>
        <v>325</v>
      </c>
      <c r="H301" s="8" t="n">
        <f aca="false">SUM(H302)</f>
        <v>261</v>
      </c>
      <c r="I301" s="8" t="n">
        <f aca="false">SUM(I302)</f>
        <v>64</v>
      </c>
      <c r="J301" s="8" t="n">
        <f aca="false">SUM(J302)</f>
        <v>0</v>
      </c>
      <c r="K301" s="8" t="n">
        <f aca="false">SUM(K302)</f>
        <v>0</v>
      </c>
      <c r="L301" s="8" t="n">
        <f aca="false">SUM(L302)</f>
        <v>0</v>
      </c>
      <c r="M301" s="8" t="n">
        <f aca="false">SUM(M302)</f>
        <v>0</v>
      </c>
      <c r="N301" s="8" t="n">
        <f aca="false">SUM(N302)</f>
        <v>0</v>
      </c>
      <c r="O301" s="8" t="n">
        <f aca="false">SUM(O302)</f>
        <v>1.5</v>
      </c>
      <c r="P301" s="8" t="n">
        <f aca="false">SUM(P302)</f>
        <v>1.5</v>
      </c>
      <c r="Q301" s="8" t="n">
        <f aca="false">SUM(Q302)</f>
        <v>1.5</v>
      </c>
      <c r="R301" s="8" t="n">
        <f aca="false">SUM(R302)</f>
        <v>1.5</v>
      </c>
      <c r="S301" s="8" t="n">
        <f aca="false">SUM(S302)</f>
        <v>22.5</v>
      </c>
      <c r="T301" s="8" t="n">
        <f aca="false">SUM(T302)</f>
        <v>28.5</v>
      </c>
      <c r="U301" s="8" t="n">
        <f aca="false">SUM(U302)</f>
        <v>1.5</v>
      </c>
      <c r="V301" s="8" t="n">
        <f aca="false">SUM(V302)</f>
        <v>1.5</v>
      </c>
      <c r="W301" s="8" t="n">
        <f aca="false">SUM(W302)</f>
        <v>1.5</v>
      </c>
      <c r="X301" s="8" t="n">
        <f aca="false">SUM(X302)</f>
        <v>22.5</v>
      </c>
      <c r="Y301" s="8" t="n">
        <f aca="false">SUM(Y302)</f>
        <v>1.5</v>
      </c>
      <c r="Z301" s="8" t="n">
        <f aca="false">SUM(Z302)</f>
        <v>0</v>
      </c>
      <c r="AA301" s="8" t="n">
        <f aca="false">SUM(AA302)</f>
        <v>0</v>
      </c>
      <c r="AB301" s="8" t="n">
        <f aca="false">SUM(AB302)</f>
        <v>1.5</v>
      </c>
      <c r="AC301" s="8" t="n">
        <f aca="false">SUM(AC302)</f>
        <v>12.5</v>
      </c>
      <c r="AD301" s="8" t="n">
        <f aca="false">SUM(AD302)</f>
        <v>32.5</v>
      </c>
      <c r="AE301" s="8" t="n">
        <f aca="false">SUM(AE302)</f>
        <v>24</v>
      </c>
      <c r="AF301" s="8" t="n">
        <f aca="false">SUM(AF302)</f>
        <v>34</v>
      </c>
      <c r="AG301" s="8" t="n">
        <f aca="false">SUM(AG302)</f>
        <v>34</v>
      </c>
      <c r="AH301" s="8" t="n">
        <f aca="false">SUM(AH302)</f>
        <v>25</v>
      </c>
      <c r="AI301" s="8" t="n">
        <f aca="false">SUM(AI302)</f>
        <v>7.5</v>
      </c>
      <c r="AJ301" s="8" t="n">
        <f aca="false">SUM(AJ302)</f>
        <v>1.5</v>
      </c>
      <c r="AK301" s="8" t="n">
        <f aca="false">SUM(AK302)</f>
        <v>1.5</v>
      </c>
      <c r="AL301" s="8" t="n">
        <f aca="false">SUM(AL302)</f>
        <v>1.5</v>
      </c>
      <c r="AM301" s="8" t="n">
        <f aca="false">SUM(AM302)</f>
        <v>0</v>
      </c>
      <c r="AN301" s="8" t="n">
        <f aca="false">SUM(AN302)</f>
        <v>0</v>
      </c>
      <c r="AO301" s="8" t="n">
        <f aca="false">SUM(AO302)</f>
        <v>0</v>
      </c>
      <c r="AP301" s="8" t="n">
        <f aca="false">SUM(AP302)</f>
        <v>0</v>
      </c>
      <c r="AQ301" s="8" t="n">
        <f aca="false">SUM(AQ302)</f>
        <v>0</v>
      </c>
      <c r="AR301" s="8" t="n">
        <f aca="false">SUM(AR302)</f>
        <v>0</v>
      </c>
      <c r="AS301" s="8" t="n">
        <f aca="false">SUM(AS302)</f>
        <v>0</v>
      </c>
      <c r="AT301" s="8" t="n">
        <f aca="false">SUM(AT302)</f>
        <v>0</v>
      </c>
      <c r="AU301" s="8" t="n">
        <f aca="false">SUM(AU302)</f>
        <v>0</v>
      </c>
      <c r="AV301" s="8" t="n">
        <f aca="false">SUM(AV302)</f>
        <v>0</v>
      </c>
      <c r="AW301" s="8" t="n">
        <f aca="false">SUM(AW302)</f>
        <v>0</v>
      </c>
    </row>
    <row r="302" customFormat="false" ht="15" hidden="true" customHeight="true" outlineLevel="1" collapsed="false">
      <c r="A302" s="9" t="s">
        <v>12</v>
      </c>
      <c r="B302" s="9" t="s">
        <v>14</v>
      </c>
      <c r="C302" s="9" t="s">
        <v>133</v>
      </c>
      <c r="D302" s="9" t="s">
        <v>78</v>
      </c>
      <c r="E302" s="9" t="s">
        <v>46</v>
      </c>
      <c r="F302" s="10" t="n">
        <v>37.5</v>
      </c>
      <c r="G302" s="10" t="n">
        <v>325</v>
      </c>
      <c r="H302" s="10" t="n">
        <v>261</v>
      </c>
      <c r="I302" s="10" t="n">
        <v>64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0" t="n">
        <v>1.5</v>
      </c>
      <c r="P302" s="10" t="n">
        <v>1.5</v>
      </c>
      <c r="Q302" s="10" t="n">
        <v>1.5</v>
      </c>
      <c r="R302" s="10" t="n">
        <v>1.5</v>
      </c>
      <c r="S302" s="10" t="n">
        <v>22.5</v>
      </c>
      <c r="T302" s="10" t="n">
        <v>28.5</v>
      </c>
      <c r="U302" s="10" t="n">
        <v>1.5</v>
      </c>
      <c r="V302" s="10" t="n">
        <v>1.5</v>
      </c>
      <c r="W302" s="10" t="n">
        <v>1.5</v>
      </c>
      <c r="X302" s="10" t="n">
        <v>22.5</v>
      </c>
      <c r="Y302" s="10" t="n">
        <v>1.5</v>
      </c>
      <c r="Z302" s="10" t="n">
        <v>0</v>
      </c>
      <c r="AA302" s="10" t="n">
        <v>0</v>
      </c>
      <c r="AB302" s="10" t="n">
        <v>1.5</v>
      </c>
      <c r="AC302" s="10" t="n">
        <v>12.5</v>
      </c>
      <c r="AD302" s="10" t="n">
        <v>32.5</v>
      </c>
      <c r="AE302" s="10" t="n">
        <v>24</v>
      </c>
      <c r="AF302" s="10" t="n">
        <v>34</v>
      </c>
      <c r="AG302" s="10" t="n">
        <v>34</v>
      </c>
      <c r="AH302" s="10" t="n">
        <v>25</v>
      </c>
      <c r="AI302" s="10" t="n">
        <v>7.5</v>
      </c>
      <c r="AJ302" s="10" t="n">
        <v>1.5</v>
      </c>
      <c r="AK302" s="10" t="n">
        <v>1.5</v>
      </c>
      <c r="AL302" s="10" t="n">
        <v>1.5</v>
      </c>
      <c r="AM302" s="10" t="n">
        <v>0</v>
      </c>
      <c r="AN302" s="10" t="n">
        <v>0</v>
      </c>
      <c r="AO302" s="10" t="n">
        <v>0</v>
      </c>
      <c r="AP302" s="10" t="n">
        <v>0</v>
      </c>
      <c r="AQ302" s="10" t="n">
        <v>0</v>
      </c>
      <c r="AR302" s="10" t="n">
        <v>0</v>
      </c>
      <c r="AS302" s="10" t="n">
        <v>0</v>
      </c>
      <c r="AT302" s="10" t="n">
        <v>0</v>
      </c>
      <c r="AU302" s="10" t="n">
        <v>0</v>
      </c>
      <c r="AV302" s="10" t="n">
        <v>0</v>
      </c>
      <c r="AW302" s="10" t="n">
        <v>0</v>
      </c>
    </row>
    <row r="303" customFormat="false" ht="15" hidden="false" customHeight="true" outlineLevel="0" collapsed="false">
      <c r="A303" s="7" t="s">
        <v>12</v>
      </c>
      <c r="B303" s="7" t="s">
        <v>14</v>
      </c>
      <c r="C303" s="7" t="s">
        <v>134</v>
      </c>
      <c r="D303" s="7" t="s">
        <v>76</v>
      </c>
      <c r="E303" s="7" t="s">
        <v>77</v>
      </c>
      <c r="F303" s="8" t="n">
        <f aca="false">SUM(F304)</f>
        <v>0</v>
      </c>
      <c r="G303" s="8" t="n">
        <f aca="false">SUM(G304)</f>
        <v>495</v>
      </c>
      <c r="H303" s="8" t="n">
        <f aca="false">SUM(H304)</f>
        <v>495</v>
      </c>
      <c r="I303" s="8" t="n">
        <f aca="false">SUM(I304)</f>
        <v>0</v>
      </c>
      <c r="J303" s="8" t="n">
        <f aca="false">SUM(J304)</f>
        <v>0</v>
      </c>
      <c r="K303" s="8" t="n">
        <f aca="false">SUM(K304)</f>
        <v>0</v>
      </c>
      <c r="L303" s="8" t="n">
        <f aca="false">SUM(L304)</f>
        <v>0</v>
      </c>
      <c r="M303" s="8" t="n">
        <f aca="false">SUM(M304)</f>
        <v>0</v>
      </c>
      <c r="N303" s="8" t="n">
        <f aca="false">SUM(N304)</f>
        <v>0</v>
      </c>
      <c r="O303" s="8" t="n">
        <f aca="false">SUM(O304)</f>
        <v>0</v>
      </c>
      <c r="P303" s="8" t="n">
        <f aca="false">SUM(P304)</f>
        <v>25</v>
      </c>
      <c r="Q303" s="8" t="n">
        <f aca="false">SUM(Q304)</f>
        <v>25</v>
      </c>
      <c r="R303" s="8" t="n">
        <f aca="false">SUM(R304)</f>
        <v>0</v>
      </c>
      <c r="S303" s="8" t="n">
        <f aca="false">SUM(S304)</f>
        <v>0</v>
      </c>
      <c r="T303" s="8" t="n">
        <f aca="false">SUM(T304)</f>
        <v>0</v>
      </c>
      <c r="U303" s="8" t="n">
        <f aca="false">SUM(U304)</f>
        <v>0</v>
      </c>
      <c r="V303" s="8" t="n">
        <f aca="false">SUM(V304)</f>
        <v>0</v>
      </c>
      <c r="W303" s="8" t="n">
        <f aca="false">SUM(W304)</f>
        <v>0</v>
      </c>
      <c r="X303" s="8" t="n">
        <f aca="false">SUM(X304)</f>
        <v>0</v>
      </c>
      <c r="Y303" s="8" t="n">
        <f aca="false">SUM(Y304)</f>
        <v>25</v>
      </c>
      <c r="Z303" s="8" t="n">
        <f aca="false">SUM(Z304)</f>
        <v>0</v>
      </c>
      <c r="AA303" s="8" t="n">
        <f aca="false">SUM(AA304)</f>
        <v>0</v>
      </c>
      <c r="AB303" s="8" t="n">
        <f aca="false">SUM(AB304)</f>
        <v>40</v>
      </c>
      <c r="AC303" s="8" t="n">
        <f aca="false">SUM(AC304)</f>
        <v>50</v>
      </c>
      <c r="AD303" s="8" t="n">
        <f aca="false">SUM(AD304)</f>
        <v>50</v>
      </c>
      <c r="AE303" s="8" t="n">
        <f aca="false">SUM(AE304)</f>
        <v>50</v>
      </c>
      <c r="AF303" s="11" t="n">
        <f aca="false">SUM(AF304)</f>
        <v>65</v>
      </c>
      <c r="AG303" s="11" t="n">
        <f aca="false">SUM(AG304)</f>
        <v>65</v>
      </c>
      <c r="AH303" s="11" t="n">
        <f aca="false">SUM(AH304)</f>
        <v>60</v>
      </c>
      <c r="AI303" s="8" t="n">
        <f aca="false">SUM(AI304)</f>
        <v>40</v>
      </c>
      <c r="AJ303" s="8" t="n">
        <f aca="false">SUM(AJ304)</f>
        <v>0</v>
      </c>
      <c r="AK303" s="8" t="n">
        <f aca="false">SUM(AK304)</f>
        <v>0</v>
      </c>
      <c r="AL303" s="8" t="n">
        <f aca="false">SUM(AL304)</f>
        <v>0</v>
      </c>
      <c r="AM303" s="8" t="n">
        <f aca="false">SUM(AM304)</f>
        <v>0</v>
      </c>
      <c r="AN303" s="8" t="n">
        <f aca="false">SUM(AN304)</f>
        <v>0</v>
      </c>
      <c r="AO303" s="8" t="n">
        <f aca="false">SUM(AO304)</f>
        <v>0</v>
      </c>
      <c r="AP303" s="8" t="n">
        <f aca="false">SUM(AP304)</f>
        <v>0</v>
      </c>
      <c r="AQ303" s="8" t="n">
        <f aca="false">SUM(AQ304)</f>
        <v>0</v>
      </c>
      <c r="AR303" s="8" t="n">
        <f aca="false">SUM(AR304)</f>
        <v>0</v>
      </c>
      <c r="AS303" s="8" t="n">
        <f aca="false">SUM(AS304)</f>
        <v>0</v>
      </c>
      <c r="AT303" s="8" t="n">
        <f aca="false">SUM(AT304)</f>
        <v>0</v>
      </c>
      <c r="AU303" s="8" t="n">
        <f aca="false">SUM(AU304)</f>
        <v>0</v>
      </c>
      <c r="AV303" s="8" t="n">
        <f aca="false">SUM(AV304)</f>
        <v>0</v>
      </c>
      <c r="AW303" s="8" t="n">
        <f aca="false">SUM(AW304)</f>
        <v>0</v>
      </c>
    </row>
    <row r="304" customFormat="false" ht="15" hidden="true" customHeight="true" outlineLevel="1" collapsed="false">
      <c r="A304" s="9" t="s">
        <v>12</v>
      </c>
      <c r="B304" s="9" t="s">
        <v>14</v>
      </c>
      <c r="C304" s="9" t="s">
        <v>134</v>
      </c>
      <c r="D304" s="9" t="s">
        <v>78</v>
      </c>
      <c r="E304" s="9" t="s">
        <v>99</v>
      </c>
      <c r="F304" s="10" t="n">
        <v>0</v>
      </c>
      <c r="G304" s="10" t="n">
        <v>495</v>
      </c>
      <c r="H304" s="10" t="n">
        <v>495</v>
      </c>
      <c r="I304" s="10" t="n">
        <v>0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0" t="n">
        <v>0</v>
      </c>
      <c r="P304" s="10" t="n">
        <v>25</v>
      </c>
      <c r="Q304" s="10" t="n">
        <v>25</v>
      </c>
      <c r="R304" s="10" t="n">
        <v>0</v>
      </c>
      <c r="S304" s="10" t="n">
        <v>0</v>
      </c>
      <c r="T304" s="10" t="n">
        <v>0</v>
      </c>
      <c r="U304" s="10" t="n">
        <v>0</v>
      </c>
      <c r="V304" s="10" t="n">
        <v>0</v>
      </c>
      <c r="W304" s="10" t="n">
        <v>0</v>
      </c>
      <c r="X304" s="10" t="n">
        <v>0</v>
      </c>
      <c r="Y304" s="10" t="n">
        <v>25</v>
      </c>
      <c r="Z304" s="10" t="n">
        <v>0</v>
      </c>
      <c r="AA304" s="10" t="n">
        <v>0</v>
      </c>
      <c r="AB304" s="10" t="n">
        <v>40</v>
      </c>
      <c r="AC304" s="10" t="n">
        <v>50</v>
      </c>
      <c r="AD304" s="10" t="n">
        <v>50</v>
      </c>
      <c r="AE304" s="10" t="n">
        <v>50</v>
      </c>
      <c r="AF304" s="10" t="n">
        <v>65</v>
      </c>
      <c r="AG304" s="10" t="n">
        <v>65</v>
      </c>
      <c r="AH304" s="10" t="n">
        <v>60</v>
      </c>
      <c r="AI304" s="10" t="n">
        <v>40</v>
      </c>
      <c r="AJ304" s="10" t="n">
        <v>0</v>
      </c>
      <c r="AK304" s="10" t="n">
        <v>0</v>
      </c>
      <c r="AL304" s="10" t="n">
        <v>0</v>
      </c>
      <c r="AM304" s="10" t="n">
        <v>0</v>
      </c>
      <c r="AN304" s="10" t="n">
        <v>0</v>
      </c>
      <c r="AO304" s="10" t="n">
        <v>0</v>
      </c>
      <c r="AP304" s="10" t="n">
        <v>0</v>
      </c>
      <c r="AQ304" s="10" t="n">
        <v>0</v>
      </c>
      <c r="AR304" s="10" t="n">
        <v>0</v>
      </c>
      <c r="AS304" s="10" t="n">
        <v>0</v>
      </c>
      <c r="AT304" s="10" t="n">
        <v>0</v>
      </c>
      <c r="AU304" s="10" t="n">
        <v>0</v>
      </c>
      <c r="AV304" s="10" t="n">
        <v>0</v>
      </c>
      <c r="AW304" s="10" t="n">
        <v>0</v>
      </c>
    </row>
    <row r="305" customFormat="false" ht="15" hidden="false" customHeight="true" outlineLevel="0" collapsed="false">
      <c r="A305" s="7" t="s">
        <v>12</v>
      </c>
      <c r="B305" s="7" t="s">
        <v>14</v>
      </c>
      <c r="C305" s="7" t="s">
        <v>135</v>
      </c>
      <c r="D305" s="7" t="s">
        <v>76</v>
      </c>
      <c r="E305" s="7" t="s">
        <v>77</v>
      </c>
      <c r="F305" s="8" t="n">
        <f aca="false">SUM(F306)</f>
        <v>0</v>
      </c>
      <c r="G305" s="8" t="n">
        <f aca="false">SUM(G306)</f>
        <v>100</v>
      </c>
      <c r="H305" s="8" t="n">
        <f aca="false">SUM(H306)</f>
        <v>140.5</v>
      </c>
      <c r="I305" s="8" t="n">
        <f aca="false">SUM(I306)</f>
        <v>-40.5</v>
      </c>
      <c r="J305" s="8" t="n">
        <f aca="false">SUM(J306)</f>
        <v>0</v>
      </c>
      <c r="K305" s="8" t="n">
        <f aca="false">SUM(K306)</f>
        <v>0</v>
      </c>
      <c r="L305" s="8" t="n">
        <f aca="false">SUM(L306)</f>
        <v>0</v>
      </c>
      <c r="M305" s="8" t="n">
        <f aca="false">SUM(M306)</f>
        <v>0</v>
      </c>
      <c r="N305" s="8" t="n">
        <f aca="false">SUM(N306)</f>
        <v>0</v>
      </c>
      <c r="O305" s="8" t="n">
        <f aca="false">SUM(O306)</f>
        <v>0</v>
      </c>
      <c r="P305" s="8" t="n">
        <f aca="false">SUM(P306)</f>
        <v>0</v>
      </c>
      <c r="Q305" s="8" t="n">
        <f aca="false">SUM(Q306)</f>
        <v>0</v>
      </c>
      <c r="R305" s="8" t="n">
        <f aca="false">SUM(R306)</f>
        <v>0</v>
      </c>
      <c r="S305" s="8" t="n">
        <f aca="false">SUM(S306)</f>
        <v>0</v>
      </c>
      <c r="T305" s="8" t="n">
        <f aca="false">SUM(T306)</f>
        <v>0</v>
      </c>
      <c r="U305" s="8" t="n">
        <f aca="false">SUM(U306)</f>
        <v>0</v>
      </c>
      <c r="V305" s="8" t="n">
        <f aca="false">SUM(V306)</f>
        <v>0</v>
      </c>
      <c r="W305" s="8" t="n">
        <f aca="false">SUM(W306)</f>
        <v>0</v>
      </c>
      <c r="X305" s="8" t="n">
        <f aca="false">SUM(X306)</f>
        <v>0</v>
      </c>
      <c r="Y305" s="8" t="n">
        <f aca="false">SUM(Y306)</f>
        <v>0</v>
      </c>
      <c r="Z305" s="8" t="n">
        <f aca="false">SUM(Z306)</f>
        <v>0</v>
      </c>
      <c r="AA305" s="8" t="n">
        <f aca="false">SUM(AA306)</f>
        <v>0</v>
      </c>
      <c r="AB305" s="8" t="n">
        <f aca="false">SUM(AB306)</f>
        <v>0</v>
      </c>
      <c r="AC305" s="8" t="n">
        <f aca="false">SUM(AC306)</f>
        <v>0</v>
      </c>
      <c r="AD305" s="8" t="n">
        <f aca="false">SUM(AD306)</f>
        <v>27</v>
      </c>
      <c r="AE305" s="8" t="n">
        <f aca="false">SUM(AE306)</f>
        <v>29</v>
      </c>
      <c r="AF305" s="8" t="n">
        <f aca="false">SUM(AF306)</f>
        <v>36</v>
      </c>
      <c r="AG305" s="8" t="n">
        <f aca="false">SUM(AG306)</f>
        <v>33</v>
      </c>
      <c r="AH305" s="8" t="n">
        <f aca="false">SUM(AH306)</f>
        <v>8</v>
      </c>
      <c r="AI305" s="8" t="n">
        <f aca="false">SUM(AI306)</f>
        <v>7.5</v>
      </c>
      <c r="AJ305" s="8" t="n">
        <f aca="false">SUM(AJ306)</f>
        <v>0</v>
      </c>
      <c r="AK305" s="8" t="n">
        <f aca="false">SUM(AK306)</f>
        <v>0</v>
      </c>
      <c r="AL305" s="8" t="n">
        <f aca="false">SUM(AL306)</f>
        <v>0</v>
      </c>
      <c r="AM305" s="8" t="n">
        <f aca="false">SUM(AM306)</f>
        <v>0</v>
      </c>
      <c r="AN305" s="8" t="n">
        <f aca="false">SUM(AN306)</f>
        <v>0</v>
      </c>
      <c r="AO305" s="8" t="n">
        <f aca="false">SUM(AO306)</f>
        <v>0</v>
      </c>
      <c r="AP305" s="8" t="n">
        <f aca="false">SUM(AP306)</f>
        <v>0</v>
      </c>
      <c r="AQ305" s="8" t="n">
        <f aca="false">SUM(AQ306)</f>
        <v>0</v>
      </c>
      <c r="AR305" s="8" t="n">
        <f aca="false">SUM(AR306)</f>
        <v>0</v>
      </c>
      <c r="AS305" s="8" t="n">
        <f aca="false">SUM(AS306)</f>
        <v>0</v>
      </c>
      <c r="AT305" s="8" t="n">
        <f aca="false">SUM(AT306)</f>
        <v>0</v>
      </c>
      <c r="AU305" s="8" t="n">
        <f aca="false">SUM(AU306)</f>
        <v>0</v>
      </c>
      <c r="AV305" s="8" t="n">
        <f aca="false">SUM(AV306)</f>
        <v>0</v>
      </c>
      <c r="AW305" s="8" t="n">
        <f aca="false">SUM(AW306)</f>
        <v>0</v>
      </c>
    </row>
    <row r="306" customFormat="false" ht="15" hidden="true" customHeight="true" outlineLevel="1" collapsed="false">
      <c r="A306" s="9" t="s">
        <v>12</v>
      </c>
      <c r="B306" s="9" t="s">
        <v>14</v>
      </c>
      <c r="C306" s="9" t="s">
        <v>135</v>
      </c>
      <c r="D306" s="9" t="s">
        <v>78</v>
      </c>
      <c r="E306" s="9" t="s">
        <v>43</v>
      </c>
      <c r="F306" s="10" t="n">
        <v>0</v>
      </c>
      <c r="G306" s="10" t="n">
        <v>100</v>
      </c>
      <c r="H306" s="10" t="n">
        <v>140.5</v>
      </c>
      <c r="I306" s="10" t="n">
        <v>-40.5</v>
      </c>
      <c r="J306" s="10" t="n">
        <v>0</v>
      </c>
      <c r="K306" s="10" t="n">
        <v>0</v>
      </c>
      <c r="L306" s="10" t="n">
        <v>0</v>
      </c>
      <c r="M306" s="10" t="n">
        <v>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0</v>
      </c>
      <c r="S306" s="10" t="n">
        <v>0</v>
      </c>
      <c r="T306" s="10" t="n">
        <v>0</v>
      </c>
      <c r="U306" s="10" t="n">
        <v>0</v>
      </c>
      <c r="V306" s="10" t="n">
        <v>0</v>
      </c>
      <c r="W306" s="10" t="n">
        <v>0</v>
      </c>
      <c r="X306" s="10" t="n">
        <v>0</v>
      </c>
      <c r="Y306" s="10" t="n">
        <v>0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0" t="n">
        <v>27</v>
      </c>
      <c r="AE306" s="10" t="n">
        <v>29</v>
      </c>
      <c r="AF306" s="10" t="n">
        <v>36</v>
      </c>
      <c r="AG306" s="10" t="n">
        <v>33</v>
      </c>
      <c r="AH306" s="10" t="n">
        <v>8</v>
      </c>
      <c r="AI306" s="10" t="n">
        <v>7.5</v>
      </c>
      <c r="AJ306" s="10" t="n">
        <v>0</v>
      </c>
      <c r="AK306" s="10" t="n">
        <v>0</v>
      </c>
      <c r="AL306" s="10" t="n">
        <v>0</v>
      </c>
      <c r="AM306" s="10" t="n">
        <v>0</v>
      </c>
      <c r="AN306" s="10" t="n">
        <v>0</v>
      </c>
      <c r="AO306" s="10" t="n">
        <v>0</v>
      </c>
      <c r="AP306" s="10" t="n">
        <v>0</v>
      </c>
      <c r="AQ306" s="10" t="n">
        <v>0</v>
      </c>
      <c r="AR306" s="10" t="n">
        <v>0</v>
      </c>
      <c r="AS306" s="10" t="n">
        <v>0</v>
      </c>
      <c r="AT306" s="10" t="n">
        <v>0</v>
      </c>
      <c r="AU306" s="10" t="n">
        <v>0</v>
      </c>
      <c r="AV306" s="10" t="n">
        <v>0</v>
      </c>
      <c r="AW306" s="10" t="n">
        <v>0</v>
      </c>
    </row>
    <row r="307" customFormat="false" ht="15" hidden="false" customHeight="true" outlineLevel="0" collapsed="false">
      <c r="A307" s="7" t="s">
        <v>12</v>
      </c>
      <c r="B307" s="7" t="s">
        <v>14</v>
      </c>
      <c r="C307" s="7" t="s">
        <v>136</v>
      </c>
      <c r="D307" s="7" t="s">
        <v>76</v>
      </c>
      <c r="E307" s="7" t="s">
        <v>77</v>
      </c>
      <c r="F307" s="8" t="n">
        <f aca="false">SUM(F308)</f>
        <v>0</v>
      </c>
      <c r="G307" s="8" t="n">
        <f aca="false">SUM(G308)</f>
        <v>0</v>
      </c>
      <c r="H307" s="8" t="n">
        <f aca="false">SUM(H308)</f>
        <v>90</v>
      </c>
      <c r="I307" s="8" t="n">
        <f aca="false">SUM(I308)</f>
        <v>-90</v>
      </c>
      <c r="J307" s="8" t="n">
        <f aca="false">SUM(J308)</f>
        <v>0</v>
      </c>
      <c r="K307" s="8" t="n">
        <f aca="false">SUM(K308)</f>
        <v>0</v>
      </c>
      <c r="L307" s="8" t="n">
        <f aca="false">SUM(L308)</f>
        <v>0</v>
      </c>
      <c r="M307" s="8" t="n">
        <f aca="false">SUM(M308)</f>
        <v>0</v>
      </c>
      <c r="N307" s="8" t="n">
        <f aca="false">SUM(N308)</f>
        <v>0</v>
      </c>
      <c r="O307" s="8" t="n">
        <f aca="false">SUM(O308)</f>
        <v>0</v>
      </c>
      <c r="P307" s="8" t="n">
        <f aca="false">SUM(P308)</f>
        <v>0</v>
      </c>
      <c r="Q307" s="8" t="n">
        <f aca="false">SUM(Q308)</f>
        <v>0</v>
      </c>
      <c r="R307" s="8" t="n">
        <f aca="false">SUM(R308)</f>
        <v>0</v>
      </c>
      <c r="S307" s="8" t="n">
        <f aca="false">SUM(S308)</f>
        <v>0</v>
      </c>
      <c r="T307" s="8" t="n">
        <f aca="false">SUM(T308)</f>
        <v>0</v>
      </c>
      <c r="U307" s="8" t="n">
        <f aca="false">SUM(U308)</f>
        <v>0</v>
      </c>
      <c r="V307" s="8" t="n">
        <f aca="false">SUM(V308)</f>
        <v>0</v>
      </c>
      <c r="W307" s="8" t="n">
        <f aca="false">SUM(W308)</f>
        <v>0</v>
      </c>
      <c r="X307" s="8" t="n">
        <f aca="false">SUM(X308)</f>
        <v>0</v>
      </c>
      <c r="Y307" s="8" t="n">
        <f aca="false">SUM(Y308)</f>
        <v>0</v>
      </c>
      <c r="Z307" s="8" t="n">
        <f aca="false">SUM(Z308)</f>
        <v>0</v>
      </c>
      <c r="AA307" s="8" t="n">
        <f aca="false">SUM(AA308)</f>
        <v>0</v>
      </c>
      <c r="AB307" s="8" t="n">
        <f aca="false">SUM(AB308)</f>
        <v>0</v>
      </c>
      <c r="AC307" s="8" t="n">
        <f aca="false">SUM(AC308)</f>
        <v>0</v>
      </c>
      <c r="AD307" s="8" t="n">
        <f aca="false">SUM(AD308)</f>
        <v>0</v>
      </c>
      <c r="AE307" s="8" t="n">
        <f aca="false">SUM(AE308)</f>
        <v>10</v>
      </c>
      <c r="AF307" s="8" t="n">
        <f aca="false">SUM(AF308)</f>
        <v>10</v>
      </c>
      <c r="AG307" s="8" t="n">
        <f aca="false">SUM(AG308)</f>
        <v>20</v>
      </c>
      <c r="AH307" s="8" t="n">
        <f aca="false">SUM(AH308)</f>
        <v>20</v>
      </c>
      <c r="AI307" s="8" t="n">
        <f aca="false">SUM(AI308)</f>
        <v>30</v>
      </c>
      <c r="AJ307" s="8" t="n">
        <f aca="false">SUM(AJ308)</f>
        <v>0</v>
      </c>
      <c r="AK307" s="8" t="n">
        <f aca="false">SUM(AK308)</f>
        <v>0</v>
      </c>
      <c r="AL307" s="8" t="n">
        <f aca="false">SUM(AL308)</f>
        <v>0</v>
      </c>
      <c r="AM307" s="8" t="n">
        <f aca="false">SUM(AM308)</f>
        <v>0</v>
      </c>
      <c r="AN307" s="8" t="n">
        <f aca="false">SUM(AN308)</f>
        <v>0</v>
      </c>
      <c r="AO307" s="8" t="n">
        <f aca="false">SUM(AO308)</f>
        <v>0</v>
      </c>
      <c r="AP307" s="8" t="n">
        <f aca="false">SUM(AP308)</f>
        <v>0</v>
      </c>
      <c r="AQ307" s="8" t="n">
        <f aca="false">SUM(AQ308)</f>
        <v>0</v>
      </c>
      <c r="AR307" s="8" t="n">
        <f aca="false">SUM(AR308)</f>
        <v>0</v>
      </c>
      <c r="AS307" s="8" t="n">
        <f aca="false">SUM(AS308)</f>
        <v>0</v>
      </c>
      <c r="AT307" s="8" t="n">
        <f aca="false">SUM(AT308)</f>
        <v>0</v>
      </c>
      <c r="AU307" s="8" t="n">
        <f aca="false">SUM(AU308)</f>
        <v>0</v>
      </c>
      <c r="AV307" s="8" t="n">
        <f aca="false">SUM(AV308)</f>
        <v>0</v>
      </c>
      <c r="AW307" s="8" t="n">
        <f aca="false">SUM(AW308)</f>
        <v>0</v>
      </c>
    </row>
    <row r="308" customFormat="false" ht="15" hidden="true" customHeight="true" outlineLevel="1" collapsed="false">
      <c r="A308" s="9" t="s">
        <v>12</v>
      </c>
      <c r="B308" s="9" t="s">
        <v>14</v>
      </c>
      <c r="C308" s="9" t="s">
        <v>136</v>
      </c>
      <c r="D308" s="9" t="s">
        <v>78</v>
      </c>
      <c r="E308" s="9" t="s">
        <v>43</v>
      </c>
      <c r="F308" s="10" t="n">
        <v>0</v>
      </c>
      <c r="G308" s="10" t="n">
        <v>0</v>
      </c>
      <c r="H308" s="10" t="n">
        <v>90</v>
      </c>
      <c r="I308" s="10" t="n">
        <v>-90</v>
      </c>
      <c r="J308" s="10" t="n">
        <v>0</v>
      </c>
      <c r="K308" s="10" t="n">
        <v>0</v>
      </c>
      <c r="L308" s="10" t="n">
        <v>0</v>
      </c>
      <c r="M308" s="10" t="n">
        <v>0</v>
      </c>
      <c r="N308" s="10" t="n">
        <v>0</v>
      </c>
      <c r="O308" s="10" t="n">
        <v>0</v>
      </c>
      <c r="P308" s="10" t="n">
        <v>0</v>
      </c>
      <c r="Q308" s="10" t="n">
        <v>0</v>
      </c>
      <c r="R308" s="10" t="n">
        <v>0</v>
      </c>
      <c r="S308" s="10" t="n">
        <v>0</v>
      </c>
      <c r="T308" s="10" t="n">
        <v>0</v>
      </c>
      <c r="U308" s="10" t="n">
        <v>0</v>
      </c>
      <c r="V308" s="10" t="n">
        <v>0</v>
      </c>
      <c r="W308" s="10" t="n">
        <v>0</v>
      </c>
      <c r="X308" s="10" t="n">
        <v>0</v>
      </c>
      <c r="Y308" s="10" t="n">
        <v>0</v>
      </c>
      <c r="Z308" s="10" t="n">
        <v>0</v>
      </c>
      <c r="AA308" s="10" t="n">
        <v>0</v>
      </c>
      <c r="AB308" s="10" t="n">
        <v>0</v>
      </c>
      <c r="AC308" s="10" t="n">
        <v>0</v>
      </c>
      <c r="AD308" s="10" t="n">
        <v>0</v>
      </c>
      <c r="AE308" s="10" t="n">
        <v>10</v>
      </c>
      <c r="AF308" s="10" t="n">
        <v>10</v>
      </c>
      <c r="AG308" s="10" t="n">
        <v>20</v>
      </c>
      <c r="AH308" s="10" t="n">
        <v>20</v>
      </c>
      <c r="AI308" s="10" t="n">
        <v>30</v>
      </c>
      <c r="AJ308" s="10" t="n">
        <v>0</v>
      </c>
      <c r="AK308" s="10" t="n">
        <v>0</v>
      </c>
      <c r="AL308" s="10" t="n">
        <v>0</v>
      </c>
      <c r="AM308" s="10" t="n">
        <v>0</v>
      </c>
      <c r="AN308" s="10" t="n">
        <v>0</v>
      </c>
      <c r="AO308" s="10" t="n">
        <v>0</v>
      </c>
      <c r="AP308" s="10" t="n">
        <v>0</v>
      </c>
      <c r="AQ308" s="10" t="n">
        <v>0</v>
      </c>
      <c r="AR308" s="10" t="n">
        <v>0</v>
      </c>
      <c r="AS308" s="10" t="n">
        <v>0</v>
      </c>
      <c r="AT308" s="10" t="n">
        <v>0</v>
      </c>
      <c r="AU308" s="10" t="n">
        <v>0</v>
      </c>
      <c r="AV308" s="10" t="n">
        <v>0</v>
      </c>
      <c r="AW308" s="10" t="n">
        <v>0</v>
      </c>
    </row>
    <row r="309" customFormat="false" ht="15" hidden="false" customHeight="true" outlineLevel="0" collapsed="false">
      <c r="A309" s="7" t="s">
        <v>12</v>
      </c>
      <c r="B309" s="7" t="s">
        <v>14</v>
      </c>
      <c r="C309" s="7" t="s">
        <v>137</v>
      </c>
      <c r="D309" s="7" t="s">
        <v>76</v>
      </c>
      <c r="E309" s="7" t="s">
        <v>77</v>
      </c>
      <c r="F309" s="8" t="n">
        <f aca="false">SUM(F310)</f>
        <v>6</v>
      </c>
      <c r="G309" s="8" t="n">
        <f aca="false">SUM(G310)</f>
        <v>24</v>
      </c>
      <c r="H309" s="8" t="n">
        <f aca="false">SUM(H310)</f>
        <v>15</v>
      </c>
      <c r="I309" s="8" t="n">
        <f aca="false">SUM(I310)</f>
        <v>9</v>
      </c>
      <c r="J309" s="8" t="n">
        <f aca="false">SUM(J310)</f>
        <v>0</v>
      </c>
      <c r="K309" s="8" t="n">
        <f aca="false">SUM(K310)</f>
        <v>0</v>
      </c>
      <c r="L309" s="8" t="n">
        <f aca="false">SUM(L310)</f>
        <v>0</v>
      </c>
      <c r="M309" s="8" t="n">
        <f aca="false">SUM(M310)</f>
        <v>0</v>
      </c>
      <c r="N309" s="8" t="n">
        <f aca="false">SUM(N310)</f>
        <v>0</v>
      </c>
      <c r="O309" s="8" t="n">
        <f aca="false">SUM(O310)</f>
        <v>0</v>
      </c>
      <c r="P309" s="8" t="n">
        <f aca="false">SUM(P310)</f>
        <v>0</v>
      </c>
      <c r="Q309" s="8" t="n">
        <f aca="false">SUM(Q310)</f>
        <v>0</v>
      </c>
      <c r="R309" s="8" t="n">
        <f aca="false">SUM(R310)</f>
        <v>0</v>
      </c>
      <c r="S309" s="8" t="n">
        <f aca="false">SUM(S310)</f>
        <v>0</v>
      </c>
      <c r="T309" s="8" t="n">
        <f aca="false">SUM(T310)</f>
        <v>0</v>
      </c>
      <c r="U309" s="8" t="n">
        <f aca="false">SUM(U310)</f>
        <v>0</v>
      </c>
      <c r="V309" s="8" t="n">
        <f aca="false">SUM(V310)</f>
        <v>0</v>
      </c>
      <c r="W309" s="8" t="n">
        <f aca="false">SUM(W310)</f>
        <v>0</v>
      </c>
      <c r="X309" s="8" t="n">
        <f aca="false">SUM(X310)</f>
        <v>0</v>
      </c>
      <c r="Y309" s="8" t="n">
        <f aca="false">SUM(Y310)</f>
        <v>0</v>
      </c>
      <c r="Z309" s="8" t="n">
        <f aca="false">SUM(Z310)</f>
        <v>0</v>
      </c>
      <c r="AA309" s="8" t="n">
        <f aca="false">SUM(AA310)</f>
        <v>0</v>
      </c>
      <c r="AB309" s="8" t="n">
        <f aca="false">SUM(AB310)</f>
        <v>0</v>
      </c>
      <c r="AC309" s="8" t="n">
        <f aca="false">SUM(AC310)</f>
        <v>0</v>
      </c>
      <c r="AD309" s="8" t="n">
        <f aca="false">SUM(AD310)</f>
        <v>0</v>
      </c>
      <c r="AE309" s="8" t="n">
        <f aca="false">SUM(AE310)</f>
        <v>0</v>
      </c>
      <c r="AF309" s="8" t="n">
        <f aca="false">SUM(AF310)</f>
        <v>0</v>
      </c>
      <c r="AG309" s="8" t="n">
        <f aca="false">SUM(AG310)</f>
        <v>0</v>
      </c>
      <c r="AH309" s="8" t="n">
        <f aca="false">SUM(AH310)</f>
        <v>10</v>
      </c>
      <c r="AI309" s="8" t="n">
        <f aca="false">SUM(AI310)</f>
        <v>5</v>
      </c>
      <c r="AJ309" s="8" t="n">
        <f aca="false">SUM(AJ310)</f>
        <v>0</v>
      </c>
      <c r="AK309" s="8" t="n">
        <f aca="false">SUM(AK310)</f>
        <v>0</v>
      </c>
      <c r="AL309" s="8" t="n">
        <f aca="false">SUM(AL310)</f>
        <v>0</v>
      </c>
      <c r="AM309" s="8" t="n">
        <f aca="false">SUM(AM310)</f>
        <v>0</v>
      </c>
      <c r="AN309" s="8" t="n">
        <f aca="false">SUM(AN310)</f>
        <v>0</v>
      </c>
      <c r="AO309" s="8" t="n">
        <f aca="false">SUM(AO310)</f>
        <v>0</v>
      </c>
      <c r="AP309" s="8" t="n">
        <f aca="false">SUM(AP310)</f>
        <v>0</v>
      </c>
      <c r="AQ309" s="8" t="n">
        <f aca="false">SUM(AQ310)</f>
        <v>0</v>
      </c>
      <c r="AR309" s="8" t="n">
        <f aca="false">SUM(AR310)</f>
        <v>0</v>
      </c>
      <c r="AS309" s="8" t="n">
        <f aca="false">SUM(AS310)</f>
        <v>0</v>
      </c>
      <c r="AT309" s="8" t="n">
        <f aca="false">SUM(AT310)</f>
        <v>0</v>
      </c>
      <c r="AU309" s="8" t="n">
        <f aca="false">SUM(AU310)</f>
        <v>0</v>
      </c>
      <c r="AV309" s="8" t="n">
        <f aca="false">SUM(AV310)</f>
        <v>0</v>
      </c>
      <c r="AW309" s="8" t="n">
        <f aca="false">SUM(AW310)</f>
        <v>0</v>
      </c>
    </row>
    <row r="310" customFormat="false" ht="15" hidden="true" customHeight="true" outlineLevel="1" collapsed="false">
      <c r="A310" s="9" t="s">
        <v>12</v>
      </c>
      <c r="B310" s="9" t="s">
        <v>14</v>
      </c>
      <c r="C310" s="9" t="s">
        <v>137</v>
      </c>
      <c r="D310" s="9" t="s">
        <v>78</v>
      </c>
      <c r="E310" s="9" t="s">
        <v>100</v>
      </c>
      <c r="F310" s="10" t="n">
        <v>6</v>
      </c>
      <c r="G310" s="10" t="n">
        <v>24</v>
      </c>
      <c r="H310" s="10" t="n">
        <v>15</v>
      </c>
      <c r="I310" s="10" t="n">
        <v>9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0" t="n">
        <v>0</v>
      </c>
      <c r="P310" s="10" t="n">
        <v>0</v>
      </c>
      <c r="Q310" s="10" t="n">
        <v>0</v>
      </c>
      <c r="R310" s="10" t="n">
        <v>0</v>
      </c>
      <c r="S310" s="10" t="n">
        <v>0</v>
      </c>
      <c r="T310" s="10" t="n">
        <v>0</v>
      </c>
      <c r="U310" s="10" t="n">
        <v>0</v>
      </c>
      <c r="V310" s="10" t="n">
        <v>0</v>
      </c>
      <c r="W310" s="10" t="n">
        <v>0</v>
      </c>
      <c r="X310" s="10" t="n">
        <v>0</v>
      </c>
      <c r="Y310" s="10" t="n">
        <v>0</v>
      </c>
      <c r="Z310" s="10" t="n">
        <v>0</v>
      </c>
      <c r="AA310" s="10" t="n">
        <v>0</v>
      </c>
      <c r="AB310" s="10" t="n">
        <v>0</v>
      </c>
      <c r="AC310" s="10" t="n">
        <v>0</v>
      </c>
      <c r="AD310" s="10" t="n">
        <v>0</v>
      </c>
      <c r="AE310" s="10" t="n">
        <v>0</v>
      </c>
      <c r="AF310" s="10" t="n">
        <v>0</v>
      </c>
      <c r="AG310" s="10" t="n">
        <v>0</v>
      </c>
      <c r="AH310" s="10" t="n">
        <v>10</v>
      </c>
      <c r="AI310" s="10" t="n">
        <v>5</v>
      </c>
      <c r="AJ310" s="10" t="n">
        <v>0</v>
      </c>
      <c r="AK310" s="10" t="n">
        <v>0</v>
      </c>
      <c r="AL310" s="10" t="n">
        <v>0</v>
      </c>
      <c r="AM310" s="10" t="n">
        <v>0</v>
      </c>
      <c r="AN310" s="10" t="n">
        <v>0</v>
      </c>
      <c r="AO310" s="10" t="n">
        <v>0</v>
      </c>
      <c r="AP310" s="10" t="n">
        <v>0</v>
      </c>
      <c r="AQ310" s="10" t="n">
        <v>0</v>
      </c>
      <c r="AR310" s="10" t="n">
        <v>0</v>
      </c>
      <c r="AS310" s="10" t="n">
        <v>0</v>
      </c>
      <c r="AT310" s="10" t="n">
        <v>0</v>
      </c>
      <c r="AU310" s="10" t="n">
        <v>0</v>
      </c>
      <c r="AV310" s="10" t="n">
        <v>0</v>
      </c>
      <c r="AW310" s="10" t="n">
        <v>0</v>
      </c>
    </row>
    <row r="311" customFormat="false" ht="15" hidden="false" customHeight="true" outlineLevel="0" collapsed="false">
      <c r="A311" s="7" t="s">
        <v>12</v>
      </c>
      <c r="B311" s="7" t="s">
        <v>14</v>
      </c>
      <c r="C311" s="7" t="s">
        <v>104</v>
      </c>
      <c r="D311" s="7" t="s">
        <v>76</v>
      </c>
      <c r="E311" s="7" t="s">
        <v>77</v>
      </c>
      <c r="F311" s="8" t="n">
        <f aca="false">SUM(F312)</f>
        <v>40</v>
      </c>
      <c r="G311" s="8" t="n">
        <f aca="false">SUM(G312)</f>
        <v>200</v>
      </c>
      <c r="H311" s="8" t="n">
        <f aca="false">SUM(H312)</f>
        <v>160</v>
      </c>
      <c r="I311" s="8" t="n">
        <f aca="false">SUM(I312)</f>
        <v>40</v>
      </c>
      <c r="J311" s="8" t="n">
        <f aca="false">SUM(J312)</f>
        <v>0</v>
      </c>
      <c r="K311" s="8" t="n">
        <f aca="false">SUM(K312)</f>
        <v>0</v>
      </c>
      <c r="L311" s="8" t="n">
        <f aca="false">SUM(L312)</f>
        <v>0</v>
      </c>
      <c r="M311" s="8" t="n">
        <f aca="false">SUM(M312)</f>
        <v>0</v>
      </c>
      <c r="N311" s="8" t="n">
        <f aca="false">SUM(N312)</f>
        <v>0</v>
      </c>
      <c r="O311" s="8" t="n">
        <f aca="false">SUM(O312)</f>
        <v>0</v>
      </c>
      <c r="P311" s="8" t="n">
        <f aca="false">SUM(P312)</f>
        <v>0</v>
      </c>
      <c r="Q311" s="8" t="n">
        <f aca="false">SUM(Q312)</f>
        <v>0</v>
      </c>
      <c r="R311" s="8" t="n">
        <f aca="false">SUM(R312)</f>
        <v>0</v>
      </c>
      <c r="S311" s="8" t="n">
        <f aca="false">SUM(S312)</f>
        <v>0</v>
      </c>
      <c r="T311" s="8" t="n">
        <f aca="false">SUM(T312)</f>
        <v>0</v>
      </c>
      <c r="U311" s="8" t="n">
        <f aca="false">SUM(U312)</f>
        <v>0</v>
      </c>
      <c r="V311" s="8" t="n">
        <f aca="false">SUM(V312)</f>
        <v>0</v>
      </c>
      <c r="W311" s="8" t="n">
        <f aca="false">SUM(W312)</f>
        <v>0</v>
      </c>
      <c r="X311" s="8" t="n">
        <f aca="false">SUM(X312)</f>
        <v>0</v>
      </c>
      <c r="Y311" s="8" t="n">
        <f aca="false">SUM(Y312)</f>
        <v>0</v>
      </c>
      <c r="Z311" s="8" t="n">
        <f aca="false">SUM(Z312)</f>
        <v>0</v>
      </c>
      <c r="AA311" s="8" t="n">
        <f aca="false">SUM(AA312)</f>
        <v>0</v>
      </c>
      <c r="AB311" s="8" t="n">
        <f aca="false">SUM(AB312)</f>
        <v>0</v>
      </c>
      <c r="AC311" s="8" t="n">
        <f aca="false">SUM(AC312)</f>
        <v>0</v>
      </c>
      <c r="AD311" s="8" t="n">
        <f aca="false">SUM(AD312)</f>
        <v>0</v>
      </c>
      <c r="AE311" s="8" t="n">
        <f aca="false">SUM(AE312)</f>
        <v>40</v>
      </c>
      <c r="AF311" s="8" t="n">
        <f aca="false">SUM(AF312)</f>
        <v>40</v>
      </c>
      <c r="AG311" s="8" t="n">
        <f aca="false">SUM(AG312)</f>
        <v>40</v>
      </c>
      <c r="AH311" s="8" t="n">
        <f aca="false">SUM(AH312)</f>
        <v>40</v>
      </c>
      <c r="AI311" s="8" t="n">
        <f aca="false">SUM(AI312)</f>
        <v>0</v>
      </c>
      <c r="AJ311" s="8" t="n">
        <f aca="false">SUM(AJ312)</f>
        <v>0</v>
      </c>
      <c r="AK311" s="8" t="n">
        <f aca="false">SUM(AK312)</f>
        <v>0</v>
      </c>
      <c r="AL311" s="8" t="n">
        <f aca="false">SUM(AL312)</f>
        <v>0</v>
      </c>
      <c r="AM311" s="8" t="n">
        <f aca="false">SUM(AM312)</f>
        <v>0</v>
      </c>
      <c r="AN311" s="8" t="n">
        <f aca="false">SUM(AN312)</f>
        <v>0</v>
      </c>
      <c r="AO311" s="8" t="n">
        <f aca="false">SUM(AO312)</f>
        <v>0</v>
      </c>
      <c r="AP311" s="8" t="n">
        <f aca="false">SUM(AP312)</f>
        <v>0</v>
      </c>
      <c r="AQ311" s="8" t="n">
        <f aca="false">SUM(AQ312)</f>
        <v>0</v>
      </c>
      <c r="AR311" s="8" t="n">
        <f aca="false">SUM(AR312)</f>
        <v>0</v>
      </c>
      <c r="AS311" s="8" t="n">
        <f aca="false">SUM(AS312)</f>
        <v>0</v>
      </c>
      <c r="AT311" s="8" t="n">
        <f aca="false">SUM(AT312)</f>
        <v>0</v>
      </c>
      <c r="AU311" s="8" t="n">
        <f aca="false">SUM(AU312)</f>
        <v>0</v>
      </c>
      <c r="AV311" s="8" t="n">
        <f aca="false">SUM(AV312)</f>
        <v>0</v>
      </c>
      <c r="AW311" s="8" t="n">
        <f aca="false">SUM(AW312)</f>
        <v>0</v>
      </c>
    </row>
    <row r="312" customFormat="false" ht="15" hidden="true" customHeight="true" outlineLevel="1" collapsed="false">
      <c r="A312" s="9" t="s">
        <v>12</v>
      </c>
      <c r="B312" s="9" t="s">
        <v>14</v>
      </c>
      <c r="C312" s="9" t="s">
        <v>104</v>
      </c>
      <c r="D312" s="9" t="s">
        <v>78</v>
      </c>
      <c r="E312" s="9" t="s">
        <v>105</v>
      </c>
      <c r="F312" s="10" t="n">
        <v>40</v>
      </c>
      <c r="G312" s="10" t="n">
        <v>200</v>
      </c>
      <c r="H312" s="10" t="n">
        <v>160</v>
      </c>
      <c r="I312" s="10" t="n">
        <v>40</v>
      </c>
      <c r="J312" s="10" t="n">
        <v>0</v>
      </c>
      <c r="K312" s="10" t="n">
        <v>0</v>
      </c>
      <c r="L312" s="10" t="n">
        <v>0</v>
      </c>
      <c r="M312" s="10" t="n">
        <v>0</v>
      </c>
      <c r="N312" s="10" t="n">
        <v>0</v>
      </c>
      <c r="O312" s="10" t="n">
        <v>0</v>
      </c>
      <c r="P312" s="10" t="n">
        <v>0</v>
      </c>
      <c r="Q312" s="10" t="n">
        <v>0</v>
      </c>
      <c r="R312" s="10" t="n">
        <v>0</v>
      </c>
      <c r="S312" s="10" t="n">
        <v>0</v>
      </c>
      <c r="T312" s="10" t="n">
        <v>0</v>
      </c>
      <c r="U312" s="10" t="n">
        <v>0</v>
      </c>
      <c r="V312" s="10" t="n">
        <v>0</v>
      </c>
      <c r="W312" s="10" t="n">
        <v>0</v>
      </c>
      <c r="X312" s="10" t="n">
        <v>0</v>
      </c>
      <c r="Y312" s="10" t="n">
        <v>0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40</v>
      </c>
      <c r="AF312" s="10" t="n">
        <v>40</v>
      </c>
      <c r="AG312" s="10" t="n">
        <v>40</v>
      </c>
      <c r="AH312" s="10" t="n">
        <v>40</v>
      </c>
      <c r="AI312" s="10" t="n">
        <v>0</v>
      </c>
      <c r="AJ312" s="10" t="n">
        <v>0</v>
      </c>
      <c r="AK312" s="10" t="n">
        <v>0</v>
      </c>
      <c r="AL312" s="10" t="n">
        <v>0</v>
      </c>
      <c r="AM312" s="10" t="n">
        <v>0</v>
      </c>
      <c r="AN312" s="10" t="n">
        <v>0</v>
      </c>
      <c r="AO312" s="10" t="n">
        <v>0</v>
      </c>
      <c r="AP312" s="10" t="n">
        <v>0</v>
      </c>
      <c r="AQ312" s="10" t="n">
        <v>0</v>
      </c>
      <c r="AR312" s="10" t="n">
        <v>0</v>
      </c>
      <c r="AS312" s="10" t="n">
        <v>0</v>
      </c>
      <c r="AT312" s="10" t="n">
        <v>0</v>
      </c>
      <c r="AU312" s="10" t="n">
        <v>0</v>
      </c>
      <c r="AV312" s="10" t="n">
        <v>0</v>
      </c>
      <c r="AW312" s="10" t="n">
        <v>0</v>
      </c>
    </row>
    <row r="313" customFormat="false" ht="15" hidden="false" customHeight="true" outlineLevel="0" collapsed="false">
      <c r="A313" s="7" t="s">
        <v>12</v>
      </c>
      <c r="B313" s="7" t="s">
        <v>14</v>
      </c>
      <c r="C313" s="7" t="s">
        <v>138</v>
      </c>
      <c r="D313" s="7" t="s">
        <v>76</v>
      </c>
      <c r="E313" s="7" t="s">
        <v>77</v>
      </c>
      <c r="F313" s="8" t="n">
        <f aca="false">SUM(F314,F315)</f>
        <v>104</v>
      </c>
      <c r="G313" s="8" t="n">
        <f aca="false">SUM(G314,G315)</f>
        <v>328</v>
      </c>
      <c r="H313" s="8" t="n">
        <f aca="false">SUM(H314,H315)</f>
        <v>268</v>
      </c>
      <c r="I313" s="8" t="n">
        <f aca="false">SUM(I314,I315)</f>
        <v>60</v>
      </c>
      <c r="J313" s="8" t="n">
        <f aca="false">SUM(J314,J315)</f>
        <v>6</v>
      </c>
      <c r="K313" s="8" t="n">
        <f aca="false">SUM(K314,K315)</f>
        <v>0</v>
      </c>
      <c r="L313" s="8" t="n">
        <f aca="false">SUM(L314,L315)</f>
        <v>6</v>
      </c>
      <c r="M313" s="8" t="n">
        <f aca="false">SUM(M314,M315)</f>
        <v>0</v>
      </c>
      <c r="N313" s="8" t="n">
        <f aca="false">SUM(N314,N315)</f>
        <v>0</v>
      </c>
      <c r="O313" s="8" t="n">
        <f aca="false">SUM(O314,O315)</f>
        <v>0</v>
      </c>
      <c r="P313" s="8" t="n">
        <f aca="false">SUM(P314,P315)</f>
        <v>0</v>
      </c>
      <c r="Q313" s="8" t="n">
        <f aca="false">SUM(Q314,Q315)</f>
        <v>0</v>
      </c>
      <c r="R313" s="8" t="n">
        <f aca="false">SUM(R314,R315)</f>
        <v>0</v>
      </c>
      <c r="S313" s="8" t="n">
        <f aca="false">SUM(S314,S315)</f>
        <v>0</v>
      </c>
      <c r="T313" s="8" t="n">
        <f aca="false">SUM(T314,T315)</f>
        <v>0</v>
      </c>
      <c r="U313" s="8" t="n">
        <f aca="false">SUM(U314,U315)</f>
        <v>0</v>
      </c>
      <c r="V313" s="8" t="n">
        <f aca="false">SUM(V314,V315)</f>
        <v>0</v>
      </c>
      <c r="W313" s="8" t="n">
        <f aca="false">SUM(W314,W315)</f>
        <v>0</v>
      </c>
      <c r="X313" s="8" t="n">
        <f aca="false">SUM(X314,X315)</f>
        <v>0</v>
      </c>
      <c r="Y313" s="8" t="n">
        <f aca="false">SUM(Y314,Y315)</f>
        <v>0</v>
      </c>
      <c r="Z313" s="8" t="n">
        <f aca="false">SUM(Z314,Z315)</f>
        <v>0</v>
      </c>
      <c r="AA313" s="8" t="n">
        <f aca="false">SUM(AA314,AA315)</f>
        <v>0</v>
      </c>
      <c r="AB313" s="8" t="n">
        <f aca="false">SUM(AB314,AB315)</f>
        <v>0</v>
      </c>
      <c r="AC313" s="8" t="n">
        <f aca="false">SUM(AC314,AC315)</f>
        <v>10</v>
      </c>
      <c r="AD313" s="8" t="n">
        <f aca="false">SUM(AD314,AD315)</f>
        <v>23</v>
      </c>
      <c r="AE313" s="8" t="n">
        <f aca="false">SUM(AE314,AE315)</f>
        <v>33</v>
      </c>
      <c r="AF313" s="8" t="n">
        <f aca="false">SUM(AF314,AF315)</f>
        <v>40</v>
      </c>
      <c r="AG313" s="8" t="n">
        <f aca="false">SUM(AG314,AG315)</f>
        <v>50</v>
      </c>
      <c r="AH313" s="11" t="n">
        <f aca="false">SUM(AH314,AH315)</f>
        <v>63</v>
      </c>
      <c r="AI313" s="8" t="n">
        <f aca="false">SUM(AI314,AI315)</f>
        <v>37</v>
      </c>
      <c r="AJ313" s="8" t="n">
        <f aca="false">SUM(AJ314,AJ315)</f>
        <v>0</v>
      </c>
      <c r="AK313" s="8" t="n">
        <f aca="false">SUM(AK314,AK315)</f>
        <v>0</v>
      </c>
      <c r="AL313" s="8" t="n">
        <f aca="false">SUM(AL314,AL315)</f>
        <v>0</v>
      </c>
      <c r="AM313" s="8" t="n">
        <f aca="false">SUM(AM314,AM315)</f>
        <v>0</v>
      </c>
      <c r="AN313" s="8" t="n">
        <f aca="false">SUM(AN314,AN315)</f>
        <v>0</v>
      </c>
      <c r="AO313" s="8" t="n">
        <f aca="false">SUM(AO314,AO315)</f>
        <v>0</v>
      </c>
      <c r="AP313" s="8" t="n">
        <f aca="false">SUM(AP314,AP315)</f>
        <v>0</v>
      </c>
      <c r="AQ313" s="8" t="n">
        <f aca="false">SUM(AQ314,AQ315)</f>
        <v>0</v>
      </c>
      <c r="AR313" s="8" t="n">
        <f aca="false">SUM(AR314,AR315)</f>
        <v>0</v>
      </c>
      <c r="AS313" s="8" t="n">
        <f aca="false">SUM(AS314,AS315)</f>
        <v>0</v>
      </c>
      <c r="AT313" s="8" t="n">
        <f aca="false">SUM(AT314,AT315)</f>
        <v>0</v>
      </c>
      <c r="AU313" s="8" t="n">
        <f aca="false">SUM(AU314,AU315)</f>
        <v>0</v>
      </c>
      <c r="AV313" s="8" t="n">
        <f aca="false">SUM(AV314,AV315)</f>
        <v>0</v>
      </c>
      <c r="AW313" s="8" t="n">
        <f aca="false">SUM(AW314,AW315)</f>
        <v>0</v>
      </c>
    </row>
    <row r="314" customFormat="false" ht="15" hidden="true" customHeight="true" outlineLevel="1" collapsed="false">
      <c r="A314" s="9" t="s">
        <v>12</v>
      </c>
      <c r="B314" s="9" t="s">
        <v>14</v>
      </c>
      <c r="C314" s="9" t="s">
        <v>138</v>
      </c>
      <c r="D314" s="9" t="s">
        <v>78</v>
      </c>
      <c r="E314" s="9" t="s">
        <v>81</v>
      </c>
      <c r="F314" s="10" t="n">
        <v>30</v>
      </c>
      <c r="G314" s="10" t="n">
        <v>118</v>
      </c>
      <c r="H314" s="10" t="n">
        <v>88</v>
      </c>
      <c r="I314" s="10" t="n">
        <v>30</v>
      </c>
      <c r="J314" s="10" t="n">
        <v>6</v>
      </c>
      <c r="K314" s="10" t="n">
        <v>0</v>
      </c>
      <c r="L314" s="10" t="n">
        <v>6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  <c r="S314" s="10" t="n">
        <v>0</v>
      </c>
      <c r="T314" s="10" t="n">
        <v>0</v>
      </c>
      <c r="U314" s="10" t="n">
        <v>0</v>
      </c>
      <c r="V314" s="10" t="n">
        <v>0</v>
      </c>
      <c r="W314" s="10" t="n">
        <v>0</v>
      </c>
      <c r="X314" s="10" t="n">
        <v>0</v>
      </c>
      <c r="Y314" s="10" t="n">
        <v>0</v>
      </c>
      <c r="Z314" s="10" t="n">
        <v>0</v>
      </c>
      <c r="AA314" s="10" t="n">
        <v>0</v>
      </c>
      <c r="AB314" s="10" t="n">
        <v>0</v>
      </c>
      <c r="AC314" s="10" t="n">
        <v>0</v>
      </c>
      <c r="AD314" s="10" t="n">
        <v>8</v>
      </c>
      <c r="AE314" s="10" t="n">
        <v>8</v>
      </c>
      <c r="AF314" s="10" t="n">
        <v>15</v>
      </c>
      <c r="AG314" s="10" t="n">
        <v>15</v>
      </c>
      <c r="AH314" s="10" t="n">
        <v>28</v>
      </c>
      <c r="AI314" s="10" t="n">
        <v>2</v>
      </c>
      <c r="AJ314" s="10" t="n">
        <v>0</v>
      </c>
      <c r="AK314" s="10" t="n">
        <v>0</v>
      </c>
      <c r="AL314" s="10" t="n">
        <v>0</v>
      </c>
      <c r="AM314" s="10" t="n">
        <v>0</v>
      </c>
      <c r="AN314" s="10" t="n">
        <v>0</v>
      </c>
      <c r="AO314" s="10" t="n">
        <v>0</v>
      </c>
      <c r="AP314" s="10" t="n">
        <v>0</v>
      </c>
      <c r="AQ314" s="10" t="n">
        <v>0</v>
      </c>
      <c r="AR314" s="10" t="n">
        <v>0</v>
      </c>
      <c r="AS314" s="10" t="n">
        <v>0</v>
      </c>
      <c r="AT314" s="10" t="n">
        <v>0</v>
      </c>
      <c r="AU314" s="10" t="n">
        <v>0</v>
      </c>
      <c r="AV314" s="10" t="n">
        <v>0</v>
      </c>
      <c r="AW314" s="10" t="n">
        <v>0</v>
      </c>
    </row>
    <row r="315" customFormat="false" ht="15" hidden="true" customHeight="true" outlineLevel="1" collapsed="false">
      <c r="A315" s="9" t="s">
        <v>12</v>
      </c>
      <c r="B315" s="9" t="s">
        <v>14</v>
      </c>
      <c r="C315" s="9" t="s">
        <v>138</v>
      </c>
      <c r="D315" s="9" t="s">
        <v>78</v>
      </c>
      <c r="E315" s="9" t="s">
        <v>100</v>
      </c>
      <c r="F315" s="10" t="n">
        <v>74</v>
      </c>
      <c r="G315" s="10" t="n">
        <v>210</v>
      </c>
      <c r="H315" s="10" t="n">
        <v>180</v>
      </c>
      <c r="I315" s="10" t="n">
        <v>30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0</v>
      </c>
      <c r="S315" s="10" t="n">
        <v>0</v>
      </c>
      <c r="T315" s="10" t="n">
        <v>0</v>
      </c>
      <c r="U315" s="10" t="n">
        <v>0</v>
      </c>
      <c r="V315" s="10" t="n">
        <v>0</v>
      </c>
      <c r="W315" s="10" t="n">
        <v>0</v>
      </c>
      <c r="X315" s="10" t="n">
        <v>0</v>
      </c>
      <c r="Y315" s="10" t="n">
        <v>0</v>
      </c>
      <c r="Z315" s="10" t="n">
        <v>0</v>
      </c>
      <c r="AA315" s="10" t="n">
        <v>0</v>
      </c>
      <c r="AB315" s="10" t="n">
        <v>0</v>
      </c>
      <c r="AC315" s="10" t="n">
        <v>10</v>
      </c>
      <c r="AD315" s="10" t="n">
        <v>15</v>
      </c>
      <c r="AE315" s="10" t="n">
        <v>25</v>
      </c>
      <c r="AF315" s="10" t="n">
        <v>25</v>
      </c>
      <c r="AG315" s="10" t="n">
        <v>35</v>
      </c>
      <c r="AH315" s="10" t="n">
        <v>35</v>
      </c>
      <c r="AI315" s="10" t="n">
        <v>35</v>
      </c>
      <c r="AJ315" s="10" t="n">
        <v>0</v>
      </c>
      <c r="AK315" s="10" t="n">
        <v>0</v>
      </c>
      <c r="AL315" s="10" t="n">
        <v>0</v>
      </c>
      <c r="AM315" s="10" t="n">
        <v>0</v>
      </c>
      <c r="AN315" s="10" t="n">
        <v>0</v>
      </c>
      <c r="AO315" s="10" t="n">
        <v>0</v>
      </c>
      <c r="AP315" s="10" t="n">
        <v>0</v>
      </c>
      <c r="AQ315" s="10" t="n">
        <v>0</v>
      </c>
      <c r="AR315" s="10" t="n">
        <v>0</v>
      </c>
      <c r="AS315" s="10" t="n">
        <v>0</v>
      </c>
      <c r="AT315" s="10" t="n">
        <v>0</v>
      </c>
      <c r="AU315" s="10" t="n">
        <v>0</v>
      </c>
      <c r="AV315" s="10" t="n">
        <v>0</v>
      </c>
      <c r="AW315" s="10" t="n">
        <v>0</v>
      </c>
    </row>
    <row r="316" customFormat="false" ht="15" hidden="false" customHeight="true" outlineLevel="0" collapsed="false">
      <c r="A316" s="7" t="s">
        <v>12</v>
      </c>
      <c r="B316" s="7" t="s">
        <v>14</v>
      </c>
      <c r="C316" s="7" t="s">
        <v>139</v>
      </c>
      <c r="D316" s="7" t="s">
        <v>76</v>
      </c>
      <c r="E316" s="7" t="s">
        <v>77</v>
      </c>
      <c r="F316" s="8" t="n">
        <f aca="false">SUM(F317,F318,F319,F320)</f>
        <v>0</v>
      </c>
      <c r="G316" s="8" t="n">
        <f aca="false">SUM(G317,G318,G319,G320)</f>
        <v>230</v>
      </c>
      <c r="H316" s="8" t="n">
        <f aca="false">SUM(H317,H318,H319,H320)</f>
        <v>230</v>
      </c>
      <c r="I316" s="8" t="n">
        <f aca="false">SUM(I317,I318,I319,I320)</f>
        <v>0</v>
      </c>
      <c r="J316" s="8" t="n">
        <f aca="false">SUM(J317,J318,J319,J320)</f>
        <v>0</v>
      </c>
      <c r="K316" s="8" t="n">
        <f aca="false">SUM(K317,K318,K319,K320)</f>
        <v>0</v>
      </c>
      <c r="L316" s="8" t="n">
        <f aca="false">SUM(L317,L318,L319,L320)</f>
        <v>0</v>
      </c>
      <c r="M316" s="8" t="n">
        <f aca="false">SUM(M317,M318,M319,M320)</f>
        <v>0</v>
      </c>
      <c r="N316" s="8" t="n">
        <f aca="false">SUM(N317,N318,N319,N320)</f>
        <v>0</v>
      </c>
      <c r="O316" s="8" t="n">
        <f aca="false">SUM(O317,O318,O319,O320)</f>
        <v>0</v>
      </c>
      <c r="P316" s="8" t="n">
        <f aca="false">SUM(P317,P318,P319,P320)</f>
        <v>0</v>
      </c>
      <c r="Q316" s="8" t="n">
        <f aca="false">SUM(Q317,Q318,Q319,Q320)</f>
        <v>0</v>
      </c>
      <c r="R316" s="8" t="n">
        <f aca="false">SUM(R317,R318,R319,R320)</f>
        <v>0</v>
      </c>
      <c r="S316" s="8" t="n">
        <f aca="false">SUM(S317,S318,S319,S320)</f>
        <v>0</v>
      </c>
      <c r="T316" s="8" t="n">
        <f aca="false">SUM(T317,T318,T319,T320)</f>
        <v>0</v>
      </c>
      <c r="U316" s="8" t="n">
        <f aca="false">SUM(U317,U318,U319,U320)</f>
        <v>0</v>
      </c>
      <c r="V316" s="8" t="n">
        <f aca="false">SUM(V317,V318,V319,V320)</f>
        <v>0</v>
      </c>
      <c r="W316" s="8" t="n">
        <f aca="false">SUM(W317,W318,W319,W320)</f>
        <v>0</v>
      </c>
      <c r="X316" s="8" t="n">
        <f aca="false">SUM(X317,X318,X319,X320)</f>
        <v>0</v>
      </c>
      <c r="Y316" s="8" t="n">
        <f aca="false">SUM(Y317,Y318,Y319,Y320)</f>
        <v>0</v>
      </c>
      <c r="Z316" s="8" t="n">
        <f aca="false">SUM(Z317,Z318,Z319,Z320)</f>
        <v>0</v>
      </c>
      <c r="AA316" s="8" t="n">
        <f aca="false">SUM(AA317,AA318,AA319,AA320)</f>
        <v>0</v>
      </c>
      <c r="AB316" s="8" t="n">
        <f aca="false">SUM(AB317,AB318,AB319,AB320)</f>
        <v>0</v>
      </c>
      <c r="AC316" s="8" t="n">
        <f aca="false">SUM(AC317,AC318,AC319,AC320)</f>
        <v>25</v>
      </c>
      <c r="AD316" s="8" t="n">
        <f aca="false">SUM(AD317,AD318,AD319,AD320)</f>
        <v>39</v>
      </c>
      <c r="AE316" s="8" t="n">
        <f aca="false">SUM(AE317,AE318,AE319,AE320)</f>
        <v>44</v>
      </c>
      <c r="AF316" s="12" t="n">
        <f aca="false">SUM(AF317,AF318,AF319,AF320)</f>
        <v>66</v>
      </c>
      <c r="AG316" s="8" t="n">
        <f aca="false">SUM(AG317,AG318,AG319,AG320)</f>
        <v>47</v>
      </c>
      <c r="AH316" s="8" t="n">
        <f aca="false">SUM(AH317,AH318,AH319,AH320)</f>
        <v>9</v>
      </c>
      <c r="AI316" s="8" t="n">
        <f aca="false">SUM(AI317,AI318,AI319,AI320)</f>
        <v>0</v>
      </c>
      <c r="AJ316" s="8" t="n">
        <f aca="false">SUM(AJ317,AJ318,AJ319,AJ320)</f>
        <v>0</v>
      </c>
      <c r="AK316" s="8" t="n">
        <f aca="false">SUM(AK317,AK318,AK319,AK320)</f>
        <v>0</v>
      </c>
      <c r="AL316" s="8" t="n">
        <f aca="false">SUM(AL317,AL318,AL319,AL320)</f>
        <v>0</v>
      </c>
      <c r="AM316" s="8" t="n">
        <f aca="false">SUM(AM317,AM318,AM319,AM320)</f>
        <v>0</v>
      </c>
      <c r="AN316" s="8" t="n">
        <f aca="false">SUM(AN317,AN318,AN319,AN320)</f>
        <v>0</v>
      </c>
      <c r="AO316" s="8" t="n">
        <f aca="false">SUM(AO317,AO318,AO319,AO320)</f>
        <v>0</v>
      </c>
      <c r="AP316" s="8" t="n">
        <f aca="false">SUM(AP317,AP318,AP319,AP320)</f>
        <v>0</v>
      </c>
      <c r="AQ316" s="8" t="n">
        <f aca="false">SUM(AQ317,AQ318,AQ319,AQ320)</f>
        <v>0</v>
      </c>
      <c r="AR316" s="8" t="n">
        <f aca="false">SUM(AR317,AR318,AR319,AR320)</f>
        <v>0</v>
      </c>
      <c r="AS316" s="8" t="n">
        <f aca="false">SUM(AS317,AS318,AS319,AS320)</f>
        <v>0</v>
      </c>
      <c r="AT316" s="8" t="n">
        <f aca="false">SUM(AT317,AT318,AT319,AT320)</f>
        <v>0</v>
      </c>
      <c r="AU316" s="8" t="n">
        <f aca="false">SUM(AU317,AU318,AU319,AU320)</f>
        <v>0</v>
      </c>
      <c r="AV316" s="8" t="n">
        <f aca="false">SUM(AV317,AV318,AV319,AV320)</f>
        <v>0</v>
      </c>
      <c r="AW316" s="8" t="n">
        <f aca="false">SUM(AW317,AW318,AW319,AW320)</f>
        <v>0</v>
      </c>
    </row>
    <row r="317" customFormat="false" ht="15" hidden="true" customHeight="true" outlineLevel="1" collapsed="false">
      <c r="A317" s="9" t="s">
        <v>12</v>
      </c>
      <c r="B317" s="9" t="s">
        <v>14</v>
      </c>
      <c r="C317" s="9" t="s">
        <v>139</v>
      </c>
      <c r="D317" s="9" t="s">
        <v>78</v>
      </c>
      <c r="E317" s="9" t="s">
        <v>95</v>
      </c>
      <c r="F317" s="10" t="n">
        <v>0</v>
      </c>
      <c r="G317" s="10" t="n">
        <v>122</v>
      </c>
      <c r="H317" s="10" t="n">
        <v>122</v>
      </c>
      <c r="I317" s="10" t="n">
        <v>0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0" t="n">
        <v>0</v>
      </c>
      <c r="P317" s="10" t="n">
        <v>0</v>
      </c>
      <c r="Q317" s="10" t="n">
        <v>0</v>
      </c>
      <c r="R317" s="10" t="n">
        <v>0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0</v>
      </c>
      <c r="X317" s="10" t="n">
        <v>0</v>
      </c>
      <c r="Y317" s="10" t="n">
        <v>0</v>
      </c>
      <c r="Z317" s="10" t="n">
        <v>0</v>
      </c>
      <c r="AA317" s="10" t="n">
        <v>0</v>
      </c>
      <c r="AB317" s="10" t="n">
        <v>0</v>
      </c>
      <c r="AC317" s="10" t="n">
        <v>25</v>
      </c>
      <c r="AD317" s="10" t="n">
        <v>39</v>
      </c>
      <c r="AE317" s="10" t="n">
        <v>28</v>
      </c>
      <c r="AF317" s="10" t="n">
        <v>30</v>
      </c>
      <c r="AG317" s="10" t="n">
        <v>0</v>
      </c>
      <c r="AH317" s="10" t="n">
        <v>0</v>
      </c>
      <c r="AI317" s="10" t="n">
        <v>0</v>
      </c>
      <c r="AJ317" s="10" t="n">
        <v>0</v>
      </c>
      <c r="AK317" s="10" t="n">
        <v>0</v>
      </c>
      <c r="AL317" s="10" t="n">
        <v>0</v>
      </c>
      <c r="AM317" s="10" t="n">
        <v>0</v>
      </c>
      <c r="AN317" s="10" t="n">
        <v>0</v>
      </c>
      <c r="AO317" s="10" t="n">
        <v>0</v>
      </c>
      <c r="AP317" s="10" t="n">
        <v>0</v>
      </c>
      <c r="AQ317" s="10" t="n">
        <v>0</v>
      </c>
      <c r="AR317" s="10" t="n">
        <v>0</v>
      </c>
      <c r="AS317" s="10" t="n">
        <v>0</v>
      </c>
      <c r="AT317" s="10" t="n">
        <v>0</v>
      </c>
      <c r="AU317" s="10" t="n">
        <v>0</v>
      </c>
      <c r="AV317" s="10" t="n">
        <v>0</v>
      </c>
      <c r="AW317" s="10" t="n">
        <v>0</v>
      </c>
    </row>
    <row r="318" customFormat="false" ht="15" hidden="true" customHeight="true" outlineLevel="1" collapsed="false">
      <c r="A318" s="9" t="s">
        <v>12</v>
      </c>
      <c r="B318" s="9" t="s">
        <v>14</v>
      </c>
      <c r="C318" s="9" t="s">
        <v>139</v>
      </c>
      <c r="D318" s="9" t="s">
        <v>78</v>
      </c>
      <c r="E318" s="9" t="s">
        <v>99</v>
      </c>
      <c r="F318" s="10" t="n">
        <v>0</v>
      </c>
      <c r="G318" s="10" t="n">
        <v>63</v>
      </c>
      <c r="H318" s="10" t="n">
        <v>63</v>
      </c>
      <c r="I318" s="10" t="n">
        <v>0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0" t="n">
        <v>0</v>
      </c>
      <c r="P318" s="10" t="n">
        <v>0</v>
      </c>
      <c r="Q318" s="10" t="n">
        <v>0</v>
      </c>
      <c r="R318" s="10" t="n">
        <v>0</v>
      </c>
      <c r="S318" s="10" t="n">
        <v>0</v>
      </c>
      <c r="T318" s="10" t="n">
        <v>0</v>
      </c>
      <c r="U318" s="10" t="n">
        <v>0</v>
      </c>
      <c r="V318" s="10" t="n">
        <v>0</v>
      </c>
      <c r="W318" s="10" t="n">
        <v>0</v>
      </c>
      <c r="X318" s="10" t="n">
        <v>0</v>
      </c>
      <c r="Y318" s="10" t="n">
        <v>0</v>
      </c>
      <c r="Z318" s="10" t="n">
        <v>0</v>
      </c>
      <c r="AA318" s="10" t="n">
        <v>0</v>
      </c>
      <c r="AB318" s="10" t="n">
        <v>0</v>
      </c>
      <c r="AC318" s="10" t="n">
        <v>0</v>
      </c>
      <c r="AD318" s="10" t="n">
        <v>0</v>
      </c>
      <c r="AE318" s="10" t="n">
        <v>16</v>
      </c>
      <c r="AF318" s="10" t="n">
        <v>23</v>
      </c>
      <c r="AG318" s="10" t="n">
        <v>24</v>
      </c>
      <c r="AH318" s="10" t="n">
        <v>0</v>
      </c>
      <c r="AI318" s="10" t="n">
        <v>0</v>
      </c>
      <c r="AJ318" s="10" t="n">
        <v>0</v>
      </c>
      <c r="AK318" s="10" t="n">
        <v>0</v>
      </c>
      <c r="AL318" s="10" t="n">
        <v>0</v>
      </c>
      <c r="AM318" s="10" t="n">
        <v>0</v>
      </c>
      <c r="AN318" s="10" t="n">
        <v>0</v>
      </c>
      <c r="AO318" s="10" t="n">
        <v>0</v>
      </c>
      <c r="AP318" s="10" t="n">
        <v>0</v>
      </c>
      <c r="AQ318" s="10" t="n">
        <v>0</v>
      </c>
      <c r="AR318" s="10" t="n">
        <v>0</v>
      </c>
      <c r="AS318" s="10" t="n">
        <v>0</v>
      </c>
      <c r="AT318" s="10" t="n">
        <v>0</v>
      </c>
      <c r="AU318" s="10" t="n">
        <v>0</v>
      </c>
      <c r="AV318" s="10" t="n">
        <v>0</v>
      </c>
      <c r="AW318" s="10" t="n">
        <v>0</v>
      </c>
    </row>
    <row r="319" customFormat="false" ht="15" hidden="true" customHeight="true" outlineLevel="1" collapsed="false">
      <c r="A319" s="9" t="s">
        <v>12</v>
      </c>
      <c r="B319" s="9" t="s">
        <v>14</v>
      </c>
      <c r="C319" s="9" t="s">
        <v>139</v>
      </c>
      <c r="D319" s="9" t="s">
        <v>78</v>
      </c>
      <c r="E319" s="9" t="s">
        <v>43</v>
      </c>
      <c r="F319" s="10" t="n">
        <v>0</v>
      </c>
      <c r="G319" s="10" t="n">
        <v>25</v>
      </c>
      <c r="H319" s="10" t="n">
        <v>25</v>
      </c>
      <c r="I319" s="10" t="n">
        <v>0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0" t="n">
        <v>0</v>
      </c>
      <c r="P319" s="10" t="n">
        <v>0</v>
      </c>
      <c r="Q319" s="10" t="n">
        <v>0</v>
      </c>
      <c r="R319" s="10" t="n">
        <v>0</v>
      </c>
      <c r="S319" s="10" t="n">
        <v>0</v>
      </c>
      <c r="T319" s="10" t="n">
        <v>0</v>
      </c>
      <c r="U319" s="10" t="n">
        <v>0</v>
      </c>
      <c r="V319" s="10" t="n">
        <v>0</v>
      </c>
      <c r="W319" s="10" t="n">
        <v>0</v>
      </c>
      <c r="X319" s="10" t="n">
        <v>0</v>
      </c>
      <c r="Y319" s="10" t="n">
        <v>0</v>
      </c>
      <c r="Z319" s="10" t="n">
        <v>0</v>
      </c>
      <c r="AA319" s="10" t="n">
        <v>0</v>
      </c>
      <c r="AB319" s="10" t="n">
        <v>0</v>
      </c>
      <c r="AC319" s="10" t="n">
        <v>0</v>
      </c>
      <c r="AD319" s="10" t="n">
        <v>0</v>
      </c>
      <c r="AE319" s="10" t="n">
        <v>0</v>
      </c>
      <c r="AF319" s="10" t="n">
        <v>0</v>
      </c>
      <c r="AG319" s="10" t="n">
        <v>18</v>
      </c>
      <c r="AH319" s="10" t="n">
        <v>7</v>
      </c>
      <c r="AI319" s="10" t="n">
        <v>0</v>
      </c>
      <c r="AJ319" s="10" t="n">
        <v>0</v>
      </c>
      <c r="AK319" s="10" t="n">
        <v>0</v>
      </c>
      <c r="AL319" s="10" t="n">
        <v>0</v>
      </c>
      <c r="AM319" s="10" t="n">
        <v>0</v>
      </c>
      <c r="AN319" s="10" t="n">
        <v>0</v>
      </c>
      <c r="AO319" s="10" t="n">
        <v>0</v>
      </c>
      <c r="AP319" s="10" t="n">
        <v>0</v>
      </c>
      <c r="AQ319" s="10" t="n">
        <v>0</v>
      </c>
      <c r="AR319" s="10" t="n">
        <v>0</v>
      </c>
      <c r="AS319" s="10" t="n">
        <v>0</v>
      </c>
      <c r="AT319" s="10" t="n">
        <v>0</v>
      </c>
      <c r="AU319" s="10" t="n">
        <v>0</v>
      </c>
      <c r="AV319" s="10" t="n">
        <v>0</v>
      </c>
      <c r="AW319" s="10" t="n">
        <v>0</v>
      </c>
    </row>
    <row r="320" customFormat="false" ht="15" hidden="true" customHeight="true" outlineLevel="1" collapsed="false">
      <c r="A320" s="9" t="s">
        <v>12</v>
      </c>
      <c r="B320" s="9" t="s">
        <v>14</v>
      </c>
      <c r="C320" s="9" t="s">
        <v>139</v>
      </c>
      <c r="D320" s="9" t="s">
        <v>78</v>
      </c>
      <c r="E320" s="9" t="s">
        <v>100</v>
      </c>
      <c r="F320" s="10" t="n">
        <v>0</v>
      </c>
      <c r="G320" s="10" t="n">
        <v>20</v>
      </c>
      <c r="H320" s="10" t="n">
        <v>20</v>
      </c>
      <c r="I320" s="10" t="n">
        <v>0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0</v>
      </c>
      <c r="O320" s="10" t="n">
        <v>0</v>
      </c>
      <c r="P320" s="10" t="n">
        <v>0</v>
      </c>
      <c r="Q320" s="10" t="n">
        <v>0</v>
      </c>
      <c r="R320" s="10" t="n">
        <v>0</v>
      </c>
      <c r="S320" s="10" t="n">
        <v>0</v>
      </c>
      <c r="T320" s="10" t="n">
        <v>0</v>
      </c>
      <c r="U320" s="10" t="n">
        <v>0</v>
      </c>
      <c r="V320" s="10" t="n">
        <v>0</v>
      </c>
      <c r="W320" s="10" t="n">
        <v>0</v>
      </c>
      <c r="X320" s="10" t="n">
        <v>0</v>
      </c>
      <c r="Y320" s="10" t="n">
        <v>0</v>
      </c>
      <c r="Z320" s="10" t="n">
        <v>0</v>
      </c>
      <c r="AA320" s="10" t="n">
        <v>0</v>
      </c>
      <c r="AB320" s="10" t="n">
        <v>0</v>
      </c>
      <c r="AC320" s="10" t="n">
        <v>0</v>
      </c>
      <c r="AD320" s="10" t="n">
        <v>0</v>
      </c>
      <c r="AE320" s="10" t="n">
        <v>0</v>
      </c>
      <c r="AF320" s="10" t="n">
        <v>13</v>
      </c>
      <c r="AG320" s="10" t="n">
        <v>5</v>
      </c>
      <c r="AH320" s="10" t="n">
        <v>2</v>
      </c>
      <c r="AI320" s="10" t="n">
        <v>0</v>
      </c>
      <c r="AJ320" s="10" t="n">
        <v>0</v>
      </c>
      <c r="AK320" s="10" t="n">
        <v>0</v>
      </c>
      <c r="AL320" s="10" t="n">
        <v>0</v>
      </c>
      <c r="AM320" s="10" t="n">
        <v>0</v>
      </c>
      <c r="AN320" s="10" t="n">
        <v>0</v>
      </c>
      <c r="AO320" s="10" t="n">
        <v>0</v>
      </c>
      <c r="AP320" s="10" t="n">
        <v>0</v>
      </c>
      <c r="AQ320" s="10" t="n">
        <v>0</v>
      </c>
      <c r="AR320" s="10" t="n">
        <v>0</v>
      </c>
      <c r="AS320" s="10" t="n">
        <v>0</v>
      </c>
      <c r="AT320" s="10" t="n">
        <v>0</v>
      </c>
      <c r="AU320" s="10" t="n">
        <v>0</v>
      </c>
      <c r="AV320" s="10" t="n">
        <v>0</v>
      </c>
      <c r="AW320" s="10" t="n">
        <v>0</v>
      </c>
    </row>
  </sheetData>
  <autoFilter ref="A1:AW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S3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1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4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45" min="10" style="1" width="13"/>
  </cols>
  <sheetData>
    <row r="1" customFormat="false" ht="31.5" hidden="false" customHeight="true" outlineLevel="0" collapsed="false">
      <c r="A1" s="5" t="s">
        <v>68</v>
      </c>
      <c r="B1" s="5" t="s">
        <v>3</v>
      </c>
      <c r="C1" s="5" t="s">
        <v>2</v>
      </c>
      <c r="D1" s="5" t="s">
        <v>69</v>
      </c>
      <c r="E1" s="5" t="s">
        <v>70</v>
      </c>
      <c r="F1" s="6" t="n">
        <v>46265</v>
      </c>
      <c r="G1" s="6" t="n">
        <v>46272</v>
      </c>
      <c r="H1" s="6" t="n">
        <v>46279</v>
      </c>
      <c r="I1" s="6" t="n">
        <v>46286</v>
      </c>
      <c r="J1" s="6" t="n">
        <v>46293</v>
      </c>
      <c r="K1" s="6" t="n">
        <v>46300</v>
      </c>
      <c r="L1" s="6" t="n">
        <v>46307</v>
      </c>
      <c r="M1" s="6" t="n">
        <v>46314</v>
      </c>
      <c r="N1" s="6" t="n">
        <v>46321</v>
      </c>
      <c r="O1" s="6" t="n">
        <v>46328</v>
      </c>
      <c r="P1" s="6" t="n">
        <v>46335</v>
      </c>
      <c r="Q1" s="6" t="n">
        <v>46342</v>
      </c>
      <c r="R1" s="6" t="n">
        <v>46349</v>
      </c>
      <c r="S1" s="6" t="n">
        <v>46356</v>
      </c>
      <c r="T1" s="6" t="n">
        <v>46363</v>
      </c>
      <c r="U1" s="6" t="n">
        <v>46370</v>
      </c>
      <c r="V1" s="6" t="n">
        <v>46377</v>
      </c>
      <c r="W1" s="6" t="n">
        <v>46384</v>
      </c>
      <c r="X1" s="6" t="n">
        <v>46391</v>
      </c>
      <c r="Y1" s="6" t="n">
        <v>46398</v>
      </c>
      <c r="Z1" s="6" t="n">
        <v>46405</v>
      </c>
      <c r="AA1" s="6" t="n">
        <v>46412</v>
      </c>
      <c r="AB1" s="6" t="n">
        <v>46419</v>
      </c>
      <c r="AC1" s="6" t="n">
        <v>46426</v>
      </c>
      <c r="AD1" s="6" t="n">
        <v>46433</v>
      </c>
      <c r="AE1" s="6" t="n">
        <v>46440</v>
      </c>
      <c r="AF1" s="6" t="n">
        <v>46447</v>
      </c>
      <c r="AG1" s="6" t="n">
        <v>46454</v>
      </c>
      <c r="AH1" s="6" t="n">
        <v>46461</v>
      </c>
      <c r="AI1" s="6" t="n">
        <v>46468</v>
      </c>
      <c r="AJ1" s="6" t="n">
        <v>46475</v>
      </c>
      <c r="AK1" s="6" t="n">
        <v>46482</v>
      </c>
      <c r="AL1" s="6" t="n">
        <v>46489</v>
      </c>
      <c r="AM1" s="6" t="n">
        <v>46496</v>
      </c>
      <c r="AN1" s="6" t="n">
        <v>46503</v>
      </c>
      <c r="AO1" s="6" t="n">
        <v>46510</v>
      </c>
      <c r="AP1" s="6" t="n">
        <v>46517</v>
      </c>
      <c r="AQ1" s="6" t="n">
        <v>46524</v>
      </c>
      <c r="AR1" s="6" t="n">
        <v>46531</v>
      </c>
      <c r="AS1" s="6" t="n">
        <v>46538</v>
      </c>
    </row>
    <row r="2" customFormat="false" ht="15" hidden="false" customHeight="true" outlineLevel="0" collapsed="false">
      <c r="A2" s="4" t="s">
        <v>29</v>
      </c>
      <c r="B2" s="4" t="s">
        <v>16</v>
      </c>
      <c r="C2" s="4" t="s">
        <v>140</v>
      </c>
      <c r="D2" s="4" t="s">
        <v>76</v>
      </c>
      <c r="E2" s="4" t="s">
        <v>77</v>
      </c>
      <c r="F2" s="8" t="n">
        <f aca="false">SUM(F3)</f>
        <v>0</v>
      </c>
      <c r="G2" s="8" t="n">
        <f aca="false">SUM(G3)</f>
        <v>0</v>
      </c>
      <c r="H2" s="8" t="n">
        <f aca="false">SUM(H3)</f>
        <v>0</v>
      </c>
      <c r="I2" s="8" t="n">
        <f aca="false">SUM(I3)</f>
        <v>0</v>
      </c>
      <c r="J2" s="8" t="n">
        <f aca="false">SUM(J3)</f>
        <v>0</v>
      </c>
      <c r="K2" s="8" t="n">
        <f aca="false">SUM(K3)</f>
        <v>0</v>
      </c>
      <c r="L2" s="8" t="n">
        <f aca="false">SUM(L3)</f>
        <v>0</v>
      </c>
      <c r="M2" s="8" t="n">
        <f aca="false">SUM(M3)</f>
        <v>0</v>
      </c>
      <c r="N2" s="8" t="n">
        <f aca="false">SUM(N3)</f>
        <v>0</v>
      </c>
      <c r="O2" s="8" t="n">
        <f aca="false">SUM(O3)</f>
        <v>0</v>
      </c>
      <c r="P2" s="8" t="n">
        <f aca="false">SUM(P3)</f>
        <v>0</v>
      </c>
      <c r="Q2" s="8" t="n">
        <f aca="false">SUM(Q3)</f>
        <v>0</v>
      </c>
      <c r="R2" s="8" t="n">
        <f aca="false">SUM(R3)</f>
        <v>0</v>
      </c>
      <c r="S2" s="8" t="n">
        <f aca="false">SUM(S3)</f>
        <v>0</v>
      </c>
      <c r="T2" s="8" t="n">
        <f aca="false">SUM(T3)</f>
        <v>0</v>
      </c>
      <c r="U2" s="8" t="n">
        <f aca="false">SUM(U3)</f>
        <v>0</v>
      </c>
      <c r="V2" s="8" t="n">
        <f aca="false">SUM(V3)</f>
        <v>0</v>
      </c>
      <c r="W2" s="8" t="n">
        <f aca="false">SUM(W3)</f>
        <v>0</v>
      </c>
      <c r="X2" s="8" t="n">
        <f aca="false">SUM(X3)</f>
        <v>0</v>
      </c>
      <c r="Y2" s="8" t="n">
        <f aca="false">SUM(Y3)</f>
        <v>0</v>
      </c>
      <c r="Z2" s="8" t="n">
        <f aca="false">SUM(Z3)</f>
        <v>0</v>
      </c>
      <c r="AA2" s="8" t="n">
        <f aca="false">SUM(AA3)</f>
        <v>0</v>
      </c>
      <c r="AB2" s="8" t="n">
        <f aca="false">SUM(AB3)</f>
        <v>0</v>
      </c>
      <c r="AC2" s="8" t="n">
        <f aca="false">SUM(AC3)</f>
        <v>0</v>
      </c>
      <c r="AD2" s="8" t="n">
        <f aca="false">SUM(AD3)</f>
        <v>10.107018</v>
      </c>
      <c r="AE2" s="8" t="n">
        <f aca="false">SUM(AE3)</f>
        <v>0</v>
      </c>
      <c r="AF2" s="8" t="n">
        <f aca="false">SUM(AF3)</f>
        <v>0</v>
      </c>
      <c r="AG2" s="8" t="n">
        <f aca="false">SUM(AG3)</f>
        <v>0</v>
      </c>
      <c r="AH2" s="8" t="n">
        <f aca="false">SUM(AH3)</f>
        <v>0</v>
      </c>
      <c r="AI2" s="8" t="n">
        <f aca="false">SUM(AI3)</f>
        <v>0</v>
      </c>
      <c r="AJ2" s="8" t="n">
        <f aca="false">SUM(AJ3)</f>
        <v>0</v>
      </c>
      <c r="AK2" s="8" t="n">
        <f aca="false">SUM(AK3)</f>
        <v>0</v>
      </c>
      <c r="AL2" s="8" t="n">
        <f aca="false">SUM(AL3)</f>
        <v>0</v>
      </c>
      <c r="AM2" s="8" t="n">
        <f aca="false">SUM(AM3)</f>
        <v>0</v>
      </c>
      <c r="AN2" s="8" t="n">
        <f aca="false">SUM(AN3)</f>
        <v>0</v>
      </c>
      <c r="AO2" s="8" t="n">
        <f aca="false">SUM(AO3)</f>
        <v>0</v>
      </c>
      <c r="AP2" s="8" t="n">
        <f aca="false">SUM(AP3)</f>
        <v>0</v>
      </c>
      <c r="AQ2" s="8" t="n">
        <f aca="false">SUM(AQ3)</f>
        <v>0</v>
      </c>
      <c r="AR2" s="8" t="n">
        <f aca="false">SUM(AR3)</f>
        <v>0</v>
      </c>
      <c r="AS2" s="8" t="n">
        <f aca="false">SUM(AS3)</f>
        <v>0</v>
      </c>
    </row>
    <row r="3" customFormat="false" ht="15" hidden="true" customHeight="true" outlineLevel="1" collapsed="false">
      <c r="A3" s="1" t="s">
        <v>29</v>
      </c>
      <c r="B3" s="1" t="s">
        <v>16</v>
      </c>
      <c r="C3" s="1" t="s">
        <v>140</v>
      </c>
      <c r="D3" s="1" t="s">
        <v>141</v>
      </c>
      <c r="E3" s="1" t="s">
        <v>92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0</v>
      </c>
      <c r="AD3" s="10" t="n">
        <v>10.107018</v>
      </c>
      <c r="AE3" s="10" t="n">
        <v>0</v>
      </c>
      <c r="AF3" s="10" t="n">
        <v>0</v>
      </c>
      <c r="AG3" s="10" t="n">
        <v>0</v>
      </c>
      <c r="AH3" s="10" t="n">
        <v>0</v>
      </c>
      <c r="AI3" s="10" t="n">
        <v>0</v>
      </c>
      <c r="AJ3" s="10" t="n">
        <v>0</v>
      </c>
      <c r="AK3" s="10" t="n">
        <v>0</v>
      </c>
      <c r="AL3" s="10" t="n">
        <v>0</v>
      </c>
      <c r="AM3" s="10" t="n">
        <v>0</v>
      </c>
      <c r="AN3" s="10" t="n">
        <v>0</v>
      </c>
      <c r="AO3" s="10" t="n">
        <v>0</v>
      </c>
      <c r="AP3" s="10" t="n">
        <v>0</v>
      </c>
      <c r="AQ3" s="10" t="n">
        <v>0</v>
      </c>
      <c r="AR3" s="10" t="n">
        <v>0</v>
      </c>
      <c r="AS3" s="10" t="n">
        <v>0</v>
      </c>
    </row>
    <row r="4" customFormat="false" ht="15" hidden="false" customHeight="true" outlineLevel="0" collapsed="false">
      <c r="A4" s="4" t="s">
        <v>12</v>
      </c>
      <c r="B4" s="4" t="s">
        <v>16</v>
      </c>
      <c r="C4" s="4" t="s">
        <v>142</v>
      </c>
      <c r="D4" s="4" t="s">
        <v>76</v>
      </c>
      <c r="E4" s="4" t="s">
        <v>77</v>
      </c>
      <c r="F4" s="8" t="n">
        <f aca="false">SUM(F5,F6,F7,F8,F9,F10,F11,F12)</f>
        <v>0</v>
      </c>
      <c r="G4" s="8" t="n">
        <f aca="false">SUM(G5,G6,G7,G8,G9,G10,G11,G12)</f>
        <v>0</v>
      </c>
      <c r="H4" s="8" t="n">
        <f aca="false">SUM(H5,H6,H7,H8,H9,H10,H11,H12)</f>
        <v>0</v>
      </c>
      <c r="I4" s="8" t="n">
        <f aca="false">SUM(I5,I6,I7,I8,I9,I10,I11,I12)</f>
        <v>0</v>
      </c>
      <c r="J4" s="8" t="n">
        <f aca="false">SUM(J5,J6,J7,J8,J9,J10,J11,J12)</f>
        <v>0</v>
      </c>
      <c r="K4" s="8" t="n">
        <f aca="false">SUM(K5,K6,K7,K8,K9,K10,K11,K12)</f>
        <v>0</v>
      </c>
      <c r="L4" s="8" t="n">
        <f aca="false">SUM(L5,L6,L7,L8,L9,L10,L11,L12)</f>
        <v>0</v>
      </c>
      <c r="M4" s="8" t="n">
        <f aca="false">SUM(M5,M6,M7,M8,M9,M10,M11,M12)</f>
        <v>0</v>
      </c>
      <c r="N4" s="8" t="n">
        <f aca="false">SUM(N5,N6,N7,N8,N9,N10,N11,N12)</f>
        <v>0</v>
      </c>
      <c r="O4" s="8" t="n">
        <f aca="false">SUM(O5,O6,O7,O8,O9,O10,O11,O12)</f>
        <v>0</v>
      </c>
      <c r="P4" s="8" t="n">
        <f aca="false">SUM(P5,P6,P7,P8,P9,P10,P11,P12)</f>
        <v>0</v>
      </c>
      <c r="Q4" s="8" t="n">
        <f aca="false">SUM(Q5,Q6,Q7,Q8,Q9,Q10,Q11,Q12)</f>
        <v>0</v>
      </c>
      <c r="R4" s="8" t="n">
        <f aca="false">SUM(R5,R6,R7,R8,R9,R10,R11,R12)</f>
        <v>0</v>
      </c>
      <c r="S4" s="8" t="n">
        <f aca="false">SUM(S5,S6,S7,S8,S9,S10,S11,S12)</f>
        <v>0</v>
      </c>
      <c r="T4" s="8" t="n">
        <f aca="false">SUM(T5,T6,T7,T8,T9,T10,T11,T12)</f>
        <v>0</v>
      </c>
      <c r="U4" s="8" t="n">
        <f aca="false">SUM(U5,U6,U7,U8,U9,U10,U11,U12)</f>
        <v>0</v>
      </c>
      <c r="V4" s="8" t="n">
        <f aca="false">SUM(V5,V6,V7,V8,V9,V10,V11,V12)</f>
        <v>0</v>
      </c>
      <c r="W4" s="8" t="n">
        <f aca="false">SUM(W5,W6,W7,W8,W9,W10,W11,W12)</f>
        <v>0</v>
      </c>
      <c r="X4" s="8" t="n">
        <f aca="false">SUM(X5,X6,X7,X8,X9,X10,X11,X12)</f>
        <v>0</v>
      </c>
      <c r="Y4" s="8" t="n">
        <f aca="false">SUM(Y5,Y6,Y7,Y8,Y9,Y10,Y11,Y12)</f>
        <v>0</v>
      </c>
      <c r="Z4" s="8" t="n">
        <f aca="false">SUM(Z5,Z6,Z7,Z8,Z9,Z10,Z11,Z12)</f>
        <v>0</v>
      </c>
      <c r="AA4" s="8" t="n">
        <f aca="false">SUM(AA5,AA6,AA7,AA8,AA9,AA10,AA11,AA12)</f>
        <v>0</v>
      </c>
      <c r="AB4" s="8" t="n">
        <f aca="false">SUM(AB5,AB6,AB7,AB8,AB9,AB10,AB11,AB12)</f>
        <v>0</v>
      </c>
      <c r="AC4" s="8" t="n">
        <f aca="false">SUM(AC5,AC6,AC7,AC8,AC9,AC10,AC11,AC12)</f>
        <v>23.414036</v>
      </c>
      <c r="AD4" s="8" t="n">
        <f aca="false">SUM(AD5,AD6,AD7,AD8,AD9,AD10,AD11,AD12)</f>
        <v>21.807018</v>
      </c>
      <c r="AE4" s="8" t="n">
        <f aca="false">SUM(AE5,AE6,AE7,AE8,AE9,AE10,AE11,AE12)</f>
        <v>0</v>
      </c>
      <c r="AF4" s="8" t="n">
        <f aca="false">SUM(AF5,AF6,AF7,AF8,AF9,AF10,AF11,AF12)</f>
        <v>0</v>
      </c>
      <c r="AG4" s="8" t="n">
        <f aca="false">SUM(AG5,AG6,AG7,AG8,AG9,AG10,AG11,AG12)</f>
        <v>0</v>
      </c>
      <c r="AH4" s="8" t="n">
        <f aca="false">SUM(AH5,AH6,AH7,AH8,AH9,AH10,AH11,AH12)</f>
        <v>0</v>
      </c>
      <c r="AI4" s="8" t="n">
        <f aca="false">SUM(AI5,AI6,AI7,AI8,AI9,AI10,AI11,AI12)</f>
        <v>0</v>
      </c>
      <c r="AJ4" s="8" t="n">
        <f aca="false">SUM(AJ5,AJ6,AJ7,AJ8,AJ9,AJ10,AJ11,AJ12)</f>
        <v>0</v>
      </c>
      <c r="AK4" s="8" t="n">
        <f aca="false">SUM(AK5,AK6,AK7,AK8,AK9,AK10,AK11,AK12)</f>
        <v>0</v>
      </c>
      <c r="AL4" s="8" t="n">
        <f aca="false">SUM(AL5,AL6,AL7,AL8,AL9,AL10,AL11,AL12)</f>
        <v>0</v>
      </c>
      <c r="AM4" s="8" t="n">
        <f aca="false">SUM(AM5,AM6,AM7,AM8,AM9,AM10,AM11,AM12)</f>
        <v>0</v>
      </c>
      <c r="AN4" s="8" t="n">
        <f aca="false">SUM(AN5,AN6,AN7,AN8,AN9,AN10,AN11,AN12)</f>
        <v>0</v>
      </c>
      <c r="AO4" s="8" t="n">
        <f aca="false">SUM(AO5,AO6,AO7,AO8,AO9,AO10,AO11,AO12)</f>
        <v>0</v>
      </c>
      <c r="AP4" s="8" t="n">
        <f aca="false">SUM(AP5,AP6,AP7,AP8,AP9,AP10,AP11,AP12)</f>
        <v>0</v>
      </c>
      <c r="AQ4" s="8" t="n">
        <f aca="false">SUM(AQ5,AQ6,AQ7,AQ8,AQ9,AQ10,AQ11,AQ12)</f>
        <v>0</v>
      </c>
      <c r="AR4" s="8" t="n">
        <f aca="false">SUM(AR5,AR6,AR7,AR8,AR9,AR10,AR11,AR12)</f>
        <v>0</v>
      </c>
      <c r="AS4" s="8" t="n">
        <f aca="false">SUM(AS5,AS6,AS7,AS8,AS9,AS10,AS11,AS12)</f>
        <v>0</v>
      </c>
    </row>
    <row r="5" customFormat="false" ht="15" hidden="true" customHeight="true" outlineLevel="1" collapsed="false">
      <c r="A5" s="1" t="s">
        <v>12</v>
      </c>
      <c r="B5" s="1" t="s">
        <v>16</v>
      </c>
      <c r="C5" s="1" t="s">
        <v>142</v>
      </c>
      <c r="D5" s="1" t="s">
        <v>141</v>
      </c>
      <c r="E5" s="1" t="s">
        <v>79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2.807018</v>
      </c>
      <c r="AD5" s="10" t="n">
        <v>2.807018</v>
      </c>
      <c r="AE5" s="10" t="n">
        <v>0</v>
      </c>
      <c r="AF5" s="10" t="n">
        <v>0</v>
      </c>
      <c r="AG5" s="10" t="n">
        <v>0</v>
      </c>
      <c r="AH5" s="10" t="n">
        <v>0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</row>
    <row r="6" customFormat="false" ht="15" hidden="true" customHeight="true" outlineLevel="1" collapsed="false">
      <c r="A6" s="1" t="s">
        <v>12</v>
      </c>
      <c r="B6" s="1" t="s">
        <v>16</v>
      </c>
      <c r="C6" s="1" t="s">
        <v>142</v>
      </c>
      <c r="D6" s="1" t="s">
        <v>141</v>
      </c>
      <c r="E6" s="1" t="s">
        <v>81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1.5</v>
      </c>
      <c r="AD6" s="10" t="n">
        <v>2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</row>
    <row r="7" customFormat="false" ht="15" hidden="true" customHeight="true" outlineLevel="1" collapsed="false">
      <c r="A7" s="1" t="s">
        <v>12</v>
      </c>
      <c r="B7" s="1" t="s">
        <v>16</v>
      </c>
      <c r="C7" s="1" t="s">
        <v>142</v>
      </c>
      <c r="D7" s="1" t="s">
        <v>141</v>
      </c>
      <c r="E7" s="1" t="s">
        <v>94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0.107018000000005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</row>
    <row r="8" customFormat="false" ht="15" hidden="true" customHeight="true" outlineLevel="1" collapsed="false">
      <c r="A8" s="1" t="s">
        <v>12</v>
      </c>
      <c r="B8" s="1" t="s">
        <v>16</v>
      </c>
      <c r="C8" s="1" t="s">
        <v>142</v>
      </c>
      <c r="D8" s="1" t="s">
        <v>141</v>
      </c>
      <c r="E8" s="1" t="s">
        <v>102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5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</row>
    <row r="9" customFormat="false" ht="15" hidden="true" customHeight="true" outlineLevel="1" collapsed="false">
      <c r="A9" s="1" t="s">
        <v>12</v>
      </c>
      <c r="B9" s="1" t="s">
        <v>16</v>
      </c>
      <c r="C9" s="1" t="s">
        <v>142</v>
      </c>
      <c r="D9" s="1" t="s">
        <v>141</v>
      </c>
      <c r="E9" s="1" t="s">
        <v>40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5</v>
      </c>
      <c r="AD9" s="10" t="n">
        <v>6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</row>
    <row r="10" customFormat="false" ht="15" hidden="true" customHeight="true" outlineLevel="1" collapsed="false">
      <c r="A10" s="1" t="s">
        <v>12</v>
      </c>
      <c r="B10" s="1" t="s">
        <v>16</v>
      </c>
      <c r="C10" s="1" t="s">
        <v>142</v>
      </c>
      <c r="D10" s="1" t="s">
        <v>141</v>
      </c>
      <c r="E10" s="1" t="s">
        <v>85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8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</row>
    <row r="11" customFormat="false" ht="15" hidden="true" customHeight="true" outlineLevel="1" collapsed="false">
      <c r="A11" s="1" t="s">
        <v>12</v>
      </c>
      <c r="B11" s="1" t="s">
        <v>16</v>
      </c>
      <c r="C11" s="1" t="s">
        <v>142</v>
      </c>
      <c r="D11" s="1" t="s">
        <v>141</v>
      </c>
      <c r="E11" s="1" t="s">
        <v>98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2</v>
      </c>
      <c r="AD11" s="10" t="n">
        <v>2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</row>
    <row r="12" customFormat="false" ht="15" hidden="true" customHeight="true" outlineLevel="1" collapsed="false">
      <c r="A12" s="1" t="s">
        <v>12</v>
      </c>
      <c r="B12" s="1" t="s">
        <v>16</v>
      </c>
      <c r="C12" s="1" t="s">
        <v>142</v>
      </c>
      <c r="D12" s="1" t="s">
        <v>141</v>
      </c>
      <c r="E12" s="1" t="s">
        <v>105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4</v>
      </c>
      <c r="AD12" s="10" t="n">
        <v>4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</row>
    <row r="13" customFormat="false" ht="15" hidden="false" customHeight="true" outlineLevel="0" collapsed="false">
      <c r="A13" s="4" t="s">
        <v>12</v>
      </c>
      <c r="B13" s="4" t="s">
        <v>16</v>
      </c>
      <c r="C13" s="4" t="s">
        <v>75</v>
      </c>
      <c r="D13" s="4" t="s">
        <v>76</v>
      </c>
      <c r="E13" s="4" t="s">
        <v>77</v>
      </c>
      <c r="F13" s="8" t="n">
        <f aca="false">SUM(F14,F15,F16,F17,F18,F19,F20,F21,F22)</f>
        <v>22.429825</v>
      </c>
      <c r="G13" s="8" t="n">
        <f aca="false">SUM(G14,G15,G16,G17,G18,G19,G20,G21,G22)</f>
        <v>20.929825</v>
      </c>
      <c r="H13" s="8" t="n">
        <f aca="false">SUM(H14,H15,H16,H17,H18,H19,H20,H21,H22)</f>
        <v>21.929825</v>
      </c>
      <c r="I13" s="8" t="n">
        <f aca="false">SUM(I14,I15,I16,I17,I18,I19,I20,I21,I22)</f>
        <v>9.929825</v>
      </c>
      <c r="J13" s="8" t="n">
        <f aca="false">SUM(J14,J15,J16,J17,J18,J19,J20,J21,J22)</f>
        <v>9.929825</v>
      </c>
      <c r="K13" s="8" t="n">
        <f aca="false">SUM(K14,K15,K16,K17,K18,K19,K20,K21,K22)</f>
        <v>9.929825</v>
      </c>
      <c r="L13" s="8" t="n">
        <f aca="false">SUM(L14,L15,L16,L17,L18,L19,L20,L21,L22)</f>
        <v>9.929825</v>
      </c>
      <c r="M13" s="8" t="n">
        <f aca="false">SUM(M14,M15,M16,M17,M18,M19,M20,M21,M22)</f>
        <v>36.684211</v>
      </c>
      <c r="N13" s="8" t="n">
        <f aca="false">SUM(N14,N15,N16,N17,N18,N19,N20,N21,N22)</f>
        <v>40</v>
      </c>
      <c r="O13" s="8" t="n">
        <f aca="false">SUM(O14,O15,O16,O17,O18,O19,O20,O21,O22)</f>
        <v>12.583334</v>
      </c>
      <c r="P13" s="8" t="n">
        <f aca="false">SUM(P14,P15,P16,P17,P18,P19,P20,P21,P22)</f>
        <v>9.929825</v>
      </c>
      <c r="Q13" s="8" t="n">
        <f aca="false">SUM(Q14,Q15,Q16,Q17,Q18,Q19,Q20,Q21,Q22)</f>
        <v>16.429825</v>
      </c>
      <c r="R13" s="8" t="n">
        <f aca="false">SUM(R14,R15,R16,R17,R18,R19,R20,R21,R22)</f>
        <v>19.929825</v>
      </c>
      <c r="S13" s="8" t="n">
        <f aca="false">SUM(S14,S15,S16,S17,S18,S19,S20,S21,S22)</f>
        <v>25.929825</v>
      </c>
      <c r="T13" s="8" t="n">
        <f aca="false">SUM(T14,T15,T16,T17,T18,T19,T20,T21,T22)</f>
        <v>15.929825</v>
      </c>
      <c r="U13" s="8" t="n">
        <f aca="false">SUM(U14,U15,U16,U17,U18,U19,U20,U21,U22)</f>
        <v>13.833334</v>
      </c>
      <c r="V13" s="8" t="n">
        <f aca="false">SUM(V14,V15,V16,V17,V18,V19,V20,V21,V22)</f>
        <v>4.929825</v>
      </c>
      <c r="W13" s="8" t="n">
        <f aca="false">SUM(W14,W15,W16,W17,W18,W19,W20,W21,W22)</f>
        <v>1.929825</v>
      </c>
      <c r="X13" s="8" t="n">
        <f aca="false">SUM(X14,X15,X16,X17,X18,X19,X20,X21,X22)</f>
        <v>10.903509</v>
      </c>
      <c r="Y13" s="8" t="n">
        <f aca="false">SUM(Y14,Y15,Y16,Y17,Y18,Y19,Y20,Y21,Y22)</f>
        <v>22.003509</v>
      </c>
      <c r="Z13" s="8" t="n">
        <f aca="false">SUM(Z14,Z15,Z16,Z17,Z18,Z19,Z20,Z21,Z22)</f>
        <v>31.903509</v>
      </c>
      <c r="AA13" s="8" t="n">
        <f aca="false">SUM(AA14,AA15,AA16,AA17,AA18,AA19,AA20,AA21,AA22)</f>
        <v>31.307018</v>
      </c>
      <c r="AB13" s="8" t="n">
        <f aca="false">SUM(AB14,AB15,AB16,AB17,AB18,AB19,AB20,AB21,AB22)</f>
        <v>38.907018</v>
      </c>
      <c r="AC13" s="8" t="n">
        <f aca="false">SUM(AC14,AC15,AC16,AC17,AC18,AC19,AC20,AC21,AC22)</f>
        <v>55</v>
      </c>
      <c r="AD13" s="8" t="n">
        <f aca="false">SUM(AD14,AD15,AD16,AD17,AD18,AD19,AD20,AD21,AD22)</f>
        <v>55</v>
      </c>
      <c r="AE13" s="8" t="n">
        <f aca="false">SUM(AE14,AE15,AE16,AE17,AE18,AE19,AE20,AE21,AE22)</f>
        <v>28.903509</v>
      </c>
      <c r="AF13" s="8" t="n">
        <f aca="false">SUM(AF14,AF15,AF16,AF17,AF18,AF19,AF20,AF21,AF22)</f>
        <v>5.403509</v>
      </c>
      <c r="AG13" s="8" t="n">
        <f aca="false">SUM(AG14,AG15,AG16,AG17,AG18,AG19,AG20,AG21,AG22)</f>
        <v>5.403509</v>
      </c>
      <c r="AH13" s="8" t="n">
        <f aca="false">SUM(AH14,AH15,AH16,AH17,AH18,AH19,AH20,AH21,AH22)</f>
        <v>10.403509</v>
      </c>
      <c r="AI13" s="8" t="n">
        <f aca="false">SUM(AI14,AI15,AI16,AI17,AI18,AI19,AI20,AI21,AI22)</f>
        <v>1.403509</v>
      </c>
      <c r="AJ13" s="8" t="n">
        <f aca="false">SUM(AJ14,AJ15,AJ16,AJ17,AJ18,AJ19,AJ20,AJ21,AJ22)</f>
        <v>1.403509</v>
      </c>
      <c r="AK13" s="8" t="n">
        <f aca="false">SUM(AK14,AK15,AK16,AK17,AK18,AK19,AK20,AK21,AK22)</f>
        <v>1.403509</v>
      </c>
      <c r="AL13" s="8" t="n">
        <f aca="false">SUM(AL14,AL15,AL16,AL17,AL18,AL19,AL20,AL21,AL22)</f>
        <v>1.403509</v>
      </c>
      <c r="AM13" s="8" t="n">
        <f aca="false">SUM(AM14,AM15,AM16,AM17,AM18,AM19,AM20,AM21,AM22)</f>
        <v>1.403509</v>
      </c>
      <c r="AN13" s="8" t="n">
        <f aca="false">SUM(AN14,AN15,AN16,AN17,AN18,AN19,AN20,AN21,AN22)</f>
        <v>1.403509</v>
      </c>
      <c r="AO13" s="8" t="n">
        <f aca="false">SUM(AO14,AO15,AO16,AO17,AO18,AO19,AO20,AO21,AO22)</f>
        <v>1.403509</v>
      </c>
      <c r="AP13" s="8" t="n">
        <f aca="false">SUM(AP14,AP15,AP16,AP17,AP18,AP19,AP20,AP21,AP22)</f>
        <v>1.403509</v>
      </c>
      <c r="AQ13" s="8" t="n">
        <f aca="false">SUM(AQ14,AQ15,AQ16,AQ17,AQ18,AQ19,AQ20,AQ21,AQ22)</f>
        <v>0</v>
      </c>
      <c r="AR13" s="8" t="n">
        <f aca="false">SUM(AR14,AR15,AR16,AR17,AR18,AR19,AR20,AR21,AR22)</f>
        <v>0</v>
      </c>
      <c r="AS13" s="8" t="n">
        <f aca="false">SUM(AS14,AS15,AS16,AS17,AS18,AS19,AS20,AS21,AS22)</f>
        <v>0</v>
      </c>
    </row>
    <row r="14" customFormat="false" ht="15" hidden="true" customHeight="true" outlineLevel="1" collapsed="false">
      <c r="A14" s="1" t="s">
        <v>12</v>
      </c>
      <c r="B14" s="1" t="s">
        <v>16</v>
      </c>
      <c r="C14" s="1" t="s">
        <v>75</v>
      </c>
      <c r="D14" s="1" t="s">
        <v>141</v>
      </c>
      <c r="E14" s="1" t="s">
        <v>79</v>
      </c>
      <c r="F14" s="10" t="n">
        <v>2.403509</v>
      </c>
      <c r="G14" s="10" t="n">
        <v>1.403509</v>
      </c>
      <c r="H14" s="10" t="n">
        <v>1.403509</v>
      </c>
      <c r="I14" s="10" t="n">
        <v>1.403509</v>
      </c>
      <c r="J14" s="10" t="n">
        <v>1.403509</v>
      </c>
      <c r="K14" s="10" t="n">
        <v>1.403509</v>
      </c>
      <c r="L14" s="10" t="n">
        <v>1.403509</v>
      </c>
      <c r="M14" s="10" t="n">
        <v>1.403509</v>
      </c>
      <c r="N14" s="10" t="n">
        <v>1.403509</v>
      </c>
      <c r="O14" s="10" t="n">
        <v>2.807018</v>
      </c>
      <c r="P14" s="10" t="n">
        <v>1.403509</v>
      </c>
      <c r="Q14" s="10" t="n">
        <v>1.403509</v>
      </c>
      <c r="R14" s="10" t="n">
        <v>1.403509</v>
      </c>
      <c r="S14" s="10" t="n">
        <v>1.403509</v>
      </c>
      <c r="T14" s="10" t="n">
        <v>1.403509</v>
      </c>
      <c r="U14" s="10" t="n">
        <v>2.807018</v>
      </c>
      <c r="V14" s="10" t="n">
        <v>1.403509</v>
      </c>
      <c r="W14" s="10" t="n">
        <v>1.403509</v>
      </c>
      <c r="X14" s="10" t="n">
        <v>1.403509</v>
      </c>
      <c r="Y14" s="10" t="n">
        <v>1.403509</v>
      </c>
      <c r="Z14" s="10" t="n">
        <v>1.403509</v>
      </c>
      <c r="AA14" s="10" t="n">
        <v>1.403509</v>
      </c>
      <c r="AB14" s="10" t="n">
        <v>2.807018</v>
      </c>
      <c r="AC14" s="10" t="n">
        <v>2.807018</v>
      </c>
      <c r="AD14" s="10" t="n">
        <v>2.807018</v>
      </c>
      <c r="AE14" s="10" t="n">
        <v>1.403509</v>
      </c>
      <c r="AF14" s="10" t="n">
        <v>1.403509</v>
      </c>
      <c r="AG14" s="10" t="n">
        <v>1.403509</v>
      </c>
      <c r="AH14" s="10" t="n">
        <v>1.403509</v>
      </c>
      <c r="AI14" s="10" t="n">
        <v>1.403509</v>
      </c>
      <c r="AJ14" s="10" t="n">
        <v>1.403509</v>
      </c>
      <c r="AK14" s="10" t="n">
        <v>1.403509</v>
      </c>
      <c r="AL14" s="10" t="n">
        <v>1.403509</v>
      </c>
      <c r="AM14" s="10" t="n">
        <v>1.403509</v>
      </c>
      <c r="AN14" s="10" t="n">
        <v>1.403509</v>
      </c>
      <c r="AO14" s="10" t="n">
        <v>1.403509</v>
      </c>
      <c r="AP14" s="10" t="n">
        <v>1.403509</v>
      </c>
      <c r="AQ14" s="10" t="n">
        <v>0</v>
      </c>
      <c r="AR14" s="10" t="n">
        <v>0</v>
      </c>
      <c r="AS14" s="10" t="n">
        <v>0</v>
      </c>
    </row>
    <row r="15" customFormat="false" ht="15" hidden="true" customHeight="true" outlineLevel="1" collapsed="false">
      <c r="A15" s="1" t="s">
        <v>12</v>
      </c>
      <c r="B15" s="1" t="s">
        <v>16</v>
      </c>
      <c r="C15" s="1" t="s">
        <v>75</v>
      </c>
      <c r="D15" s="1" t="s">
        <v>141</v>
      </c>
      <c r="E15" s="1" t="s">
        <v>80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0.100000000000003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5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</row>
    <row r="16" customFormat="false" ht="15" hidden="true" customHeight="true" outlineLevel="1" collapsed="false">
      <c r="A16" s="1" t="s">
        <v>12</v>
      </c>
      <c r="B16" s="1" t="s">
        <v>16</v>
      </c>
      <c r="C16" s="1" t="s">
        <v>75</v>
      </c>
      <c r="D16" s="1" t="s">
        <v>141</v>
      </c>
      <c r="E16" s="1" t="s">
        <v>81</v>
      </c>
      <c r="F16" s="10" t="n">
        <v>0.526316</v>
      </c>
      <c r="G16" s="10" t="n">
        <v>0.526316</v>
      </c>
      <c r="H16" s="10" t="n">
        <v>0.526316</v>
      </c>
      <c r="I16" s="10" t="n">
        <v>0.526316</v>
      </c>
      <c r="J16" s="10" t="n">
        <v>0.526316</v>
      </c>
      <c r="K16" s="10" t="n">
        <v>0.526316</v>
      </c>
      <c r="L16" s="10" t="n">
        <v>0.526316</v>
      </c>
      <c r="M16" s="10" t="n">
        <v>0.526316</v>
      </c>
      <c r="N16" s="10" t="n">
        <v>0.526316</v>
      </c>
      <c r="O16" s="10" t="n">
        <v>0.776316</v>
      </c>
      <c r="P16" s="10" t="n">
        <v>0.526316</v>
      </c>
      <c r="Q16" s="10" t="n">
        <v>0.526316</v>
      </c>
      <c r="R16" s="10" t="n">
        <v>0.526316</v>
      </c>
      <c r="S16" s="10" t="n">
        <v>0.526316</v>
      </c>
      <c r="T16" s="10" t="n">
        <v>0.526316</v>
      </c>
      <c r="U16" s="10" t="n">
        <v>0.526316</v>
      </c>
      <c r="V16" s="10" t="n">
        <v>0.526316</v>
      </c>
      <c r="W16" s="10" t="n">
        <v>0.526316</v>
      </c>
      <c r="X16" s="10" t="n">
        <v>1</v>
      </c>
      <c r="Y16" s="10" t="n">
        <v>1</v>
      </c>
      <c r="Z16" s="10" t="n">
        <v>1</v>
      </c>
      <c r="AA16" s="10" t="n">
        <v>1</v>
      </c>
      <c r="AB16" s="10" t="n">
        <v>2.1</v>
      </c>
      <c r="AC16" s="10" t="n">
        <v>1.5</v>
      </c>
      <c r="AD16" s="10" t="n">
        <v>5.392982</v>
      </c>
      <c r="AE16" s="10" t="n">
        <v>1.5</v>
      </c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</row>
    <row r="17" customFormat="false" ht="15" hidden="true" customHeight="true" outlineLevel="1" collapsed="false">
      <c r="A17" s="1" t="s">
        <v>12</v>
      </c>
      <c r="B17" s="1" t="s">
        <v>16</v>
      </c>
      <c r="C17" s="1" t="s">
        <v>75</v>
      </c>
      <c r="D17" s="1" t="s">
        <v>141</v>
      </c>
      <c r="E17" s="1" t="s">
        <v>84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5</v>
      </c>
      <c r="N17" s="10" t="n">
        <v>5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10" t="n">
        <v>0</v>
      </c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0</v>
      </c>
    </row>
    <row r="18" customFormat="false" ht="15" hidden="true" customHeight="true" outlineLevel="1" collapsed="false">
      <c r="A18" s="1" t="s">
        <v>12</v>
      </c>
      <c r="B18" s="1" t="s">
        <v>16</v>
      </c>
      <c r="C18" s="1" t="s">
        <v>75</v>
      </c>
      <c r="D18" s="1" t="s">
        <v>141</v>
      </c>
      <c r="E18" s="1" t="s">
        <v>40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2.5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7.9</v>
      </c>
      <c r="AD18" s="10" t="n">
        <v>14.8</v>
      </c>
      <c r="AE18" s="10" t="n">
        <v>5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</row>
    <row r="19" customFormat="false" ht="15" hidden="true" customHeight="true" outlineLevel="1" collapsed="false">
      <c r="A19" s="1" t="s">
        <v>12</v>
      </c>
      <c r="B19" s="1" t="s">
        <v>16</v>
      </c>
      <c r="C19" s="1" t="s">
        <v>75</v>
      </c>
      <c r="D19" s="1" t="s">
        <v>141</v>
      </c>
      <c r="E19" s="1" t="s">
        <v>85</v>
      </c>
      <c r="F19" s="10" t="n">
        <v>11</v>
      </c>
      <c r="G19" s="10" t="n">
        <v>14</v>
      </c>
      <c r="H19" s="10" t="n">
        <v>14</v>
      </c>
      <c r="I19" s="10" t="n">
        <v>3</v>
      </c>
      <c r="J19" s="10" t="n">
        <v>3</v>
      </c>
      <c r="K19" s="10" t="n">
        <v>3</v>
      </c>
      <c r="L19" s="10" t="n">
        <v>3</v>
      </c>
      <c r="M19" s="10" t="n">
        <v>4</v>
      </c>
      <c r="N19" s="10" t="n">
        <v>4</v>
      </c>
      <c r="O19" s="10" t="n">
        <v>4</v>
      </c>
      <c r="P19" s="10" t="n">
        <v>3</v>
      </c>
      <c r="Q19" s="10" t="n">
        <v>5.5</v>
      </c>
      <c r="R19" s="10" t="n">
        <v>13</v>
      </c>
      <c r="S19" s="10" t="n">
        <v>19</v>
      </c>
      <c r="T19" s="10" t="n">
        <v>3</v>
      </c>
      <c r="U19" s="10" t="n">
        <v>3</v>
      </c>
      <c r="V19" s="10" t="n">
        <v>3</v>
      </c>
      <c r="W19" s="10" t="n">
        <v>0</v>
      </c>
      <c r="X19" s="10" t="n">
        <v>4.5</v>
      </c>
      <c r="Y19" s="10" t="n">
        <v>7.5</v>
      </c>
      <c r="Z19" s="10" t="n">
        <v>3.5</v>
      </c>
      <c r="AA19" s="10" t="n">
        <v>3.903509</v>
      </c>
      <c r="AB19" s="10" t="n">
        <v>7</v>
      </c>
      <c r="AC19" s="10" t="n">
        <v>12</v>
      </c>
      <c r="AD19" s="10" t="n">
        <v>11</v>
      </c>
      <c r="AE19" s="10" t="n">
        <v>11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</row>
    <row r="20" customFormat="false" ht="15" hidden="true" customHeight="true" outlineLevel="1" collapsed="false">
      <c r="A20" s="1" t="s">
        <v>12</v>
      </c>
      <c r="B20" s="1" t="s">
        <v>16</v>
      </c>
      <c r="C20" s="1" t="s">
        <v>75</v>
      </c>
      <c r="D20" s="1" t="s">
        <v>141</v>
      </c>
      <c r="E20" s="1" t="s">
        <v>46</v>
      </c>
      <c r="F20" s="10" t="n">
        <v>7.5</v>
      </c>
      <c r="G20" s="10" t="n">
        <v>4</v>
      </c>
      <c r="H20" s="10" t="n">
        <v>5</v>
      </c>
      <c r="I20" s="10" t="n">
        <v>4</v>
      </c>
      <c r="J20" s="10" t="n">
        <v>4</v>
      </c>
      <c r="K20" s="10" t="n">
        <v>4</v>
      </c>
      <c r="L20" s="10" t="n">
        <v>4</v>
      </c>
      <c r="M20" s="10" t="n">
        <v>4</v>
      </c>
      <c r="N20" s="10" t="n">
        <v>4</v>
      </c>
      <c r="O20" s="10" t="n">
        <v>4</v>
      </c>
      <c r="P20" s="10" t="n">
        <v>4</v>
      </c>
      <c r="Q20" s="10" t="n">
        <v>8</v>
      </c>
      <c r="R20" s="10" t="n">
        <v>4</v>
      </c>
      <c r="S20" s="10" t="n">
        <v>4</v>
      </c>
      <c r="T20" s="10" t="n">
        <v>10</v>
      </c>
      <c r="U20" s="10" t="n">
        <v>4</v>
      </c>
      <c r="V20" s="10" t="n">
        <v>0</v>
      </c>
      <c r="W20" s="10" t="n">
        <v>0</v>
      </c>
      <c r="X20" s="10" t="n">
        <v>4</v>
      </c>
      <c r="Y20" s="10" t="n">
        <v>11</v>
      </c>
      <c r="Z20" s="10" t="n">
        <v>21</v>
      </c>
      <c r="AA20" s="10" t="n">
        <v>20</v>
      </c>
      <c r="AB20" s="10" t="n">
        <v>21</v>
      </c>
      <c r="AC20" s="10" t="n">
        <v>22</v>
      </c>
      <c r="AD20" s="10" t="n">
        <v>15</v>
      </c>
      <c r="AE20" s="10" t="n">
        <v>9</v>
      </c>
      <c r="AF20" s="10" t="n">
        <v>4</v>
      </c>
      <c r="AG20" s="10" t="n">
        <v>4</v>
      </c>
      <c r="AH20" s="10" t="n">
        <v>4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</row>
    <row r="21" customFormat="false" ht="15" hidden="true" customHeight="true" outlineLevel="1" collapsed="false">
      <c r="A21" s="1" t="s">
        <v>12</v>
      </c>
      <c r="B21" s="1" t="s">
        <v>16</v>
      </c>
      <c r="C21" s="1" t="s">
        <v>75</v>
      </c>
      <c r="D21" s="1" t="s">
        <v>141</v>
      </c>
      <c r="E21" s="1" t="s">
        <v>43</v>
      </c>
      <c r="F21" s="10" t="n">
        <v>1</v>
      </c>
      <c r="G21" s="10" t="n">
        <v>1</v>
      </c>
      <c r="H21" s="10" t="n">
        <v>1</v>
      </c>
      <c r="I21" s="10" t="n">
        <v>1</v>
      </c>
      <c r="J21" s="10" t="n">
        <v>1</v>
      </c>
      <c r="K21" s="10" t="n">
        <v>1</v>
      </c>
      <c r="L21" s="10" t="n">
        <v>1</v>
      </c>
      <c r="M21" s="10" t="n">
        <v>0</v>
      </c>
      <c r="N21" s="10" t="n">
        <v>0</v>
      </c>
      <c r="O21" s="10" t="n">
        <v>1</v>
      </c>
      <c r="P21" s="10" t="n">
        <v>1</v>
      </c>
      <c r="Q21" s="10" t="n">
        <v>1</v>
      </c>
      <c r="R21" s="10" t="n">
        <v>1</v>
      </c>
      <c r="S21" s="10" t="n">
        <v>1</v>
      </c>
      <c r="T21" s="10" t="n">
        <v>1</v>
      </c>
      <c r="U21" s="10" t="n">
        <v>1</v>
      </c>
      <c r="V21" s="10" t="n">
        <v>0</v>
      </c>
      <c r="W21" s="10" t="n">
        <v>0</v>
      </c>
      <c r="X21" s="10" t="n">
        <v>0</v>
      </c>
      <c r="Y21" s="10" t="n">
        <v>1</v>
      </c>
      <c r="Z21" s="10" t="n">
        <v>5</v>
      </c>
      <c r="AA21" s="10" t="n">
        <v>5</v>
      </c>
      <c r="AB21" s="10" t="n">
        <v>6</v>
      </c>
      <c r="AC21" s="10" t="n">
        <v>8.792982</v>
      </c>
      <c r="AD21" s="10" t="n">
        <v>6</v>
      </c>
      <c r="AE21" s="10" t="n">
        <v>1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</row>
    <row r="22" customFormat="false" ht="15" hidden="true" customHeight="true" outlineLevel="1" collapsed="false">
      <c r="A22" s="1" t="s">
        <v>12</v>
      </c>
      <c r="B22" s="1" t="s">
        <v>16</v>
      </c>
      <c r="C22" s="1" t="s">
        <v>75</v>
      </c>
      <c r="D22" s="1" t="s">
        <v>141</v>
      </c>
      <c r="E22" s="1" t="s">
        <v>88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21.754386</v>
      </c>
      <c r="N22" s="10" t="n">
        <v>25.070175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</row>
    <row r="23" customFormat="false" ht="15" hidden="false" customHeight="true" outlineLevel="0" collapsed="false">
      <c r="A23" s="4" t="s">
        <v>89</v>
      </c>
      <c r="B23" s="4" t="s">
        <v>16</v>
      </c>
      <c r="C23" s="4" t="s">
        <v>90</v>
      </c>
      <c r="D23" s="4" t="s">
        <v>76</v>
      </c>
      <c r="E23" s="4" t="s">
        <v>77</v>
      </c>
      <c r="F23" s="8" t="n">
        <f aca="false">SUM(F24,F25,F26,F27,F28,F29,F30,F31,F32)</f>
        <v>10</v>
      </c>
      <c r="G23" s="8" t="n">
        <f aca="false">SUM(G24,G25,G26,G27,G28,G29,G30,G31,G32)</f>
        <v>10</v>
      </c>
      <c r="H23" s="8" t="n">
        <f aca="false">SUM(H24,H25,H26,H27,H28,H29,H30,H31,H32)</f>
        <v>10</v>
      </c>
      <c r="I23" s="8" t="n">
        <f aca="false">SUM(I24,I25,I26,I27,I28,I29,I30,I31,I32)</f>
        <v>10</v>
      </c>
      <c r="J23" s="8" t="n">
        <f aca="false">SUM(J24,J25,J26,J27,J28,J29,J30,J31,J32)</f>
        <v>10</v>
      </c>
      <c r="K23" s="8" t="n">
        <f aca="false">SUM(K24,K25,K26,K27,K28,K29,K30,K31,K32)</f>
        <v>10.5</v>
      </c>
      <c r="L23" s="8" t="n">
        <f aca="false">SUM(L24,L25,L26,L27,L28,L29,L30,L31,L32)</f>
        <v>20.5</v>
      </c>
      <c r="M23" s="8" t="n">
        <f aca="false">SUM(M24,M25,M26,M27,M28,M29,M30,M31,M32)</f>
        <v>31.5</v>
      </c>
      <c r="N23" s="8" t="n">
        <f aca="false">SUM(N24,N25,N26,N27,N28,N29,N30,N31,N32)</f>
        <v>32.5</v>
      </c>
      <c r="O23" s="8" t="n">
        <f aca="false">SUM(O24,O25,O26,O27,O28,O29,O30,O31,O32)</f>
        <v>10.5</v>
      </c>
      <c r="P23" s="8" t="n">
        <f aca="false">SUM(P24,P25,P26,P27,P28,P29,P30,P31,P32)</f>
        <v>10.5</v>
      </c>
      <c r="Q23" s="8" t="n">
        <f aca="false">SUM(Q24,Q25,Q26,Q27,Q28,Q29,Q30,Q31,Q32)</f>
        <v>10.5</v>
      </c>
      <c r="R23" s="8" t="n">
        <f aca="false">SUM(R24,R25,R26,R27,R28,R29,R30,R31,R32)</f>
        <v>10.5</v>
      </c>
      <c r="S23" s="8" t="n">
        <f aca="false">SUM(S24,S25,S26,S27,S28,S29,S30,S31,S32)</f>
        <v>0.5</v>
      </c>
      <c r="T23" s="8" t="n">
        <f aca="false">SUM(T24,T25,T26,T27,T28,T29,T30,T31,T32)</f>
        <v>0.5</v>
      </c>
      <c r="U23" s="8" t="n">
        <f aca="false">SUM(U24,U25,U26,U27,U28,U29,U30,U31,U32)</f>
        <v>3.5</v>
      </c>
      <c r="V23" s="8" t="n">
        <f aca="false">SUM(V24,V25,V26,V27,V28,V29,V30,V31,V32)</f>
        <v>0.5</v>
      </c>
      <c r="W23" s="8" t="n">
        <f aca="false">SUM(W24,W25,W26,W27,W28,W29,W30,W31,W32)</f>
        <v>0</v>
      </c>
      <c r="X23" s="8" t="n">
        <f aca="false">SUM(X24,X25,X26,X27,X28,X29,X30,X31,X32)</f>
        <v>15</v>
      </c>
      <c r="Y23" s="8" t="n">
        <f aca="false">SUM(Y24,Y25,Y26,Y27,Y28,Y29,Y30,Y31,Y32)</f>
        <v>28</v>
      </c>
      <c r="Z23" s="8" t="n">
        <f aca="false">SUM(Z24,Z25,Z26,Z27,Z28,Z29,Z30,Z31,Z32)</f>
        <v>43</v>
      </c>
      <c r="AA23" s="8" t="n">
        <f aca="false">SUM(AA24,AA25,AA26,AA27,AA28,AA29,AA30,AA31,AA32)</f>
        <v>38</v>
      </c>
      <c r="AB23" s="8" t="n">
        <f aca="false">SUM(AB24,AB25,AB26,AB27,AB28,AB29,AB30,AB31,AB32)</f>
        <v>42</v>
      </c>
      <c r="AC23" s="8" t="n">
        <f aca="false">SUM(AC24,AC25,AC26,AC27,AC28,AC29,AC30,AC31,AC32)</f>
        <v>55</v>
      </c>
      <c r="AD23" s="8" t="n">
        <f aca="false">SUM(AD24,AD25,AD26,AD27,AD28,AD29,AD30,AD31,AD32)</f>
        <v>55</v>
      </c>
      <c r="AE23" s="8" t="n">
        <f aca="false">SUM(AE24,AE25,AE26,AE27,AE28,AE29,AE30,AE31,AE32)</f>
        <v>35</v>
      </c>
      <c r="AF23" s="8" t="n">
        <f aca="false">SUM(AF24,AF25,AF26,AF27,AF28,AF29,AF30,AF31,AF32)</f>
        <v>12</v>
      </c>
      <c r="AG23" s="8" t="n">
        <f aca="false">SUM(AG24,AG25,AG26,AG27,AG28,AG29,AG30,AG31,AG32)</f>
        <v>23.5</v>
      </c>
      <c r="AH23" s="8" t="n">
        <f aca="false">SUM(AH24,AH25,AH26,AH27,AH28,AH29,AH30,AH31,AH32)</f>
        <v>23.5</v>
      </c>
      <c r="AI23" s="8" t="n">
        <f aca="false">SUM(AI24,AI25,AI26,AI27,AI28,AI29,AI30,AI31,AI32)</f>
        <v>24</v>
      </c>
      <c r="AJ23" s="8" t="n">
        <f aca="false">SUM(AJ24,AJ25,AJ26,AJ27,AJ28,AJ29,AJ30,AJ31,AJ32)</f>
        <v>24.8</v>
      </c>
      <c r="AK23" s="8" t="n">
        <f aca="false">SUM(AK24,AK25,AK26,AK27,AK28,AK29,AK30,AK31,AK32)</f>
        <v>19</v>
      </c>
      <c r="AL23" s="8" t="n">
        <f aca="false">SUM(AL24,AL25,AL26,AL27,AL28,AL29,AL30,AL31,AL32)</f>
        <v>25</v>
      </c>
      <c r="AM23" s="8" t="n">
        <f aca="false">SUM(AM24,AM25,AM26,AM27,AM28,AM29,AM30,AM31,AM32)</f>
        <v>18.5</v>
      </c>
      <c r="AN23" s="8" t="n">
        <f aca="false">SUM(AN24,AN25,AN26,AN27,AN28,AN29,AN30,AN31,AN32)</f>
        <v>17.8</v>
      </c>
      <c r="AO23" s="8" t="n">
        <f aca="false">SUM(AO24,AO25,AO26,AO27,AO28,AO29,AO30,AO31,AO32)</f>
        <v>15</v>
      </c>
      <c r="AP23" s="8" t="n">
        <f aca="false">SUM(AP24,AP25,AP26,AP27,AP28,AP29,AP30,AP31,AP32)</f>
        <v>5</v>
      </c>
      <c r="AQ23" s="8" t="n">
        <f aca="false">SUM(AQ24,AQ25,AQ26,AQ27,AQ28,AQ29,AQ30,AQ31,AQ32)</f>
        <v>0</v>
      </c>
      <c r="AR23" s="8" t="n">
        <f aca="false">SUM(AR24,AR25,AR26,AR27,AR28,AR29,AR30,AR31,AR32)</f>
        <v>0</v>
      </c>
      <c r="AS23" s="8" t="n">
        <f aca="false">SUM(AS24,AS25,AS26,AS27,AS28,AS29,AS30,AS31,AS32)</f>
        <v>0</v>
      </c>
    </row>
    <row r="24" customFormat="false" ht="15" hidden="true" customHeight="true" outlineLevel="1" collapsed="false">
      <c r="A24" s="1" t="s">
        <v>29</v>
      </c>
      <c r="B24" s="1" t="s">
        <v>16</v>
      </c>
      <c r="C24" s="1" t="s">
        <v>90</v>
      </c>
      <c r="D24" s="1" t="s">
        <v>141</v>
      </c>
      <c r="E24" s="1" t="s">
        <v>91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5</v>
      </c>
      <c r="N24" s="10" t="n">
        <v>5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12</v>
      </c>
      <c r="AG24" s="10" t="n">
        <v>22</v>
      </c>
      <c r="AH24" s="10" t="n">
        <v>17</v>
      </c>
      <c r="AI24" s="10" t="n">
        <v>22</v>
      </c>
      <c r="AJ24" s="10" t="n">
        <v>22</v>
      </c>
      <c r="AK24" s="10" t="n">
        <v>17</v>
      </c>
      <c r="AL24" s="10" t="n">
        <v>17</v>
      </c>
      <c r="AM24" s="10" t="n">
        <v>17</v>
      </c>
      <c r="AN24" s="10" t="n">
        <v>17</v>
      </c>
      <c r="AO24" s="10" t="n">
        <v>15</v>
      </c>
      <c r="AP24" s="10" t="n">
        <v>5</v>
      </c>
      <c r="AQ24" s="10" t="n">
        <v>0</v>
      </c>
      <c r="AR24" s="10" t="n">
        <v>0</v>
      </c>
      <c r="AS24" s="10" t="n">
        <v>0</v>
      </c>
    </row>
    <row r="25" customFormat="false" ht="15" hidden="true" customHeight="true" outlineLevel="1" collapsed="false">
      <c r="A25" s="1" t="s">
        <v>29</v>
      </c>
      <c r="B25" s="1" t="s">
        <v>16</v>
      </c>
      <c r="C25" s="1" t="s">
        <v>90</v>
      </c>
      <c r="D25" s="1" t="s">
        <v>141</v>
      </c>
      <c r="E25" s="1" t="s">
        <v>92</v>
      </c>
      <c r="F25" s="10" t="n">
        <v>10</v>
      </c>
      <c r="G25" s="10" t="n">
        <v>10</v>
      </c>
      <c r="H25" s="10" t="n">
        <v>10</v>
      </c>
      <c r="I25" s="10" t="n">
        <v>10</v>
      </c>
      <c r="J25" s="10" t="n">
        <v>10</v>
      </c>
      <c r="K25" s="10" t="n">
        <v>10.5</v>
      </c>
      <c r="L25" s="10" t="n">
        <v>20.5</v>
      </c>
      <c r="M25" s="10" t="n">
        <v>20.5</v>
      </c>
      <c r="N25" s="10" t="n">
        <v>20.5</v>
      </c>
      <c r="O25" s="10" t="n">
        <v>10.5</v>
      </c>
      <c r="P25" s="10" t="n">
        <v>10.5</v>
      </c>
      <c r="Q25" s="10" t="n">
        <v>10.5</v>
      </c>
      <c r="R25" s="10" t="n">
        <v>10.5</v>
      </c>
      <c r="S25" s="10" t="n">
        <v>0.5</v>
      </c>
      <c r="T25" s="10" t="n">
        <v>0.5</v>
      </c>
      <c r="U25" s="10" t="n">
        <v>3.5</v>
      </c>
      <c r="V25" s="10" t="n">
        <v>0.5</v>
      </c>
      <c r="W25" s="10" t="n">
        <v>0</v>
      </c>
      <c r="X25" s="10" t="n">
        <v>15</v>
      </c>
      <c r="Y25" s="10" t="n">
        <v>28</v>
      </c>
      <c r="Z25" s="10" t="n">
        <v>43</v>
      </c>
      <c r="AA25" s="10" t="n">
        <v>38</v>
      </c>
      <c r="AB25" s="10" t="n">
        <v>38</v>
      </c>
      <c r="AC25" s="10" t="n">
        <v>38</v>
      </c>
      <c r="AD25" s="10" t="n">
        <v>34.892982</v>
      </c>
      <c r="AE25" s="10" t="n">
        <v>35</v>
      </c>
      <c r="AF25" s="10" t="n">
        <v>0</v>
      </c>
      <c r="AG25" s="10" t="n">
        <v>1.5</v>
      </c>
      <c r="AH25" s="10" t="n">
        <v>6.5</v>
      </c>
      <c r="AI25" s="10" t="n">
        <v>2</v>
      </c>
      <c r="AJ25" s="10" t="n">
        <v>2.8</v>
      </c>
      <c r="AK25" s="10" t="n">
        <v>2</v>
      </c>
      <c r="AL25" s="10" t="n">
        <v>8</v>
      </c>
      <c r="AM25" s="10" t="n">
        <v>1.5</v>
      </c>
      <c r="AN25" s="10" t="n">
        <v>0.8</v>
      </c>
      <c r="AO25" s="10" t="n">
        <v>0</v>
      </c>
      <c r="AP25" s="10" t="n">
        <v>0</v>
      </c>
      <c r="AQ25" s="10" t="n">
        <v>0</v>
      </c>
      <c r="AR25" s="10" t="n">
        <v>0</v>
      </c>
      <c r="AS25" s="10" t="n">
        <v>0</v>
      </c>
    </row>
    <row r="26" customFormat="false" ht="15" hidden="true" customHeight="true" outlineLevel="1" collapsed="false">
      <c r="A26" s="1" t="s">
        <v>12</v>
      </c>
      <c r="B26" s="1" t="s">
        <v>16</v>
      </c>
      <c r="C26" s="1" t="s">
        <v>90</v>
      </c>
      <c r="D26" s="1" t="s">
        <v>141</v>
      </c>
      <c r="E26" s="1" t="s">
        <v>81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7.9</v>
      </c>
      <c r="AD26" s="10" t="n">
        <v>9.807018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</row>
    <row r="27" customFormat="false" ht="15" hidden="true" customHeight="true" outlineLevel="1" collapsed="false">
      <c r="A27" s="1" t="s">
        <v>12</v>
      </c>
      <c r="B27" s="1" t="s">
        <v>16</v>
      </c>
      <c r="C27" s="1" t="s">
        <v>90</v>
      </c>
      <c r="D27" s="1" t="s">
        <v>141</v>
      </c>
      <c r="E27" s="1" t="s">
        <v>94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3.59298200000001</v>
      </c>
      <c r="AD27" s="10" t="n">
        <v>4.2</v>
      </c>
      <c r="AE27" s="10" t="n">
        <v>0</v>
      </c>
      <c r="AF27" s="10" t="n">
        <v>0</v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0</v>
      </c>
    </row>
    <row r="28" customFormat="false" ht="15" hidden="true" customHeight="true" outlineLevel="1" collapsed="false">
      <c r="A28" s="1" t="s">
        <v>12</v>
      </c>
      <c r="B28" s="1" t="s">
        <v>16</v>
      </c>
      <c r="C28" s="1" t="s">
        <v>90</v>
      </c>
      <c r="D28" s="1" t="s">
        <v>141</v>
      </c>
      <c r="E28" s="1" t="s">
        <v>84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6</v>
      </c>
      <c r="N28" s="10" t="n">
        <v>7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</row>
    <row r="29" customFormat="false" ht="15" hidden="true" customHeight="true" outlineLevel="1" collapsed="false">
      <c r="A29" s="1" t="s">
        <v>12</v>
      </c>
      <c r="B29" s="1" t="s">
        <v>16</v>
      </c>
      <c r="C29" s="1" t="s">
        <v>90</v>
      </c>
      <c r="D29" s="1" t="s">
        <v>141</v>
      </c>
      <c r="E29" s="1" t="s">
        <v>97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4</v>
      </c>
      <c r="AD29" s="10" t="n">
        <v>4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</row>
    <row r="30" customFormat="false" ht="15" hidden="true" customHeight="true" outlineLevel="1" collapsed="false">
      <c r="A30" s="1" t="s">
        <v>12</v>
      </c>
      <c r="B30" s="1" t="s">
        <v>16</v>
      </c>
      <c r="C30" s="1" t="s">
        <v>90</v>
      </c>
      <c r="D30" s="1" t="s">
        <v>141</v>
      </c>
      <c r="E30" s="1" t="s">
        <v>99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2.1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</row>
    <row r="31" customFormat="false" ht="15" hidden="true" customHeight="true" outlineLevel="1" collapsed="false">
      <c r="A31" s="1" t="s">
        <v>12</v>
      </c>
      <c r="B31" s="1" t="s">
        <v>16</v>
      </c>
      <c r="C31" s="1" t="s">
        <v>90</v>
      </c>
      <c r="D31" s="1" t="s">
        <v>141</v>
      </c>
      <c r="E31" s="1" t="s">
        <v>43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10" t="n">
        <v>0</v>
      </c>
      <c r="AC31" s="10" t="n">
        <v>1.507018</v>
      </c>
      <c r="AD31" s="10" t="n">
        <v>0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0</v>
      </c>
    </row>
    <row r="32" customFormat="false" ht="15" hidden="true" customHeight="true" outlineLevel="1" collapsed="false">
      <c r="A32" s="1" t="s">
        <v>12</v>
      </c>
      <c r="B32" s="1" t="s">
        <v>16</v>
      </c>
      <c r="C32" s="1" t="s">
        <v>90</v>
      </c>
      <c r="D32" s="1" t="s">
        <v>141</v>
      </c>
      <c r="E32" s="1" t="s">
        <v>105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4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</row>
    <row r="33" customFormat="false" ht="15" hidden="false" customHeight="true" outlineLevel="0" collapsed="false">
      <c r="A33" s="4" t="s">
        <v>12</v>
      </c>
      <c r="B33" s="4" t="s">
        <v>16</v>
      </c>
      <c r="C33" s="4" t="s">
        <v>15</v>
      </c>
      <c r="D33" s="4" t="s">
        <v>76</v>
      </c>
      <c r="E33" s="4" t="s">
        <v>77</v>
      </c>
      <c r="F33" s="8" t="n">
        <f aca="false">SUM(F34,F35,F36,F37,F38,F39,F40,F41,F42,F43,F44,F45,F46,F47)</f>
        <v>39.203509</v>
      </c>
      <c r="G33" s="8" t="n">
        <f aca="false">SUM(G34,G35,G36,G37,G38,G39,G40,G41,G42,G43,G44,G45,G46,G47)</f>
        <v>16.203509</v>
      </c>
      <c r="H33" s="8" t="n">
        <f aca="false">SUM(H34,H35,H36,H37,H38,H39,H40,H41,H42,H43,H44,H45,H46,H47)</f>
        <v>7.403509</v>
      </c>
      <c r="I33" s="8" t="n">
        <f aca="false">SUM(I34,I35,I36,I37,I38,I39,I40,I41,I42,I43,I44,I45,I46,I47)</f>
        <v>7.403509</v>
      </c>
      <c r="J33" s="8" t="n">
        <f aca="false">SUM(J34,J35,J36,J37,J38,J39,J40,J41,J42,J43,J44,J45,J46,J47)</f>
        <v>5.403509</v>
      </c>
      <c r="K33" s="8" t="n">
        <f aca="false">SUM(K34,K35,K36,K37,K38,K39,K40,K41,K42,K43,K44,K45,K46,K47)</f>
        <v>12.603509</v>
      </c>
      <c r="L33" s="8" t="n">
        <f aca="false">SUM(L34,L35,L36,L37,L38,L39,L40,L41,L42,L43,L44,L45,L46,L47)</f>
        <v>12.903509</v>
      </c>
      <c r="M33" s="8" t="n">
        <f aca="false">SUM(M34,M35,M36,M37,M38,M39,M40,M41,M42,M43,M44,M45,M46,M47)</f>
        <v>26.057018</v>
      </c>
      <c r="N33" s="8" t="n">
        <f aca="false">SUM(N34,N35,N36,N37,N38,N39,N40,N41,N42,N43,N44,N45,N46,N47)</f>
        <v>21.841229</v>
      </c>
      <c r="O33" s="8" t="n">
        <f aca="false">SUM(O34,O35,O36,O37,O38,O39,O40,O41,O42,O43,O44,O45,O46,O47)</f>
        <v>12.503509</v>
      </c>
      <c r="P33" s="8" t="n">
        <f aca="false">SUM(P34,P35,P36,P37,P38,P39,P40,P41,P42,P43,P44,P45,P46,P47)</f>
        <v>21.003509</v>
      </c>
      <c r="Q33" s="8" t="n">
        <f aca="false">SUM(Q34,Q35,Q36,Q37,Q38,Q39,Q40,Q41,Q42,Q43,Q44,Q45,Q46,Q47)</f>
        <v>19.203509</v>
      </c>
      <c r="R33" s="8" t="n">
        <f aca="false">SUM(R34,R35,R36,R37,R38,R39,R40,R41,R42,R43,R44,R45,R46,R47)</f>
        <v>20.803509</v>
      </c>
      <c r="S33" s="8" t="n">
        <f aca="false">SUM(S34,S35,S36,S37,S38,S39,S40,S41,S42,S43,S44,S45,S46,S47)</f>
        <v>40</v>
      </c>
      <c r="T33" s="8" t="n">
        <f aca="false">SUM(T34,T35,T36,T37,T38,T39,T40,T41,T42,T43,T44,T45,T46,T47)</f>
        <v>34.503509</v>
      </c>
      <c r="U33" s="8" t="n">
        <f aca="false">SUM(U34,U35,U36,U37,U38,U39,U40,U41,U42,U43,U44,U45,U46,U47)</f>
        <v>40</v>
      </c>
      <c r="V33" s="8" t="n">
        <f aca="false">SUM(V34,V35,V36,V37,V38,V39,V40,V41,V42,V43,V44,V45,V46,V47)</f>
        <v>10.403509</v>
      </c>
      <c r="W33" s="8" t="n">
        <f aca="false">SUM(W34,W35,W36,W37,W38,W39,W40,W41,W42,W43,W44,W45,W46,W47)</f>
        <v>2.403509</v>
      </c>
      <c r="X33" s="8" t="n">
        <f aca="false">SUM(X34,X35,X36,X37,X38,X39,X40,X41,X42,X43,X44,X45,X46,X47)</f>
        <v>4.307018</v>
      </c>
      <c r="Y33" s="8" t="n">
        <f aca="false">SUM(Y34,Y35,Y36,Y37,Y38,Y39,Y40,Y41,Y42,Y43,Y44,Y45,Y46,Y47)</f>
        <v>13.810527</v>
      </c>
      <c r="Z33" s="8" t="n">
        <f aca="false">SUM(Z34,Z35,Z36,Z37,Z38,Z39,Z40,Z41,Z42,Z43,Z44,Z45,Z46,Z47)</f>
        <v>11.103509</v>
      </c>
      <c r="AA33" s="8" t="n">
        <f aca="false">SUM(AA34,AA35,AA36,AA37,AA38,AA39,AA40,AA41,AA42,AA43,AA44,AA45,AA46,AA47)</f>
        <v>27.903509</v>
      </c>
      <c r="AB33" s="8" t="n">
        <f aca="false">SUM(AB34,AB35,AB36,AB37,AB38,AB39,AB40,AB41,AB42,AB43,AB44,AB45,AB46,AB47)</f>
        <v>41.503509</v>
      </c>
      <c r="AC33" s="8" t="n">
        <f aca="false">SUM(AC34,AC35,AC36,AC37,AC38,AC39,AC40,AC41,AC42,AC43,AC44,AC45,AC46,AC47)</f>
        <v>55</v>
      </c>
      <c r="AD33" s="8" t="n">
        <f aca="false">SUM(AD34,AD35,AD36,AD37,AD38,AD39,AD40,AD41,AD42,AD43,AD44,AD45,AD46,AD47)</f>
        <v>55</v>
      </c>
      <c r="AE33" s="8" t="n">
        <f aca="false">SUM(AE34,AE35,AE36,AE37,AE38,AE39,AE40,AE41,AE42,AE43,AE44,AE45,AE46,AE47)</f>
        <v>32.903509</v>
      </c>
      <c r="AF33" s="8" t="n">
        <f aca="false">SUM(AF34,AF35,AF36,AF37,AF38,AF39,AF40,AF41,AF42,AF43,AF44,AF45,AF46,AF47)</f>
        <v>2.603509</v>
      </c>
      <c r="AG33" s="8" t="n">
        <f aca="false">SUM(AG34,AG35,AG36,AG37,AG38,AG39,AG40,AG41,AG42,AG43,AG44,AG45,AG46,AG47)</f>
        <v>1.403509</v>
      </c>
      <c r="AH33" s="8" t="n">
        <f aca="false">SUM(AH34,AH35,AH36,AH37,AH38,AH39,AH40,AH41,AH42,AH43,AH44,AH45,AH46,AH47)</f>
        <v>1.403509</v>
      </c>
      <c r="AI33" s="8" t="n">
        <f aca="false">SUM(AI34,AI35,AI36,AI37,AI38,AI39,AI40,AI41,AI42,AI43,AI44,AI45,AI46,AI47)</f>
        <v>1.403509</v>
      </c>
      <c r="AJ33" s="8" t="n">
        <f aca="false">SUM(AJ34,AJ35,AJ36,AJ37,AJ38,AJ39,AJ40,AJ41,AJ42,AJ43,AJ44,AJ45,AJ46,AJ47)</f>
        <v>1.403509</v>
      </c>
      <c r="AK33" s="8" t="n">
        <f aca="false">SUM(AK34,AK35,AK36,AK37,AK38,AK39,AK40,AK41,AK42,AK43,AK44,AK45,AK46,AK47)</f>
        <v>1.403509</v>
      </c>
      <c r="AL33" s="8" t="n">
        <f aca="false">SUM(AL34,AL35,AL36,AL37,AL38,AL39,AL40,AL41,AL42,AL43,AL44,AL45,AL46,AL47)</f>
        <v>1.403509</v>
      </c>
      <c r="AM33" s="8" t="n">
        <f aca="false">SUM(AM34,AM35,AM36,AM37,AM38,AM39,AM40,AM41,AM42,AM43,AM44,AM45,AM46,AM47)</f>
        <v>1.403509</v>
      </c>
      <c r="AN33" s="8" t="n">
        <f aca="false">SUM(AN34,AN35,AN36,AN37,AN38,AN39,AN40,AN41,AN42,AN43,AN44,AN45,AN46,AN47)</f>
        <v>1.403509</v>
      </c>
      <c r="AO33" s="8" t="n">
        <f aca="false">SUM(AO34,AO35,AO36,AO37,AO38,AO39,AO40,AO41,AO42,AO43,AO44,AO45,AO46,AO47)</f>
        <v>1.403509</v>
      </c>
      <c r="AP33" s="8" t="n">
        <f aca="false">SUM(AP34,AP35,AP36,AP37,AP38,AP39,AP40,AP41,AP42,AP43,AP44,AP45,AP46,AP47)</f>
        <v>1.403509</v>
      </c>
      <c r="AQ33" s="8" t="n">
        <f aca="false">SUM(AQ34,AQ35,AQ36,AQ37,AQ38,AQ39,AQ40,AQ41,AQ42,AQ43,AQ44,AQ45,AQ46,AQ47)</f>
        <v>0</v>
      </c>
      <c r="AR33" s="8" t="n">
        <f aca="false">SUM(AR34,AR35,AR36,AR37,AR38,AR39,AR40,AR41,AR42,AR43,AR44,AR45,AR46,AR47)</f>
        <v>0</v>
      </c>
      <c r="AS33" s="8" t="n">
        <f aca="false">SUM(AS34,AS35,AS36,AS37,AS38,AS39,AS40,AS41,AS42,AS43,AS44,AS45,AS46,AS47)</f>
        <v>0</v>
      </c>
    </row>
    <row r="34" customFormat="false" ht="15" hidden="true" customHeight="true" outlineLevel="1" collapsed="false">
      <c r="A34" s="1" t="s">
        <v>12</v>
      </c>
      <c r="B34" s="1" t="s">
        <v>16</v>
      </c>
      <c r="C34" s="1" t="s">
        <v>15</v>
      </c>
      <c r="D34" s="1" t="s">
        <v>141</v>
      </c>
      <c r="E34" s="1" t="s">
        <v>79</v>
      </c>
      <c r="F34" s="10" t="n">
        <v>1.903509</v>
      </c>
      <c r="G34" s="10" t="n">
        <v>1.403509</v>
      </c>
      <c r="H34" s="10" t="n">
        <v>1.403509</v>
      </c>
      <c r="I34" s="10" t="n">
        <v>1.403509</v>
      </c>
      <c r="J34" s="10" t="n">
        <v>1.403509</v>
      </c>
      <c r="K34" s="10" t="n">
        <v>1.403509</v>
      </c>
      <c r="L34" s="10" t="n">
        <v>1.403509</v>
      </c>
      <c r="M34" s="10" t="n">
        <v>2.807018</v>
      </c>
      <c r="N34" s="10" t="n">
        <v>2.807018</v>
      </c>
      <c r="O34" s="10" t="n">
        <v>1.403509</v>
      </c>
      <c r="P34" s="10" t="n">
        <v>1.403509</v>
      </c>
      <c r="Q34" s="10" t="n">
        <v>1.403509</v>
      </c>
      <c r="R34" s="10" t="n">
        <v>1.403509</v>
      </c>
      <c r="S34" s="10" t="n">
        <v>0</v>
      </c>
      <c r="T34" s="10" t="n">
        <v>1.403509</v>
      </c>
      <c r="U34" s="10" t="n">
        <v>0</v>
      </c>
      <c r="V34" s="10" t="n">
        <v>1.403509</v>
      </c>
      <c r="W34" s="10" t="n">
        <v>1.403509</v>
      </c>
      <c r="X34" s="10" t="n">
        <v>1.807018</v>
      </c>
      <c r="Y34" s="10" t="n">
        <v>4.210527</v>
      </c>
      <c r="Z34" s="10" t="n">
        <v>1.403509</v>
      </c>
      <c r="AA34" s="10" t="n">
        <v>1.403509</v>
      </c>
      <c r="AB34" s="10" t="n">
        <v>1.403509</v>
      </c>
      <c r="AC34" s="10" t="n">
        <v>0</v>
      </c>
      <c r="AD34" s="10" t="n">
        <v>0</v>
      </c>
      <c r="AE34" s="10" t="n">
        <v>1.403509</v>
      </c>
      <c r="AF34" s="10" t="n">
        <v>1.403509</v>
      </c>
      <c r="AG34" s="10" t="n">
        <v>1.403509</v>
      </c>
      <c r="AH34" s="10" t="n">
        <v>1.403509</v>
      </c>
      <c r="AI34" s="10" t="n">
        <v>1.403509</v>
      </c>
      <c r="AJ34" s="10" t="n">
        <v>1.403509</v>
      </c>
      <c r="AK34" s="10" t="n">
        <v>1.403509</v>
      </c>
      <c r="AL34" s="10" t="n">
        <v>1.403509</v>
      </c>
      <c r="AM34" s="10" t="n">
        <v>1.403509</v>
      </c>
      <c r="AN34" s="10" t="n">
        <v>1.403509</v>
      </c>
      <c r="AO34" s="10" t="n">
        <v>1.403509</v>
      </c>
      <c r="AP34" s="10" t="n">
        <v>1.403509</v>
      </c>
      <c r="AQ34" s="10" t="n">
        <v>0</v>
      </c>
      <c r="AR34" s="10" t="n">
        <v>0</v>
      </c>
      <c r="AS34" s="10" t="n">
        <v>0</v>
      </c>
    </row>
    <row r="35" customFormat="false" ht="15" hidden="true" customHeight="true" outlineLevel="1" collapsed="false">
      <c r="A35" s="1" t="s">
        <v>12</v>
      </c>
      <c r="B35" s="1" t="s">
        <v>16</v>
      </c>
      <c r="C35" s="1" t="s">
        <v>15</v>
      </c>
      <c r="D35" s="1" t="s">
        <v>141</v>
      </c>
      <c r="E35" s="1" t="s">
        <v>81</v>
      </c>
      <c r="F35" s="10" t="n">
        <v>1.3</v>
      </c>
      <c r="G35" s="10" t="n">
        <v>11.5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0.25</v>
      </c>
      <c r="N35" s="10" t="n">
        <v>2.25</v>
      </c>
      <c r="O35" s="10" t="n">
        <v>0</v>
      </c>
      <c r="P35" s="10" t="n">
        <v>2.3</v>
      </c>
      <c r="Q35" s="10" t="n">
        <v>1.9</v>
      </c>
      <c r="R35" s="10" t="n">
        <v>1</v>
      </c>
      <c r="S35" s="10" t="n">
        <v>8.8</v>
      </c>
      <c r="T35" s="10" t="n">
        <v>1.4</v>
      </c>
      <c r="U35" s="10" t="n">
        <v>0</v>
      </c>
      <c r="V35" s="10" t="n">
        <v>0</v>
      </c>
      <c r="W35" s="10" t="n">
        <v>0</v>
      </c>
      <c r="X35" s="10" t="n">
        <v>0.5</v>
      </c>
      <c r="Y35" s="10" t="n">
        <v>1.1</v>
      </c>
      <c r="Z35" s="10" t="n">
        <v>0</v>
      </c>
      <c r="AA35" s="10" t="n">
        <v>1.5</v>
      </c>
      <c r="AB35" s="10" t="n">
        <v>3.4</v>
      </c>
      <c r="AC35" s="10" t="n">
        <v>0</v>
      </c>
      <c r="AD35" s="10" t="n">
        <v>0</v>
      </c>
      <c r="AE35" s="10" t="n">
        <v>15.8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</row>
    <row r="36" customFormat="false" ht="15" hidden="true" customHeight="true" outlineLevel="1" collapsed="false">
      <c r="A36" s="1" t="s">
        <v>12</v>
      </c>
      <c r="B36" s="1" t="s">
        <v>16</v>
      </c>
      <c r="C36" s="1" t="s">
        <v>15</v>
      </c>
      <c r="D36" s="1" t="s">
        <v>141</v>
      </c>
      <c r="E36" s="1" t="s">
        <v>94</v>
      </c>
      <c r="F36" s="10" t="n">
        <v>0</v>
      </c>
      <c r="G36" s="10" t="n">
        <v>0.3</v>
      </c>
      <c r="H36" s="10" t="n">
        <v>0</v>
      </c>
      <c r="I36" s="10" t="n">
        <v>0</v>
      </c>
      <c r="J36" s="10" t="n">
        <v>0</v>
      </c>
      <c r="K36" s="10" t="n">
        <v>0.2</v>
      </c>
      <c r="L36" s="10" t="n">
        <v>0</v>
      </c>
      <c r="M36" s="10" t="n">
        <v>0</v>
      </c>
      <c r="N36" s="10" t="n">
        <v>1</v>
      </c>
      <c r="O36" s="10" t="n">
        <v>0</v>
      </c>
      <c r="P36" s="10" t="n">
        <v>0</v>
      </c>
      <c r="Q36" s="10" t="n">
        <v>2</v>
      </c>
      <c r="R36" s="10" t="n">
        <v>0</v>
      </c>
      <c r="S36" s="10" t="n">
        <v>1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1</v>
      </c>
      <c r="Z36" s="10" t="n">
        <v>5.2</v>
      </c>
      <c r="AA36" s="10" t="n">
        <v>8</v>
      </c>
      <c r="AB36" s="10" t="n">
        <v>8</v>
      </c>
      <c r="AC36" s="10" t="n">
        <v>1.29999999999999</v>
      </c>
      <c r="AD36" s="10" t="n">
        <v>9.8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</row>
    <row r="37" customFormat="false" ht="15" hidden="true" customHeight="true" outlineLevel="1" collapsed="false">
      <c r="A37" s="1" t="s">
        <v>12</v>
      </c>
      <c r="B37" s="1" t="s">
        <v>16</v>
      </c>
      <c r="C37" s="1" t="s">
        <v>15</v>
      </c>
      <c r="D37" s="1" t="s">
        <v>141</v>
      </c>
      <c r="E37" s="1" t="s">
        <v>95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6</v>
      </c>
      <c r="R37" s="10" t="n">
        <v>10</v>
      </c>
      <c r="S37" s="10" t="n">
        <v>12</v>
      </c>
      <c r="T37" s="10" t="n">
        <v>10</v>
      </c>
      <c r="U37" s="10" t="n">
        <v>21</v>
      </c>
      <c r="V37" s="10" t="n">
        <v>4</v>
      </c>
      <c r="W37" s="10" t="n">
        <v>1</v>
      </c>
      <c r="X37" s="10" t="n">
        <v>1</v>
      </c>
      <c r="Y37" s="10" t="n">
        <v>2.5</v>
      </c>
      <c r="Z37" s="10" t="n">
        <v>2.5</v>
      </c>
      <c r="AA37" s="10" t="n">
        <v>9</v>
      </c>
      <c r="AB37" s="10" t="n">
        <v>11.5</v>
      </c>
      <c r="AC37" s="10" t="n">
        <v>12</v>
      </c>
      <c r="AD37" s="10" t="n">
        <v>25</v>
      </c>
      <c r="AE37" s="10" t="n">
        <v>0</v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</row>
    <row r="38" customFormat="false" ht="15" hidden="true" customHeight="true" outlineLevel="1" collapsed="false">
      <c r="A38" s="1" t="s">
        <v>12</v>
      </c>
      <c r="B38" s="1" t="s">
        <v>16</v>
      </c>
      <c r="C38" s="1" t="s">
        <v>15</v>
      </c>
      <c r="D38" s="1" t="s">
        <v>141</v>
      </c>
      <c r="E38" s="1" t="s">
        <v>40</v>
      </c>
      <c r="F38" s="10" t="n">
        <v>7.9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1.8</v>
      </c>
      <c r="P38" s="10" t="n">
        <v>1.4</v>
      </c>
      <c r="Q38" s="10" t="n">
        <v>0</v>
      </c>
      <c r="R38" s="10" t="n">
        <v>6.4</v>
      </c>
      <c r="S38" s="10" t="n">
        <v>2.7</v>
      </c>
      <c r="T38" s="10" t="n">
        <v>0</v>
      </c>
      <c r="U38" s="10" t="n">
        <v>3.5</v>
      </c>
      <c r="V38" s="10" t="n">
        <v>5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6.9</v>
      </c>
      <c r="AC38" s="10" t="n">
        <v>0</v>
      </c>
      <c r="AD38" s="10" t="n">
        <v>0</v>
      </c>
      <c r="AE38" s="10" t="n">
        <v>1.2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</row>
    <row r="39" customFormat="false" ht="15" hidden="true" customHeight="true" outlineLevel="1" collapsed="false">
      <c r="A39" s="1" t="s">
        <v>12</v>
      </c>
      <c r="B39" s="1" t="s">
        <v>16</v>
      </c>
      <c r="C39" s="1" t="s">
        <v>15</v>
      </c>
      <c r="D39" s="1" t="s">
        <v>141</v>
      </c>
      <c r="E39" s="1" t="s">
        <v>96</v>
      </c>
      <c r="F39" s="10" t="n">
        <v>12</v>
      </c>
      <c r="G39" s="10" t="n">
        <v>1</v>
      </c>
      <c r="H39" s="10" t="n">
        <v>0</v>
      </c>
      <c r="I39" s="10" t="n">
        <v>0</v>
      </c>
      <c r="J39" s="10" t="n">
        <v>0</v>
      </c>
      <c r="K39" s="10" t="n">
        <v>11</v>
      </c>
      <c r="L39" s="10" t="n">
        <v>10.5</v>
      </c>
      <c r="M39" s="10" t="n">
        <v>11</v>
      </c>
      <c r="N39" s="10" t="n">
        <v>0</v>
      </c>
      <c r="O39" s="10" t="n">
        <v>0</v>
      </c>
      <c r="P39" s="10" t="n">
        <v>7.4</v>
      </c>
      <c r="Q39" s="10" t="n">
        <v>1</v>
      </c>
      <c r="R39" s="10" t="n">
        <v>0</v>
      </c>
      <c r="S39" s="10" t="n">
        <v>2</v>
      </c>
      <c r="T39" s="10" t="n">
        <v>14.5</v>
      </c>
      <c r="U39" s="10" t="n">
        <v>11.5</v>
      </c>
      <c r="V39" s="10" t="n">
        <v>0</v>
      </c>
      <c r="W39" s="10" t="n">
        <v>0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n">
        <v>0</v>
      </c>
      <c r="AC39" s="10" t="n">
        <v>15</v>
      </c>
      <c r="AD39" s="10" t="n">
        <v>20.2</v>
      </c>
      <c r="AE39" s="10" t="n">
        <v>0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v>0</v>
      </c>
      <c r="AR39" s="10" t="n">
        <v>0</v>
      </c>
      <c r="AS39" s="10" t="n">
        <v>0</v>
      </c>
    </row>
    <row r="40" customFormat="false" ht="15" hidden="true" customHeight="true" outlineLevel="1" collapsed="false">
      <c r="A40" s="1" t="s">
        <v>12</v>
      </c>
      <c r="B40" s="1" t="s">
        <v>16</v>
      </c>
      <c r="C40" s="1" t="s">
        <v>15</v>
      </c>
      <c r="D40" s="1" t="s">
        <v>141</v>
      </c>
      <c r="E40" s="1" t="s">
        <v>97</v>
      </c>
      <c r="F40" s="10" t="n">
        <v>6.5</v>
      </c>
      <c r="G40" s="10" t="n">
        <v>0</v>
      </c>
      <c r="H40" s="10" t="n">
        <v>4</v>
      </c>
      <c r="I40" s="10" t="n">
        <v>4</v>
      </c>
      <c r="J40" s="10" t="n">
        <v>4</v>
      </c>
      <c r="K40" s="10" t="n">
        <v>0</v>
      </c>
      <c r="L40" s="10" t="n">
        <v>0</v>
      </c>
      <c r="M40" s="10" t="n">
        <v>0</v>
      </c>
      <c r="N40" s="10" t="n">
        <v>4</v>
      </c>
      <c r="O40" s="10" t="n">
        <v>5</v>
      </c>
      <c r="P40" s="10" t="n">
        <v>5</v>
      </c>
      <c r="Q40" s="10" t="n">
        <v>5</v>
      </c>
      <c r="R40" s="10" t="n">
        <v>0</v>
      </c>
      <c r="S40" s="10" t="n">
        <v>5</v>
      </c>
      <c r="T40" s="10" t="n">
        <v>4</v>
      </c>
      <c r="U40" s="10" t="n">
        <v>4</v>
      </c>
      <c r="V40" s="10" t="n">
        <v>0</v>
      </c>
      <c r="W40" s="10" t="n">
        <v>0</v>
      </c>
      <c r="X40" s="10" t="n">
        <v>0</v>
      </c>
      <c r="Y40" s="10" t="n">
        <v>2</v>
      </c>
      <c r="Z40" s="10" t="n">
        <v>2</v>
      </c>
      <c r="AA40" s="10" t="n">
        <v>4</v>
      </c>
      <c r="AB40" s="10" t="n">
        <v>4</v>
      </c>
      <c r="AC40" s="10" t="n">
        <v>0</v>
      </c>
      <c r="AD40" s="10" t="n">
        <v>0</v>
      </c>
      <c r="AE40" s="10" t="n">
        <v>4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</row>
    <row r="41" customFormat="false" ht="15" hidden="true" customHeight="true" outlineLevel="1" collapsed="false">
      <c r="A41" s="1" t="s">
        <v>12</v>
      </c>
      <c r="B41" s="1" t="s">
        <v>16</v>
      </c>
      <c r="C41" s="1" t="s">
        <v>15</v>
      </c>
      <c r="D41" s="1" t="s">
        <v>141</v>
      </c>
      <c r="E41" s="1" t="s">
        <v>103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10</v>
      </c>
      <c r="N41" s="10" t="n">
        <v>6.85438600000001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</row>
    <row r="42" customFormat="false" ht="15" hidden="true" customHeight="true" outlineLevel="1" collapsed="false">
      <c r="A42" s="1" t="s">
        <v>12</v>
      </c>
      <c r="B42" s="1" t="s">
        <v>16</v>
      </c>
      <c r="C42" s="1" t="s">
        <v>15</v>
      </c>
      <c r="D42" s="1" t="s">
        <v>141</v>
      </c>
      <c r="E42" s="1" t="s">
        <v>98</v>
      </c>
      <c r="F42" s="10" t="n">
        <v>0</v>
      </c>
      <c r="G42" s="10" t="n">
        <v>2</v>
      </c>
      <c r="H42" s="10" t="n">
        <v>2</v>
      </c>
      <c r="I42" s="10" t="n">
        <v>2</v>
      </c>
      <c r="J42" s="10" t="n">
        <v>0</v>
      </c>
      <c r="K42" s="10" t="n">
        <v>0</v>
      </c>
      <c r="L42" s="10" t="n">
        <v>1</v>
      </c>
      <c r="M42" s="10" t="n">
        <v>0</v>
      </c>
      <c r="N42" s="10" t="n">
        <v>0</v>
      </c>
      <c r="O42" s="10" t="n">
        <v>1</v>
      </c>
      <c r="P42" s="10" t="n">
        <v>1</v>
      </c>
      <c r="Q42" s="10" t="n">
        <v>1</v>
      </c>
      <c r="R42" s="10" t="n">
        <v>0</v>
      </c>
      <c r="S42" s="10" t="n">
        <v>0</v>
      </c>
      <c r="T42" s="10" t="n">
        <v>1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0</v>
      </c>
    </row>
    <row r="43" customFormat="false" ht="15" hidden="true" customHeight="true" outlineLevel="1" collapsed="false">
      <c r="A43" s="1" t="s">
        <v>12</v>
      </c>
      <c r="B43" s="1" t="s">
        <v>16</v>
      </c>
      <c r="C43" s="1" t="s">
        <v>15</v>
      </c>
      <c r="D43" s="1" t="s">
        <v>141</v>
      </c>
      <c r="E43" s="1" t="s">
        <v>99</v>
      </c>
      <c r="F43" s="10" t="n">
        <v>2.4</v>
      </c>
      <c r="G43" s="10" t="n">
        <v>0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2</v>
      </c>
      <c r="N43" s="10" t="n">
        <v>0</v>
      </c>
      <c r="O43" s="10" t="n">
        <v>1.4</v>
      </c>
      <c r="P43" s="10" t="n">
        <v>1.2</v>
      </c>
      <c r="Q43" s="10" t="n">
        <v>0</v>
      </c>
      <c r="R43" s="10" t="n">
        <v>2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1</v>
      </c>
      <c r="Y43" s="10" t="n">
        <v>3</v>
      </c>
      <c r="Z43" s="10" t="n">
        <v>0</v>
      </c>
      <c r="AA43" s="10" t="n">
        <v>0</v>
      </c>
      <c r="AB43" s="10" t="n">
        <v>2</v>
      </c>
      <c r="AC43" s="10" t="n">
        <v>16.7</v>
      </c>
      <c r="AD43" s="10" t="n">
        <v>0</v>
      </c>
      <c r="AE43" s="10" t="n">
        <v>1.2</v>
      </c>
      <c r="AF43" s="10" t="n">
        <v>0</v>
      </c>
      <c r="AG43" s="10" t="n">
        <v>0</v>
      </c>
      <c r="AH43" s="10" t="n">
        <v>0</v>
      </c>
      <c r="AI43" s="10" t="n">
        <v>0</v>
      </c>
      <c r="AJ43" s="10" t="n">
        <v>0</v>
      </c>
      <c r="AK43" s="10" t="n">
        <v>0</v>
      </c>
      <c r="AL43" s="10" t="n">
        <v>0</v>
      </c>
      <c r="AM43" s="10" t="n">
        <v>0</v>
      </c>
      <c r="AN43" s="10" t="n">
        <v>0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0</v>
      </c>
    </row>
    <row r="44" customFormat="false" ht="15" hidden="true" customHeight="true" outlineLevel="1" collapsed="false">
      <c r="A44" s="1" t="s">
        <v>12</v>
      </c>
      <c r="B44" s="1" t="s">
        <v>16</v>
      </c>
      <c r="C44" s="1" t="s">
        <v>15</v>
      </c>
      <c r="D44" s="1" t="s">
        <v>141</v>
      </c>
      <c r="E44" s="1" t="s">
        <v>43</v>
      </c>
      <c r="F44" s="10" t="n">
        <v>3.6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1.3</v>
      </c>
      <c r="Q44" s="10" t="n">
        <v>0.9</v>
      </c>
      <c r="R44" s="10" t="n">
        <v>0</v>
      </c>
      <c r="S44" s="10" t="n">
        <v>4</v>
      </c>
      <c r="T44" s="10" t="n">
        <v>2.2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9.3</v>
      </c>
      <c r="AF44" s="10" t="n">
        <v>1.2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</row>
    <row r="45" customFormat="false" ht="15" hidden="true" customHeight="true" outlineLevel="1" collapsed="false">
      <c r="A45" s="1" t="s">
        <v>12</v>
      </c>
      <c r="B45" s="1" t="s">
        <v>16</v>
      </c>
      <c r="C45" s="1" t="s">
        <v>15</v>
      </c>
      <c r="D45" s="1" t="s">
        <v>141</v>
      </c>
      <c r="E45" s="1" t="s">
        <v>100</v>
      </c>
      <c r="F45" s="10" t="n">
        <v>3.6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1.9</v>
      </c>
      <c r="P45" s="10" t="n">
        <v>0</v>
      </c>
      <c r="Q45" s="10" t="n">
        <v>0</v>
      </c>
      <c r="R45" s="10" t="n">
        <v>0</v>
      </c>
      <c r="S45" s="10" t="n">
        <v>4.5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4.3</v>
      </c>
      <c r="AC45" s="10" t="n">
        <v>10</v>
      </c>
      <c r="AD45" s="10" t="n">
        <v>0</v>
      </c>
      <c r="AE45" s="10" t="n">
        <v>0</v>
      </c>
      <c r="AF45" s="10" t="n">
        <v>0</v>
      </c>
      <c r="AG45" s="10" t="n">
        <v>0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10" t="n">
        <v>0</v>
      </c>
      <c r="AP45" s="10" t="n">
        <v>0</v>
      </c>
      <c r="AQ45" s="10" t="n">
        <v>0</v>
      </c>
      <c r="AR45" s="10" t="n">
        <v>0</v>
      </c>
      <c r="AS45" s="10" t="n">
        <v>0</v>
      </c>
    </row>
    <row r="46" customFormat="false" ht="15" hidden="true" customHeight="true" outlineLevel="1" collapsed="false">
      <c r="A46" s="1" t="s">
        <v>12</v>
      </c>
      <c r="B46" s="1" t="s">
        <v>16</v>
      </c>
      <c r="C46" s="1" t="s">
        <v>15</v>
      </c>
      <c r="D46" s="1" t="s">
        <v>141</v>
      </c>
      <c r="E46" s="1" t="s">
        <v>88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4.929825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</row>
    <row r="47" customFormat="false" ht="15" hidden="true" customHeight="true" outlineLevel="1" collapsed="false">
      <c r="A47" s="1" t="s">
        <v>12</v>
      </c>
      <c r="B47" s="1" t="s">
        <v>16</v>
      </c>
      <c r="C47" s="1" t="s">
        <v>15</v>
      </c>
      <c r="D47" s="1" t="s">
        <v>141</v>
      </c>
      <c r="E47" s="1" t="s">
        <v>105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4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</row>
    <row r="48" customFormat="false" ht="15" hidden="false" customHeight="true" outlineLevel="0" collapsed="false">
      <c r="A48" s="4" t="s">
        <v>12</v>
      </c>
      <c r="B48" s="4" t="s">
        <v>16</v>
      </c>
      <c r="C48" s="4" t="s">
        <v>101</v>
      </c>
      <c r="D48" s="4" t="s">
        <v>76</v>
      </c>
      <c r="E48" s="4" t="s">
        <v>77</v>
      </c>
      <c r="F48" s="8" t="n">
        <f aca="false">SUM(F49,F50,F51)</f>
        <v>3</v>
      </c>
      <c r="G48" s="8" t="n">
        <f aca="false">SUM(G49,G50,G51)</f>
        <v>6</v>
      </c>
      <c r="H48" s="8" t="n">
        <f aca="false">SUM(H49,H50,H51)</f>
        <v>8</v>
      </c>
      <c r="I48" s="8" t="n">
        <f aca="false">SUM(I49,I50,I51)</f>
        <v>8</v>
      </c>
      <c r="J48" s="8" t="n">
        <f aca="false">SUM(J49,J50,J51)</f>
        <v>5</v>
      </c>
      <c r="K48" s="8" t="n">
        <f aca="false">SUM(K49,K50,K51)</f>
        <v>2</v>
      </c>
      <c r="L48" s="8" t="n">
        <f aca="false">SUM(L49,L50,L51)</f>
        <v>2</v>
      </c>
      <c r="M48" s="8" t="n">
        <f aca="false">SUM(M49,M50,M51)</f>
        <v>4</v>
      </c>
      <c r="N48" s="8" t="n">
        <f aca="false">SUM(N49,N50,N51)</f>
        <v>4</v>
      </c>
      <c r="O48" s="8" t="n">
        <f aca="false">SUM(O49,O50,O51)</f>
        <v>4</v>
      </c>
      <c r="P48" s="8" t="n">
        <f aca="false">SUM(P49,P50,P51)</f>
        <v>7</v>
      </c>
      <c r="Q48" s="8" t="n">
        <f aca="false">SUM(Q49,Q50,Q51)</f>
        <v>5</v>
      </c>
      <c r="R48" s="8" t="n">
        <f aca="false">SUM(R49,R50,R51)</f>
        <v>4</v>
      </c>
      <c r="S48" s="8" t="n">
        <f aca="false">SUM(S49,S50,S51)</f>
        <v>2</v>
      </c>
      <c r="T48" s="8" t="n">
        <f aca="false">SUM(T49,T50,T51)</f>
        <v>3</v>
      </c>
      <c r="U48" s="8" t="n">
        <f aca="false">SUM(U49,U50,U51)</f>
        <v>5</v>
      </c>
      <c r="V48" s="8" t="n">
        <f aca="false">SUM(V49,V50,V51)</f>
        <v>0</v>
      </c>
      <c r="W48" s="8" t="n">
        <f aca="false">SUM(W49,W50,W51)</f>
        <v>0</v>
      </c>
      <c r="X48" s="8" t="n">
        <f aca="false">SUM(X49,X50,X51)</f>
        <v>10</v>
      </c>
      <c r="Y48" s="8" t="n">
        <f aca="false">SUM(Y49,Y50,Y51)</f>
        <v>10</v>
      </c>
      <c r="Z48" s="8" t="n">
        <f aca="false">SUM(Z49,Z50,Z51)</f>
        <v>17</v>
      </c>
      <c r="AA48" s="8" t="n">
        <f aca="false">SUM(AA49,AA50,AA51)</f>
        <v>25</v>
      </c>
      <c r="AB48" s="8" t="n">
        <f aca="false">SUM(AB49,AB50,AB51)</f>
        <v>30</v>
      </c>
      <c r="AC48" s="8" t="n">
        <f aca="false">SUM(AC49,AC50,AC51)</f>
        <v>30</v>
      </c>
      <c r="AD48" s="8" t="n">
        <f aca="false">SUM(AD49,AD50,AD51)</f>
        <v>30</v>
      </c>
      <c r="AE48" s="8" t="n">
        <f aca="false">SUM(AE49,AE50,AE51)</f>
        <v>10</v>
      </c>
      <c r="AF48" s="8" t="n">
        <f aca="false">SUM(AF49,AF50,AF51)</f>
        <v>0</v>
      </c>
      <c r="AG48" s="8" t="n">
        <f aca="false">SUM(AG49,AG50,AG51)</f>
        <v>0</v>
      </c>
      <c r="AH48" s="8" t="n">
        <f aca="false">SUM(AH49,AH50,AH51)</f>
        <v>0</v>
      </c>
      <c r="AI48" s="8" t="n">
        <f aca="false">SUM(AI49,AI50,AI51)</f>
        <v>0</v>
      </c>
      <c r="AJ48" s="8" t="n">
        <f aca="false">SUM(AJ49,AJ50,AJ51)</f>
        <v>0</v>
      </c>
      <c r="AK48" s="8" t="n">
        <f aca="false">SUM(AK49,AK50,AK51)</f>
        <v>0</v>
      </c>
      <c r="AL48" s="8" t="n">
        <f aca="false">SUM(AL49,AL50,AL51)</f>
        <v>0</v>
      </c>
      <c r="AM48" s="8" t="n">
        <f aca="false">SUM(AM49,AM50,AM51)</f>
        <v>0</v>
      </c>
      <c r="AN48" s="8" t="n">
        <f aca="false">SUM(AN49,AN50,AN51)</f>
        <v>0</v>
      </c>
      <c r="AO48" s="8" t="n">
        <f aca="false">SUM(AO49,AO50,AO51)</f>
        <v>0</v>
      </c>
      <c r="AP48" s="8" t="n">
        <f aca="false">SUM(AP49,AP50,AP51)</f>
        <v>0</v>
      </c>
      <c r="AQ48" s="8" t="n">
        <f aca="false">SUM(AQ49,AQ50,AQ51)</f>
        <v>0</v>
      </c>
      <c r="AR48" s="8" t="n">
        <f aca="false">SUM(AR49,AR50,AR51)</f>
        <v>0</v>
      </c>
      <c r="AS48" s="8" t="n">
        <f aca="false">SUM(AS49,AS50,AS51)</f>
        <v>0</v>
      </c>
    </row>
    <row r="49" customFormat="false" ht="15" hidden="true" customHeight="true" outlineLevel="1" collapsed="false">
      <c r="A49" s="1" t="s">
        <v>12</v>
      </c>
      <c r="B49" s="1" t="s">
        <v>16</v>
      </c>
      <c r="C49" s="1" t="s">
        <v>101</v>
      </c>
      <c r="D49" s="1" t="s">
        <v>141</v>
      </c>
      <c r="E49" s="1" t="s">
        <v>79</v>
      </c>
      <c r="F49" s="10" t="n">
        <v>3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</row>
    <row r="50" customFormat="false" ht="15" hidden="true" customHeight="true" outlineLevel="1" collapsed="false">
      <c r="A50" s="1" t="s">
        <v>12</v>
      </c>
      <c r="B50" s="1" t="s">
        <v>16</v>
      </c>
      <c r="C50" s="1" t="s">
        <v>101</v>
      </c>
      <c r="D50" s="1" t="s">
        <v>141</v>
      </c>
      <c r="E50" s="1" t="s">
        <v>102</v>
      </c>
      <c r="F50" s="10" t="n">
        <v>0</v>
      </c>
      <c r="G50" s="10" t="n">
        <v>6</v>
      </c>
      <c r="H50" s="10" t="n">
        <v>8</v>
      </c>
      <c r="I50" s="10" t="n">
        <v>8</v>
      </c>
      <c r="J50" s="10" t="n">
        <v>5</v>
      </c>
      <c r="K50" s="10" t="n">
        <v>2</v>
      </c>
      <c r="L50" s="10" t="n">
        <v>2</v>
      </c>
      <c r="M50" s="10" t="n">
        <v>4</v>
      </c>
      <c r="N50" s="10" t="n">
        <v>4</v>
      </c>
      <c r="O50" s="10" t="n">
        <v>4</v>
      </c>
      <c r="P50" s="10" t="n">
        <v>7</v>
      </c>
      <c r="Q50" s="10" t="n">
        <v>5</v>
      </c>
      <c r="R50" s="10" t="n">
        <v>4</v>
      </c>
      <c r="S50" s="10" t="n">
        <v>2</v>
      </c>
      <c r="T50" s="10" t="n">
        <v>3</v>
      </c>
      <c r="U50" s="10" t="n">
        <v>5</v>
      </c>
      <c r="V50" s="10" t="n">
        <v>0</v>
      </c>
      <c r="W50" s="10" t="n">
        <v>0</v>
      </c>
      <c r="X50" s="10" t="n">
        <v>10</v>
      </c>
      <c r="Y50" s="10" t="n">
        <v>10</v>
      </c>
      <c r="Z50" s="10" t="n">
        <v>12</v>
      </c>
      <c r="AA50" s="10" t="n">
        <v>15</v>
      </c>
      <c r="AB50" s="10" t="n">
        <v>20</v>
      </c>
      <c r="AC50" s="10" t="n">
        <v>20</v>
      </c>
      <c r="AD50" s="10" t="n">
        <v>15</v>
      </c>
      <c r="AE50" s="10" t="n">
        <v>10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</row>
    <row r="51" customFormat="false" ht="15" hidden="true" customHeight="true" outlineLevel="1" collapsed="false">
      <c r="A51" s="1" t="s">
        <v>12</v>
      </c>
      <c r="B51" s="1" t="s">
        <v>16</v>
      </c>
      <c r="C51" s="1" t="s">
        <v>101</v>
      </c>
      <c r="D51" s="1" t="s">
        <v>141</v>
      </c>
      <c r="E51" s="1" t="s">
        <v>103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5</v>
      </c>
      <c r="AA51" s="10" t="n">
        <v>10</v>
      </c>
      <c r="AB51" s="10" t="n">
        <v>10</v>
      </c>
      <c r="AC51" s="10" t="n">
        <v>10</v>
      </c>
      <c r="AD51" s="10" t="n">
        <v>15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</row>
    <row r="52" customFormat="false" ht="15" hidden="false" customHeight="true" outlineLevel="0" collapsed="false">
      <c r="A52" s="4" t="s">
        <v>89</v>
      </c>
      <c r="B52" s="4" t="s">
        <v>16</v>
      </c>
      <c r="C52" s="4" t="s">
        <v>18</v>
      </c>
      <c r="D52" s="4" t="s">
        <v>76</v>
      </c>
      <c r="E52" s="4" t="s">
        <v>77</v>
      </c>
      <c r="F52" s="8" t="n">
        <f aca="false">SUM(F53,F54,F55,F56,F57,F58,F59,F60)</f>
        <v>28.653509</v>
      </c>
      <c r="G52" s="8" t="n">
        <f aca="false">SUM(G53,G54,G55,G56,G57,G58,G59,G60)</f>
        <v>29.653509</v>
      </c>
      <c r="H52" s="8" t="n">
        <f aca="false">SUM(H53,H54,H55,H56,H57,H58,H59,H60)</f>
        <v>23.653509</v>
      </c>
      <c r="I52" s="8" t="n">
        <f aca="false">SUM(I53,I54,I55,I56,I57,I58,I59,I60)</f>
        <v>12.653509</v>
      </c>
      <c r="J52" s="8" t="n">
        <f aca="false">SUM(J53,J54,J55,J56,J57,J58,J59,J60)</f>
        <v>12.653509</v>
      </c>
      <c r="K52" s="8" t="n">
        <f aca="false">SUM(K53,K54,K55,K56,K57,K58,K59,K60)</f>
        <v>17.653509</v>
      </c>
      <c r="L52" s="8" t="n">
        <f aca="false">SUM(L53,L54,L55,L56,L57,L58,L59,L60)</f>
        <v>39.653509</v>
      </c>
      <c r="M52" s="8" t="n">
        <f aca="false">SUM(M53,M54,M55,M56,M57,M58,M59,M60)</f>
        <v>40</v>
      </c>
      <c r="N52" s="8" t="n">
        <f aca="false">SUM(N53,N54,N55,N56,N57,N58,N59,N60)</f>
        <v>40</v>
      </c>
      <c r="O52" s="8" t="n">
        <f aca="false">SUM(O53,O54,O55,O56,O57,O58,O59,O60)</f>
        <v>40</v>
      </c>
      <c r="P52" s="8" t="n">
        <f aca="false">SUM(P53,P54,P55,P56,P57,P58,P59,P60)</f>
        <v>32.653509</v>
      </c>
      <c r="Q52" s="8" t="n">
        <f aca="false">SUM(Q53,Q54,Q55,Q56,Q57,Q58,Q59,Q60)</f>
        <v>40</v>
      </c>
      <c r="R52" s="8" t="n">
        <f aca="false">SUM(R53,R54,R55,R56,R57,R58,R59,R60)</f>
        <v>39.653509</v>
      </c>
      <c r="S52" s="8" t="n">
        <f aca="false">SUM(S53,S54,S55,S56,S57,S58,S59,S60)</f>
        <v>17.153509</v>
      </c>
      <c r="T52" s="8" t="n">
        <f aca="false">SUM(T53,T54,T55,T56,T57,T58,T59,T60)</f>
        <v>2.653509</v>
      </c>
      <c r="U52" s="8" t="n">
        <f aca="false">SUM(U53,U54,U55,U56,U57,U58,U59,U60)</f>
        <v>11.653509</v>
      </c>
      <c r="V52" s="8" t="n">
        <f aca="false">SUM(V53,V54,V55,V56,V57,V58,V59,V60)</f>
        <v>2.653509</v>
      </c>
      <c r="W52" s="8" t="n">
        <f aca="false">SUM(W53,W54,W55,W56,W57,W58,W59,W60)</f>
        <v>1.653509</v>
      </c>
      <c r="X52" s="8" t="n">
        <f aca="false">SUM(X53,X54,X55,X56,X57,X58,X59,X60)</f>
        <v>55</v>
      </c>
      <c r="Y52" s="8" t="n">
        <f aca="false">SUM(Y53,Y54,Y55,Y56,Y57,Y58,Y59,Y60)</f>
        <v>55</v>
      </c>
      <c r="Z52" s="8" t="n">
        <f aca="false">SUM(Z53,Z54,Z55,Z56,Z57,Z58,Z59,Z60)</f>
        <v>50.903509</v>
      </c>
      <c r="AA52" s="8" t="n">
        <f aca="false">SUM(AA53,AA54,AA55,AA56,AA57,AA58,AA59,AA60)</f>
        <v>55</v>
      </c>
      <c r="AB52" s="8" t="n">
        <f aca="false">SUM(AB53,AB54,AB55,AB56,AB57,AB58,AB59,AB60)</f>
        <v>55</v>
      </c>
      <c r="AC52" s="8" t="n">
        <f aca="false">SUM(AC53,AC54,AC55,AC56,AC57,AC58,AC59,AC60)</f>
        <v>55</v>
      </c>
      <c r="AD52" s="8" t="n">
        <f aca="false">SUM(AD53,AD54,AD55,AD56,AD57,AD58,AD59,AD60)</f>
        <v>55</v>
      </c>
      <c r="AE52" s="8" t="n">
        <f aca="false">SUM(AE53,AE54,AE55,AE56,AE57,AE58,AE59,AE60)</f>
        <v>39.103509</v>
      </c>
      <c r="AF52" s="8" t="n">
        <f aca="false">SUM(AF53,AF54,AF55,AF56,AF57,AF58,AF59,AF60)</f>
        <v>11.403509</v>
      </c>
      <c r="AG52" s="8" t="n">
        <f aca="false">SUM(AG53,AG54,AG55,AG56,AG57,AG58,AG59,AG60)</f>
        <v>21.403509</v>
      </c>
      <c r="AH52" s="8" t="n">
        <f aca="false">SUM(AH53,AH54,AH55,AH56,AH57,AH58,AH59,AH60)</f>
        <v>16.403509</v>
      </c>
      <c r="AI52" s="8" t="n">
        <f aca="false">SUM(AI53,AI54,AI55,AI56,AI57,AI58,AI59,AI60)</f>
        <v>21.403509</v>
      </c>
      <c r="AJ52" s="8" t="n">
        <f aca="false">SUM(AJ53,AJ54,AJ55,AJ56,AJ57,AJ58,AJ59,AJ60)</f>
        <v>21.403509</v>
      </c>
      <c r="AK52" s="8" t="n">
        <f aca="false">SUM(AK53,AK54,AK55,AK56,AK57,AK58,AK59,AK60)</f>
        <v>16.403509</v>
      </c>
      <c r="AL52" s="8" t="n">
        <f aca="false">SUM(AL53,AL54,AL55,AL56,AL57,AL58,AL59,AL60)</f>
        <v>16.403509</v>
      </c>
      <c r="AM52" s="8" t="n">
        <f aca="false">SUM(AM53,AM54,AM55,AM56,AM57,AM58,AM59,AM60)</f>
        <v>16.403509</v>
      </c>
      <c r="AN52" s="8" t="n">
        <f aca="false">SUM(AN53,AN54,AN55,AN56,AN57,AN58,AN59,AN60)</f>
        <v>16.403509</v>
      </c>
      <c r="AO52" s="8" t="n">
        <f aca="false">SUM(AO53,AO54,AO55,AO56,AO57,AO58,AO59,AO60)</f>
        <v>16.403509</v>
      </c>
      <c r="AP52" s="8" t="n">
        <f aca="false">SUM(AP53,AP54,AP55,AP56,AP57,AP58,AP59,AP60)</f>
        <v>6.403509</v>
      </c>
      <c r="AQ52" s="8" t="n">
        <f aca="false">SUM(AQ53,AQ54,AQ55,AQ56,AQ57,AQ58,AQ59,AQ60)</f>
        <v>0</v>
      </c>
      <c r="AR52" s="8" t="n">
        <f aca="false">SUM(AR53,AR54,AR55,AR56,AR57,AR58,AR59,AR60)</f>
        <v>0</v>
      </c>
      <c r="AS52" s="8" t="n">
        <f aca="false">SUM(AS53,AS54,AS55,AS56,AS57,AS58,AS59,AS60)</f>
        <v>0</v>
      </c>
    </row>
    <row r="53" customFormat="false" ht="15" hidden="true" customHeight="true" outlineLevel="1" collapsed="false">
      <c r="A53" s="1" t="s">
        <v>29</v>
      </c>
      <c r="B53" s="1" t="s">
        <v>16</v>
      </c>
      <c r="C53" s="1" t="s">
        <v>18</v>
      </c>
      <c r="D53" s="1" t="s">
        <v>141</v>
      </c>
      <c r="E53" s="1" t="s">
        <v>91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5</v>
      </c>
      <c r="L53" s="10" t="n">
        <v>5</v>
      </c>
      <c r="M53" s="10" t="n">
        <v>10</v>
      </c>
      <c r="N53" s="10" t="n">
        <v>10</v>
      </c>
      <c r="O53" s="10" t="n">
        <v>5</v>
      </c>
      <c r="P53" s="10" t="n">
        <v>5</v>
      </c>
      <c r="Q53" s="10" t="n">
        <v>5</v>
      </c>
      <c r="R53" s="10" t="n">
        <v>5</v>
      </c>
      <c r="S53" s="10" t="n">
        <v>5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10</v>
      </c>
      <c r="AG53" s="10" t="n">
        <v>20</v>
      </c>
      <c r="AH53" s="10" t="n">
        <v>15</v>
      </c>
      <c r="AI53" s="10" t="n">
        <v>20</v>
      </c>
      <c r="AJ53" s="10" t="n">
        <v>20</v>
      </c>
      <c r="AK53" s="10" t="n">
        <v>15</v>
      </c>
      <c r="AL53" s="10" t="n">
        <v>15</v>
      </c>
      <c r="AM53" s="10" t="n">
        <v>15</v>
      </c>
      <c r="AN53" s="10" t="n">
        <v>15</v>
      </c>
      <c r="AO53" s="10" t="n">
        <v>15</v>
      </c>
      <c r="AP53" s="10" t="n">
        <v>5</v>
      </c>
      <c r="AQ53" s="10" t="n">
        <v>0</v>
      </c>
      <c r="AR53" s="10" t="n">
        <v>0</v>
      </c>
      <c r="AS53" s="10" t="n">
        <v>0</v>
      </c>
    </row>
    <row r="54" customFormat="false" ht="15" hidden="true" customHeight="true" outlineLevel="1" collapsed="false">
      <c r="A54" s="1" t="s">
        <v>29</v>
      </c>
      <c r="B54" s="1" t="s">
        <v>16</v>
      </c>
      <c r="C54" s="1" t="s">
        <v>18</v>
      </c>
      <c r="D54" s="1" t="s">
        <v>141</v>
      </c>
      <c r="E54" s="1" t="s">
        <v>92</v>
      </c>
      <c r="F54" s="10" t="n">
        <v>10</v>
      </c>
      <c r="G54" s="10" t="n">
        <v>10</v>
      </c>
      <c r="H54" s="10" t="n">
        <v>10</v>
      </c>
      <c r="I54" s="10" t="n">
        <v>10</v>
      </c>
      <c r="J54" s="10" t="n">
        <v>10</v>
      </c>
      <c r="K54" s="10" t="n">
        <v>10</v>
      </c>
      <c r="L54" s="10" t="n">
        <v>30</v>
      </c>
      <c r="M54" s="10" t="n">
        <v>30</v>
      </c>
      <c r="N54" s="10" t="n">
        <v>30</v>
      </c>
      <c r="O54" s="10" t="n">
        <v>25</v>
      </c>
      <c r="P54" s="10" t="n">
        <v>25</v>
      </c>
      <c r="Q54" s="10" t="n">
        <v>25</v>
      </c>
      <c r="R54" s="10" t="n">
        <v>25</v>
      </c>
      <c r="S54" s="10" t="n">
        <v>0</v>
      </c>
      <c r="T54" s="10" t="n">
        <v>0</v>
      </c>
      <c r="U54" s="10" t="n">
        <v>3</v>
      </c>
      <c r="V54" s="10" t="n">
        <v>0</v>
      </c>
      <c r="W54" s="10" t="n">
        <v>0</v>
      </c>
      <c r="X54" s="10" t="n">
        <v>40</v>
      </c>
      <c r="Y54" s="10" t="n">
        <v>35</v>
      </c>
      <c r="Z54" s="10" t="n">
        <v>30</v>
      </c>
      <c r="AA54" s="10" t="n">
        <v>30</v>
      </c>
      <c r="AB54" s="10" t="n">
        <v>30</v>
      </c>
      <c r="AC54" s="10" t="n">
        <v>25</v>
      </c>
      <c r="AD54" s="10" t="n">
        <v>0</v>
      </c>
      <c r="AE54" s="10" t="n">
        <v>20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</row>
    <row r="55" customFormat="false" ht="15" hidden="true" customHeight="true" outlineLevel="1" collapsed="false">
      <c r="A55" s="1" t="s">
        <v>12</v>
      </c>
      <c r="B55" s="1" t="s">
        <v>16</v>
      </c>
      <c r="C55" s="1" t="s">
        <v>18</v>
      </c>
      <c r="D55" s="1" t="s">
        <v>141</v>
      </c>
      <c r="E55" s="1" t="s">
        <v>79</v>
      </c>
      <c r="F55" s="10" t="n">
        <v>1.403509</v>
      </c>
      <c r="G55" s="10" t="n">
        <v>1.403509</v>
      </c>
      <c r="H55" s="10" t="n">
        <v>1.403509</v>
      </c>
      <c r="I55" s="10" t="n">
        <v>1.403509</v>
      </c>
      <c r="J55" s="10" t="n">
        <v>1.403509</v>
      </c>
      <c r="K55" s="10" t="n">
        <v>1.403509</v>
      </c>
      <c r="L55" s="10" t="n">
        <v>1.403509</v>
      </c>
      <c r="M55" s="10" t="n">
        <v>0</v>
      </c>
      <c r="N55" s="10" t="n">
        <v>0</v>
      </c>
      <c r="O55" s="10" t="n">
        <v>0</v>
      </c>
      <c r="P55" s="10" t="n">
        <v>1.403509</v>
      </c>
      <c r="Q55" s="10" t="n">
        <v>0</v>
      </c>
      <c r="R55" s="10" t="n">
        <v>1.403509</v>
      </c>
      <c r="S55" s="10" t="n">
        <v>1.403509</v>
      </c>
      <c r="T55" s="10" t="n">
        <v>1.403509</v>
      </c>
      <c r="U55" s="10" t="n">
        <v>1.403509</v>
      </c>
      <c r="V55" s="10" t="n">
        <v>1.403509</v>
      </c>
      <c r="W55" s="10" t="n">
        <v>1.403509</v>
      </c>
      <c r="X55" s="10" t="n">
        <v>1</v>
      </c>
      <c r="Y55" s="10" t="n">
        <v>0</v>
      </c>
      <c r="Z55" s="10" t="n">
        <v>1.403509</v>
      </c>
      <c r="AA55" s="10" t="n">
        <v>1.403509</v>
      </c>
      <c r="AB55" s="10" t="n">
        <v>0</v>
      </c>
      <c r="AC55" s="10" t="n">
        <v>0</v>
      </c>
      <c r="AD55" s="10" t="n">
        <v>0</v>
      </c>
      <c r="AE55" s="10" t="n">
        <v>1.403509</v>
      </c>
      <c r="AF55" s="10" t="n">
        <v>1.403509</v>
      </c>
      <c r="AG55" s="10" t="n">
        <v>1.403509</v>
      </c>
      <c r="AH55" s="10" t="n">
        <v>1.403509</v>
      </c>
      <c r="AI55" s="10" t="n">
        <v>1.403509</v>
      </c>
      <c r="AJ55" s="10" t="n">
        <v>1.403509</v>
      </c>
      <c r="AK55" s="10" t="n">
        <v>1.403509</v>
      </c>
      <c r="AL55" s="10" t="n">
        <v>1.403509</v>
      </c>
      <c r="AM55" s="10" t="n">
        <v>1.403509</v>
      </c>
      <c r="AN55" s="10" t="n">
        <v>1.403509</v>
      </c>
      <c r="AO55" s="10" t="n">
        <v>1.403509</v>
      </c>
      <c r="AP55" s="10" t="n">
        <v>1.403509</v>
      </c>
      <c r="AQ55" s="10" t="n">
        <v>0</v>
      </c>
      <c r="AR55" s="10" t="n">
        <v>0</v>
      </c>
      <c r="AS55" s="10" t="n">
        <v>0</v>
      </c>
    </row>
    <row r="56" customFormat="false" ht="15" hidden="true" customHeight="true" outlineLevel="1" collapsed="false">
      <c r="A56" s="1" t="s">
        <v>12</v>
      </c>
      <c r="B56" s="1" t="s">
        <v>16</v>
      </c>
      <c r="C56" s="1" t="s">
        <v>18</v>
      </c>
      <c r="D56" s="1" t="s">
        <v>141</v>
      </c>
      <c r="E56" s="1" t="s">
        <v>81</v>
      </c>
      <c r="F56" s="10" t="n">
        <v>0.25</v>
      </c>
      <c r="G56" s="10" t="n">
        <v>0.25</v>
      </c>
      <c r="H56" s="10" t="n">
        <v>0.25</v>
      </c>
      <c r="I56" s="10" t="n">
        <v>0.25</v>
      </c>
      <c r="J56" s="10" t="n">
        <v>0.25</v>
      </c>
      <c r="K56" s="10" t="n">
        <v>0.25</v>
      </c>
      <c r="L56" s="10" t="n">
        <v>0.25</v>
      </c>
      <c r="M56" s="10" t="n">
        <v>0</v>
      </c>
      <c r="N56" s="10" t="n">
        <v>0</v>
      </c>
      <c r="O56" s="10" t="n">
        <v>0</v>
      </c>
      <c r="P56" s="10" t="n">
        <v>0.25</v>
      </c>
      <c r="Q56" s="10" t="n">
        <v>0</v>
      </c>
      <c r="R56" s="10" t="n">
        <v>0.25</v>
      </c>
      <c r="S56" s="10" t="n">
        <v>0.25</v>
      </c>
      <c r="T56" s="10" t="n">
        <v>0.25</v>
      </c>
      <c r="U56" s="10" t="n">
        <v>0.25</v>
      </c>
      <c r="V56" s="10" t="n">
        <v>0.25</v>
      </c>
      <c r="W56" s="10" t="n">
        <v>0.25</v>
      </c>
      <c r="X56" s="10" t="n">
        <v>0</v>
      </c>
      <c r="Y56" s="10" t="n">
        <v>0</v>
      </c>
      <c r="Z56" s="10" t="n">
        <v>0.5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0.7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</row>
    <row r="57" customFormat="false" ht="15" hidden="true" customHeight="true" outlineLevel="1" collapsed="false">
      <c r="A57" s="1" t="s">
        <v>12</v>
      </c>
      <c r="B57" s="1" t="s">
        <v>16</v>
      </c>
      <c r="C57" s="1" t="s">
        <v>18</v>
      </c>
      <c r="D57" s="1" t="s">
        <v>141</v>
      </c>
      <c r="E57" s="1" t="s">
        <v>40</v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4</v>
      </c>
      <c r="AE57" s="10" t="n">
        <v>5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</row>
    <row r="58" customFormat="false" ht="15" hidden="true" customHeight="true" outlineLevel="1" collapsed="false">
      <c r="A58" s="1" t="s">
        <v>12</v>
      </c>
      <c r="B58" s="1" t="s">
        <v>16</v>
      </c>
      <c r="C58" s="1" t="s">
        <v>18</v>
      </c>
      <c r="D58" s="1" t="s">
        <v>141</v>
      </c>
      <c r="E58" s="1" t="s">
        <v>85</v>
      </c>
      <c r="F58" s="10" t="n">
        <v>1</v>
      </c>
      <c r="G58" s="10" t="n">
        <v>8</v>
      </c>
      <c r="H58" s="10" t="n">
        <v>12</v>
      </c>
      <c r="I58" s="10" t="n">
        <v>1</v>
      </c>
      <c r="J58" s="10" t="n">
        <v>1</v>
      </c>
      <c r="K58" s="10" t="n">
        <v>1</v>
      </c>
      <c r="L58" s="10" t="n">
        <v>1</v>
      </c>
      <c r="M58" s="10" t="n">
        <v>0</v>
      </c>
      <c r="N58" s="10" t="n">
        <v>0</v>
      </c>
      <c r="O58" s="10" t="n">
        <v>0</v>
      </c>
      <c r="P58" s="10" t="n">
        <v>1</v>
      </c>
      <c r="Q58" s="10" t="n">
        <v>0</v>
      </c>
      <c r="R58" s="10" t="n">
        <v>8</v>
      </c>
      <c r="S58" s="10" t="n">
        <v>10.5</v>
      </c>
      <c r="T58" s="10" t="n">
        <v>1</v>
      </c>
      <c r="U58" s="10" t="n">
        <v>1</v>
      </c>
      <c r="V58" s="10" t="n">
        <v>1</v>
      </c>
      <c r="W58" s="10" t="n">
        <v>0</v>
      </c>
      <c r="X58" s="10" t="n">
        <v>3</v>
      </c>
      <c r="Y58" s="10" t="n">
        <v>0</v>
      </c>
      <c r="Z58" s="10" t="n">
        <v>1</v>
      </c>
      <c r="AA58" s="10" t="n">
        <v>0.596491</v>
      </c>
      <c r="AB58" s="10" t="n">
        <v>2</v>
      </c>
      <c r="AC58" s="10" t="n">
        <v>2</v>
      </c>
      <c r="AD58" s="10" t="n">
        <v>12</v>
      </c>
      <c r="AE58" s="10" t="n">
        <v>2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</row>
    <row r="59" customFormat="false" ht="15" hidden="true" customHeight="true" outlineLevel="1" collapsed="false">
      <c r="A59" s="1" t="s">
        <v>12</v>
      </c>
      <c r="B59" s="1" t="s">
        <v>16</v>
      </c>
      <c r="C59" s="1" t="s">
        <v>18</v>
      </c>
      <c r="D59" s="1" t="s">
        <v>141</v>
      </c>
      <c r="E59" s="1" t="s">
        <v>103</v>
      </c>
      <c r="F59" s="10" t="n">
        <v>16</v>
      </c>
      <c r="G59" s="10" t="n">
        <v>10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-1.06581410364015E-014</v>
      </c>
      <c r="O59" s="10" t="n">
        <v>10</v>
      </c>
      <c r="P59" s="10" t="n">
        <v>0</v>
      </c>
      <c r="Q59" s="10" t="n">
        <v>10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11</v>
      </c>
      <c r="Y59" s="10" t="n">
        <v>20</v>
      </c>
      <c r="Z59" s="10" t="n">
        <v>13</v>
      </c>
      <c r="AA59" s="10" t="n">
        <v>18</v>
      </c>
      <c r="AB59" s="10" t="n">
        <v>18</v>
      </c>
      <c r="AC59" s="10" t="n">
        <v>18</v>
      </c>
      <c r="AD59" s="10" t="n">
        <v>29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</row>
    <row r="60" customFormat="false" ht="15" hidden="true" customHeight="true" outlineLevel="1" collapsed="false">
      <c r="A60" s="1" t="s">
        <v>12</v>
      </c>
      <c r="B60" s="1" t="s">
        <v>16</v>
      </c>
      <c r="C60" s="1" t="s">
        <v>18</v>
      </c>
      <c r="D60" s="1" t="s">
        <v>141</v>
      </c>
      <c r="E60" s="1" t="s">
        <v>99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2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6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5</v>
      </c>
      <c r="AA60" s="10" t="n">
        <v>5</v>
      </c>
      <c r="AB60" s="10" t="n">
        <v>5</v>
      </c>
      <c r="AC60" s="10" t="n">
        <v>10</v>
      </c>
      <c r="AD60" s="10" t="n">
        <v>10</v>
      </c>
      <c r="AE60" s="10" t="n">
        <v>10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</row>
    <row r="61" customFormat="false" ht="15" hidden="false" customHeight="true" outlineLevel="0" collapsed="false">
      <c r="A61" s="4" t="s">
        <v>12</v>
      </c>
      <c r="B61" s="4" t="s">
        <v>16</v>
      </c>
      <c r="C61" s="4" t="s">
        <v>25</v>
      </c>
      <c r="D61" s="4" t="s">
        <v>76</v>
      </c>
      <c r="E61" s="4" t="s">
        <v>77</v>
      </c>
      <c r="F61" s="8" t="n">
        <f aca="false">SUM(F62,F63,F64,F65,F66,F67,F68,F69,F70,F71,F72,F73)</f>
        <v>32.850877</v>
      </c>
      <c r="G61" s="8" t="n">
        <f aca="false">SUM(G62,G63,G64,G65,G66,G67,G68,G69,G70,G71,G72,G73)</f>
        <v>25.754386</v>
      </c>
      <c r="H61" s="8" t="n">
        <f aca="false">SUM(H62,H63,H64,H65,H66,H67,H68,H69,H70,H71,H72,H73)</f>
        <v>13.754386</v>
      </c>
      <c r="I61" s="8" t="n">
        <f aca="false">SUM(I62,I63,I64,I65,I66,I67,I68,I69,I70,I71,I72,I73)</f>
        <v>9.754386</v>
      </c>
      <c r="J61" s="8" t="n">
        <f aca="false">SUM(J62,J63,J64,J65,J66,J67,J68,J69,J70,J71,J72,J73)</f>
        <v>4.754386</v>
      </c>
      <c r="K61" s="8" t="n">
        <f aca="false">SUM(K62,K63,K64,K65,K66,K67,K68,K69,K70,K71,K72,K73)</f>
        <v>11.454386</v>
      </c>
      <c r="L61" s="8" t="n">
        <f aca="false">SUM(L62,L63,L64,L65,L66,L67,L68,L69,L70,L71,L72,L73)</f>
        <v>10.854386</v>
      </c>
      <c r="M61" s="8" t="n">
        <f aca="false">SUM(M62,M63,M64,M65,M66,M67,M68,M69,M70,M71,M72,M73)</f>
        <v>40</v>
      </c>
      <c r="N61" s="8" t="n">
        <f aca="false">SUM(N62,N63,N64,N65,N66,N67,N68,N69,N70,N71,N72,N73)</f>
        <v>40</v>
      </c>
      <c r="O61" s="8" t="n">
        <f aca="false">SUM(O62,O63,O64,O65,O66,O67,O68,O69,O70,O71,O72,O73)</f>
        <v>15.854386</v>
      </c>
      <c r="P61" s="8" t="n">
        <f aca="false">SUM(P62,P63,P64,P65,P66,P67,P68,P69,P70,P71,P72,P73)</f>
        <v>7.754386</v>
      </c>
      <c r="Q61" s="8" t="n">
        <f aca="false">SUM(Q62,Q63,Q64,Q65,Q66,Q67,Q68,Q69,Q70,Q71,Q72,Q73)</f>
        <v>14.407895</v>
      </c>
      <c r="R61" s="8" t="n">
        <f aca="false">SUM(R62,R63,R64,R65,R66,R67,R68,R69,R70,R71,R72,R73)</f>
        <v>1.754386</v>
      </c>
      <c r="S61" s="8" t="n">
        <f aca="false">SUM(S62,S63,S64,S65,S66,S67,S68,S69,S70,S71,S72,S73)</f>
        <v>19.657895</v>
      </c>
      <c r="T61" s="8" t="n">
        <f aca="false">SUM(T62,T63,T64,T65,T66,T67,T68,T69,T70,T71,T72,T73)</f>
        <v>19.754386</v>
      </c>
      <c r="U61" s="8" t="n">
        <f aca="false">SUM(U62,U63,U64,U65,U66,U67,U68,U69,U70,U71,U72,U73)</f>
        <v>25.754386</v>
      </c>
      <c r="V61" s="8" t="n">
        <f aca="false">SUM(V62,V63,V64,V65,V66,V67,V68,V69,V70,V71,V72,V73)</f>
        <v>1.754386</v>
      </c>
      <c r="W61" s="8" t="n">
        <f aca="false">SUM(W62,W63,W64,W65,W66,W67,W68,W69,W70,W71,W72,W73)</f>
        <v>1.754386</v>
      </c>
      <c r="X61" s="8" t="n">
        <f aca="false">SUM(X62,X63,X64,X65,X66,X67,X68,X69,X70,X71,X72,X73)</f>
        <v>39.103509</v>
      </c>
      <c r="Y61" s="8" t="n">
        <f aca="false">SUM(Y62,Y63,Y64,Y65,Y66,Y67,Y68,Y69,Y70,Y71,Y72,Y73)</f>
        <v>55</v>
      </c>
      <c r="Z61" s="8" t="n">
        <f aca="false">SUM(Z62,Z63,Z64,Z65,Z66,Z67,Z68,Z69,Z70,Z71,Z72,Z73)</f>
        <v>51.103509</v>
      </c>
      <c r="AA61" s="8" t="n">
        <f aca="false">SUM(AA62,AA63,AA64,AA65,AA66,AA67,AA68,AA69,AA70,AA71,AA72,AA73)</f>
        <v>51.403509</v>
      </c>
      <c r="AB61" s="8" t="n">
        <f aca="false">SUM(AB62,AB63,AB64,AB65,AB66,AB67,AB68,AB69,AB70,AB71,AB72,AB73)</f>
        <v>49.403509</v>
      </c>
      <c r="AC61" s="8" t="n">
        <f aca="false">SUM(AC62,AC63,AC64,AC65,AC66,AC67,AC68,AC69,AC70,AC71,AC72,AC73)</f>
        <v>55</v>
      </c>
      <c r="AD61" s="8" t="n">
        <f aca="false">SUM(AD62,AD63,AD64,AD65,AD66,AD67,AD68,AD69,AD70,AD71,AD72,AD73)</f>
        <v>55</v>
      </c>
      <c r="AE61" s="8" t="n">
        <f aca="false">SUM(AE62,AE63,AE64,AE65,AE66,AE67,AE68,AE69,AE70,AE71,AE72,AE73)</f>
        <v>34.903509</v>
      </c>
      <c r="AF61" s="8" t="n">
        <f aca="false">SUM(AF62,AF63,AF64,AF65,AF66,AF67,AF68,AF69,AF70,AF71,AF72,AF73)</f>
        <v>8.603509</v>
      </c>
      <c r="AG61" s="8" t="n">
        <f aca="false">SUM(AG62,AG63,AG64,AG65,AG66,AG67,AG68,AG69,AG70,AG71,AG72,AG73)</f>
        <v>12.503509</v>
      </c>
      <c r="AH61" s="8" t="n">
        <f aca="false">SUM(AH62,AH63,AH64,AH65,AH66,AH67,AH68,AH69,AH70,AH71,AH72,AH73)</f>
        <v>14.403509</v>
      </c>
      <c r="AI61" s="8" t="n">
        <f aca="false">SUM(AI62,AI63,AI64,AI65,AI66,AI67,AI68,AI69,AI70,AI71,AI72,AI73)</f>
        <v>8.503509</v>
      </c>
      <c r="AJ61" s="8" t="n">
        <f aca="false">SUM(AJ62,AJ63,AJ64,AJ65,AJ66,AJ67,AJ68,AJ69,AJ70,AJ71,AJ72,AJ73)</f>
        <v>7.003509</v>
      </c>
      <c r="AK61" s="8" t="n">
        <f aca="false">SUM(AK62,AK63,AK64,AK65,AK66,AK67,AK68,AK69,AK70,AK71,AK72,AK73)</f>
        <v>5.303509</v>
      </c>
      <c r="AL61" s="8" t="n">
        <f aca="false">SUM(AL62,AL63,AL64,AL65,AL66,AL67,AL68,AL69,AL70,AL71,AL72,AL73)</f>
        <v>3.203509</v>
      </c>
      <c r="AM61" s="8" t="n">
        <f aca="false">SUM(AM62,AM63,AM64,AM65,AM66,AM67,AM68,AM69,AM70,AM71,AM72,AM73)</f>
        <v>1.403509</v>
      </c>
      <c r="AN61" s="8" t="n">
        <f aca="false">SUM(AN62,AN63,AN64,AN65,AN66,AN67,AN68,AN69,AN70,AN71,AN72,AN73)</f>
        <v>1.403509</v>
      </c>
      <c r="AO61" s="8" t="n">
        <f aca="false">SUM(AO62,AO63,AO64,AO65,AO66,AO67,AO68,AO69,AO70,AO71,AO72,AO73)</f>
        <v>1.403509</v>
      </c>
      <c r="AP61" s="8" t="n">
        <f aca="false">SUM(AP62,AP63,AP64,AP65,AP66,AP67,AP68,AP69,AP70,AP71,AP72,AP73)</f>
        <v>1.403509</v>
      </c>
      <c r="AQ61" s="8" t="n">
        <f aca="false">SUM(AQ62,AQ63,AQ64,AQ65,AQ66,AQ67,AQ68,AQ69,AQ70,AQ71,AQ72,AQ73)</f>
        <v>0</v>
      </c>
      <c r="AR61" s="8" t="n">
        <f aca="false">SUM(AR62,AR63,AR64,AR65,AR66,AR67,AR68,AR69,AR70,AR71,AR72,AR73)</f>
        <v>0</v>
      </c>
      <c r="AS61" s="8" t="n">
        <f aca="false">SUM(AS62,AS63,AS64,AS65,AS66,AS67,AS68,AS69,AS70,AS71,AS72,AS73)</f>
        <v>0</v>
      </c>
    </row>
    <row r="62" customFormat="false" ht="15" hidden="true" customHeight="true" outlineLevel="1" collapsed="false">
      <c r="A62" s="1" t="s">
        <v>12</v>
      </c>
      <c r="B62" s="1" t="s">
        <v>16</v>
      </c>
      <c r="C62" s="1" t="s">
        <v>25</v>
      </c>
      <c r="D62" s="1" t="s">
        <v>141</v>
      </c>
      <c r="E62" s="1" t="s">
        <v>79</v>
      </c>
      <c r="F62" s="10" t="n">
        <v>5</v>
      </c>
      <c r="G62" s="10" t="n">
        <v>1.403509</v>
      </c>
      <c r="H62" s="10" t="n">
        <v>1.403509</v>
      </c>
      <c r="I62" s="10" t="n">
        <v>1.403509</v>
      </c>
      <c r="J62" s="10" t="n">
        <v>1.403509</v>
      </c>
      <c r="K62" s="10" t="n">
        <v>1.403509</v>
      </c>
      <c r="L62" s="10" t="n">
        <v>1.403509</v>
      </c>
      <c r="M62" s="10" t="n">
        <v>1.403509</v>
      </c>
      <c r="N62" s="10" t="n">
        <v>1.403509</v>
      </c>
      <c r="O62" s="10" t="n">
        <v>1.403509</v>
      </c>
      <c r="P62" s="10" t="n">
        <v>1.403509</v>
      </c>
      <c r="Q62" s="10" t="n">
        <v>2.807018</v>
      </c>
      <c r="R62" s="10" t="n">
        <v>1.403509</v>
      </c>
      <c r="S62" s="10" t="n">
        <v>2.807018</v>
      </c>
      <c r="T62" s="10" t="n">
        <v>1.403509</v>
      </c>
      <c r="U62" s="10" t="n">
        <v>1.403509</v>
      </c>
      <c r="V62" s="10" t="n">
        <v>1.403509</v>
      </c>
      <c r="W62" s="10" t="n">
        <v>1.403509</v>
      </c>
      <c r="X62" s="10" t="n">
        <v>1.403509</v>
      </c>
      <c r="Y62" s="10" t="n">
        <v>0</v>
      </c>
      <c r="Z62" s="10" t="n">
        <v>1.403509</v>
      </c>
      <c r="AA62" s="10" t="n">
        <v>1.403509</v>
      </c>
      <c r="AB62" s="10" t="n">
        <v>1.403509</v>
      </c>
      <c r="AC62" s="10" t="n">
        <v>0</v>
      </c>
      <c r="AD62" s="10" t="n">
        <v>0</v>
      </c>
      <c r="AE62" s="10" t="n">
        <v>1.403509</v>
      </c>
      <c r="AF62" s="10" t="n">
        <v>1.403509</v>
      </c>
      <c r="AG62" s="10" t="n">
        <v>1.403509</v>
      </c>
      <c r="AH62" s="10" t="n">
        <v>1.403509</v>
      </c>
      <c r="AI62" s="10" t="n">
        <v>1.403509</v>
      </c>
      <c r="AJ62" s="10" t="n">
        <v>1.403509</v>
      </c>
      <c r="AK62" s="10" t="n">
        <v>1.403509</v>
      </c>
      <c r="AL62" s="10" t="n">
        <v>1.403509</v>
      </c>
      <c r="AM62" s="10" t="n">
        <v>1.403509</v>
      </c>
      <c r="AN62" s="10" t="n">
        <v>1.403509</v>
      </c>
      <c r="AO62" s="10" t="n">
        <v>1.403509</v>
      </c>
      <c r="AP62" s="10" t="n">
        <v>1.403509</v>
      </c>
      <c r="AQ62" s="10" t="n">
        <v>0</v>
      </c>
      <c r="AR62" s="10" t="n">
        <v>0</v>
      </c>
      <c r="AS62" s="10" t="n">
        <v>0</v>
      </c>
    </row>
    <row r="63" customFormat="false" ht="15" hidden="true" customHeight="true" outlineLevel="1" collapsed="false">
      <c r="A63" s="1" t="s">
        <v>12</v>
      </c>
      <c r="B63" s="1" t="s">
        <v>16</v>
      </c>
      <c r="C63" s="1" t="s">
        <v>25</v>
      </c>
      <c r="D63" s="1" t="s">
        <v>141</v>
      </c>
      <c r="E63" s="1" t="s">
        <v>80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2</v>
      </c>
      <c r="O63" s="10" t="n">
        <v>3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2</v>
      </c>
      <c r="Y63" s="10" t="n">
        <v>1.9</v>
      </c>
      <c r="Z63" s="10" t="n">
        <v>2</v>
      </c>
      <c r="AA63" s="10" t="n">
        <v>2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5</v>
      </c>
      <c r="AG63" s="10" t="n">
        <v>8</v>
      </c>
      <c r="AH63" s="10" t="n">
        <v>9</v>
      </c>
      <c r="AI63" s="10" t="n">
        <v>2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</row>
    <row r="64" customFormat="false" ht="15" hidden="true" customHeight="true" outlineLevel="1" collapsed="false">
      <c r="A64" s="1" t="s">
        <v>12</v>
      </c>
      <c r="B64" s="1" t="s">
        <v>16</v>
      </c>
      <c r="C64" s="1" t="s">
        <v>25</v>
      </c>
      <c r="D64" s="1" t="s">
        <v>141</v>
      </c>
      <c r="E64" s="1" t="s">
        <v>81</v>
      </c>
      <c r="F64" s="10" t="n">
        <v>0.350877</v>
      </c>
      <c r="G64" s="10" t="n">
        <v>0.350877</v>
      </c>
      <c r="H64" s="10" t="n">
        <v>0.350877</v>
      </c>
      <c r="I64" s="10" t="n">
        <v>0.350877</v>
      </c>
      <c r="J64" s="10" t="n">
        <v>0.350877</v>
      </c>
      <c r="K64" s="10" t="n">
        <v>0.350877</v>
      </c>
      <c r="L64" s="10" t="n">
        <v>0.350877</v>
      </c>
      <c r="M64" s="10" t="n">
        <v>0.350877</v>
      </c>
      <c r="N64" s="10" t="n">
        <v>0.350877</v>
      </c>
      <c r="O64" s="10" t="n">
        <v>0.350877</v>
      </c>
      <c r="P64" s="10" t="n">
        <v>0.350877</v>
      </c>
      <c r="Q64" s="10" t="n">
        <v>0.600877</v>
      </c>
      <c r="R64" s="10" t="n">
        <v>0.350877</v>
      </c>
      <c r="S64" s="10" t="n">
        <v>0.350877</v>
      </c>
      <c r="T64" s="10" t="n">
        <v>0.350877</v>
      </c>
      <c r="U64" s="10" t="n">
        <v>0.350877</v>
      </c>
      <c r="V64" s="10" t="n">
        <v>0.350877</v>
      </c>
      <c r="W64" s="10" t="n">
        <v>0.350877</v>
      </c>
      <c r="X64" s="10" t="n">
        <v>0.6</v>
      </c>
      <c r="Y64" s="10" t="n">
        <v>0</v>
      </c>
      <c r="Z64" s="10" t="n">
        <v>0.7</v>
      </c>
      <c r="AA64" s="10" t="n">
        <v>1</v>
      </c>
      <c r="AB64" s="10" t="n">
        <v>1</v>
      </c>
      <c r="AC64" s="10" t="n">
        <v>0</v>
      </c>
      <c r="AD64" s="10" t="n">
        <v>0</v>
      </c>
      <c r="AE64" s="10" t="n">
        <v>0.8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</row>
    <row r="65" customFormat="false" ht="15" hidden="true" customHeight="true" outlineLevel="1" collapsed="false">
      <c r="A65" s="1" t="s">
        <v>12</v>
      </c>
      <c r="B65" s="1" t="s">
        <v>16</v>
      </c>
      <c r="C65" s="1" t="s">
        <v>25</v>
      </c>
      <c r="D65" s="1" t="s">
        <v>141</v>
      </c>
      <c r="E65" s="1" t="s">
        <v>102</v>
      </c>
      <c r="F65" s="10" t="n">
        <v>0</v>
      </c>
      <c r="G65" s="10" t="n">
        <v>6</v>
      </c>
      <c r="H65" s="10" t="n">
        <v>7</v>
      </c>
      <c r="I65" s="10" t="n">
        <v>7</v>
      </c>
      <c r="J65" s="10" t="n">
        <v>2</v>
      </c>
      <c r="K65" s="10" t="n">
        <v>1</v>
      </c>
      <c r="L65" s="10" t="n">
        <v>1</v>
      </c>
      <c r="M65" s="10" t="n">
        <v>2</v>
      </c>
      <c r="N65" s="10" t="n">
        <v>2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2</v>
      </c>
      <c r="U65" s="10" t="n">
        <v>2</v>
      </c>
      <c r="V65" s="10" t="n">
        <v>0</v>
      </c>
      <c r="W65" s="10" t="n">
        <v>0</v>
      </c>
      <c r="X65" s="10" t="n">
        <v>2</v>
      </c>
      <c r="Y65" s="10" t="n">
        <v>3</v>
      </c>
      <c r="Z65" s="10" t="n">
        <v>3</v>
      </c>
      <c r="AA65" s="10" t="n">
        <v>5</v>
      </c>
      <c r="AB65" s="10" t="n">
        <v>5</v>
      </c>
      <c r="AC65" s="10" t="n">
        <v>5</v>
      </c>
      <c r="AD65" s="10" t="n">
        <v>0</v>
      </c>
      <c r="AE65" s="10" t="n">
        <v>5</v>
      </c>
      <c r="AF65" s="10" t="n">
        <v>0</v>
      </c>
      <c r="AG65" s="10" t="n">
        <v>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0</v>
      </c>
    </row>
    <row r="66" customFormat="false" ht="15" hidden="true" customHeight="true" outlineLevel="1" collapsed="false">
      <c r="A66" s="1" t="s">
        <v>12</v>
      </c>
      <c r="B66" s="1" t="s">
        <v>16</v>
      </c>
      <c r="C66" s="1" t="s">
        <v>25</v>
      </c>
      <c r="D66" s="1" t="s">
        <v>141</v>
      </c>
      <c r="E66" s="1" t="s">
        <v>40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1.1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5</v>
      </c>
      <c r="AD66" s="10" t="n">
        <v>0</v>
      </c>
      <c r="AE66" s="10" t="n">
        <v>5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</row>
    <row r="67" customFormat="false" ht="15" hidden="true" customHeight="true" outlineLevel="1" collapsed="false">
      <c r="A67" s="1" t="s">
        <v>12</v>
      </c>
      <c r="B67" s="1" t="s">
        <v>16</v>
      </c>
      <c r="C67" s="1" t="s">
        <v>25</v>
      </c>
      <c r="D67" s="1" t="s">
        <v>141</v>
      </c>
      <c r="E67" s="1" t="s">
        <v>103</v>
      </c>
      <c r="F67" s="10" t="n">
        <v>8</v>
      </c>
      <c r="G67" s="10" t="n">
        <v>10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15</v>
      </c>
      <c r="N67" s="10" t="n">
        <v>18.145614</v>
      </c>
      <c r="O67" s="10" t="n">
        <v>5</v>
      </c>
      <c r="P67" s="10" t="n">
        <v>0</v>
      </c>
      <c r="Q67" s="10" t="n">
        <v>5</v>
      </c>
      <c r="R67" s="10" t="n">
        <v>0</v>
      </c>
      <c r="S67" s="10" t="n">
        <v>0</v>
      </c>
      <c r="T67" s="10" t="n">
        <v>5</v>
      </c>
      <c r="U67" s="10" t="n">
        <v>5</v>
      </c>
      <c r="V67" s="10" t="n">
        <v>0</v>
      </c>
      <c r="W67" s="10" t="n">
        <v>0</v>
      </c>
      <c r="X67" s="10" t="n">
        <v>17</v>
      </c>
      <c r="Y67" s="10" t="n">
        <v>25</v>
      </c>
      <c r="Z67" s="10" t="n">
        <v>23</v>
      </c>
      <c r="AA67" s="10" t="n">
        <v>25</v>
      </c>
      <c r="AB67" s="10" t="n">
        <v>25</v>
      </c>
      <c r="AC67" s="10" t="n">
        <v>25</v>
      </c>
      <c r="AD67" s="10" t="n">
        <v>35</v>
      </c>
      <c r="AE67" s="10" t="n">
        <v>0</v>
      </c>
      <c r="AF67" s="10" t="n">
        <v>0</v>
      </c>
      <c r="AG67" s="10" t="n">
        <v>0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0</v>
      </c>
    </row>
    <row r="68" customFormat="false" ht="15" hidden="true" customHeight="true" outlineLevel="1" collapsed="false">
      <c r="A68" s="1" t="s">
        <v>12</v>
      </c>
      <c r="B68" s="1" t="s">
        <v>16</v>
      </c>
      <c r="C68" s="1" t="s">
        <v>25</v>
      </c>
      <c r="D68" s="1" t="s">
        <v>141</v>
      </c>
      <c r="E68" s="1" t="s">
        <v>98</v>
      </c>
      <c r="F68" s="10" t="n">
        <v>4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1</v>
      </c>
      <c r="T68" s="10" t="n">
        <v>0</v>
      </c>
      <c r="U68" s="10" t="n">
        <v>1</v>
      </c>
      <c r="V68" s="10" t="n">
        <v>0</v>
      </c>
      <c r="W68" s="10" t="n">
        <v>0</v>
      </c>
      <c r="X68" s="10" t="n">
        <v>2</v>
      </c>
      <c r="Y68" s="10" t="n">
        <v>2</v>
      </c>
      <c r="Z68" s="10" t="n">
        <v>2</v>
      </c>
      <c r="AA68" s="10" t="n">
        <v>2</v>
      </c>
      <c r="AB68" s="10" t="n">
        <v>2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</row>
    <row r="69" customFormat="false" ht="15" hidden="true" customHeight="true" outlineLevel="1" collapsed="false">
      <c r="A69" s="1" t="s">
        <v>12</v>
      </c>
      <c r="B69" s="1" t="s">
        <v>16</v>
      </c>
      <c r="C69" s="1" t="s">
        <v>25</v>
      </c>
      <c r="D69" s="1" t="s">
        <v>141</v>
      </c>
      <c r="E69" s="1" t="s">
        <v>99</v>
      </c>
      <c r="F69" s="10" t="n">
        <v>7.5</v>
      </c>
      <c r="G69" s="10" t="n">
        <v>4</v>
      </c>
      <c r="H69" s="10" t="n">
        <v>3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1.4</v>
      </c>
      <c r="T69" s="10" t="n">
        <v>0</v>
      </c>
      <c r="U69" s="10" t="n">
        <v>3</v>
      </c>
      <c r="V69" s="10" t="n">
        <v>0</v>
      </c>
      <c r="W69" s="10" t="n">
        <v>0</v>
      </c>
      <c r="X69" s="10" t="n">
        <v>2</v>
      </c>
      <c r="Y69" s="10" t="n">
        <v>15</v>
      </c>
      <c r="Z69" s="10" t="n">
        <v>15</v>
      </c>
      <c r="AA69" s="10" t="n">
        <v>15</v>
      </c>
      <c r="AB69" s="10" t="n">
        <v>15</v>
      </c>
      <c r="AC69" s="10" t="n">
        <v>20</v>
      </c>
      <c r="AD69" s="10" t="n">
        <v>20</v>
      </c>
      <c r="AE69" s="10" t="n">
        <v>20</v>
      </c>
      <c r="AF69" s="10" t="n">
        <v>0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0</v>
      </c>
      <c r="AP69" s="10" t="n">
        <v>0</v>
      </c>
      <c r="AQ69" s="10" t="n">
        <v>0</v>
      </c>
      <c r="AR69" s="10" t="n">
        <v>0</v>
      </c>
      <c r="AS69" s="10" t="n">
        <v>0</v>
      </c>
    </row>
    <row r="70" customFormat="false" ht="15" hidden="true" customHeight="true" outlineLevel="1" collapsed="false">
      <c r="A70" s="1" t="s">
        <v>12</v>
      </c>
      <c r="B70" s="1" t="s">
        <v>16</v>
      </c>
      <c r="C70" s="1" t="s">
        <v>25</v>
      </c>
      <c r="D70" s="1" t="s">
        <v>141</v>
      </c>
      <c r="E70" s="1" t="s">
        <v>106</v>
      </c>
      <c r="F70" s="10" t="n">
        <v>4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8</v>
      </c>
      <c r="L70" s="10" t="n">
        <v>8</v>
      </c>
      <c r="M70" s="10" t="n">
        <v>6</v>
      </c>
      <c r="N70" s="10" t="n">
        <v>6</v>
      </c>
      <c r="O70" s="10" t="n">
        <v>6</v>
      </c>
      <c r="P70" s="10" t="n">
        <v>6</v>
      </c>
      <c r="Q70" s="10" t="n">
        <v>6</v>
      </c>
      <c r="R70" s="10" t="n">
        <v>0</v>
      </c>
      <c r="S70" s="10" t="n">
        <v>6</v>
      </c>
      <c r="T70" s="10" t="n">
        <v>4</v>
      </c>
      <c r="U70" s="10" t="n">
        <v>6</v>
      </c>
      <c r="V70" s="10" t="n">
        <v>0</v>
      </c>
      <c r="W70" s="10" t="n">
        <v>0</v>
      </c>
      <c r="X70" s="10" t="n">
        <v>8</v>
      </c>
      <c r="Y70" s="10" t="n">
        <v>8</v>
      </c>
      <c r="Z70" s="10" t="n">
        <v>4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</row>
    <row r="71" customFormat="false" ht="15" hidden="true" customHeight="true" outlineLevel="1" collapsed="false">
      <c r="A71" s="1" t="s">
        <v>12</v>
      </c>
      <c r="B71" s="1" t="s">
        <v>16</v>
      </c>
      <c r="C71" s="1" t="s">
        <v>25</v>
      </c>
      <c r="D71" s="1" t="s">
        <v>141</v>
      </c>
      <c r="E71" s="1" t="s">
        <v>100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2</v>
      </c>
      <c r="AF71" s="10" t="n">
        <v>0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</row>
    <row r="72" customFormat="false" ht="15" hidden="true" customHeight="true" outlineLevel="1" collapsed="false">
      <c r="A72" s="1" t="s">
        <v>12</v>
      </c>
      <c r="B72" s="1" t="s">
        <v>16</v>
      </c>
      <c r="C72" s="1" t="s">
        <v>25</v>
      </c>
      <c r="D72" s="1" t="s">
        <v>141</v>
      </c>
      <c r="E72" s="1" t="s">
        <v>88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15.245614</v>
      </c>
      <c r="N72" s="10" t="n">
        <v>10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</row>
    <row r="73" customFormat="false" ht="15" hidden="true" customHeight="true" outlineLevel="1" collapsed="false">
      <c r="A73" s="1" t="s">
        <v>12</v>
      </c>
      <c r="B73" s="1" t="s">
        <v>16</v>
      </c>
      <c r="C73" s="1" t="s">
        <v>25</v>
      </c>
      <c r="D73" s="1" t="s">
        <v>141</v>
      </c>
      <c r="E73" s="1" t="s">
        <v>107</v>
      </c>
      <c r="F73" s="10" t="n">
        <v>4</v>
      </c>
      <c r="G73" s="10" t="n">
        <v>4</v>
      </c>
      <c r="H73" s="10" t="n">
        <v>2</v>
      </c>
      <c r="I73" s="10" t="n">
        <v>1</v>
      </c>
      <c r="J73" s="10" t="n">
        <v>1</v>
      </c>
      <c r="K73" s="10" t="n">
        <v>0.7</v>
      </c>
      <c r="L73" s="10" t="n">
        <v>0.1</v>
      </c>
      <c r="M73" s="10" t="n">
        <v>0</v>
      </c>
      <c r="N73" s="10" t="n">
        <v>0.1</v>
      </c>
      <c r="O73" s="10" t="n">
        <v>0.1</v>
      </c>
      <c r="P73" s="10" t="n">
        <v>0</v>
      </c>
      <c r="Q73" s="10" t="n">
        <v>0</v>
      </c>
      <c r="R73" s="10" t="n">
        <v>0</v>
      </c>
      <c r="S73" s="10" t="n">
        <v>7</v>
      </c>
      <c r="T73" s="10" t="n">
        <v>7</v>
      </c>
      <c r="U73" s="10" t="n">
        <v>7</v>
      </c>
      <c r="V73" s="10" t="n">
        <v>0</v>
      </c>
      <c r="W73" s="10" t="n">
        <v>0</v>
      </c>
      <c r="X73" s="10" t="n">
        <v>4.1</v>
      </c>
      <c r="Y73" s="10" t="n">
        <v>0.1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0.7</v>
      </c>
      <c r="AF73" s="10" t="n">
        <v>2.2</v>
      </c>
      <c r="AG73" s="10" t="n">
        <v>3.1</v>
      </c>
      <c r="AH73" s="10" t="n">
        <v>4</v>
      </c>
      <c r="AI73" s="10" t="n">
        <v>5.1</v>
      </c>
      <c r="AJ73" s="10" t="n">
        <v>5.6</v>
      </c>
      <c r="AK73" s="10" t="n">
        <v>3.9</v>
      </c>
      <c r="AL73" s="10" t="n">
        <v>1.8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</row>
    <row r="74" customFormat="false" ht="15" hidden="false" customHeight="true" outlineLevel="0" collapsed="false">
      <c r="A74" s="4" t="s">
        <v>29</v>
      </c>
      <c r="B74" s="4" t="s">
        <v>10</v>
      </c>
      <c r="C74" s="4" t="s">
        <v>143</v>
      </c>
      <c r="D74" s="4" t="s">
        <v>76</v>
      </c>
      <c r="E74" s="4" t="s">
        <v>77</v>
      </c>
      <c r="F74" s="8" t="n">
        <f aca="false">SUM(F75)</f>
        <v>0</v>
      </c>
      <c r="G74" s="8" t="n">
        <f aca="false">SUM(G75)</f>
        <v>0</v>
      </c>
      <c r="H74" s="8" t="n">
        <f aca="false">SUM(H75)</f>
        <v>0</v>
      </c>
      <c r="I74" s="8" t="n">
        <f aca="false">SUM(I75)</f>
        <v>0</v>
      </c>
      <c r="J74" s="8" t="n">
        <f aca="false">SUM(J75)</f>
        <v>0</v>
      </c>
      <c r="K74" s="8" t="n">
        <f aca="false">SUM(K75)</f>
        <v>0</v>
      </c>
      <c r="L74" s="8" t="n">
        <f aca="false">SUM(L75)</f>
        <v>0</v>
      </c>
      <c r="M74" s="8" t="n">
        <f aca="false">SUM(M75)</f>
        <v>10</v>
      </c>
      <c r="N74" s="8" t="n">
        <f aca="false">SUM(N75)</f>
        <v>10</v>
      </c>
      <c r="O74" s="8" t="n">
        <f aca="false">SUM(O75)</f>
        <v>0</v>
      </c>
      <c r="P74" s="8" t="n">
        <f aca="false">SUM(P75)</f>
        <v>0</v>
      </c>
      <c r="Q74" s="8" t="n">
        <f aca="false">SUM(Q75)</f>
        <v>0</v>
      </c>
      <c r="R74" s="8" t="n">
        <f aca="false">SUM(R75)</f>
        <v>0</v>
      </c>
      <c r="S74" s="8" t="n">
        <f aca="false">SUM(S75)</f>
        <v>0</v>
      </c>
      <c r="T74" s="8" t="n">
        <f aca="false">SUM(T75)</f>
        <v>0</v>
      </c>
      <c r="U74" s="8" t="n">
        <f aca="false">SUM(U75)</f>
        <v>0</v>
      </c>
      <c r="V74" s="8" t="n">
        <f aca="false">SUM(V75)</f>
        <v>0</v>
      </c>
      <c r="W74" s="8" t="n">
        <f aca="false">SUM(W75)</f>
        <v>0</v>
      </c>
      <c r="X74" s="8" t="n">
        <f aca="false">SUM(X75)</f>
        <v>0</v>
      </c>
      <c r="Y74" s="8" t="n">
        <f aca="false">SUM(Y75)</f>
        <v>0</v>
      </c>
      <c r="Z74" s="8" t="n">
        <f aca="false">SUM(Z75)</f>
        <v>0</v>
      </c>
      <c r="AA74" s="8" t="n">
        <f aca="false">SUM(AA75)</f>
        <v>0</v>
      </c>
      <c r="AB74" s="8" t="n">
        <f aca="false">SUM(AB75)</f>
        <v>10</v>
      </c>
      <c r="AC74" s="8" t="n">
        <f aca="false">SUM(AC75)</f>
        <v>10</v>
      </c>
      <c r="AD74" s="8" t="n">
        <f aca="false">SUM(AD75)</f>
        <v>10</v>
      </c>
      <c r="AE74" s="8" t="n">
        <f aca="false">SUM(AE75)</f>
        <v>0</v>
      </c>
      <c r="AF74" s="8" t="n">
        <f aca="false">SUM(AF75)</f>
        <v>0</v>
      </c>
      <c r="AG74" s="8" t="n">
        <f aca="false">SUM(AG75)</f>
        <v>0</v>
      </c>
      <c r="AH74" s="8" t="n">
        <f aca="false">SUM(AH75)</f>
        <v>0</v>
      </c>
      <c r="AI74" s="8" t="n">
        <f aca="false">SUM(AI75)</f>
        <v>0</v>
      </c>
      <c r="AJ74" s="8" t="n">
        <f aca="false">SUM(AJ75)</f>
        <v>0</v>
      </c>
      <c r="AK74" s="8" t="n">
        <f aca="false">SUM(AK75)</f>
        <v>0</v>
      </c>
      <c r="AL74" s="8" t="n">
        <f aca="false">SUM(AL75)</f>
        <v>0</v>
      </c>
      <c r="AM74" s="8" t="n">
        <f aca="false">SUM(AM75)</f>
        <v>0</v>
      </c>
      <c r="AN74" s="8" t="n">
        <f aca="false">SUM(AN75)</f>
        <v>0</v>
      </c>
      <c r="AO74" s="8" t="n">
        <f aca="false">SUM(AO75)</f>
        <v>0</v>
      </c>
      <c r="AP74" s="8" t="n">
        <f aca="false">SUM(AP75)</f>
        <v>0</v>
      </c>
      <c r="AQ74" s="8" t="n">
        <f aca="false">SUM(AQ75)</f>
        <v>0</v>
      </c>
      <c r="AR74" s="8" t="n">
        <f aca="false">SUM(AR75)</f>
        <v>0</v>
      </c>
      <c r="AS74" s="8" t="n">
        <f aca="false">SUM(AS75)</f>
        <v>0</v>
      </c>
    </row>
    <row r="75" customFormat="false" ht="15" hidden="true" customHeight="true" outlineLevel="1" collapsed="false">
      <c r="A75" s="1" t="s">
        <v>29</v>
      </c>
      <c r="B75" s="1" t="s">
        <v>10</v>
      </c>
      <c r="C75" s="1" t="s">
        <v>143</v>
      </c>
      <c r="D75" s="1" t="s">
        <v>141</v>
      </c>
      <c r="E75" s="1" t="s">
        <v>92</v>
      </c>
      <c r="F75" s="10" t="n">
        <v>0</v>
      </c>
      <c r="G75" s="10" t="n">
        <v>0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10</v>
      </c>
      <c r="N75" s="10" t="n">
        <v>10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0</v>
      </c>
      <c r="AA75" s="10" t="n">
        <v>0</v>
      </c>
      <c r="AB75" s="10" t="n">
        <v>10</v>
      </c>
      <c r="AC75" s="10" t="n">
        <v>10</v>
      </c>
      <c r="AD75" s="10" t="n">
        <v>10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0</v>
      </c>
      <c r="AJ75" s="10" t="n">
        <v>0</v>
      </c>
      <c r="AK75" s="10" t="n">
        <v>0</v>
      </c>
      <c r="AL75" s="10" t="n">
        <v>0</v>
      </c>
      <c r="AM75" s="10" t="n">
        <v>0</v>
      </c>
      <c r="AN75" s="10" t="n">
        <v>0</v>
      </c>
      <c r="AO75" s="10" t="n">
        <v>0</v>
      </c>
      <c r="AP75" s="10" t="n">
        <v>0</v>
      </c>
      <c r="AQ75" s="10" t="n">
        <v>0</v>
      </c>
      <c r="AR75" s="10" t="n">
        <v>0</v>
      </c>
      <c r="AS75" s="10" t="n">
        <v>0</v>
      </c>
    </row>
    <row r="76" customFormat="false" ht="15" hidden="false" customHeight="true" outlineLevel="0" collapsed="false">
      <c r="A76" s="4" t="s">
        <v>12</v>
      </c>
      <c r="B76" s="4" t="s">
        <v>10</v>
      </c>
      <c r="C76" s="4" t="s">
        <v>9</v>
      </c>
      <c r="D76" s="4" t="s">
        <v>76</v>
      </c>
      <c r="E76" s="4" t="s">
        <v>77</v>
      </c>
      <c r="F76" s="8" t="n">
        <f aca="false">SUM(F77,F78,F79,F80,F81,F82,F83,F84,F85)</f>
        <v>25</v>
      </c>
      <c r="G76" s="8" t="n">
        <f aca="false">SUM(G77,G78,G79,G80,G81,G82,G83,G84,G85)</f>
        <v>22</v>
      </c>
      <c r="H76" s="8" t="n">
        <f aca="false">SUM(H77,H78,H79,H80,H81,H82,H83,H84,H85)</f>
        <v>12</v>
      </c>
      <c r="I76" s="8" t="n">
        <f aca="false">SUM(I77,I78,I79,I80,I81,I82,I83,I84,I85)</f>
        <v>0</v>
      </c>
      <c r="J76" s="8" t="n">
        <f aca="false">SUM(J77,J78,J79,J80,J81,J82,J83,J84,J85)</f>
        <v>8</v>
      </c>
      <c r="K76" s="8" t="n">
        <f aca="false">SUM(K77,K78,K79,K80,K81,K82,K83,K84,K85)</f>
        <v>0.5</v>
      </c>
      <c r="L76" s="8" t="n">
        <f aca="false">SUM(L77,L78,L79,L80,L81,L82,L83,L84,L85)</f>
        <v>3</v>
      </c>
      <c r="M76" s="8" t="n">
        <f aca="false">SUM(M77,M78,M79,M80,M81,M82,M83,M84,M85)</f>
        <v>23.114035</v>
      </c>
      <c r="N76" s="8" t="n">
        <f aca="false">SUM(N77,N78,N79,N80,N81,N82,N83,N84,N85)</f>
        <v>20.614035</v>
      </c>
      <c r="O76" s="8" t="n">
        <f aca="false">SUM(O77,O78,O79,O80,O81,O82,O83,O84,O85)</f>
        <v>20.5</v>
      </c>
      <c r="P76" s="8" t="n">
        <f aca="false">SUM(P77,P78,P79,P80,P81,P82,P83,P84,P85)</f>
        <v>25</v>
      </c>
      <c r="Q76" s="8" t="n">
        <f aca="false">SUM(Q77,Q78,Q79,Q80,Q81,Q82,Q83,Q84,Q85)</f>
        <v>24</v>
      </c>
      <c r="R76" s="8" t="n">
        <f aca="false">SUM(R77,R78,R79,R80,R81,R82,R83,R84,R85)</f>
        <v>22</v>
      </c>
      <c r="S76" s="8" t="n">
        <f aca="false">SUM(S77,S78,S79,S80,S81,S82,S83,S84,S85)</f>
        <v>40</v>
      </c>
      <c r="T76" s="8" t="n">
        <f aca="false">SUM(T77,T78,T79,T80,T81,T82,T83,T84,T85)</f>
        <v>40</v>
      </c>
      <c r="U76" s="8" t="n">
        <f aca="false">SUM(U77,U78,U79,U80,U81,U82,U83,U84,U85)</f>
        <v>15.5</v>
      </c>
      <c r="V76" s="8" t="n">
        <f aca="false">SUM(V77,V78,V79,V80,V81,V82,V83,V84,V85)</f>
        <v>3</v>
      </c>
      <c r="W76" s="8" t="n">
        <f aca="false">SUM(W77,W78,W79,W80,W81,W82,W83,W84,W85)</f>
        <v>0</v>
      </c>
      <c r="X76" s="8" t="n">
        <f aca="false">SUM(X77,X78,X79,X80,X81,X82,X83,X84,X85)</f>
        <v>0</v>
      </c>
      <c r="Y76" s="8" t="n">
        <f aca="false">SUM(Y77,Y78,Y79,Y80,Y81,Y82,Y83,Y84,Y85)</f>
        <v>14</v>
      </c>
      <c r="Z76" s="8" t="n">
        <f aca="false">SUM(Z77,Z78,Z79,Z80,Z81,Z82,Z83,Z84,Z85)</f>
        <v>31.5</v>
      </c>
      <c r="AA76" s="8" t="n">
        <f aca="false">SUM(AA77,AA78,AA79,AA80,AA81,AA82,AA83,AA84,AA85)</f>
        <v>30.5</v>
      </c>
      <c r="AB76" s="8" t="n">
        <f aca="false">SUM(AB77,AB78,AB79,AB80,AB81,AB82,AB83,AB84,AB85)</f>
        <v>55</v>
      </c>
      <c r="AC76" s="8" t="n">
        <f aca="false">SUM(AC77,AC78,AC79,AC80,AC81,AC82,AC83,AC84,AC85)</f>
        <v>55</v>
      </c>
      <c r="AD76" s="8" t="n">
        <f aca="false">SUM(AD77,AD78,AD79,AD80,AD81,AD82,AD83,AD84,AD85)</f>
        <v>55</v>
      </c>
      <c r="AE76" s="8" t="n">
        <f aca="false">SUM(AE77,AE78,AE79,AE80,AE81,AE82,AE83,AE84,AE85)</f>
        <v>12.5</v>
      </c>
      <c r="AF76" s="8" t="n">
        <f aca="false">SUM(AF77,AF78,AF79,AF80,AF81,AF82,AF83,AF84,AF85)</f>
        <v>0</v>
      </c>
      <c r="AG76" s="8" t="n">
        <f aca="false">SUM(AG77,AG78,AG79,AG80,AG81,AG82,AG83,AG84,AG85)</f>
        <v>0</v>
      </c>
      <c r="AH76" s="8" t="n">
        <f aca="false">SUM(AH77,AH78,AH79,AH80,AH81,AH82,AH83,AH84,AH85)</f>
        <v>0</v>
      </c>
      <c r="AI76" s="8" t="n">
        <f aca="false">SUM(AI77,AI78,AI79,AI80,AI81,AI82,AI83,AI84,AI85)</f>
        <v>0</v>
      </c>
      <c r="AJ76" s="8" t="n">
        <f aca="false">SUM(AJ77,AJ78,AJ79,AJ80,AJ81,AJ82,AJ83,AJ84,AJ85)</f>
        <v>0</v>
      </c>
      <c r="AK76" s="8" t="n">
        <f aca="false">SUM(AK77,AK78,AK79,AK80,AK81,AK82,AK83,AK84,AK85)</f>
        <v>0</v>
      </c>
      <c r="AL76" s="8" t="n">
        <f aca="false">SUM(AL77,AL78,AL79,AL80,AL81,AL82,AL83,AL84,AL85)</f>
        <v>0</v>
      </c>
      <c r="AM76" s="8" t="n">
        <f aca="false">SUM(AM77,AM78,AM79,AM80,AM81,AM82,AM83,AM84,AM85)</f>
        <v>0</v>
      </c>
      <c r="AN76" s="8" t="n">
        <f aca="false">SUM(AN77,AN78,AN79,AN80,AN81,AN82,AN83,AN84,AN85)</f>
        <v>0</v>
      </c>
      <c r="AO76" s="8" t="n">
        <f aca="false">SUM(AO77,AO78,AO79,AO80,AO81,AO82,AO83,AO84,AO85)</f>
        <v>0</v>
      </c>
      <c r="AP76" s="8" t="n">
        <f aca="false">SUM(AP77,AP78,AP79,AP80,AP81,AP82,AP83,AP84,AP85)</f>
        <v>0</v>
      </c>
      <c r="AQ76" s="8" t="n">
        <f aca="false">SUM(AQ77,AQ78,AQ79,AQ80,AQ81,AQ82,AQ83,AQ84,AQ85)</f>
        <v>0</v>
      </c>
      <c r="AR76" s="8" t="n">
        <f aca="false">SUM(AR77,AR78,AR79,AR80,AR81,AR82,AR83,AR84,AR85)</f>
        <v>0</v>
      </c>
      <c r="AS76" s="8" t="n">
        <f aca="false">SUM(AS77,AS78,AS79,AS80,AS81,AS82,AS83,AS84,AS85)</f>
        <v>0</v>
      </c>
    </row>
    <row r="77" customFormat="false" ht="15" hidden="true" customHeight="true" outlineLevel="1" collapsed="false">
      <c r="A77" s="1" t="s">
        <v>12</v>
      </c>
      <c r="B77" s="1" t="s">
        <v>10</v>
      </c>
      <c r="C77" s="1" t="s">
        <v>9</v>
      </c>
      <c r="D77" s="1" t="s">
        <v>141</v>
      </c>
      <c r="E77" s="1" t="s">
        <v>81</v>
      </c>
      <c r="F77" s="10" t="n">
        <v>0</v>
      </c>
      <c r="G77" s="10" t="n">
        <v>1</v>
      </c>
      <c r="H77" s="10" t="n">
        <v>0</v>
      </c>
      <c r="I77" s="10" t="n">
        <v>0</v>
      </c>
      <c r="J77" s="10" t="n">
        <v>8</v>
      </c>
      <c r="K77" s="10" t="n">
        <v>0</v>
      </c>
      <c r="L77" s="10" t="n">
        <v>0</v>
      </c>
      <c r="M77" s="10" t="n">
        <v>8.614035</v>
      </c>
      <c r="N77" s="10" t="n">
        <v>8.614035</v>
      </c>
      <c r="O77" s="10" t="n">
        <v>8</v>
      </c>
      <c r="P77" s="10" t="n">
        <v>2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8</v>
      </c>
      <c r="Z77" s="10" t="n">
        <v>25.5</v>
      </c>
      <c r="AA77" s="10" t="n">
        <v>9.5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</row>
    <row r="78" customFormat="false" ht="15" hidden="true" customHeight="true" outlineLevel="1" collapsed="false">
      <c r="A78" s="1" t="s">
        <v>12</v>
      </c>
      <c r="B78" s="1" t="s">
        <v>10</v>
      </c>
      <c r="C78" s="1" t="s">
        <v>9</v>
      </c>
      <c r="D78" s="1" t="s">
        <v>141</v>
      </c>
      <c r="E78" s="1" t="s">
        <v>94</v>
      </c>
      <c r="F78" s="10" t="n">
        <v>0</v>
      </c>
      <c r="G78" s="10" t="n">
        <v>0.5</v>
      </c>
      <c r="H78" s="10" t="n">
        <v>0</v>
      </c>
      <c r="I78" s="10" t="n">
        <v>0</v>
      </c>
      <c r="J78" s="10" t="n">
        <v>0</v>
      </c>
      <c r="K78" s="10" t="n">
        <v>0.5</v>
      </c>
      <c r="L78" s="10" t="n">
        <v>0</v>
      </c>
      <c r="M78" s="10" t="n">
        <v>2</v>
      </c>
      <c r="N78" s="10" t="n">
        <v>0</v>
      </c>
      <c r="O78" s="10" t="n">
        <v>3</v>
      </c>
      <c r="P78" s="10" t="n">
        <v>3</v>
      </c>
      <c r="Q78" s="10" t="n">
        <v>1</v>
      </c>
      <c r="R78" s="10" t="n">
        <v>0</v>
      </c>
      <c r="S78" s="10" t="n">
        <v>7.5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3</v>
      </c>
      <c r="AA78" s="10" t="n">
        <v>7</v>
      </c>
      <c r="AB78" s="10" t="n">
        <v>0</v>
      </c>
      <c r="AC78" s="10" t="n">
        <v>0</v>
      </c>
      <c r="AD78" s="10" t="n">
        <v>18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</row>
    <row r="79" customFormat="false" ht="15" hidden="true" customHeight="true" outlineLevel="1" collapsed="false">
      <c r="A79" s="1" t="s">
        <v>12</v>
      </c>
      <c r="B79" s="1" t="s">
        <v>10</v>
      </c>
      <c r="C79" s="1" t="s">
        <v>9</v>
      </c>
      <c r="D79" s="1" t="s">
        <v>141</v>
      </c>
      <c r="E79" s="1" t="s">
        <v>95</v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3</v>
      </c>
      <c r="M79" s="10" t="n">
        <v>0</v>
      </c>
      <c r="N79" s="10" t="n">
        <v>2</v>
      </c>
      <c r="O79" s="10" t="n">
        <v>2</v>
      </c>
      <c r="P79" s="10" t="n">
        <v>7</v>
      </c>
      <c r="Q79" s="10" t="n">
        <v>16</v>
      </c>
      <c r="R79" s="10" t="n">
        <v>3</v>
      </c>
      <c r="S79" s="10" t="n">
        <v>24</v>
      </c>
      <c r="T79" s="10" t="n">
        <v>36</v>
      </c>
      <c r="U79" s="10" t="n">
        <v>14</v>
      </c>
      <c r="V79" s="10" t="n">
        <v>3</v>
      </c>
      <c r="W79" s="10" t="n">
        <v>0</v>
      </c>
      <c r="X79" s="10" t="n">
        <v>0</v>
      </c>
      <c r="Y79" s="10" t="n">
        <v>6</v>
      </c>
      <c r="Z79" s="10" t="n">
        <v>3</v>
      </c>
      <c r="AA79" s="10" t="n">
        <v>14</v>
      </c>
      <c r="AB79" s="10" t="n">
        <v>55</v>
      </c>
      <c r="AC79" s="10" t="n">
        <v>55</v>
      </c>
      <c r="AD79" s="10" t="n">
        <v>9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0</v>
      </c>
      <c r="AQ79" s="10" t="n">
        <v>0</v>
      </c>
      <c r="AR79" s="10" t="n">
        <v>0</v>
      </c>
      <c r="AS79" s="10" t="n">
        <v>0</v>
      </c>
    </row>
    <row r="80" customFormat="false" ht="15" hidden="true" customHeight="true" outlineLevel="1" collapsed="false">
      <c r="A80" s="1" t="s">
        <v>12</v>
      </c>
      <c r="B80" s="1" t="s">
        <v>10</v>
      </c>
      <c r="C80" s="1" t="s">
        <v>9</v>
      </c>
      <c r="D80" s="1" t="s">
        <v>141</v>
      </c>
      <c r="E80" s="1" t="s">
        <v>84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12.5</v>
      </c>
      <c r="N80" s="10" t="n">
        <v>10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</row>
    <row r="81" customFormat="false" ht="15" hidden="true" customHeight="true" outlineLevel="1" collapsed="false">
      <c r="A81" s="1" t="s">
        <v>12</v>
      </c>
      <c r="B81" s="1" t="s">
        <v>10</v>
      </c>
      <c r="C81" s="1" t="s">
        <v>9</v>
      </c>
      <c r="D81" s="1" t="s">
        <v>141</v>
      </c>
      <c r="E81" s="1" t="s">
        <v>40</v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11.1</v>
      </c>
      <c r="AE81" s="10" t="n">
        <v>1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</v>
      </c>
      <c r="AR81" s="10" t="n">
        <v>0</v>
      </c>
      <c r="AS81" s="10" t="n">
        <v>0</v>
      </c>
    </row>
    <row r="82" customFormat="false" ht="15" hidden="true" customHeight="true" outlineLevel="1" collapsed="false">
      <c r="A82" s="1" t="s">
        <v>12</v>
      </c>
      <c r="B82" s="1" t="s">
        <v>10</v>
      </c>
      <c r="C82" s="1" t="s">
        <v>9</v>
      </c>
      <c r="D82" s="1" t="s">
        <v>141</v>
      </c>
      <c r="E82" s="1" t="s">
        <v>96</v>
      </c>
      <c r="F82" s="10" t="n">
        <v>18</v>
      </c>
      <c r="G82" s="10" t="n">
        <v>18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8.5</v>
      </c>
      <c r="Q82" s="10" t="n">
        <v>3.5</v>
      </c>
      <c r="R82" s="10" t="n">
        <v>0</v>
      </c>
      <c r="S82" s="10" t="n">
        <v>8.5</v>
      </c>
      <c r="T82" s="10" t="n">
        <v>4</v>
      </c>
      <c r="U82" s="10" t="n">
        <v>1.5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16.9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</row>
    <row r="83" customFormat="false" ht="15" hidden="true" customHeight="true" outlineLevel="1" collapsed="false">
      <c r="A83" s="1" t="s">
        <v>12</v>
      </c>
      <c r="B83" s="1" t="s">
        <v>10</v>
      </c>
      <c r="C83" s="1" t="s">
        <v>9</v>
      </c>
      <c r="D83" s="1" t="s">
        <v>141</v>
      </c>
      <c r="E83" s="1" t="s">
        <v>99</v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3</v>
      </c>
      <c r="P83" s="10" t="n">
        <v>1</v>
      </c>
      <c r="Q83" s="10" t="n">
        <v>2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0</v>
      </c>
    </row>
    <row r="84" customFormat="false" ht="15" hidden="true" customHeight="true" outlineLevel="1" collapsed="false">
      <c r="A84" s="1" t="s">
        <v>12</v>
      </c>
      <c r="B84" s="1" t="s">
        <v>10</v>
      </c>
      <c r="C84" s="1" t="s">
        <v>9</v>
      </c>
      <c r="D84" s="1" t="s">
        <v>141</v>
      </c>
      <c r="E84" s="1" t="s">
        <v>43</v>
      </c>
      <c r="F84" s="10" t="n">
        <v>3.5</v>
      </c>
      <c r="G84" s="10" t="n">
        <v>2.5</v>
      </c>
      <c r="H84" s="10" t="n">
        <v>10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3</v>
      </c>
      <c r="Q84" s="10" t="n">
        <v>1</v>
      </c>
      <c r="R84" s="10" t="n">
        <v>13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11.5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</row>
    <row r="85" customFormat="false" ht="15" hidden="true" customHeight="true" outlineLevel="1" collapsed="false">
      <c r="A85" s="1" t="s">
        <v>12</v>
      </c>
      <c r="B85" s="1" t="s">
        <v>10</v>
      </c>
      <c r="C85" s="1" t="s">
        <v>9</v>
      </c>
      <c r="D85" s="1" t="s">
        <v>141</v>
      </c>
      <c r="E85" s="1" t="s">
        <v>100</v>
      </c>
      <c r="F85" s="10" t="n">
        <v>3.5</v>
      </c>
      <c r="G85" s="10" t="n">
        <v>0</v>
      </c>
      <c r="H85" s="10" t="n">
        <v>2</v>
      </c>
      <c r="I85" s="10" t="n">
        <v>0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4.5</v>
      </c>
      <c r="P85" s="10" t="n">
        <v>0.5</v>
      </c>
      <c r="Q85" s="10" t="n">
        <v>0.5</v>
      </c>
      <c r="R85" s="10" t="n">
        <v>6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</row>
    <row r="86" customFormat="false" ht="15" hidden="false" customHeight="true" outlineLevel="0" collapsed="false">
      <c r="A86" s="4" t="s">
        <v>12</v>
      </c>
      <c r="B86" s="4" t="s">
        <v>10</v>
      </c>
      <c r="C86" s="4" t="s">
        <v>36</v>
      </c>
      <c r="D86" s="4" t="s">
        <v>76</v>
      </c>
      <c r="E86" s="4" t="s">
        <v>77</v>
      </c>
      <c r="F86" s="8" t="n">
        <f aca="false">SUM(F87,F88,F89,F90,F91,F92,F93,F94,F95)</f>
        <v>31</v>
      </c>
      <c r="G86" s="8" t="n">
        <f aca="false">SUM(G87,G88,G89,G90,G91,G92,G93,G94,G95)</f>
        <v>23.5</v>
      </c>
      <c r="H86" s="8" t="n">
        <f aca="false">SUM(H87,H88,H89,H90,H91,H92,H93,H94,H95)</f>
        <v>13.5</v>
      </c>
      <c r="I86" s="8" t="n">
        <f aca="false">SUM(I87,I88,I89,I90,I91,I92,I93,I94,I95)</f>
        <v>0</v>
      </c>
      <c r="J86" s="8" t="n">
        <f aca="false">SUM(J87,J88,J89,J90,J91,J92,J93,J94,J95)</f>
        <v>0</v>
      </c>
      <c r="K86" s="8" t="n">
        <f aca="false">SUM(K87,K88,K89,K90,K91,K92,K93,K94,K95)</f>
        <v>0.4</v>
      </c>
      <c r="L86" s="8" t="n">
        <f aca="false">SUM(L87,L88,L89,L90,L91,L92,L93,L94,L95)</f>
        <v>0</v>
      </c>
      <c r="M86" s="8" t="n">
        <f aca="false">SUM(M87,M88,M89,M90,M91,M92,M93,M94,M95)</f>
        <v>40</v>
      </c>
      <c r="N86" s="8" t="n">
        <f aca="false">SUM(N87,N88,N89,N90,N91,N92,N93,N94,N95)</f>
        <v>40</v>
      </c>
      <c r="O86" s="8" t="n">
        <f aca="false">SUM(O87,O88,O89,O90,O91,O92,O93,O94,O95)</f>
        <v>18</v>
      </c>
      <c r="P86" s="8" t="n">
        <f aca="false">SUM(P87,P88,P89,P90,P91,P92,P93,P94,P95)</f>
        <v>28</v>
      </c>
      <c r="Q86" s="8" t="n">
        <f aca="false">SUM(Q87,Q88,Q89,Q90,Q91,Q92,Q93,Q94,Q95)</f>
        <v>25</v>
      </c>
      <c r="R86" s="8" t="n">
        <f aca="false">SUM(R87,R88,R89,R90,R91,R92,R93,R94,R95)</f>
        <v>2.5</v>
      </c>
      <c r="S86" s="8" t="n">
        <f aca="false">SUM(S87,S88,S89,S90,S91,S92,S93,S94,S95)</f>
        <v>9.5</v>
      </c>
      <c r="T86" s="8" t="n">
        <f aca="false">SUM(T87,T88,T89,T90,T91,T92,T93,T94,T95)</f>
        <v>12</v>
      </c>
      <c r="U86" s="8" t="n">
        <f aca="false">SUM(U87,U88,U89,U90,U91,U92,U93,U94,U95)</f>
        <v>12</v>
      </c>
      <c r="V86" s="8" t="n">
        <f aca="false">SUM(V87,V88,V89,V90,V91,V92,V93,V94,V95)</f>
        <v>0</v>
      </c>
      <c r="W86" s="8" t="n">
        <f aca="false">SUM(W87,W88,W89,W90,W91,W92,W93,W94,W95)</f>
        <v>0</v>
      </c>
      <c r="X86" s="8" t="n">
        <f aca="false">SUM(X87,X88,X89,X90,X91,X92,X93,X94,X95)</f>
        <v>7.5</v>
      </c>
      <c r="Y86" s="8" t="n">
        <f aca="false">SUM(Y87,Y88,Y89,Y90,Y91,Y92,Y93,Y94,Y95)</f>
        <v>33</v>
      </c>
      <c r="Z86" s="8" t="n">
        <f aca="false">SUM(Z87,Z88,Z89,Z90,Z91,Z92,Z93,Z94,Z95)</f>
        <v>45</v>
      </c>
      <c r="AA86" s="8" t="n">
        <f aca="false">SUM(AA87,AA88,AA89,AA90,AA91,AA92,AA93,AA94,AA95)</f>
        <v>44</v>
      </c>
      <c r="AB86" s="8" t="n">
        <f aca="false">SUM(AB87,AB88,AB89,AB90,AB91,AB92,AB93,AB94,AB95)</f>
        <v>55</v>
      </c>
      <c r="AC86" s="8" t="n">
        <f aca="false">SUM(AC87,AC88,AC89,AC90,AC91,AC92,AC93,AC94,AC95)</f>
        <v>55</v>
      </c>
      <c r="AD86" s="8" t="n">
        <f aca="false">SUM(AD87,AD88,AD89,AD90,AD91,AD92,AD93,AD94,AD95)</f>
        <v>54</v>
      </c>
      <c r="AE86" s="8" t="n">
        <f aca="false">SUM(AE87,AE88,AE89,AE90,AE91,AE92,AE93,AE94,AE95)</f>
        <v>28</v>
      </c>
      <c r="AF86" s="8" t="n">
        <f aca="false">SUM(AF87,AF88,AF89,AF90,AF91,AF92,AF93,AF94,AF95)</f>
        <v>0</v>
      </c>
      <c r="AG86" s="8" t="n">
        <f aca="false">SUM(AG87,AG88,AG89,AG90,AG91,AG92,AG93,AG94,AG95)</f>
        <v>0</v>
      </c>
      <c r="AH86" s="8" t="n">
        <f aca="false">SUM(AH87,AH88,AH89,AH90,AH91,AH92,AH93,AH94,AH95)</f>
        <v>0</v>
      </c>
      <c r="AI86" s="8" t="n">
        <f aca="false">SUM(AI87,AI88,AI89,AI90,AI91,AI92,AI93,AI94,AI95)</f>
        <v>0</v>
      </c>
      <c r="AJ86" s="8" t="n">
        <f aca="false">SUM(AJ87,AJ88,AJ89,AJ90,AJ91,AJ92,AJ93,AJ94,AJ95)</f>
        <v>0</v>
      </c>
      <c r="AK86" s="8" t="n">
        <f aca="false">SUM(AK87,AK88,AK89,AK90,AK91,AK92,AK93,AK94,AK95)</f>
        <v>0</v>
      </c>
      <c r="AL86" s="8" t="n">
        <f aca="false">SUM(AL87,AL88,AL89,AL90,AL91,AL92,AL93,AL94,AL95)</f>
        <v>0</v>
      </c>
      <c r="AM86" s="8" t="n">
        <f aca="false">SUM(AM87,AM88,AM89,AM90,AM91,AM92,AM93,AM94,AM95)</f>
        <v>0</v>
      </c>
      <c r="AN86" s="8" t="n">
        <f aca="false">SUM(AN87,AN88,AN89,AN90,AN91,AN92,AN93,AN94,AN95)</f>
        <v>0</v>
      </c>
      <c r="AO86" s="8" t="n">
        <f aca="false">SUM(AO87,AO88,AO89,AO90,AO91,AO92,AO93,AO94,AO95)</f>
        <v>0</v>
      </c>
      <c r="AP86" s="8" t="n">
        <f aca="false">SUM(AP87,AP88,AP89,AP90,AP91,AP92,AP93,AP94,AP95)</f>
        <v>0</v>
      </c>
      <c r="AQ86" s="8" t="n">
        <f aca="false">SUM(AQ87,AQ88,AQ89,AQ90,AQ91,AQ92,AQ93,AQ94,AQ95)</f>
        <v>0</v>
      </c>
      <c r="AR86" s="8" t="n">
        <f aca="false">SUM(AR87,AR88,AR89,AR90,AR91,AR92,AR93,AR94,AR95)</f>
        <v>0</v>
      </c>
      <c r="AS86" s="8" t="n">
        <f aca="false">SUM(AS87,AS88,AS89,AS90,AS91,AS92,AS93,AS94,AS95)</f>
        <v>0</v>
      </c>
    </row>
    <row r="87" customFormat="false" ht="15" hidden="true" customHeight="true" outlineLevel="1" collapsed="false">
      <c r="A87" s="1" t="s">
        <v>12</v>
      </c>
      <c r="B87" s="1" t="s">
        <v>10</v>
      </c>
      <c r="C87" s="1" t="s">
        <v>36</v>
      </c>
      <c r="D87" s="1" t="s">
        <v>141</v>
      </c>
      <c r="E87" s="1" t="s">
        <v>108</v>
      </c>
      <c r="F87" s="10" t="n">
        <v>4</v>
      </c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0.4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1</v>
      </c>
      <c r="U87" s="10" t="n">
        <v>1</v>
      </c>
      <c r="V87" s="10" t="n">
        <v>0</v>
      </c>
      <c r="W87" s="10" t="n">
        <v>0</v>
      </c>
      <c r="X87" s="10" t="n">
        <v>0.5</v>
      </c>
      <c r="Y87" s="10" t="n">
        <v>11</v>
      </c>
      <c r="Z87" s="10" t="n">
        <v>0.5</v>
      </c>
      <c r="AA87" s="10" t="n">
        <v>5.5</v>
      </c>
      <c r="AB87" s="10" t="n">
        <v>21.5</v>
      </c>
      <c r="AC87" s="10" t="n">
        <v>14.5</v>
      </c>
      <c r="AD87" s="10" t="n">
        <v>11.5</v>
      </c>
      <c r="AE87" s="10" t="n">
        <v>0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</row>
    <row r="88" customFormat="false" ht="15" hidden="true" customHeight="true" outlineLevel="1" collapsed="false">
      <c r="A88" s="1" t="s">
        <v>12</v>
      </c>
      <c r="B88" s="1" t="s">
        <v>10</v>
      </c>
      <c r="C88" s="1" t="s">
        <v>36</v>
      </c>
      <c r="D88" s="1" t="s">
        <v>141</v>
      </c>
      <c r="E88" s="1" t="s">
        <v>94</v>
      </c>
      <c r="F88" s="10" t="n">
        <v>0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9.5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</row>
    <row r="89" customFormat="false" ht="15" hidden="true" customHeight="true" outlineLevel="1" collapsed="false">
      <c r="A89" s="1" t="s">
        <v>12</v>
      </c>
      <c r="B89" s="1" t="s">
        <v>10</v>
      </c>
      <c r="C89" s="1" t="s">
        <v>36</v>
      </c>
      <c r="D89" s="1" t="s">
        <v>141</v>
      </c>
      <c r="E89" s="1" t="s">
        <v>109</v>
      </c>
      <c r="F89" s="10" t="n">
        <v>13</v>
      </c>
      <c r="G89" s="10" t="n">
        <v>10</v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10</v>
      </c>
      <c r="Q89" s="10" t="n">
        <v>10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  <c r="Z89" s="10" t="n">
        <v>9</v>
      </c>
      <c r="AA89" s="10" t="n">
        <v>7</v>
      </c>
      <c r="AB89" s="10" t="n">
        <v>6</v>
      </c>
      <c r="AC89" s="10" t="n">
        <v>6</v>
      </c>
      <c r="AD89" s="10" t="n">
        <v>6</v>
      </c>
      <c r="AE89" s="10" t="n">
        <v>0</v>
      </c>
      <c r="AF89" s="10" t="n">
        <v>0</v>
      </c>
      <c r="AG89" s="10" t="n">
        <v>0</v>
      </c>
      <c r="AH89" s="10" t="n">
        <v>0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</row>
    <row r="90" customFormat="false" ht="15" hidden="true" customHeight="true" outlineLevel="1" collapsed="false">
      <c r="A90" s="1" t="s">
        <v>12</v>
      </c>
      <c r="B90" s="1" t="s">
        <v>10</v>
      </c>
      <c r="C90" s="1" t="s">
        <v>36</v>
      </c>
      <c r="D90" s="1" t="s">
        <v>141</v>
      </c>
      <c r="E90" s="1" t="s">
        <v>110</v>
      </c>
      <c r="F90" s="10" t="n">
        <v>4</v>
      </c>
      <c r="G90" s="10" t="n">
        <v>8</v>
      </c>
      <c r="H90" s="10" t="n">
        <v>8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10.5</v>
      </c>
      <c r="N90" s="10" t="n">
        <v>10.5</v>
      </c>
      <c r="O90" s="10" t="n">
        <v>8</v>
      </c>
      <c r="P90" s="10" t="n">
        <v>8</v>
      </c>
      <c r="Q90" s="10" t="n">
        <v>0</v>
      </c>
      <c r="R90" s="10" t="n">
        <v>0</v>
      </c>
      <c r="S90" s="10" t="n">
        <v>0</v>
      </c>
      <c r="T90" s="10" t="n">
        <v>6</v>
      </c>
      <c r="U90" s="10" t="n">
        <v>6</v>
      </c>
      <c r="V90" s="10" t="n">
        <v>0</v>
      </c>
      <c r="W90" s="10" t="n">
        <v>0</v>
      </c>
      <c r="X90" s="10" t="n">
        <v>0</v>
      </c>
      <c r="Y90" s="10" t="n">
        <v>11</v>
      </c>
      <c r="Z90" s="10" t="n">
        <v>22.5</v>
      </c>
      <c r="AA90" s="10" t="n">
        <v>18.5</v>
      </c>
      <c r="AB90" s="10" t="n">
        <v>9</v>
      </c>
      <c r="AC90" s="10" t="n">
        <v>10</v>
      </c>
      <c r="AD90" s="10" t="n">
        <v>10</v>
      </c>
      <c r="AE90" s="10" t="n">
        <v>13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</row>
    <row r="91" customFormat="false" ht="15" hidden="true" customHeight="true" outlineLevel="1" collapsed="false">
      <c r="A91" s="1" t="s">
        <v>12</v>
      </c>
      <c r="B91" s="1" t="s">
        <v>10</v>
      </c>
      <c r="C91" s="1" t="s">
        <v>36</v>
      </c>
      <c r="D91" s="1" t="s">
        <v>141</v>
      </c>
      <c r="E91" s="1" t="s">
        <v>84</v>
      </c>
      <c r="F91" s="10" t="n">
        <v>0</v>
      </c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7.5</v>
      </c>
      <c r="N91" s="10" t="n">
        <v>5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  <c r="AD91" s="10" t="n">
        <v>0</v>
      </c>
      <c r="AE91" s="10" t="n">
        <v>0</v>
      </c>
      <c r="AF91" s="10" t="n">
        <v>0</v>
      </c>
      <c r="AG91" s="10" t="n">
        <v>0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0</v>
      </c>
      <c r="AM91" s="10" t="n">
        <v>0</v>
      </c>
      <c r="AN91" s="10" t="n">
        <v>0</v>
      </c>
      <c r="AO91" s="10" t="n">
        <v>0</v>
      </c>
      <c r="AP91" s="10" t="n">
        <v>0</v>
      </c>
      <c r="AQ91" s="10" t="n">
        <v>0</v>
      </c>
      <c r="AR91" s="10" t="n">
        <v>0</v>
      </c>
      <c r="AS91" s="10" t="n">
        <v>0</v>
      </c>
    </row>
    <row r="92" customFormat="false" ht="15" hidden="true" customHeight="true" outlineLevel="1" collapsed="false">
      <c r="A92" s="1" t="s">
        <v>12</v>
      </c>
      <c r="B92" s="1" t="s">
        <v>10</v>
      </c>
      <c r="C92" s="1" t="s">
        <v>36</v>
      </c>
      <c r="D92" s="1" t="s">
        <v>141</v>
      </c>
      <c r="E92" s="1" t="s">
        <v>97</v>
      </c>
      <c r="F92" s="10" t="n">
        <v>8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10</v>
      </c>
      <c r="N92" s="10" t="n">
        <v>10</v>
      </c>
      <c r="O92" s="10" t="n">
        <v>10</v>
      </c>
      <c r="P92" s="10" t="n">
        <v>10</v>
      </c>
      <c r="Q92" s="10" t="n">
        <v>15</v>
      </c>
      <c r="R92" s="10" t="n">
        <v>0</v>
      </c>
      <c r="S92" s="10" t="n">
        <v>5</v>
      </c>
      <c r="T92" s="10" t="n">
        <v>5</v>
      </c>
      <c r="U92" s="10" t="n">
        <v>5</v>
      </c>
      <c r="V92" s="10" t="n">
        <v>0</v>
      </c>
      <c r="W92" s="10" t="n">
        <v>0</v>
      </c>
      <c r="X92" s="10" t="n">
        <v>5</v>
      </c>
      <c r="Y92" s="10" t="n">
        <v>5</v>
      </c>
      <c r="Z92" s="10" t="n">
        <v>5</v>
      </c>
      <c r="AA92" s="10" t="n">
        <v>5</v>
      </c>
      <c r="AB92" s="10" t="n">
        <v>5</v>
      </c>
      <c r="AC92" s="10" t="n">
        <v>5</v>
      </c>
      <c r="AD92" s="10" t="n">
        <v>5</v>
      </c>
      <c r="AE92" s="10" t="n">
        <v>5</v>
      </c>
      <c r="AF92" s="10" t="n">
        <v>0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</row>
    <row r="93" customFormat="false" ht="15" hidden="true" customHeight="true" outlineLevel="1" collapsed="false">
      <c r="A93" s="1" t="s">
        <v>12</v>
      </c>
      <c r="B93" s="1" t="s">
        <v>10</v>
      </c>
      <c r="C93" s="1" t="s">
        <v>36</v>
      </c>
      <c r="D93" s="1" t="s">
        <v>141</v>
      </c>
      <c r="E93" s="1" t="s">
        <v>85</v>
      </c>
      <c r="F93" s="10" t="n">
        <v>2</v>
      </c>
      <c r="G93" s="10" t="n">
        <v>5.5</v>
      </c>
      <c r="H93" s="10" t="n">
        <v>5.5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2.5</v>
      </c>
      <c r="S93" s="10" t="n">
        <v>4.5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5.5</v>
      </c>
      <c r="AC93" s="10" t="n">
        <v>0</v>
      </c>
      <c r="AD93" s="10" t="n">
        <v>11.5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0</v>
      </c>
    </row>
    <row r="94" customFormat="false" ht="15" hidden="true" customHeight="true" outlineLevel="1" collapsed="false">
      <c r="A94" s="1" t="s">
        <v>12</v>
      </c>
      <c r="B94" s="1" t="s">
        <v>10</v>
      </c>
      <c r="C94" s="1" t="s">
        <v>36</v>
      </c>
      <c r="D94" s="1" t="s">
        <v>141</v>
      </c>
      <c r="E94" s="1" t="s">
        <v>112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2</v>
      </c>
      <c r="Y94" s="10" t="n">
        <v>6</v>
      </c>
      <c r="Z94" s="10" t="n">
        <v>8</v>
      </c>
      <c r="AA94" s="10" t="n">
        <v>8</v>
      </c>
      <c r="AB94" s="10" t="n">
        <v>8</v>
      </c>
      <c r="AC94" s="10" t="n">
        <v>10</v>
      </c>
      <c r="AD94" s="10" t="n">
        <v>10</v>
      </c>
      <c r="AE94" s="10" t="n">
        <v>10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</row>
    <row r="95" customFormat="false" ht="15" hidden="true" customHeight="true" outlineLevel="1" collapsed="false">
      <c r="A95" s="1" t="s">
        <v>12</v>
      </c>
      <c r="B95" s="1" t="s">
        <v>10</v>
      </c>
      <c r="C95" s="1" t="s">
        <v>36</v>
      </c>
      <c r="D95" s="1" t="s">
        <v>141</v>
      </c>
      <c r="E95" s="1" t="s">
        <v>88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12</v>
      </c>
      <c r="N95" s="10" t="n">
        <v>14.5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  <c r="AD95" s="10" t="n">
        <v>0</v>
      </c>
      <c r="AE95" s="10" t="n">
        <v>0</v>
      </c>
      <c r="AF95" s="10" t="n">
        <v>0</v>
      </c>
      <c r="AG95" s="10" t="n">
        <v>0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</row>
    <row r="96" customFormat="false" ht="15" hidden="false" customHeight="true" outlineLevel="0" collapsed="false">
      <c r="A96" s="4" t="s">
        <v>12</v>
      </c>
      <c r="B96" s="4" t="s">
        <v>10</v>
      </c>
      <c r="C96" s="4" t="s">
        <v>22</v>
      </c>
      <c r="D96" s="4" t="s">
        <v>76</v>
      </c>
      <c r="E96" s="4" t="s">
        <v>77</v>
      </c>
      <c r="F96" s="8" t="n">
        <f aca="false">SUM(F97,F98,F99,F100)</f>
        <v>18.5</v>
      </c>
      <c r="G96" s="8" t="n">
        <f aca="false">SUM(G97,G98,G99,G100)</f>
        <v>5</v>
      </c>
      <c r="H96" s="8" t="n">
        <f aca="false">SUM(H97,H98,H99,H100)</f>
        <v>8</v>
      </c>
      <c r="I96" s="8" t="n">
        <f aca="false">SUM(I97,I98,I99,I100)</f>
        <v>3</v>
      </c>
      <c r="J96" s="8" t="n">
        <f aca="false">SUM(J97,J98,J99,J100)</f>
        <v>3</v>
      </c>
      <c r="K96" s="8" t="n">
        <f aca="false">SUM(K97,K98,K99,K100)</f>
        <v>3</v>
      </c>
      <c r="L96" s="8" t="n">
        <f aca="false">SUM(L97,L98,L99,L100)</f>
        <v>13</v>
      </c>
      <c r="M96" s="8" t="n">
        <f aca="false">SUM(M97,M98,M99,M100)</f>
        <v>14</v>
      </c>
      <c r="N96" s="8" t="n">
        <f aca="false">SUM(N97,N98,N99,N100)</f>
        <v>6</v>
      </c>
      <c r="O96" s="8" t="n">
        <f aca="false">SUM(O97,O98,O99,O100)</f>
        <v>5</v>
      </c>
      <c r="P96" s="8" t="n">
        <f aca="false">SUM(P97,P98,P99,P100)</f>
        <v>5</v>
      </c>
      <c r="Q96" s="8" t="n">
        <f aca="false">SUM(Q97,Q98,Q99,Q100)</f>
        <v>10</v>
      </c>
      <c r="R96" s="8" t="n">
        <f aca="false">SUM(R97,R98,R99,R100)</f>
        <v>10</v>
      </c>
      <c r="S96" s="8" t="n">
        <f aca="false">SUM(S97,S98,S99,S100)</f>
        <v>0</v>
      </c>
      <c r="T96" s="8" t="n">
        <f aca="false">SUM(T97,T98,T99,T100)</f>
        <v>0</v>
      </c>
      <c r="U96" s="8" t="n">
        <f aca="false">SUM(U97,U98,U99,U100)</f>
        <v>8</v>
      </c>
      <c r="V96" s="8" t="n">
        <f aca="false">SUM(V97,V98,V99,V100)</f>
        <v>0</v>
      </c>
      <c r="W96" s="8" t="n">
        <f aca="false">SUM(W97,W98,W99,W100)</f>
        <v>0</v>
      </c>
      <c r="X96" s="8" t="n">
        <f aca="false">SUM(X97,X98,X99,X100)</f>
        <v>23</v>
      </c>
      <c r="Y96" s="8" t="n">
        <f aca="false">SUM(Y97,Y98,Y99,Y100)</f>
        <v>45</v>
      </c>
      <c r="Z96" s="8" t="n">
        <f aca="false">SUM(Z97,Z98,Z99,Z100)</f>
        <v>55</v>
      </c>
      <c r="AA96" s="8" t="n">
        <f aca="false">SUM(AA97,AA98,AA99,AA100)</f>
        <v>55</v>
      </c>
      <c r="AB96" s="8" t="n">
        <f aca="false">SUM(AB97,AB98,AB99,AB100)</f>
        <v>55</v>
      </c>
      <c r="AC96" s="8" t="n">
        <f aca="false">SUM(AC97,AC98,AC99,AC100)</f>
        <v>55</v>
      </c>
      <c r="AD96" s="8" t="n">
        <f aca="false">SUM(AD97,AD98,AD99,AD100)</f>
        <v>55</v>
      </c>
      <c r="AE96" s="8" t="n">
        <f aca="false">SUM(AE97,AE98,AE99,AE100)</f>
        <v>46</v>
      </c>
      <c r="AF96" s="8" t="n">
        <f aca="false">SUM(AF97,AF98,AF99,AF100)</f>
        <v>12</v>
      </c>
      <c r="AG96" s="8" t="n">
        <f aca="false">SUM(AG97,AG98,AG99,AG100)</f>
        <v>16</v>
      </c>
      <c r="AH96" s="8" t="n">
        <f aca="false">SUM(AH97,AH98,AH99,AH100)</f>
        <v>16</v>
      </c>
      <c r="AI96" s="8" t="n">
        <f aca="false">SUM(AI97,AI98,AI99,AI100)</f>
        <v>8</v>
      </c>
      <c r="AJ96" s="8" t="n">
        <f aca="false">SUM(AJ97,AJ98,AJ99,AJ100)</f>
        <v>0</v>
      </c>
      <c r="AK96" s="8" t="n">
        <f aca="false">SUM(AK97,AK98,AK99,AK100)</f>
        <v>0</v>
      </c>
      <c r="AL96" s="8" t="n">
        <f aca="false">SUM(AL97,AL98,AL99,AL100)</f>
        <v>0</v>
      </c>
      <c r="AM96" s="8" t="n">
        <f aca="false">SUM(AM97,AM98,AM99,AM100)</f>
        <v>0</v>
      </c>
      <c r="AN96" s="8" t="n">
        <f aca="false">SUM(AN97,AN98,AN99,AN100)</f>
        <v>0</v>
      </c>
      <c r="AO96" s="8" t="n">
        <f aca="false">SUM(AO97,AO98,AO99,AO100)</f>
        <v>0</v>
      </c>
      <c r="AP96" s="8" t="n">
        <f aca="false">SUM(AP97,AP98,AP99,AP100)</f>
        <v>0</v>
      </c>
      <c r="AQ96" s="8" t="n">
        <f aca="false">SUM(AQ97,AQ98,AQ99,AQ100)</f>
        <v>0</v>
      </c>
      <c r="AR96" s="8" t="n">
        <f aca="false">SUM(AR97,AR98,AR99,AR100)</f>
        <v>0</v>
      </c>
      <c r="AS96" s="8" t="n">
        <f aca="false">SUM(AS97,AS98,AS99,AS100)</f>
        <v>0</v>
      </c>
    </row>
    <row r="97" customFormat="false" ht="15" hidden="true" customHeight="true" outlineLevel="1" collapsed="false">
      <c r="A97" s="1" t="s">
        <v>12</v>
      </c>
      <c r="B97" s="1" t="s">
        <v>10</v>
      </c>
      <c r="C97" s="1" t="s">
        <v>22</v>
      </c>
      <c r="D97" s="1" t="s">
        <v>141</v>
      </c>
      <c r="E97" s="1" t="s">
        <v>113</v>
      </c>
      <c r="F97" s="10" t="n">
        <v>0</v>
      </c>
      <c r="G97" s="10" t="n">
        <v>0</v>
      </c>
      <c r="H97" s="10" t="n">
        <v>3</v>
      </c>
      <c r="I97" s="10" t="n">
        <v>3</v>
      </c>
      <c r="J97" s="10" t="n">
        <v>3</v>
      </c>
      <c r="K97" s="10" t="n">
        <v>3</v>
      </c>
      <c r="L97" s="10" t="n">
        <v>3</v>
      </c>
      <c r="M97" s="10" t="n">
        <v>3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12</v>
      </c>
      <c r="AG97" s="10" t="n">
        <v>16</v>
      </c>
      <c r="AH97" s="10" t="n">
        <v>16</v>
      </c>
      <c r="AI97" s="10" t="n">
        <v>8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</row>
    <row r="98" customFormat="false" ht="15" hidden="true" customHeight="true" outlineLevel="1" collapsed="false">
      <c r="A98" s="1" t="s">
        <v>12</v>
      </c>
      <c r="B98" s="1" t="s">
        <v>10</v>
      </c>
      <c r="C98" s="1" t="s">
        <v>22</v>
      </c>
      <c r="D98" s="1" t="s">
        <v>141</v>
      </c>
      <c r="E98" s="1" t="s">
        <v>102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1</v>
      </c>
      <c r="N98" s="10" t="n">
        <v>6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8</v>
      </c>
      <c r="Y98" s="10" t="n">
        <v>15</v>
      </c>
      <c r="Z98" s="10" t="n">
        <v>15</v>
      </c>
      <c r="AA98" s="10" t="n">
        <v>20</v>
      </c>
      <c r="AB98" s="10" t="n">
        <v>20</v>
      </c>
      <c r="AC98" s="10" t="n">
        <v>15</v>
      </c>
      <c r="AD98" s="10" t="n">
        <v>15</v>
      </c>
      <c r="AE98" s="10" t="n">
        <v>6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</row>
    <row r="99" customFormat="false" ht="15" hidden="true" customHeight="true" outlineLevel="1" collapsed="false">
      <c r="A99" s="1" t="s">
        <v>12</v>
      </c>
      <c r="B99" s="1" t="s">
        <v>10</v>
      </c>
      <c r="C99" s="1" t="s">
        <v>22</v>
      </c>
      <c r="D99" s="1" t="s">
        <v>141</v>
      </c>
      <c r="E99" s="1" t="s">
        <v>103</v>
      </c>
      <c r="F99" s="10" t="n">
        <v>12.5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5</v>
      </c>
      <c r="P99" s="10" t="n">
        <v>5</v>
      </c>
      <c r="Q99" s="10" t="n">
        <v>10</v>
      </c>
      <c r="R99" s="10" t="n">
        <v>10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10</v>
      </c>
      <c r="Z99" s="10" t="n">
        <v>10</v>
      </c>
      <c r="AA99" s="10" t="n">
        <v>10</v>
      </c>
      <c r="AB99" s="10" t="n">
        <v>10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</row>
    <row r="100" customFormat="false" ht="15" hidden="true" customHeight="true" outlineLevel="1" collapsed="false">
      <c r="A100" s="1" t="s">
        <v>12</v>
      </c>
      <c r="B100" s="1" t="s">
        <v>10</v>
      </c>
      <c r="C100" s="1" t="s">
        <v>22</v>
      </c>
      <c r="D100" s="1" t="s">
        <v>141</v>
      </c>
      <c r="E100" s="1" t="s">
        <v>99</v>
      </c>
      <c r="F100" s="10" t="n">
        <v>6</v>
      </c>
      <c r="G100" s="10" t="n">
        <v>5</v>
      </c>
      <c r="H100" s="10" t="n">
        <v>5</v>
      </c>
      <c r="I100" s="10" t="n">
        <v>0</v>
      </c>
      <c r="J100" s="10" t="n">
        <v>0</v>
      </c>
      <c r="K100" s="10" t="n">
        <v>0</v>
      </c>
      <c r="L100" s="10" t="n">
        <v>10</v>
      </c>
      <c r="M100" s="10" t="n">
        <v>10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8</v>
      </c>
      <c r="V100" s="10" t="n">
        <v>0</v>
      </c>
      <c r="W100" s="10" t="n">
        <v>0</v>
      </c>
      <c r="X100" s="10" t="n">
        <v>15</v>
      </c>
      <c r="Y100" s="10" t="n">
        <v>20</v>
      </c>
      <c r="Z100" s="10" t="n">
        <v>30</v>
      </c>
      <c r="AA100" s="10" t="n">
        <v>25</v>
      </c>
      <c r="AB100" s="10" t="n">
        <v>25</v>
      </c>
      <c r="AC100" s="10" t="n">
        <v>40</v>
      </c>
      <c r="AD100" s="10" t="n">
        <v>40</v>
      </c>
      <c r="AE100" s="10" t="n">
        <v>40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</row>
    <row r="101" customFormat="false" ht="15" hidden="false" customHeight="true" outlineLevel="0" collapsed="false">
      <c r="A101" s="4" t="s">
        <v>12</v>
      </c>
      <c r="B101" s="4" t="s">
        <v>10</v>
      </c>
      <c r="C101" s="4" t="s">
        <v>20</v>
      </c>
      <c r="D101" s="4" t="s">
        <v>76</v>
      </c>
      <c r="E101" s="4" t="s">
        <v>77</v>
      </c>
      <c r="F101" s="8" t="n">
        <f aca="false">SUM(F102,F103,F104,F105,F106,F107,F108,F109)</f>
        <v>40</v>
      </c>
      <c r="G101" s="8" t="n">
        <f aca="false">SUM(G102,G103,G104,G105,G106,G107,G108,G109)</f>
        <v>40</v>
      </c>
      <c r="H101" s="8" t="n">
        <f aca="false">SUM(H102,H103,H104,H105,H106,H107,H108,H109)</f>
        <v>40</v>
      </c>
      <c r="I101" s="8" t="n">
        <f aca="false">SUM(I102,I103,I104,I105,I106,I107,I108,I109)</f>
        <v>16.5</v>
      </c>
      <c r="J101" s="8" t="n">
        <f aca="false">SUM(J102,J103,J104,J105,J106,J107,J108,J109)</f>
        <v>16.5</v>
      </c>
      <c r="K101" s="8" t="n">
        <f aca="false">SUM(K102,K103,K104,K105,K106,K107,K108,K109)</f>
        <v>12.5</v>
      </c>
      <c r="L101" s="8" t="n">
        <f aca="false">SUM(L102,L103,L104,L105,L106,L107,L108,L109)</f>
        <v>20.5</v>
      </c>
      <c r="M101" s="8" t="n">
        <f aca="false">SUM(M102,M103,M104,M105,M106,M107,M108,M109)</f>
        <v>40</v>
      </c>
      <c r="N101" s="8" t="n">
        <f aca="false">SUM(N102,N103,N104,N105,N106,N107,N108,N109)</f>
        <v>40</v>
      </c>
      <c r="O101" s="8" t="n">
        <f aca="false">SUM(O102,O103,O104,O105,O106,O107,O108,O109)</f>
        <v>14.5</v>
      </c>
      <c r="P101" s="8" t="n">
        <f aca="false">SUM(P102,P103,P104,P105,P106,P107,P108,P109)</f>
        <v>17.5</v>
      </c>
      <c r="Q101" s="8" t="n">
        <f aca="false">SUM(Q102,Q103,Q104,Q105,Q106,Q107,Q108,Q109)</f>
        <v>25.5</v>
      </c>
      <c r="R101" s="8" t="n">
        <f aca="false">SUM(R102,R103,R104,R105,R106,R107,R108,R109)</f>
        <v>40</v>
      </c>
      <c r="S101" s="8" t="n">
        <f aca="false">SUM(S102,S103,S104,S105,S106,S107,S108,S109)</f>
        <v>40</v>
      </c>
      <c r="T101" s="8" t="n">
        <f aca="false">SUM(T102,T103,T104,T105,T106,T107,T108,T109)</f>
        <v>25.5</v>
      </c>
      <c r="U101" s="8" t="n">
        <f aca="false">SUM(U102,U103,U104,U105,U106,U107,U108,U109)</f>
        <v>17</v>
      </c>
      <c r="V101" s="8" t="n">
        <f aca="false">SUM(V102,V103,V104,V105,V106,V107,V108,V109)</f>
        <v>10</v>
      </c>
      <c r="W101" s="8" t="n">
        <f aca="false">SUM(W102,W103,W104,W105,W106,W107,W108,W109)</f>
        <v>0</v>
      </c>
      <c r="X101" s="8" t="n">
        <f aca="false">SUM(X102,X103,X104,X105,X106,X107,X108,X109)</f>
        <v>13.5</v>
      </c>
      <c r="Y101" s="8" t="n">
        <f aca="false">SUM(Y102,Y103,Y104,Y105,Y106,Y107,Y108,Y109)</f>
        <v>16.5</v>
      </c>
      <c r="Z101" s="8" t="n">
        <f aca="false">SUM(Z102,Z103,Z104,Z105,Z106,Z107,Z108,Z109)</f>
        <v>28.5</v>
      </c>
      <c r="AA101" s="8" t="n">
        <f aca="false">SUM(AA102,AA103,AA104,AA105,AA106,AA107,AA108,AA109)</f>
        <v>37.5</v>
      </c>
      <c r="AB101" s="8" t="n">
        <f aca="false">SUM(AB102,AB103,AB104,AB105,AB106,AB107,AB108,AB109)</f>
        <v>55</v>
      </c>
      <c r="AC101" s="8" t="n">
        <f aca="false">SUM(AC102,AC103,AC104,AC105,AC106,AC107,AC108,AC109)</f>
        <v>55</v>
      </c>
      <c r="AD101" s="8" t="n">
        <f aca="false">SUM(AD102,AD103,AD104,AD105,AD106,AD107,AD108,AD109)</f>
        <v>55</v>
      </c>
      <c r="AE101" s="8" t="n">
        <f aca="false">SUM(AE102,AE103,AE104,AE105,AE106,AE107,AE108,AE109)</f>
        <v>55</v>
      </c>
      <c r="AF101" s="8" t="n">
        <f aca="false">SUM(AF102,AF103,AF104,AF105,AF106,AF107,AF108,AF109)</f>
        <v>30</v>
      </c>
      <c r="AG101" s="8" t="n">
        <f aca="false">SUM(AG102,AG103,AG104,AG105,AG106,AG107,AG108,AG109)</f>
        <v>30</v>
      </c>
      <c r="AH101" s="8" t="n">
        <f aca="false">SUM(AH102,AH103,AH104,AH105,AH106,AH107,AH108,AH109)</f>
        <v>30</v>
      </c>
      <c r="AI101" s="8" t="n">
        <f aca="false">SUM(AI102,AI103,AI104,AI105,AI106,AI107,AI108,AI109)</f>
        <v>0</v>
      </c>
      <c r="AJ101" s="8" t="n">
        <f aca="false">SUM(AJ102,AJ103,AJ104,AJ105,AJ106,AJ107,AJ108,AJ109)</f>
        <v>0</v>
      </c>
      <c r="AK101" s="8" t="n">
        <f aca="false">SUM(AK102,AK103,AK104,AK105,AK106,AK107,AK108,AK109)</f>
        <v>0</v>
      </c>
      <c r="AL101" s="8" t="n">
        <f aca="false">SUM(AL102,AL103,AL104,AL105,AL106,AL107,AL108,AL109)</f>
        <v>0</v>
      </c>
      <c r="AM101" s="8" t="n">
        <f aca="false">SUM(AM102,AM103,AM104,AM105,AM106,AM107,AM108,AM109)</f>
        <v>0</v>
      </c>
      <c r="AN101" s="8" t="n">
        <f aca="false">SUM(AN102,AN103,AN104,AN105,AN106,AN107,AN108,AN109)</f>
        <v>0</v>
      </c>
      <c r="AO101" s="8" t="n">
        <f aca="false">SUM(AO102,AO103,AO104,AO105,AO106,AO107,AO108,AO109)</f>
        <v>0</v>
      </c>
      <c r="AP101" s="8" t="n">
        <f aca="false">SUM(AP102,AP103,AP104,AP105,AP106,AP107,AP108,AP109)</f>
        <v>0</v>
      </c>
      <c r="AQ101" s="8" t="n">
        <f aca="false">SUM(AQ102,AQ103,AQ104,AQ105,AQ106,AQ107,AQ108,AQ109)</f>
        <v>0</v>
      </c>
      <c r="AR101" s="8" t="n">
        <f aca="false">SUM(AR102,AR103,AR104,AR105,AR106,AR107,AR108,AR109)</f>
        <v>0</v>
      </c>
      <c r="AS101" s="8" t="n">
        <f aca="false">SUM(AS102,AS103,AS104,AS105,AS106,AS107,AS108,AS109)</f>
        <v>0</v>
      </c>
    </row>
    <row r="102" customFormat="false" ht="15" hidden="true" customHeight="true" outlineLevel="1" collapsed="false">
      <c r="A102" s="1" t="s">
        <v>12</v>
      </c>
      <c r="B102" s="1" t="s">
        <v>10</v>
      </c>
      <c r="C102" s="1" t="s">
        <v>20</v>
      </c>
      <c r="D102" s="1" t="s">
        <v>141</v>
      </c>
      <c r="E102" s="1" t="s">
        <v>84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4</v>
      </c>
      <c r="N102" s="10" t="n">
        <v>4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</row>
    <row r="103" customFormat="false" ht="15" hidden="true" customHeight="true" outlineLevel="1" collapsed="false">
      <c r="A103" s="1" t="s">
        <v>12</v>
      </c>
      <c r="B103" s="1" t="s">
        <v>10</v>
      </c>
      <c r="C103" s="1" t="s">
        <v>20</v>
      </c>
      <c r="D103" s="1" t="s">
        <v>141</v>
      </c>
      <c r="E103" s="1" t="s">
        <v>40</v>
      </c>
      <c r="F103" s="10" t="n">
        <v>0</v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8</v>
      </c>
      <c r="AC103" s="10" t="n">
        <v>0</v>
      </c>
      <c r="AD103" s="10" t="n">
        <v>4.44089209850063E-015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</row>
    <row r="104" customFormat="false" ht="15" hidden="true" customHeight="true" outlineLevel="1" collapsed="false">
      <c r="A104" s="1" t="s">
        <v>12</v>
      </c>
      <c r="B104" s="1" t="s">
        <v>10</v>
      </c>
      <c r="C104" s="1" t="s">
        <v>20</v>
      </c>
      <c r="D104" s="1" t="s">
        <v>141</v>
      </c>
      <c r="E104" s="1" t="s">
        <v>85</v>
      </c>
      <c r="F104" s="10" t="n">
        <v>27</v>
      </c>
      <c r="G104" s="10" t="n">
        <v>38</v>
      </c>
      <c r="H104" s="10" t="n">
        <v>36</v>
      </c>
      <c r="I104" s="10" t="n">
        <v>5.5</v>
      </c>
      <c r="J104" s="10" t="n">
        <v>3.5</v>
      </c>
      <c r="K104" s="10" t="n">
        <v>3.5</v>
      </c>
      <c r="L104" s="10" t="n">
        <v>3.5</v>
      </c>
      <c r="M104" s="10" t="n">
        <v>3.5</v>
      </c>
      <c r="N104" s="10" t="n">
        <v>3.5</v>
      </c>
      <c r="O104" s="10" t="n">
        <v>5.5</v>
      </c>
      <c r="P104" s="10" t="n">
        <v>3.5</v>
      </c>
      <c r="Q104" s="10" t="n">
        <v>11.5</v>
      </c>
      <c r="R104" s="10" t="n">
        <v>40</v>
      </c>
      <c r="S104" s="10" t="n">
        <v>36</v>
      </c>
      <c r="T104" s="10" t="n">
        <v>11.5</v>
      </c>
      <c r="U104" s="10" t="n">
        <v>0</v>
      </c>
      <c r="V104" s="10" t="n">
        <v>0</v>
      </c>
      <c r="W104" s="10" t="n">
        <v>0</v>
      </c>
      <c r="X104" s="10" t="n">
        <v>13.5</v>
      </c>
      <c r="Y104" s="10" t="n">
        <v>6.5</v>
      </c>
      <c r="Z104" s="10" t="n">
        <v>3.5</v>
      </c>
      <c r="AA104" s="10" t="n">
        <v>7.5</v>
      </c>
      <c r="AB104" s="10" t="n">
        <v>9</v>
      </c>
      <c r="AC104" s="10" t="n">
        <v>25</v>
      </c>
      <c r="AD104" s="10" t="n">
        <v>10</v>
      </c>
      <c r="AE104" s="10" t="n">
        <v>10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</row>
    <row r="105" customFormat="false" ht="15" hidden="true" customHeight="true" outlineLevel="1" collapsed="false">
      <c r="A105" s="1" t="s">
        <v>12</v>
      </c>
      <c r="B105" s="1" t="s">
        <v>10</v>
      </c>
      <c r="C105" s="1" t="s">
        <v>20</v>
      </c>
      <c r="D105" s="1" t="s">
        <v>141</v>
      </c>
      <c r="E105" s="1" t="s">
        <v>43</v>
      </c>
      <c r="F105" s="10" t="n">
        <v>8</v>
      </c>
      <c r="G105" s="10" t="n">
        <v>0</v>
      </c>
      <c r="H105" s="10" t="n">
        <v>0</v>
      </c>
      <c r="I105" s="10" t="n">
        <v>5</v>
      </c>
      <c r="J105" s="10" t="n">
        <v>5</v>
      </c>
      <c r="K105" s="10" t="n">
        <v>5</v>
      </c>
      <c r="L105" s="10" t="n">
        <v>5</v>
      </c>
      <c r="M105" s="10" t="n">
        <v>5</v>
      </c>
      <c r="N105" s="10" t="n">
        <v>5</v>
      </c>
      <c r="O105" s="10" t="n">
        <v>5</v>
      </c>
      <c r="P105" s="10" t="n">
        <v>10</v>
      </c>
      <c r="Q105" s="10" t="n">
        <v>10</v>
      </c>
      <c r="R105" s="10" t="n">
        <v>0</v>
      </c>
      <c r="S105" s="10" t="n">
        <v>0</v>
      </c>
      <c r="T105" s="10" t="n">
        <v>10</v>
      </c>
      <c r="U105" s="10" t="n">
        <v>10</v>
      </c>
      <c r="V105" s="10" t="n">
        <v>10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0</v>
      </c>
      <c r="AK105" s="10" t="n">
        <v>0</v>
      </c>
      <c r="AL105" s="10" t="n">
        <v>0</v>
      </c>
      <c r="AM105" s="10" t="n">
        <v>0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</row>
    <row r="106" customFormat="false" ht="15" hidden="true" customHeight="true" outlineLevel="1" collapsed="false">
      <c r="A106" s="1" t="s">
        <v>12</v>
      </c>
      <c r="B106" s="1" t="s">
        <v>10</v>
      </c>
      <c r="C106" s="1" t="s">
        <v>20</v>
      </c>
      <c r="D106" s="1" t="s">
        <v>141</v>
      </c>
      <c r="E106" s="1" t="s">
        <v>111</v>
      </c>
      <c r="F106" s="10" t="n">
        <v>5</v>
      </c>
      <c r="G106" s="10" t="n">
        <v>2</v>
      </c>
      <c r="H106" s="10" t="n">
        <v>4</v>
      </c>
      <c r="I106" s="10" t="n">
        <v>4</v>
      </c>
      <c r="J106" s="10" t="n">
        <v>4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4</v>
      </c>
      <c r="P106" s="10" t="n">
        <v>4</v>
      </c>
      <c r="Q106" s="10" t="n">
        <v>4</v>
      </c>
      <c r="R106" s="10" t="n">
        <v>0</v>
      </c>
      <c r="S106" s="10" t="n">
        <v>4</v>
      </c>
      <c r="T106" s="10" t="n">
        <v>4</v>
      </c>
      <c r="U106" s="10" t="n">
        <v>4</v>
      </c>
      <c r="V106" s="10" t="n">
        <v>0</v>
      </c>
      <c r="W106" s="10" t="n">
        <v>0</v>
      </c>
      <c r="X106" s="10" t="n">
        <v>0</v>
      </c>
      <c r="Y106" s="10" t="n">
        <v>4</v>
      </c>
      <c r="Z106" s="10" t="n">
        <v>10</v>
      </c>
      <c r="AA106" s="10" t="n">
        <v>10</v>
      </c>
      <c r="AB106" s="10" t="n">
        <v>8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</row>
    <row r="107" customFormat="false" ht="15" hidden="true" customHeight="true" outlineLevel="1" collapsed="false">
      <c r="A107" s="1" t="s">
        <v>12</v>
      </c>
      <c r="B107" s="1" t="s">
        <v>10</v>
      </c>
      <c r="C107" s="1" t="s">
        <v>20</v>
      </c>
      <c r="D107" s="1" t="s">
        <v>141</v>
      </c>
      <c r="E107" s="1" t="s">
        <v>100</v>
      </c>
      <c r="F107" s="10" t="n">
        <v>0</v>
      </c>
      <c r="G107" s="10" t="n">
        <v>0</v>
      </c>
      <c r="H107" s="10" t="n">
        <v>0</v>
      </c>
      <c r="I107" s="10" t="n">
        <v>2</v>
      </c>
      <c r="J107" s="10" t="n">
        <v>4</v>
      </c>
      <c r="K107" s="10" t="n">
        <v>4</v>
      </c>
      <c r="L107" s="10" t="n">
        <v>12</v>
      </c>
      <c r="M107" s="10" t="n">
        <v>20</v>
      </c>
      <c r="N107" s="10" t="n">
        <v>12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3</v>
      </c>
      <c r="V107" s="10" t="n">
        <v>0</v>
      </c>
      <c r="W107" s="10" t="n">
        <v>0</v>
      </c>
      <c r="X107" s="10" t="n">
        <v>0</v>
      </c>
      <c r="Y107" s="10" t="n">
        <v>6</v>
      </c>
      <c r="Z107" s="10" t="n">
        <v>15</v>
      </c>
      <c r="AA107" s="10" t="n">
        <v>20</v>
      </c>
      <c r="AB107" s="10" t="n">
        <v>30</v>
      </c>
      <c r="AC107" s="10" t="n">
        <v>30</v>
      </c>
      <c r="AD107" s="10" t="n">
        <v>45</v>
      </c>
      <c r="AE107" s="10" t="n">
        <v>45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</row>
    <row r="108" customFormat="false" ht="15" hidden="true" customHeight="true" outlineLevel="1" collapsed="false">
      <c r="A108" s="1" t="s">
        <v>12</v>
      </c>
      <c r="B108" s="1" t="s">
        <v>10</v>
      </c>
      <c r="C108" s="1" t="s">
        <v>20</v>
      </c>
      <c r="D108" s="1" t="s">
        <v>141</v>
      </c>
      <c r="E108" s="1" t="s">
        <v>114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30</v>
      </c>
      <c r="AG108" s="10" t="n">
        <v>30</v>
      </c>
      <c r="AH108" s="10" t="n">
        <v>30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</row>
    <row r="109" customFormat="false" ht="15" hidden="true" customHeight="true" outlineLevel="1" collapsed="false">
      <c r="A109" s="1" t="s">
        <v>12</v>
      </c>
      <c r="B109" s="1" t="s">
        <v>10</v>
      </c>
      <c r="C109" s="1" t="s">
        <v>20</v>
      </c>
      <c r="D109" s="1" t="s">
        <v>141</v>
      </c>
      <c r="E109" s="1" t="s">
        <v>88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7.5</v>
      </c>
      <c r="N109" s="10" t="n">
        <v>15.5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</row>
    <row r="110" customFormat="false" ht="15" hidden="false" customHeight="true" outlineLevel="0" collapsed="false">
      <c r="A110" s="4" t="s">
        <v>12</v>
      </c>
      <c r="B110" s="4" t="s">
        <v>10</v>
      </c>
      <c r="C110" s="4" t="s">
        <v>23</v>
      </c>
      <c r="D110" s="4" t="s">
        <v>76</v>
      </c>
      <c r="E110" s="4" t="s">
        <v>77</v>
      </c>
      <c r="F110" s="8" t="n">
        <f aca="false">SUM(F111,F112,F113,F114,F115,F116)</f>
        <v>0.614035</v>
      </c>
      <c r="G110" s="8" t="n">
        <f aca="false">SUM(G111,G112,G113,G114,G115,G116)</f>
        <v>14.614035</v>
      </c>
      <c r="H110" s="8" t="n">
        <f aca="false">SUM(H111,H112,H113,H114,H115,H116)</f>
        <v>18.614035</v>
      </c>
      <c r="I110" s="8" t="n">
        <f aca="false">SUM(I111,I112,I113,I114,I115,I116)</f>
        <v>18.614035</v>
      </c>
      <c r="J110" s="8" t="n">
        <f aca="false">SUM(J111,J112,J113,J114,J115,J116)</f>
        <v>19.614035</v>
      </c>
      <c r="K110" s="8" t="n">
        <f aca="false">SUM(K111,K112,K113,K114,K115,K116)</f>
        <v>15.614035</v>
      </c>
      <c r="L110" s="8" t="n">
        <f aca="false">SUM(L111,L112,L113,L114,L115,L116)</f>
        <v>32.614035</v>
      </c>
      <c r="M110" s="8" t="n">
        <f aca="false">SUM(M111,M112,M113,M114,M115,M116)</f>
        <v>40</v>
      </c>
      <c r="N110" s="8" t="n">
        <f aca="false">SUM(N111,N112,N113,N114,N115,N116)</f>
        <v>40</v>
      </c>
      <c r="O110" s="8" t="n">
        <f aca="false">SUM(O111,O112,O113,O114,O115,O116)</f>
        <v>17.614035</v>
      </c>
      <c r="P110" s="8" t="n">
        <f aca="false">SUM(P111,P112,P113,P114,P115,P116)</f>
        <v>21.614035</v>
      </c>
      <c r="Q110" s="8" t="n">
        <f aca="false">SUM(Q111,Q112,Q113,Q114,Q115,Q116)</f>
        <v>33.614035</v>
      </c>
      <c r="R110" s="8" t="n">
        <f aca="false">SUM(R111,R112,R113,R114,R115,R116)</f>
        <v>8.614035</v>
      </c>
      <c r="S110" s="8" t="n">
        <f aca="false">SUM(S111,S112,S113,S114,S115,S116)</f>
        <v>12.614035</v>
      </c>
      <c r="T110" s="8" t="n">
        <f aca="false">SUM(T111,T112,T113,T114,T115,T116)</f>
        <v>22.614035</v>
      </c>
      <c r="U110" s="8" t="n">
        <f aca="false">SUM(U111,U112,U113,U114,U115,U116)</f>
        <v>19.614035</v>
      </c>
      <c r="V110" s="8" t="n">
        <f aca="false">SUM(V111,V112,V113,V114,V115,V116)</f>
        <v>0.614035</v>
      </c>
      <c r="W110" s="8" t="n">
        <f aca="false">SUM(W111,W112,W113,W114,W115,W116)</f>
        <v>0.8</v>
      </c>
      <c r="X110" s="8" t="n">
        <f aca="false">SUM(X111,X112,X113,X114,X115,X116)</f>
        <v>42.5</v>
      </c>
      <c r="Y110" s="8" t="n">
        <f aca="false">SUM(Y111,Y112,Y113,Y114,Y115,Y116)</f>
        <v>47.5</v>
      </c>
      <c r="Z110" s="8" t="n">
        <f aca="false">SUM(Z111,Z112,Z113,Z114,Z115,Z116)</f>
        <v>55</v>
      </c>
      <c r="AA110" s="8" t="n">
        <f aca="false">SUM(AA111,AA112,AA113,AA114,AA115,AA116)</f>
        <v>55</v>
      </c>
      <c r="AB110" s="8" t="n">
        <f aca="false">SUM(AB111,AB112,AB113,AB114,AB115,AB116)</f>
        <v>55</v>
      </c>
      <c r="AC110" s="8" t="n">
        <f aca="false">SUM(AC111,AC112,AC113,AC114,AC115,AC116)</f>
        <v>55</v>
      </c>
      <c r="AD110" s="8" t="n">
        <f aca="false">SUM(AD111,AD112,AD113,AD114,AD115,AD116)</f>
        <v>55</v>
      </c>
      <c r="AE110" s="8" t="n">
        <f aca="false">SUM(AE111,AE112,AE113,AE114,AE115,AE116)</f>
        <v>17.5</v>
      </c>
      <c r="AF110" s="8" t="n">
        <f aca="false">SUM(AF111,AF112,AF113,AF114,AF115,AF116)</f>
        <v>10</v>
      </c>
      <c r="AG110" s="8" t="n">
        <f aca="false">SUM(AG111,AG112,AG113,AG114,AG115,AG116)</f>
        <v>17</v>
      </c>
      <c r="AH110" s="8" t="n">
        <f aca="false">SUM(AH111,AH112,AH113,AH114,AH115,AH116)</f>
        <v>15</v>
      </c>
      <c r="AI110" s="8" t="n">
        <f aca="false">SUM(AI111,AI112,AI113,AI114,AI115,AI116)</f>
        <v>0</v>
      </c>
      <c r="AJ110" s="8" t="n">
        <f aca="false">SUM(AJ111,AJ112,AJ113,AJ114,AJ115,AJ116)</f>
        <v>0</v>
      </c>
      <c r="AK110" s="8" t="n">
        <f aca="false">SUM(AK111,AK112,AK113,AK114,AK115,AK116)</f>
        <v>0</v>
      </c>
      <c r="AL110" s="8" t="n">
        <f aca="false">SUM(AL111,AL112,AL113,AL114,AL115,AL116)</f>
        <v>0</v>
      </c>
      <c r="AM110" s="8" t="n">
        <f aca="false">SUM(AM111,AM112,AM113,AM114,AM115,AM116)</f>
        <v>0</v>
      </c>
      <c r="AN110" s="8" t="n">
        <f aca="false">SUM(AN111,AN112,AN113,AN114,AN115,AN116)</f>
        <v>0</v>
      </c>
      <c r="AO110" s="8" t="n">
        <f aca="false">SUM(AO111,AO112,AO113,AO114,AO115,AO116)</f>
        <v>0</v>
      </c>
      <c r="AP110" s="8" t="n">
        <f aca="false">SUM(AP111,AP112,AP113,AP114,AP115,AP116)</f>
        <v>0</v>
      </c>
      <c r="AQ110" s="8" t="n">
        <f aca="false">SUM(AQ111,AQ112,AQ113,AQ114,AQ115,AQ116)</f>
        <v>0</v>
      </c>
      <c r="AR110" s="8" t="n">
        <f aca="false">SUM(AR111,AR112,AR113,AR114,AR115,AR116)</f>
        <v>0</v>
      </c>
      <c r="AS110" s="8" t="n">
        <f aca="false">SUM(AS111,AS112,AS113,AS114,AS115,AS116)</f>
        <v>0</v>
      </c>
    </row>
    <row r="111" customFormat="false" ht="15" hidden="true" customHeight="true" outlineLevel="1" collapsed="false">
      <c r="A111" s="1" t="s">
        <v>12</v>
      </c>
      <c r="B111" s="1" t="s">
        <v>10</v>
      </c>
      <c r="C111" s="1" t="s">
        <v>23</v>
      </c>
      <c r="D111" s="1" t="s">
        <v>141</v>
      </c>
      <c r="E111" s="1" t="s">
        <v>80</v>
      </c>
      <c r="F111" s="10" t="n">
        <v>0</v>
      </c>
      <c r="G111" s="10" t="n">
        <v>1</v>
      </c>
      <c r="H111" s="10" t="n">
        <v>0</v>
      </c>
      <c r="I111" s="10" t="n">
        <v>0</v>
      </c>
      <c r="J111" s="10" t="n">
        <v>2</v>
      </c>
      <c r="K111" s="10" t="n">
        <v>0</v>
      </c>
      <c r="L111" s="10" t="n">
        <v>2</v>
      </c>
      <c r="M111" s="10" t="n">
        <v>6</v>
      </c>
      <c r="N111" s="10" t="n">
        <v>4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2</v>
      </c>
      <c r="U111" s="10" t="n">
        <v>2</v>
      </c>
      <c r="V111" s="10" t="n">
        <v>0</v>
      </c>
      <c r="W111" s="10" t="n">
        <v>0</v>
      </c>
      <c r="X111" s="10" t="n">
        <v>3</v>
      </c>
      <c r="Y111" s="10" t="n">
        <v>5</v>
      </c>
      <c r="Z111" s="10" t="n">
        <v>2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10</v>
      </c>
      <c r="AG111" s="10" t="n">
        <v>17</v>
      </c>
      <c r="AH111" s="10" t="n">
        <v>15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</row>
    <row r="112" customFormat="false" ht="15" hidden="true" customHeight="true" outlineLevel="1" collapsed="false">
      <c r="A112" s="1" t="s">
        <v>12</v>
      </c>
      <c r="B112" s="1" t="s">
        <v>10</v>
      </c>
      <c r="C112" s="1" t="s">
        <v>23</v>
      </c>
      <c r="D112" s="1" t="s">
        <v>141</v>
      </c>
      <c r="E112" s="1" t="s">
        <v>81</v>
      </c>
      <c r="F112" s="10" t="n">
        <v>0.614035</v>
      </c>
      <c r="G112" s="10" t="n">
        <v>0.614035</v>
      </c>
      <c r="H112" s="10" t="n">
        <v>0.614035</v>
      </c>
      <c r="I112" s="10" t="n">
        <v>0.614035</v>
      </c>
      <c r="J112" s="10" t="n">
        <v>0.614035</v>
      </c>
      <c r="K112" s="10" t="n">
        <v>0.614035</v>
      </c>
      <c r="L112" s="10" t="n">
        <v>0.614035</v>
      </c>
      <c r="M112" s="10" t="n">
        <v>0</v>
      </c>
      <c r="N112" s="10" t="n">
        <v>0</v>
      </c>
      <c r="O112" s="10" t="n">
        <v>0.614035</v>
      </c>
      <c r="P112" s="10" t="n">
        <v>0.614035</v>
      </c>
      <c r="Q112" s="10" t="n">
        <v>0.614035</v>
      </c>
      <c r="R112" s="10" t="n">
        <v>0.614035</v>
      </c>
      <c r="S112" s="10" t="n">
        <v>0.614035</v>
      </c>
      <c r="T112" s="10" t="n">
        <v>0.614035</v>
      </c>
      <c r="U112" s="10" t="n">
        <v>0.614035</v>
      </c>
      <c r="V112" s="10" t="n">
        <v>0.614035</v>
      </c>
      <c r="W112" s="10" t="n">
        <v>0.8</v>
      </c>
      <c r="X112" s="10" t="n">
        <v>1.5</v>
      </c>
      <c r="Y112" s="10" t="n">
        <v>1.5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9.5</v>
      </c>
      <c r="AE112" s="10" t="n">
        <v>1.5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</row>
    <row r="113" customFormat="false" ht="15" hidden="true" customHeight="true" outlineLevel="1" collapsed="false">
      <c r="A113" s="1" t="s">
        <v>12</v>
      </c>
      <c r="B113" s="1" t="s">
        <v>10</v>
      </c>
      <c r="C113" s="1" t="s">
        <v>23</v>
      </c>
      <c r="D113" s="1" t="s">
        <v>141</v>
      </c>
      <c r="E113" s="1" t="s">
        <v>102</v>
      </c>
      <c r="F113" s="10" t="n">
        <v>0</v>
      </c>
      <c r="G113" s="10" t="n">
        <v>13</v>
      </c>
      <c r="H113" s="10" t="n">
        <v>18</v>
      </c>
      <c r="I113" s="10" t="n">
        <v>18</v>
      </c>
      <c r="J113" s="10" t="n">
        <v>17</v>
      </c>
      <c r="K113" s="10" t="n">
        <v>7</v>
      </c>
      <c r="L113" s="10" t="n">
        <v>7</v>
      </c>
      <c r="M113" s="10" t="n">
        <v>9</v>
      </c>
      <c r="N113" s="10" t="n">
        <v>4</v>
      </c>
      <c r="O113" s="10" t="n">
        <v>7</v>
      </c>
      <c r="P113" s="10" t="n">
        <v>8</v>
      </c>
      <c r="Q113" s="10" t="n">
        <v>10</v>
      </c>
      <c r="R113" s="10" t="n">
        <v>8</v>
      </c>
      <c r="S113" s="10" t="n">
        <v>4</v>
      </c>
      <c r="T113" s="10" t="n">
        <v>10</v>
      </c>
      <c r="U113" s="10" t="n">
        <v>7</v>
      </c>
      <c r="V113" s="10" t="n">
        <v>0</v>
      </c>
      <c r="W113" s="10" t="n">
        <v>0</v>
      </c>
      <c r="X113" s="10" t="n">
        <v>7</v>
      </c>
      <c r="Y113" s="10" t="n">
        <v>10</v>
      </c>
      <c r="Z113" s="10" t="n">
        <v>18</v>
      </c>
      <c r="AA113" s="10" t="n">
        <v>15</v>
      </c>
      <c r="AB113" s="10" t="n">
        <v>20</v>
      </c>
      <c r="AC113" s="10" t="n">
        <v>10</v>
      </c>
      <c r="AD113" s="10" t="n">
        <v>15.5</v>
      </c>
      <c r="AE113" s="10" t="n">
        <v>6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</row>
    <row r="114" customFormat="false" ht="15" hidden="true" customHeight="true" outlineLevel="1" collapsed="false">
      <c r="A114" s="1" t="s">
        <v>12</v>
      </c>
      <c r="B114" s="1" t="s">
        <v>10</v>
      </c>
      <c r="C114" s="1" t="s">
        <v>23</v>
      </c>
      <c r="D114" s="1" t="s">
        <v>141</v>
      </c>
      <c r="E114" s="1" t="s">
        <v>40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5</v>
      </c>
      <c r="AE114" s="10" t="n">
        <v>10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</row>
    <row r="115" customFormat="false" ht="15" hidden="true" customHeight="true" outlineLevel="1" collapsed="false">
      <c r="A115" s="1" t="s">
        <v>12</v>
      </c>
      <c r="B115" s="1" t="s">
        <v>10</v>
      </c>
      <c r="C115" s="1" t="s">
        <v>23</v>
      </c>
      <c r="D115" s="1" t="s">
        <v>141</v>
      </c>
      <c r="E115" s="1" t="s">
        <v>103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15</v>
      </c>
      <c r="M115" s="10" t="n">
        <v>15</v>
      </c>
      <c r="N115" s="10" t="n">
        <v>20</v>
      </c>
      <c r="O115" s="10" t="n">
        <v>0</v>
      </c>
      <c r="P115" s="10" t="n">
        <v>5</v>
      </c>
      <c r="Q115" s="10" t="n">
        <v>15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25</v>
      </c>
      <c r="Y115" s="10" t="n">
        <v>25</v>
      </c>
      <c r="Z115" s="10" t="n">
        <v>35</v>
      </c>
      <c r="AA115" s="10" t="n">
        <v>40</v>
      </c>
      <c r="AB115" s="10" t="n">
        <v>35</v>
      </c>
      <c r="AC115" s="10" t="n">
        <v>45</v>
      </c>
      <c r="AD115" s="10" t="n">
        <v>25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</row>
    <row r="116" customFormat="false" ht="15" hidden="true" customHeight="true" outlineLevel="1" collapsed="false">
      <c r="A116" s="1" t="s">
        <v>12</v>
      </c>
      <c r="B116" s="1" t="s">
        <v>10</v>
      </c>
      <c r="C116" s="1" t="s">
        <v>23</v>
      </c>
      <c r="D116" s="1" t="s">
        <v>141</v>
      </c>
      <c r="E116" s="1" t="s">
        <v>106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8</v>
      </c>
      <c r="L116" s="10" t="n">
        <v>8</v>
      </c>
      <c r="M116" s="10" t="n">
        <v>10</v>
      </c>
      <c r="N116" s="10" t="n">
        <v>12</v>
      </c>
      <c r="O116" s="10" t="n">
        <v>10</v>
      </c>
      <c r="P116" s="10" t="n">
        <v>8</v>
      </c>
      <c r="Q116" s="10" t="n">
        <v>8</v>
      </c>
      <c r="R116" s="10" t="n">
        <v>0</v>
      </c>
      <c r="S116" s="10" t="n">
        <v>8</v>
      </c>
      <c r="T116" s="10" t="n">
        <v>10</v>
      </c>
      <c r="U116" s="10" t="n">
        <v>10</v>
      </c>
      <c r="V116" s="10" t="n">
        <v>0</v>
      </c>
      <c r="W116" s="10" t="n">
        <v>0</v>
      </c>
      <c r="X116" s="10" t="n">
        <v>6</v>
      </c>
      <c r="Y116" s="10" t="n">
        <v>6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</row>
    <row r="117" customFormat="false" ht="15" hidden="false" customHeight="true" outlineLevel="0" collapsed="false">
      <c r="A117" s="4" t="s">
        <v>12</v>
      </c>
      <c r="B117" s="4" t="s">
        <v>10</v>
      </c>
      <c r="C117" s="4" t="s">
        <v>144</v>
      </c>
      <c r="D117" s="4" t="s">
        <v>76</v>
      </c>
      <c r="E117" s="4" t="s">
        <v>77</v>
      </c>
      <c r="F117" s="8" t="n">
        <f aca="false">SUM(F118,F119,F120,F121,F122,F123)</f>
        <v>0</v>
      </c>
      <c r="G117" s="8" t="n">
        <f aca="false">SUM(G118,G119,G120,G121,G122,G123)</f>
        <v>0</v>
      </c>
      <c r="H117" s="8" t="n">
        <f aca="false">SUM(H118,H119,H120,H121,H122,H123)</f>
        <v>0</v>
      </c>
      <c r="I117" s="8" t="n">
        <f aca="false">SUM(I118,I119,I120,I121,I122,I123)</f>
        <v>0</v>
      </c>
      <c r="J117" s="8" t="n">
        <f aca="false">SUM(J118,J119,J120,J121,J122,J123)</f>
        <v>0</v>
      </c>
      <c r="K117" s="8" t="n">
        <f aca="false">SUM(K118,K119,K120,K121,K122,K123)</f>
        <v>0</v>
      </c>
      <c r="L117" s="8" t="n">
        <f aca="false">SUM(L118,L119,L120,L121,L122,L123)</f>
        <v>0</v>
      </c>
      <c r="M117" s="8" t="n">
        <f aca="false">SUM(M118,M119,M120,M121,M122,M123)</f>
        <v>0</v>
      </c>
      <c r="N117" s="8" t="n">
        <f aca="false">SUM(N118,N119,N120,N121,N122,N123)</f>
        <v>0</v>
      </c>
      <c r="O117" s="8" t="n">
        <f aca="false">SUM(O118,O119,O120,O121,O122,O123)</f>
        <v>0</v>
      </c>
      <c r="P117" s="8" t="n">
        <f aca="false">SUM(P118,P119,P120,P121,P122,P123)</f>
        <v>0</v>
      </c>
      <c r="Q117" s="8" t="n">
        <f aca="false">SUM(Q118,Q119,Q120,Q121,Q122,Q123)</f>
        <v>0</v>
      </c>
      <c r="R117" s="8" t="n">
        <f aca="false">SUM(R118,R119,R120,R121,R122,R123)</f>
        <v>0</v>
      </c>
      <c r="S117" s="8" t="n">
        <f aca="false">SUM(S118,S119,S120,S121,S122,S123)</f>
        <v>0</v>
      </c>
      <c r="T117" s="8" t="n">
        <f aca="false">SUM(T118,T119,T120,T121,T122,T123)</f>
        <v>0</v>
      </c>
      <c r="U117" s="8" t="n">
        <f aca="false">SUM(U118,U119,U120,U121,U122,U123)</f>
        <v>0</v>
      </c>
      <c r="V117" s="8" t="n">
        <f aca="false">SUM(V118,V119,V120,V121,V122,V123)</f>
        <v>0</v>
      </c>
      <c r="W117" s="8" t="n">
        <f aca="false">SUM(W118,W119,W120,W121,W122,W123)</f>
        <v>0</v>
      </c>
      <c r="X117" s="8" t="n">
        <f aca="false">SUM(X118,X119,X120,X121,X122,X123)</f>
        <v>0</v>
      </c>
      <c r="Y117" s="8" t="n">
        <f aca="false">SUM(Y118,Y119,Y120,Y121,Y122,Y123)</f>
        <v>0</v>
      </c>
      <c r="Z117" s="8" t="n">
        <f aca="false">SUM(Z118,Z119,Z120,Z121,Z122,Z123)</f>
        <v>0</v>
      </c>
      <c r="AA117" s="8" t="n">
        <f aca="false">SUM(AA118,AA119,AA120,AA121,AA122,AA123)</f>
        <v>0</v>
      </c>
      <c r="AB117" s="8" t="n">
        <f aca="false">SUM(AB118,AB119,AB120,AB121,AB122,AB123)</f>
        <v>0</v>
      </c>
      <c r="AC117" s="8" t="n">
        <f aca="false">SUM(AC118,AC119,AC120,AC121,AC122,AC123)</f>
        <v>55</v>
      </c>
      <c r="AD117" s="8" t="n">
        <f aca="false">SUM(AD118,AD119,AD120,AD121,AD122,AD123)</f>
        <v>0</v>
      </c>
      <c r="AE117" s="8" t="n">
        <f aca="false">SUM(AE118,AE119,AE120,AE121,AE122,AE123)</f>
        <v>0</v>
      </c>
      <c r="AF117" s="8" t="n">
        <f aca="false">SUM(AF118,AF119,AF120,AF121,AF122,AF123)</f>
        <v>0</v>
      </c>
      <c r="AG117" s="8" t="n">
        <f aca="false">SUM(AG118,AG119,AG120,AG121,AG122,AG123)</f>
        <v>0</v>
      </c>
      <c r="AH117" s="8" t="n">
        <f aca="false">SUM(AH118,AH119,AH120,AH121,AH122,AH123)</f>
        <v>0</v>
      </c>
      <c r="AI117" s="8" t="n">
        <f aca="false">SUM(AI118,AI119,AI120,AI121,AI122,AI123)</f>
        <v>0</v>
      </c>
      <c r="AJ117" s="8" t="n">
        <f aca="false">SUM(AJ118,AJ119,AJ120,AJ121,AJ122,AJ123)</f>
        <v>0</v>
      </c>
      <c r="AK117" s="8" t="n">
        <f aca="false">SUM(AK118,AK119,AK120,AK121,AK122,AK123)</f>
        <v>0</v>
      </c>
      <c r="AL117" s="8" t="n">
        <f aca="false">SUM(AL118,AL119,AL120,AL121,AL122,AL123)</f>
        <v>0</v>
      </c>
      <c r="AM117" s="8" t="n">
        <f aca="false">SUM(AM118,AM119,AM120,AM121,AM122,AM123)</f>
        <v>0</v>
      </c>
      <c r="AN117" s="8" t="n">
        <f aca="false">SUM(AN118,AN119,AN120,AN121,AN122,AN123)</f>
        <v>0</v>
      </c>
      <c r="AO117" s="8" t="n">
        <f aca="false">SUM(AO118,AO119,AO120,AO121,AO122,AO123)</f>
        <v>0</v>
      </c>
      <c r="AP117" s="8" t="n">
        <f aca="false">SUM(AP118,AP119,AP120,AP121,AP122,AP123)</f>
        <v>0</v>
      </c>
      <c r="AQ117" s="8" t="n">
        <f aca="false">SUM(AQ118,AQ119,AQ120,AQ121,AQ122,AQ123)</f>
        <v>0</v>
      </c>
      <c r="AR117" s="8" t="n">
        <f aca="false">SUM(AR118,AR119,AR120,AR121,AR122,AR123)</f>
        <v>0</v>
      </c>
      <c r="AS117" s="8" t="n">
        <f aca="false">SUM(AS118,AS119,AS120,AS121,AS122,AS123)</f>
        <v>0</v>
      </c>
    </row>
    <row r="118" customFormat="false" ht="15" hidden="true" customHeight="true" outlineLevel="1" collapsed="false">
      <c r="A118" s="1" t="s">
        <v>12</v>
      </c>
      <c r="B118" s="1" t="s">
        <v>10</v>
      </c>
      <c r="C118" s="1" t="s">
        <v>144</v>
      </c>
      <c r="D118" s="1" t="s">
        <v>141</v>
      </c>
      <c r="E118" s="1" t="s">
        <v>81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1.5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</row>
    <row r="119" customFormat="false" ht="15" hidden="true" customHeight="true" outlineLevel="1" collapsed="false">
      <c r="A119" s="1" t="s">
        <v>12</v>
      </c>
      <c r="B119" s="1" t="s">
        <v>10</v>
      </c>
      <c r="C119" s="1" t="s">
        <v>144</v>
      </c>
      <c r="D119" s="1" t="s">
        <v>141</v>
      </c>
      <c r="E119" s="1" t="s">
        <v>94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22</v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0</v>
      </c>
    </row>
    <row r="120" customFormat="false" ht="15" hidden="true" customHeight="true" outlineLevel="1" collapsed="false">
      <c r="A120" s="1" t="s">
        <v>12</v>
      </c>
      <c r="B120" s="1" t="s">
        <v>10</v>
      </c>
      <c r="C120" s="1" t="s">
        <v>144</v>
      </c>
      <c r="D120" s="1" t="s">
        <v>141</v>
      </c>
      <c r="E120" s="1" t="s">
        <v>102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16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</row>
    <row r="121" customFormat="false" ht="15" hidden="true" customHeight="true" outlineLevel="1" collapsed="false">
      <c r="A121" s="1" t="s">
        <v>12</v>
      </c>
      <c r="B121" s="1" t="s">
        <v>10</v>
      </c>
      <c r="C121" s="1" t="s">
        <v>144</v>
      </c>
      <c r="D121" s="1" t="s">
        <v>141</v>
      </c>
      <c r="E121" s="1" t="s">
        <v>95</v>
      </c>
      <c r="F121" s="10" t="n">
        <v>0</v>
      </c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12</v>
      </c>
      <c r="AD121" s="10" t="n">
        <v>0</v>
      </c>
      <c r="AE121" s="10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</row>
    <row r="122" customFormat="false" ht="15" hidden="true" customHeight="true" outlineLevel="1" collapsed="false">
      <c r="A122" s="1" t="s">
        <v>12</v>
      </c>
      <c r="B122" s="1" t="s">
        <v>10</v>
      </c>
      <c r="C122" s="1" t="s">
        <v>144</v>
      </c>
      <c r="D122" s="1" t="s">
        <v>141</v>
      </c>
      <c r="E122" s="1" t="s">
        <v>40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3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</row>
    <row r="123" customFormat="false" ht="15" hidden="true" customHeight="true" outlineLevel="1" collapsed="false">
      <c r="A123" s="1" t="s">
        <v>12</v>
      </c>
      <c r="B123" s="1" t="s">
        <v>10</v>
      </c>
      <c r="C123" s="1" t="s">
        <v>144</v>
      </c>
      <c r="D123" s="1" t="s">
        <v>141</v>
      </c>
      <c r="E123" s="1" t="s">
        <v>85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0.5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</row>
    <row r="124" customFormat="false" ht="15" hidden="false" customHeight="true" outlineLevel="0" collapsed="false">
      <c r="A124" s="4" t="s">
        <v>12</v>
      </c>
      <c r="B124" s="4" t="s">
        <v>10</v>
      </c>
      <c r="C124" s="4" t="s">
        <v>145</v>
      </c>
      <c r="D124" s="4" t="s">
        <v>76</v>
      </c>
      <c r="E124" s="4" t="s">
        <v>77</v>
      </c>
      <c r="F124" s="8" t="n">
        <f aca="false">SUM(F125,F126,F127)</f>
        <v>0</v>
      </c>
      <c r="G124" s="8" t="n">
        <f aca="false">SUM(G125,G126,G127)</f>
        <v>0</v>
      </c>
      <c r="H124" s="8" t="n">
        <f aca="false">SUM(H125,H126,H127)</f>
        <v>0</v>
      </c>
      <c r="I124" s="8" t="n">
        <f aca="false">SUM(I125,I126,I127)</f>
        <v>0</v>
      </c>
      <c r="J124" s="8" t="n">
        <f aca="false">SUM(J125,J126,J127)</f>
        <v>0</v>
      </c>
      <c r="K124" s="8" t="n">
        <f aca="false">SUM(K125,K126,K127)</f>
        <v>0</v>
      </c>
      <c r="L124" s="8" t="n">
        <f aca="false">SUM(L125,L126,L127)</f>
        <v>0</v>
      </c>
      <c r="M124" s="8" t="n">
        <f aca="false">SUM(M125,M126,M127)</f>
        <v>0</v>
      </c>
      <c r="N124" s="8" t="n">
        <f aca="false">SUM(N125,N126,N127)</f>
        <v>0</v>
      </c>
      <c r="O124" s="8" t="n">
        <f aca="false">SUM(O125,O126,O127)</f>
        <v>0</v>
      </c>
      <c r="P124" s="8" t="n">
        <f aca="false">SUM(P125,P126,P127)</f>
        <v>0</v>
      </c>
      <c r="Q124" s="8" t="n">
        <f aca="false">SUM(Q125,Q126,Q127)</f>
        <v>0</v>
      </c>
      <c r="R124" s="8" t="n">
        <f aca="false">SUM(R125,R126,R127)</f>
        <v>0</v>
      </c>
      <c r="S124" s="8" t="n">
        <f aca="false">SUM(S125,S126,S127)</f>
        <v>0</v>
      </c>
      <c r="T124" s="8" t="n">
        <f aca="false">SUM(T125,T126,T127)</f>
        <v>0</v>
      </c>
      <c r="U124" s="8" t="n">
        <f aca="false">SUM(U125,U126,U127)</f>
        <v>0</v>
      </c>
      <c r="V124" s="8" t="n">
        <f aca="false">SUM(V125,V126,V127)</f>
        <v>0</v>
      </c>
      <c r="W124" s="8" t="n">
        <f aca="false">SUM(W125,W126,W127)</f>
        <v>0</v>
      </c>
      <c r="X124" s="8" t="n">
        <f aca="false">SUM(X125,X126,X127)</f>
        <v>0</v>
      </c>
      <c r="Y124" s="8" t="n">
        <f aca="false">SUM(Y125,Y126,Y127)</f>
        <v>0</v>
      </c>
      <c r="Z124" s="8" t="n">
        <f aca="false">SUM(Z125,Z126,Z127)</f>
        <v>0</v>
      </c>
      <c r="AA124" s="8" t="n">
        <f aca="false">SUM(AA125,AA126,AA127)</f>
        <v>0</v>
      </c>
      <c r="AB124" s="8" t="n">
        <f aca="false">SUM(AB125,AB126,AB127)</f>
        <v>0</v>
      </c>
      <c r="AC124" s="8" t="n">
        <f aca="false">SUM(AC125,AC126,AC127)</f>
        <v>30</v>
      </c>
      <c r="AD124" s="8" t="n">
        <f aca="false">SUM(AD125,AD126,AD127)</f>
        <v>0</v>
      </c>
      <c r="AE124" s="8" t="n">
        <f aca="false">SUM(AE125,AE126,AE127)</f>
        <v>0</v>
      </c>
      <c r="AF124" s="8" t="n">
        <f aca="false">SUM(AF125,AF126,AF127)</f>
        <v>0</v>
      </c>
      <c r="AG124" s="8" t="n">
        <f aca="false">SUM(AG125,AG126,AG127)</f>
        <v>0</v>
      </c>
      <c r="AH124" s="8" t="n">
        <f aca="false">SUM(AH125,AH126,AH127)</f>
        <v>0</v>
      </c>
      <c r="AI124" s="8" t="n">
        <f aca="false">SUM(AI125,AI126,AI127)</f>
        <v>0</v>
      </c>
      <c r="AJ124" s="8" t="n">
        <f aca="false">SUM(AJ125,AJ126,AJ127)</f>
        <v>0</v>
      </c>
      <c r="AK124" s="8" t="n">
        <f aca="false">SUM(AK125,AK126,AK127)</f>
        <v>0</v>
      </c>
      <c r="AL124" s="8" t="n">
        <f aca="false">SUM(AL125,AL126,AL127)</f>
        <v>0</v>
      </c>
      <c r="AM124" s="8" t="n">
        <f aca="false">SUM(AM125,AM126,AM127)</f>
        <v>0</v>
      </c>
      <c r="AN124" s="8" t="n">
        <f aca="false">SUM(AN125,AN126,AN127)</f>
        <v>0</v>
      </c>
      <c r="AO124" s="8" t="n">
        <f aca="false">SUM(AO125,AO126,AO127)</f>
        <v>0</v>
      </c>
      <c r="AP124" s="8" t="n">
        <f aca="false">SUM(AP125,AP126,AP127)</f>
        <v>0</v>
      </c>
      <c r="AQ124" s="8" t="n">
        <f aca="false">SUM(AQ125,AQ126,AQ127)</f>
        <v>0</v>
      </c>
      <c r="AR124" s="8" t="n">
        <f aca="false">SUM(AR125,AR126,AR127)</f>
        <v>0</v>
      </c>
      <c r="AS124" s="8" t="n">
        <f aca="false">SUM(AS125,AS126,AS127)</f>
        <v>0</v>
      </c>
    </row>
    <row r="125" customFormat="false" ht="15" hidden="true" customHeight="true" outlineLevel="1" collapsed="false">
      <c r="A125" s="1" t="s">
        <v>12</v>
      </c>
      <c r="B125" s="1" t="s">
        <v>10</v>
      </c>
      <c r="C125" s="1" t="s">
        <v>145</v>
      </c>
      <c r="D125" s="1" t="s">
        <v>141</v>
      </c>
      <c r="E125" s="1" t="s">
        <v>85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4</v>
      </c>
      <c r="AD125" s="10" t="n">
        <v>0</v>
      </c>
      <c r="AE125" s="10" t="n">
        <v>0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0" t="n">
        <v>0</v>
      </c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0</v>
      </c>
    </row>
    <row r="126" customFormat="false" ht="15" hidden="true" customHeight="true" outlineLevel="1" collapsed="false">
      <c r="A126" s="1" t="s">
        <v>12</v>
      </c>
      <c r="B126" s="1" t="s">
        <v>10</v>
      </c>
      <c r="C126" s="1" t="s">
        <v>145</v>
      </c>
      <c r="D126" s="1" t="s">
        <v>141</v>
      </c>
      <c r="E126" s="1" t="s">
        <v>103</v>
      </c>
      <c r="F126" s="10" t="n">
        <v>0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10</v>
      </c>
      <c r="AD126" s="10" t="n">
        <v>0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0</v>
      </c>
    </row>
    <row r="127" customFormat="false" ht="15" hidden="true" customHeight="true" outlineLevel="1" collapsed="false">
      <c r="A127" s="1" t="s">
        <v>12</v>
      </c>
      <c r="B127" s="1" t="s">
        <v>10</v>
      </c>
      <c r="C127" s="1" t="s">
        <v>145</v>
      </c>
      <c r="D127" s="1" t="s">
        <v>141</v>
      </c>
      <c r="E127" s="1" t="s">
        <v>105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16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0</v>
      </c>
    </row>
    <row r="128" customFormat="false" ht="15" hidden="false" customHeight="true" outlineLevel="0" collapsed="false">
      <c r="A128" s="4" t="s">
        <v>12</v>
      </c>
      <c r="B128" s="4" t="s">
        <v>10</v>
      </c>
      <c r="C128" s="4" t="s">
        <v>33</v>
      </c>
      <c r="D128" s="4" t="s">
        <v>76</v>
      </c>
      <c r="E128" s="4" t="s">
        <v>77</v>
      </c>
      <c r="F128" s="8" t="n">
        <f aca="false">SUM(F129,F130,F131,F132)</f>
        <v>24</v>
      </c>
      <c r="G128" s="8" t="n">
        <f aca="false">SUM(G129,G130,G131,G132)</f>
        <v>8</v>
      </c>
      <c r="H128" s="8" t="n">
        <f aca="false">SUM(H129,H130,H131,H132)</f>
        <v>4</v>
      </c>
      <c r="I128" s="8" t="n">
        <f aca="false">SUM(I129,I130,I131,I132)</f>
        <v>1</v>
      </c>
      <c r="J128" s="8" t="n">
        <f aca="false">SUM(J129,J130,J131,J132)</f>
        <v>1</v>
      </c>
      <c r="K128" s="8" t="n">
        <f aca="false">SUM(K129,K130,K131,K132)</f>
        <v>6</v>
      </c>
      <c r="L128" s="8" t="n">
        <f aca="false">SUM(L129,L130,L131,L132)</f>
        <v>13.2</v>
      </c>
      <c r="M128" s="8" t="n">
        <f aca="false">SUM(M129,M130,M131,M132)</f>
        <v>30.1</v>
      </c>
      <c r="N128" s="8" t="n">
        <f aca="false">SUM(N129,N130,N131,N132)</f>
        <v>30.1</v>
      </c>
      <c r="O128" s="8" t="n">
        <f aca="false">SUM(O129,O130,O131,O132)</f>
        <v>13.2</v>
      </c>
      <c r="P128" s="8" t="n">
        <f aca="false">SUM(P129,P130,P131,P132)</f>
        <v>15</v>
      </c>
      <c r="Q128" s="8" t="n">
        <f aca="false">SUM(Q129,Q130,Q131,Q132)</f>
        <v>15</v>
      </c>
      <c r="R128" s="8" t="n">
        <f aca="false">SUM(R129,R130,R131,R132)</f>
        <v>22</v>
      </c>
      <c r="S128" s="8" t="n">
        <f aca="false">SUM(S129,S130,S131,S132)</f>
        <v>34.5</v>
      </c>
      <c r="T128" s="8" t="n">
        <f aca="false">SUM(T129,T130,T131,T132)</f>
        <v>22</v>
      </c>
      <c r="U128" s="8" t="n">
        <f aca="false">SUM(U129,U130,U131,U132)</f>
        <v>22</v>
      </c>
      <c r="V128" s="8" t="n">
        <f aca="false">SUM(V129,V130,V131,V132)</f>
        <v>0</v>
      </c>
      <c r="W128" s="8" t="n">
        <f aca="false">SUM(W129,W130,W131,W132)</f>
        <v>0</v>
      </c>
      <c r="X128" s="8" t="n">
        <f aca="false">SUM(X129,X130,X131,X132)</f>
        <v>37</v>
      </c>
      <c r="Y128" s="8" t="n">
        <f aca="false">SUM(Y129,Y130,Y131,Y132)</f>
        <v>45.1</v>
      </c>
      <c r="Z128" s="8" t="n">
        <f aca="false">SUM(Z129,Z130,Z131,Z132)</f>
        <v>55</v>
      </c>
      <c r="AA128" s="8" t="n">
        <f aca="false">SUM(AA129,AA130,AA131,AA132)</f>
        <v>55</v>
      </c>
      <c r="AB128" s="8" t="n">
        <f aca="false">SUM(AB129,AB130,AB131,AB132)</f>
        <v>55</v>
      </c>
      <c r="AC128" s="8" t="n">
        <f aca="false">SUM(AC129,AC130,AC131,AC132)</f>
        <v>55</v>
      </c>
      <c r="AD128" s="8" t="n">
        <f aca="false">SUM(AD129,AD130,AD131,AD132)</f>
        <v>26</v>
      </c>
      <c r="AE128" s="8" t="n">
        <f aca="false">SUM(AE129,AE130,AE131,AE132)</f>
        <v>6</v>
      </c>
      <c r="AF128" s="8" t="n">
        <f aca="false">SUM(AF129,AF130,AF131,AF132)</f>
        <v>39</v>
      </c>
      <c r="AG128" s="8" t="n">
        <f aca="false">SUM(AG129,AG130,AG131,AG132)</f>
        <v>39</v>
      </c>
      <c r="AH128" s="8" t="n">
        <f aca="false">SUM(AH129,AH130,AH131,AH132)</f>
        <v>39</v>
      </c>
      <c r="AI128" s="8" t="n">
        <f aca="false">SUM(AI129,AI130,AI131,AI132)</f>
        <v>9</v>
      </c>
      <c r="AJ128" s="8" t="n">
        <f aca="false">SUM(AJ129,AJ130,AJ131,AJ132)</f>
        <v>9</v>
      </c>
      <c r="AK128" s="8" t="n">
        <f aca="false">SUM(AK129,AK130,AK131,AK132)</f>
        <v>9</v>
      </c>
      <c r="AL128" s="8" t="n">
        <f aca="false">SUM(AL129,AL130,AL131,AL132)</f>
        <v>3</v>
      </c>
      <c r="AM128" s="8" t="n">
        <f aca="false">SUM(AM129,AM130,AM131,AM132)</f>
        <v>0</v>
      </c>
      <c r="AN128" s="8" t="n">
        <f aca="false">SUM(AN129,AN130,AN131,AN132)</f>
        <v>0</v>
      </c>
      <c r="AO128" s="8" t="n">
        <f aca="false">SUM(AO129,AO130,AO131,AO132)</f>
        <v>0</v>
      </c>
      <c r="AP128" s="8" t="n">
        <f aca="false">SUM(AP129,AP130,AP131,AP132)</f>
        <v>0</v>
      </c>
      <c r="AQ128" s="8" t="n">
        <f aca="false">SUM(AQ129,AQ130,AQ131,AQ132)</f>
        <v>0</v>
      </c>
      <c r="AR128" s="8" t="n">
        <f aca="false">SUM(AR129,AR130,AR131,AR132)</f>
        <v>0</v>
      </c>
      <c r="AS128" s="8" t="n">
        <f aca="false">SUM(AS129,AS130,AS131,AS132)</f>
        <v>0</v>
      </c>
    </row>
    <row r="129" customFormat="false" ht="15" hidden="true" customHeight="true" outlineLevel="1" collapsed="false">
      <c r="A129" s="1" t="s">
        <v>12</v>
      </c>
      <c r="B129" s="1" t="s">
        <v>10</v>
      </c>
      <c r="C129" s="1" t="s">
        <v>33</v>
      </c>
      <c r="D129" s="1" t="s">
        <v>141</v>
      </c>
      <c r="E129" s="1" t="s">
        <v>103</v>
      </c>
      <c r="F129" s="10" t="n">
        <v>15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5</v>
      </c>
      <c r="L129" s="10" t="n">
        <v>13</v>
      </c>
      <c r="M129" s="10" t="n">
        <v>30</v>
      </c>
      <c r="N129" s="10" t="n">
        <v>30</v>
      </c>
      <c r="O129" s="10" t="n">
        <v>13</v>
      </c>
      <c r="P129" s="10" t="n">
        <v>15</v>
      </c>
      <c r="Q129" s="10" t="n">
        <v>15</v>
      </c>
      <c r="R129" s="10" t="n">
        <v>22</v>
      </c>
      <c r="S129" s="10" t="n">
        <v>25</v>
      </c>
      <c r="T129" s="10" t="n">
        <v>15</v>
      </c>
      <c r="U129" s="10" t="n">
        <v>15</v>
      </c>
      <c r="V129" s="10" t="n">
        <v>0</v>
      </c>
      <c r="W129" s="10" t="n">
        <v>0</v>
      </c>
      <c r="X129" s="10" t="n">
        <v>30</v>
      </c>
      <c r="Y129" s="10" t="n">
        <v>45</v>
      </c>
      <c r="Z129" s="10" t="n">
        <v>55</v>
      </c>
      <c r="AA129" s="10" t="n">
        <v>55</v>
      </c>
      <c r="AB129" s="10" t="n">
        <v>55</v>
      </c>
      <c r="AC129" s="10" t="n">
        <v>55</v>
      </c>
      <c r="AD129" s="10" t="n">
        <v>25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</row>
    <row r="130" customFormat="false" ht="15" hidden="true" customHeight="true" outlineLevel="1" collapsed="false">
      <c r="A130" s="1" t="s">
        <v>12</v>
      </c>
      <c r="B130" s="1" t="s">
        <v>10</v>
      </c>
      <c r="C130" s="1" t="s">
        <v>33</v>
      </c>
      <c r="D130" s="1" t="s">
        <v>141</v>
      </c>
      <c r="E130" s="1" t="s">
        <v>100</v>
      </c>
      <c r="F130" s="10" t="n">
        <v>2</v>
      </c>
      <c r="G130" s="10" t="n">
        <v>1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2.5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1</v>
      </c>
      <c r="AE130" s="10" t="n">
        <v>4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0</v>
      </c>
    </row>
    <row r="131" customFormat="false" ht="15" hidden="true" customHeight="true" outlineLevel="1" collapsed="false">
      <c r="A131" s="1" t="s">
        <v>12</v>
      </c>
      <c r="B131" s="1" t="s">
        <v>10</v>
      </c>
      <c r="C131" s="1" t="s">
        <v>33</v>
      </c>
      <c r="D131" s="1" t="s">
        <v>141</v>
      </c>
      <c r="E131" s="1" t="s">
        <v>114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30</v>
      </c>
      <c r="AG131" s="10" t="n">
        <v>30</v>
      </c>
      <c r="AH131" s="10" t="n">
        <v>30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</row>
    <row r="132" customFormat="false" ht="15" hidden="true" customHeight="true" outlineLevel="1" collapsed="false">
      <c r="A132" s="1" t="s">
        <v>12</v>
      </c>
      <c r="B132" s="1" t="s">
        <v>10</v>
      </c>
      <c r="C132" s="1" t="s">
        <v>33</v>
      </c>
      <c r="D132" s="1" t="s">
        <v>141</v>
      </c>
      <c r="E132" s="1" t="s">
        <v>107</v>
      </c>
      <c r="F132" s="10" t="n">
        <v>7</v>
      </c>
      <c r="G132" s="10" t="n">
        <v>7</v>
      </c>
      <c r="H132" s="10" t="n">
        <v>4</v>
      </c>
      <c r="I132" s="10" t="n">
        <v>1</v>
      </c>
      <c r="J132" s="10" t="n">
        <v>1</v>
      </c>
      <c r="K132" s="10" t="n">
        <v>1</v>
      </c>
      <c r="L132" s="10" t="n">
        <v>0.2</v>
      </c>
      <c r="M132" s="10" t="n">
        <v>0.1</v>
      </c>
      <c r="N132" s="10" t="n">
        <v>0.1</v>
      </c>
      <c r="O132" s="10" t="n">
        <v>0.2</v>
      </c>
      <c r="P132" s="10" t="n">
        <v>0</v>
      </c>
      <c r="Q132" s="10" t="n">
        <v>0</v>
      </c>
      <c r="R132" s="10" t="n">
        <v>0</v>
      </c>
      <c r="S132" s="10" t="n">
        <v>7</v>
      </c>
      <c r="T132" s="10" t="n">
        <v>7</v>
      </c>
      <c r="U132" s="10" t="n">
        <v>7</v>
      </c>
      <c r="V132" s="10" t="n">
        <v>0</v>
      </c>
      <c r="W132" s="10" t="n">
        <v>0</v>
      </c>
      <c r="X132" s="10" t="n">
        <v>7</v>
      </c>
      <c r="Y132" s="10" t="n">
        <v>0.1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2</v>
      </c>
      <c r="AF132" s="10" t="n">
        <v>9</v>
      </c>
      <c r="AG132" s="10" t="n">
        <v>9</v>
      </c>
      <c r="AH132" s="10" t="n">
        <v>9</v>
      </c>
      <c r="AI132" s="10" t="n">
        <v>9</v>
      </c>
      <c r="AJ132" s="10" t="n">
        <v>9</v>
      </c>
      <c r="AK132" s="10" t="n">
        <v>9</v>
      </c>
      <c r="AL132" s="10" t="n">
        <v>3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</row>
    <row r="133" customFormat="false" ht="15" hidden="false" customHeight="true" outlineLevel="0" collapsed="false">
      <c r="A133" s="4" t="s">
        <v>29</v>
      </c>
      <c r="B133" s="4" t="s">
        <v>10</v>
      </c>
      <c r="C133" s="4" t="s">
        <v>35</v>
      </c>
      <c r="D133" s="4" t="s">
        <v>76</v>
      </c>
      <c r="E133" s="4" t="s">
        <v>77</v>
      </c>
      <c r="F133" s="8" t="n">
        <f aca="false">SUM(F134,F135)</f>
        <v>26</v>
      </c>
      <c r="G133" s="8" t="n">
        <f aca="false">SUM(G134,G135)</f>
        <v>20</v>
      </c>
      <c r="H133" s="8" t="n">
        <f aca="false">SUM(H134,H135)</f>
        <v>20</v>
      </c>
      <c r="I133" s="8" t="n">
        <f aca="false">SUM(I134,I135)</f>
        <v>20</v>
      </c>
      <c r="J133" s="8" t="n">
        <f aca="false">SUM(J134,J135)</f>
        <v>40</v>
      </c>
      <c r="K133" s="8" t="n">
        <f aca="false">SUM(K134,K135)</f>
        <v>30</v>
      </c>
      <c r="L133" s="8" t="n">
        <f aca="false">SUM(L134,L135)</f>
        <v>40</v>
      </c>
      <c r="M133" s="8" t="n">
        <f aca="false">SUM(M134,M135)</f>
        <v>40</v>
      </c>
      <c r="N133" s="8" t="n">
        <f aca="false">SUM(N134,N135)</f>
        <v>40</v>
      </c>
      <c r="O133" s="8" t="n">
        <f aca="false">SUM(O134,O135)</f>
        <v>30</v>
      </c>
      <c r="P133" s="8" t="n">
        <f aca="false">SUM(P134,P135)</f>
        <v>15</v>
      </c>
      <c r="Q133" s="8" t="n">
        <f aca="false">SUM(Q134,Q135)</f>
        <v>15</v>
      </c>
      <c r="R133" s="8" t="n">
        <f aca="false">SUM(R134,R135)</f>
        <v>15</v>
      </c>
      <c r="S133" s="8" t="n">
        <f aca="false">SUM(S134,S135)</f>
        <v>15</v>
      </c>
      <c r="T133" s="8" t="n">
        <f aca="false">SUM(T134,T135)</f>
        <v>15</v>
      </c>
      <c r="U133" s="8" t="n">
        <f aca="false">SUM(U134,U135)</f>
        <v>3</v>
      </c>
      <c r="V133" s="8" t="n">
        <f aca="false">SUM(V134,V135)</f>
        <v>2</v>
      </c>
      <c r="W133" s="8" t="n">
        <f aca="false">SUM(W134,W135)</f>
        <v>0</v>
      </c>
      <c r="X133" s="8" t="n">
        <f aca="false">SUM(X134,X135)</f>
        <v>55</v>
      </c>
      <c r="Y133" s="8" t="n">
        <f aca="false">SUM(Y134,Y135)</f>
        <v>50</v>
      </c>
      <c r="Z133" s="8" t="n">
        <f aca="false">SUM(Z134,Z135)</f>
        <v>50</v>
      </c>
      <c r="AA133" s="8" t="n">
        <f aca="false">SUM(AA134,AA135)</f>
        <v>50</v>
      </c>
      <c r="AB133" s="8" t="n">
        <f aca="false">SUM(AB134,AB135)</f>
        <v>55</v>
      </c>
      <c r="AC133" s="8" t="n">
        <f aca="false">SUM(AC134,AC135)</f>
        <v>55</v>
      </c>
      <c r="AD133" s="8" t="n">
        <f aca="false">SUM(AD134,AD135)</f>
        <v>55</v>
      </c>
      <c r="AE133" s="8" t="n">
        <f aca="false">SUM(AE134,AE135)</f>
        <v>40</v>
      </c>
      <c r="AF133" s="8" t="n">
        <f aca="false">SUM(AF134,AF135)</f>
        <v>25</v>
      </c>
      <c r="AG133" s="8" t="n">
        <f aca="false">SUM(AG134,AG135)</f>
        <v>40</v>
      </c>
      <c r="AH133" s="8" t="n">
        <f aca="false">SUM(AH134,AH135)</f>
        <v>30</v>
      </c>
      <c r="AI133" s="8" t="n">
        <f aca="false">SUM(AI134,AI135)</f>
        <v>30</v>
      </c>
      <c r="AJ133" s="8" t="n">
        <f aca="false">SUM(AJ134,AJ135)</f>
        <v>25</v>
      </c>
      <c r="AK133" s="8" t="n">
        <f aca="false">SUM(AK134,AK135)</f>
        <v>25</v>
      </c>
      <c r="AL133" s="8" t="n">
        <f aca="false">SUM(AL134,AL135)</f>
        <v>25</v>
      </c>
      <c r="AM133" s="8" t="n">
        <f aca="false">SUM(AM134,AM135)</f>
        <v>25</v>
      </c>
      <c r="AN133" s="8" t="n">
        <f aca="false">SUM(AN134,AN135)</f>
        <v>20</v>
      </c>
      <c r="AO133" s="8" t="n">
        <f aca="false">SUM(AO134,AO135)</f>
        <v>15</v>
      </c>
      <c r="AP133" s="8" t="n">
        <f aca="false">SUM(AP134,AP135)</f>
        <v>5</v>
      </c>
      <c r="AQ133" s="8" t="n">
        <f aca="false">SUM(AQ134,AQ135)</f>
        <v>0</v>
      </c>
      <c r="AR133" s="8" t="n">
        <f aca="false">SUM(AR134,AR135)</f>
        <v>0</v>
      </c>
      <c r="AS133" s="8" t="n">
        <f aca="false">SUM(AS134,AS135)</f>
        <v>0</v>
      </c>
    </row>
    <row r="134" customFormat="false" ht="15" hidden="true" customHeight="true" outlineLevel="1" collapsed="false">
      <c r="A134" s="1" t="s">
        <v>29</v>
      </c>
      <c r="B134" s="1" t="s">
        <v>10</v>
      </c>
      <c r="C134" s="1" t="s">
        <v>35</v>
      </c>
      <c r="D134" s="1" t="s">
        <v>141</v>
      </c>
      <c r="E134" s="1" t="s">
        <v>91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5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25</v>
      </c>
      <c r="AG134" s="10" t="n">
        <v>40</v>
      </c>
      <c r="AH134" s="10" t="n">
        <v>30</v>
      </c>
      <c r="AI134" s="10" t="n">
        <v>30</v>
      </c>
      <c r="AJ134" s="10" t="n">
        <v>25</v>
      </c>
      <c r="AK134" s="10" t="n">
        <v>25</v>
      </c>
      <c r="AL134" s="10" t="n">
        <v>25</v>
      </c>
      <c r="AM134" s="10" t="n">
        <v>25</v>
      </c>
      <c r="AN134" s="10" t="n">
        <v>20</v>
      </c>
      <c r="AO134" s="10" t="n">
        <v>15</v>
      </c>
      <c r="AP134" s="10" t="n">
        <v>5</v>
      </c>
      <c r="AQ134" s="10" t="n">
        <v>0</v>
      </c>
      <c r="AR134" s="10" t="n">
        <v>0</v>
      </c>
      <c r="AS134" s="10" t="n">
        <v>0</v>
      </c>
    </row>
    <row r="135" customFormat="false" ht="15" hidden="true" customHeight="true" outlineLevel="1" collapsed="false">
      <c r="A135" s="1" t="s">
        <v>29</v>
      </c>
      <c r="B135" s="1" t="s">
        <v>10</v>
      </c>
      <c r="C135" s="1" t="s">
        <v>35</v>
      </c>
      <c r="D135" s="1" t="s">
        <v>141</v>
      </c>
      <c r="E135" s="1" t="s">
        <v>92</v>
      </c>
      <c r="F135" s="10" t="n">
        <v>26</v>
      </c>
      <c r="G135" s="10" t="n">
        <v>20</v>
      </c>
      <c r="H135" s="10" t="n">
        <v>20</v>
      </c>
      <c r="I135" s="10" t="n">
        <v>20</v>
      </c>
      <c r="J135" s="10" t="n">
        <v>35</v>
      </c>
      <c r="K135" s="10" t="n">
        <v>30</v>
      </c>
      <c r="L135" s="10" t="n">
        <v>40</v>
      </c>
      <c r="M135" s="10" t="n">
        <v>40</v>
      </c>
      <c r="N135" s="10" t="n">
        <v>40</v>
      </c>
      <c r="O135" s="10" t="n">
        <v>30</v>
      </c>
      <c r="P135" s="10" t="n">
        <v>15</v>
      </c>
      <c r="Q135" s="10" t="n">
        <v>15</v>
      </c>
      <c r="R135" s="10" t="n">
        <v>15</v>
      </c>
      <c r="S135" s="10" t="n">
        <v>15</v>
      </c>
      <c r="T135" s="10" t="n">
        <v>15</v>
      </c>
      <c r="U135" s="10" t="n">
        <v>3</v>
      </c>
      <c r="V135" s="10" t="n">
        <v>2</v>
      </c>
      <c r="W135" s="10" t="n">
        <v>0</v>
      </c>
      <c r="X135" s="10" t="n">
        <v>55</v>
      </c>
      <c r="Y135" s="10" t="n">
        <v>50</v>
      </c>
      <c r="Z135" s="10" t="n">
        <v>50</v>
      </c>
      <c r="AA135" s="10" t="n">
        <v>50</v>
      </c>
      <c r="AB135" s="10" t="n">
        <v>55</v>
      </c>
      <c r="AC135" s="10" t="n">
        <v>55</v>
      </c>
      <c r="AD135" s="10" t="n">
        <v>55</v>
      </c>
      <c r="AE135" s="10" t="n">
        <v>40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0</v>
      </c>
      <c r="AR135" s="10" t="n">
        <v>0</v>
      </c>
      <c r="AS135" s="10" t="n">
        <v>0</v>
      </c>
    </row>
    <row r="136" customFormat="false" ht="15" hidden="false" customHeight="true" outlineLevel="0" collapsed="false">
      <c r="A136" s="4" t="s">
        <v>12</v>
      </c>
      <c r="B136" s="4" t="s">
        <v>10</v>
      </c>
      <c r="C136" s="4" t="s">
        <v>116</v>
      </c>
      <c r="D136" s="4" t="s">
        <v>76</v>
      </c>
      <c r="E136" s="4" t="s">
        <v>77</v>
      </c>
      <c r="F136" s="8" t="n">
        <f aca="false">SUM(F137,F138,F139,F140,F141,F142)</f>
        <v>23</v>
      </c>
      <c r="G136" s="8" t="n">
        <f aca="false">SUM(G137,G138,G139,G140,G141,G142)</f>
        <v>31</v>
      </c>
      <c r="H136" s="8" t="n">
        <f aca="false">SUM(H137,H138,H139,H140,H141,H142)</f>
        <v>20</v>
      </c>
      <c r="I136" s="8" t="n">
        <f aca="false">SUM(I137,I138,I139,I140,I141,I142)</f>
        <v>16</v>
      </c>
      <c r="J136" s="8" t="n">
        <f aca="false">SUM(J137,J138,J139,J140,J141,J142)</f>
        <v>11</v>
      </c>
      <c r="K136" s="8" t="n">
        <f aca="false">SUM(K137,K138,K139,K140,K141,K142)</f>
        <v>5</v>
      </c>
      <c r="L136" s="8" t="n">
        <f aca="false">SUM(L137,L138,L139,L140,L141,L142)</f>
        <v>5</v>
      </c>
      <c r="M136" s="8" t="n">
        <f aca="false">SUM(M137,M138,M139,M140,M141,M142)</f>
        <v>21</v>
      </c>
      <c r="N136" s="8" t="n">
        <f aca="false">SUM(N137,N138,N139,N140,N141,N142)</f>
        <v>26</v>
      </c>
      <c r="O136" s="8" t="n">
        <f aca="false">SUM(O137,O138,O139,O140,O141,O142)</f>
        <v>27.5</v>
      </c>
      <c r="P136" s="8" t="n">
        <f aca="false">SUM(P137,P138,P139,P140,P141,P142)</f>
        <v>29</v>
      </c>
      <c r="Q136" s="8" t="n">
        <f aca="false">SUM(Q137,Q138,Q139,Q140,Q141,Q142)</f>
        <v>32.5</v>
      </c>
      <c r="R136" s="8" t="n">
        <f aca="false">SUM(R137,R138,R139,R140,R141,R142)</f>
        <v>13</v>
      </c>
      <c r="S136" s="8" t="n">
        <f aca="false">SUM(S137,S138,S139,S140,S141,S142)</f>
        <v>38.9</v>
      </c>
      <c r="T136" s="8" t="n">
        <f aca="false">SUM(T137,T138,T139,T140,T141,T142)</f>
        <v>29.8</v>
      </c>
      <c r="U136" s="8" t="n">
        <f aca="false">SUM(U137,U138,U139,U140,U141,U142)</f>
        <v>18</v>
      </c>
      <c r="V136" s="8" t="n">
        <f aca="false">SUM(V137,V138,V139,V140,V141,V142)</f>
        <v>0</v>
      </c>
      <c r="W136" s="8" t="n">
        <f aca="false">SUM(W137,W138,W139,W140,W141,W142)</f>
        <v>0</v>
      </c>
      <c r="X136" s="8" t="n">
        <f aca="false">SUM(X137,X138,X139,X140,X141,X142)</f>
        <v>32</v>
      </c>
      <c r="Y136" s="8" t="n">
        <f aca="false">SUM(Y137,Y138,Y139,Y140,Y141,Y142)</f>
        <v>32</v>
      </c>
      <c r="Z136" s="8" t="n">
        <f aca="false">SUM(Z137,Z138,Z139,Z140,Z141,Z142)</f>
        <v>32</v>
      </c>
      <c r="AA136" s="8" t="n">
        <f aca="false">SUM(AA137,AA138,AA139,AA140,AA141,AA142)</f>
        <v>42</v>
      </c>
      <c r="AB136" s="8" t="n">
        <f aca="false">SUM(AB137,AB138,AB139,AB140,AB141,AB142)</f>
        <v>55</v>
      </c>
      <c r="AC136" s="8" t="n">
        <f aca="false">SUM(AC137,AC138,AC139,AC140,AC141,AC142)</f>
        <v>55</v>
      </c>
      <c r="AD136" s="8" t="n">
        <f aca="false">SUM(AD137,AD138,AD139,AD140,AD141,AD142)</f>
        <v>55</v>
      </c>
      <c r="AE136" s="8" t="n">
        <f aca="false">SUM(AE137,AE138,AE139,AE140,AE141,AE142)</f>
        <v>17.5</v>
      </c>
      <c r="AF136" s="8" t="n">
        <f aca="false">SUM(AF137,AF138,AF139,AF140,AF141,AF142)</f>
        <v>0</v>
      </c>
      <c r="AG136" s="8" t="n">
        <f aca="false">SUM(AG137,AG138,AG139,AG140,AG141,AG142)</f>
        <v>0</v>
      </c>
      <c r="AH136" s="8" t="n">
        <f aca="false">SUM(AH137,AH138,AH139,AH140,AH141,AH142)</f>
        <v>0</v>
      </c>
      <c r="AI136" s="8" t="n">
        <f aca="false">SUM(AI137,AI138,AI139,AI140,AI141,AI142)</f>
        <v>0</v>
      </c>
      <c r="AJ136" s="8" t="n">
        <f aca="false">SUM(AJ137,AJ138,AJ139,AJ140,AJ141,AJ142)</f>
        <v>0</v>
      </c>
      <c r="AK136" s="8" t="n">
        <f aca="false">SUM(AK137,AK138,AK139,AK140,AK141,AK142)</f>
        <v>0</v>
      </c>
      <c r="AL136" s="8" t="n">
        <f aca="false">SUM(AL137,AL138,AL139,AL140,AL141,AL142)</f>
        <v>0</v>
      </c>
      <c r="AM136" s="8" t="n">
        <f aca="false">SUM(AM137,AM138,AM139,AM140,AM141,AM142)</f>
        <v>0</v>
      </c>
      <c r="AN136" s="8" t="n">
        <f aca="false">SUM(AN137,AN138,AN139,AN140,AN141,AN142)</f>
        <v>0</v>
      </c>
      <c r="AO136" s="8" t="n">
        <f aca="false">SUM(AO137,AO138,AO139,AO140,AO141,AO142)</f>
        <v>0</v>
      </c>
      <c r="AP136" s="8" t="n">
        <f aca="false">SUM(AP137,AP138,AP139,AP140,AP141,AP142)</f>
        <v>0</v>
      </c>
      <c r="AQ136" s="8" t="n">
        <f aca="false">SUM(AQ137,AQ138,AQ139,AQ140,AQ141,AQ142)</f>
        <v>0</v>
      </c>
      <c r="AR136" s="8" t="n">
        <f aca="false">SUM(AR137,AR138,AR139,AR140,AR141,AR142)</f>
        <v>0</v>
      </c>
      <c r="AS136" s="8" t="n">
        <f aca="false">SUM(AS137,AS138,AS139,AS140,AS141,AS142)</f>
        <v>0</v>
      </c>
    </row>
    <row r="137" customFormat="false" ht="15" hidden="true" customHeight="true" outlineLevel="1" collapsed="false">
      <c r="A137" s="1" t="s">
        <v>12</v>
      </c>
      <c r="B137" s="1" t="s">
        <v>10</v>
      </c>
      <c r="C137" s="1" t="s">
        <v>116</v>
      </c>
      <c r="D137" s="1" t="s">
        <v>141</v>
      </c>
      <c r="E137" s="1" t="s">
        <v>40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8.5</v>
      </c>
      <c r="AC137" s="10" t="n">
        <v>9</v>
      </c>
      <c r="AD137" s="10" t="n">
        <v>24.5</v>
      </c>
      <c r="AE137" s="10" t="n">
        <v>10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</v>
      </c>
      <c r="AS137" s="10" t="n">
        <v>0</v>
      </c>
    </row>
    <row r="138" customFormat="false" ht="15" hidden="true" customHeight="true" outlineLevel="1" collapsed="false">
      <c r="A138" s="1" t="s">
        <v>12</v>
      </c>
      <c r="B138" s="1" t="s">
        <v>10</v>
      </c>
      <c r="C138" s="1" t="s">
        <v>116</v>
      </c>
      <c r="D138" s="1" t="s">
        <v>141</v>
      </c>
      <c r="E138" s="1" t="s">
        <v>96</v>
      </c>
      <c r="F138" s="10" t="n">
        <v>6</v>
      </c>
      <c r="G138" s="10" t="n">
        <v>0</v>
      </c>
      <c r="H138" s="10" t="n">
        <v>0</v>
      </c>
      <c r="I138" s="10" t="n">
        <v>6</v>
      </c>
      <c r="J138" s="10" t="n">
        <v>6</v>
      </c>
      <c r="K138" s="10" t="n">
        <v>0</v>
      </c>
      <c r="L138" s="10" t="n">
        <v>0</v>
      </c>
      <c r="M138" s="10" t="n">
        <v>6</v>
      </c>
      <c r="N138" s="10" t="n">
        <v>6</v>
      </c>
      <c r="O138" s="10" t="n">
        <v>6</v>
      </c>
      <c r="P138" s="10" t="n">
        <v>6</v>
      </c>
      <c r="Q138" s="10" t="n">
        <v>8</v>
      </c>
      <c r="R138" s="10" t="n">
        <v>0</v>
      </c>
      <c r="S138" s="10" t="n">
        <v>17.9</v>
      </c>
      <c r="T138" s="10" t="n">
        <v>19.8</v>
      </c>
      <c r="U138" s="10" t="n">
        <v>8</v>
      </c>
      <c r="V138" s="10" t="n">
        <v>0</v>
      </c>
      <c r="W138" s="10" t="n">
        <v>0</v>
      </c>
      <c r="X138" s="10" t="n">
        <v>12</v>
      </c>
      <c r="Y138" s="10" t="n">
        <v>12</v>
      </c>
      <c r="Z138" s="10" t="n">
        <v>12</v>
      </c>
      <c r="AA138" s="10" t="n">
        <v>12</v>
      </c>
      <c r="AB138" s="10" t="n">
        <v>11</v>
      </c>
      <c r="AC138" s="10" t="n">
        <v>22</v>
      </c>
      <c r="AD138" s="10" t="n">
        <v>8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</row>
    <row r="139" customFormat="false" ht="15" hidden="true" customHeight="true" outlineLevel="1" collapsed="false">
      <c r="A139" s="1" t="s">
        <v>12</v>
      </c>
      <c r="B139" s="1" t="s">
        <v>10</v>
      </c>
      <c r="C139" s="1" t="s">
        <v>116</v>
      </c>
      <c r="D139" s="1" t="s">
        <v>141</v>
      </c>
      <c r="E139" s="1" t="s">
        <v>85</v>
      </c>
      <c r="F139" s="10" t="n">
        <v>10</v>
      </c>
      <c r="G139" s="10" t="n">
        <v>20</v>
      </c>
      <c r="H139" s="10" t="n">
        <v>20</v>
      </c>
      <c r="I139" s="10" t="n">
        <v>10</v>
      </c>
      <c r="J139" s="10" t="n">
        <v>5</v>
      </c>
      <c r="K139" s="10" t="n">
        <v>5</v>
      </c>
      <c r="L139" s="10" t="n">
        <v>5</v>
      </c>
      <c r="M139" s="10" t="n">
        <v>5</v>
      </c>
      <c r="N139" s="10" t="n">
        <v>20</v>
      </c>
      <c r="O139" s="10" t="n">
        <v>20</v>
      </c>
      <c r="P139" s="10" t="n">
        <v>20</v>
      </c>
      <c r="Q139" s="10" t="n">
        <v>20</v>
      </c>
      <c r="R139" s="10" t="n">
        <v>10</v>
      </c>
      <c r="S139" s="10" t="n">
        <v>10</v>
      </c>
      <c r="T139" s="10" t="n">
        <v>10</v>
      </c>
      <c r="U139" s="10" t="n">
        <v>10</v>
      </c>
      <c r="V139" s="10" t="n">
        <v>0</v>
      </c>
      <c r="W139" s="10" t="n">
        <v>0</v>
      </c>
      <c r="X139" s="10" t="n">
        <v>20</v>
      </c>
      <c r="Y139" s="10" t="n">
        <v>20</v>
      </c>
      <c r="Z139" s="10" t="n">
        <v>15</v>
      </c>
      <c r="AA139" s="10" t="n">
        <v>15</v>
      </c>
      <c r="AB139" s="10" t="n">
        <v>15</v>
      </c>
      <c r="AC139" s="10" t="n">
        <v>0</v>
      </c>
      <c r="AD139" s="10" t="n">
        <v>0</v>
      </c>
      <c r="AE139" s="10" t="n">
        <v>1.5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</row>
    <row r="140" customFormat="false" ht="15" hidden="true" customHeight="true" outlineLevel="1" collapsed="false">
      <c r="A140" s="1" t="s">
        <v>12</v>
      </c>
      <c r="B140" s="1" t="s">
        <v>10</v>
      </c>
      <c r="C140" s="1" t="s">
        <v>116</v>
      </c>
      <c r="D140" s="1" t="s">
        <v>141</v>
      </c>
      <c r="E140" s="1" t="s">
        <v>99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1.5</v>
      </c>
      <c r="P140" s="10" t="n">
        <v>1.5</v>
      </c>
      <c r="Q140" s="10" t="n">
        <v>3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5</v>
      </c>
      <c r="AA140" s="10" t="n">
        <v>15</v>
      </c>
      <c r="AB140" s="10" t="n">
        <v>20.5</v>
      </c>
      <c r="AC140" s="10" t="n">
        <v>16.5</v>
      </c>
      <c r="AD140" s="10" t="n">
        <v>12.5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</row>
    <row r="141" customFormat="false" ht="15" hidden="true" customHeight="true" outlineLevel="1" collapsed="false">
      <c r="A141" s="1" t="s">
        <v>12</v>
      </c>
      <c r="B141" s="1" t="s">
        <v>10</v>
      </c>
      <c r="C141" s="1" t="s">
        <v>116</v>
      </c>
      <c r="D141" s="1" t="s">
        <v>141</v>
      </c>
      <c r="E141" s="1" t="s">
        <v>43</v>
      </c>
      <c r="F141" s="10" t="n">
        <v>7</v>
      </c>
      <c r="G141" s="10" t="n">
        <v>11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1.5</v>
      </c>
      <c r="Q141" s="10" t="n">
        <v>1.5</v>
      </c>
      <c r="R141" s="10" t="n">
        <v>3</v>
      </c>
      <c r="S141" s="10" t="n">
        <v>11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7.5</v>
      </c>
      <c r="AD141" s="10" t="n">
        <v>10</v>
      </c>
      <c r="AE141" s="10" t="n">
        <v>6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</row>
    <row r="142" customFormat="false" ht="15" hidden="true" customHeight="true" outlineLevel="1" collapsed="false">
      <c r="A142" s="1" t="s">
        <v>12</v>
      </c>
      <c r="B142" s="1" t="s">
        <v>10</v>
      </c>
      <c r="C142" s="1" t="s">
        <v>116</v>
      </c>
      <c r="D142" s="1" t="s">
        <v>141</v>
      </c>
      <c r="E142" s="1" t="s">
        <v>88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10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</row>
    <row r="143" customFormat="false" ht="15" hidden="false" customHeight="true" outlineLevel="0" collapsed="false">
      <c r="A143" s="4" t="s">
        <v>12</v>
      </c>
      <c r="B143" s="4" t="s">
        <v>10</v>
      </c>
      <c r="C143" s="4" t="s">
        <v>117</v>
      </c>
      <c r="D143" s="4" t="s">
        <v>76</v>
      </c>
      <c r="E143" s="4" t="s">
        <v>77</v>
      </c>
      <c r="F143" s="8" t="n">
        <f aca="false">SUM(F144,F145,F146,F147,F148,F149,F150,F151,F152,F153,F154,F155,F156)</f>
        <v>0</v>
      </c>
      <c r="G143" s="8" t="n">
        <f aca="false">SUM(G144,G145,G146,G147,G148,G149,G150,G151,G152,G153,G154,G155,G156)</f>
        <v>0</v>
      </c>
      <c r="H143" s="8" t="n">
        <f aca="false">SUM(H144,H145,H146,H147,H148,H149,H150,H151,H152,H153,H154,H155,H156)</f>
        <v>0</v>
      </c>
      <c r="I143" s="8" t="n">
        <f aca="false">SUM(I144,I145,I146,I147,I148,I149,I150,I151,I152,I153,I154,I155,I156)</f>
        <v>0</v>
      </c>
      <c r="J143" s="8" t="n">
        <f aca="false">SUM(J144,J145,J146,J147,J148,J149,J150,J151,J152,J153,J154,J155,J156)</f>
        <v>0</v>
      </c>
      <c r="K143" s="8" t="n">
        <f aca="false">SUM(K144,K145,K146,K147,K148,K149,K150,K151,K152,K153,K154,K155,K156)</f>
        <v>0</v>
      </c>
      <c r="L143" s="8" t="n">
        <f aca="false">SUM(L144,L145,L146,L147,L148,L149,L150,L151,L152,L153,L154,L155,L156)</f>
        <v>0</v>
      </c>
      <c r="M143" s="8" t="n">
        <f aca="false">SUM(M144,M145,M146,M147,M148,M149,M150,M151,M152,M153,M154,M155,M156)</f>
        <v>16.5</v>
      </c>
      <c r="N143" s="8" t="n">
        <f aca="false">SUM(N144,N145,N146,N147,N148,N149,N150,N151,N152,N153,N154,N155,N156)</f>
        <v>6</v>
      </c>
      <c r="O143" s="8" t="n">
        <f aca="false">SUM(O144,O145,O146,O147,O148,O149,O150,O151,O152,O153,O154,O155,O156)</f>
        <v>0</v>
      </c>
      <c r="P143" s="8" t="n">
        <f aca="false">SUM(P144,P145,P146,P147,P148,P149,P150,P151,P152,P153,P154,P155,P156)</f>
        <v>0</v>
      </c>
      <c r="Q143" s="8" t="n">
        <f aca="false">SUM(Q144,Q145,Q146,Q147,Q148,Q149,Q150,Q151,Q152,Q153,Q154,Q155,Q156)</f>
        <v>0</v>
      </c>
      <c r="R143" s="8" t="n">
        <f aca="false">SUM(R144,R145,R146,R147,R148,R149,R150,R151,R152,R153,R154,R155,R156)</f>
        <v>0</v>
      </c>
      <c r="S143" s="8" t="n">
        <f aca="false">SUM(S144,S145,S146,S147,S148,S149,S150,S151,S152,S153,S154,S155,S156)</f>
        <v>0</v>
      </c>
      <c r="T143" s="8" t="n">
        <f aca="false">SUM(T144,T145,T146,T147,T148,T149,T150,T151,T152,T153,T154,T155,T156)</f>
        <v>0</v>
      </c>
      <c r="U143" s="8" t="n">
        <f aca="false">SUM(U144,U145,U146,U147,U148,U149,U150,U151,U152,U153,U154,U155,U156)</f>
        <v>0</v>
      </c>
      <c r="V143" s="8" t="n">
        <f aca="false">SUM(V144,V145,V146,V147,V148,V149,V150,V151,V152,V153,V154,V155,V156)</f>
        <v>0</v>
      </c>
      <c r="W143" s="8" t="n">
        <f aca="false">SUM(W144,W145,W146,W147,W148,W149,W150,W151,W152,W153,W154,W155,W156)</f>
        <v>0</v>
      </c>
      <c r="X143" s="8" t="n">
        <f aca="false">SUM(X144,X145,X146,X147,X148,X149,X150,X151,X152,X153,X154,X155,X156)</f>
        <v>0</v>
      </c>
      <c r="Y143" s="8" t="n">
        <f aca="false">SUM(Y144,Y145,Y146,Y147,Y148,Y149,Y150,Y151,Y152,Y153,Y154,Y155,Y156)</f>
        <v>0</v>
      </c>
      <c r="Z143" s="8" t="n">
        <f aca="false">SUM(Z144,Z145,Z146,Z147,Z148,Z149,Z150,Z151,Z152,Z153,Z154,Z155,Z156)</f>
        <v>12</v>
      </c>
      <c r="AA143" s="8" t="n">
        <f aca="false">SUM(AA144,AA145,AA146,AA147,AA148,AA149,AA150,AA151,AA152,AA153,AA154,AA155,AA156)</f>
        <v>31</v>
      </c>
      <c r="AB143" s="8" t="n">
        <f aca="false">SUM(AB144,AB145,AB146,AB147,AB148,AB149,AB150,AB151,AB152,AB153,AB154,AB155,AB156)</f>
        <v>54</v>
      </c>
      <c r="AC143" s="8" t="n">
        <f aca="false">SUM(AC144,AC145,AC146,AC147,AC148,AC149,AC150,AC151,AC152,AC153,AC154,AC155,AC156)</f>
        <v>55</v>
      </c>
      <c r="AD143" s="8" t="n">
        <f aca="false">SUM(AD144,AD145,AD146,AD147,AD148,AD149,AD150,AD151,AD152,AD153,AD154,AD155,AD156)</f>
        <v>17.9</v>
      </c>
      <c r="AE143" s="8" t="n">
        <f aca="false">SUM(AE144,AE145,AE146,AE147,AE148,AE149,AE150,AE151,AE152,AE153,AE154,AE155,AE156)</f>
        <v>0</v>
      </c>
      <c r="AF143" s="8" t="n">
        <f aca="false">SUM(AF144,AF145,AF146,AF147,AF148,AF149,AF150,AF151,AF152,AF153,AF154,AF155,AF156)</f>
        <v>0</v>
      </c>
      <c r="AG143" s="8" t="n">
        <f aca="false">SUM(AG144,AG145,AG146,AG147,AG148,AG149,AG150,AG151,AG152,AG153,AG154,AG155,AG156)</f>
        <v>0</v>
      </c>
      <c r="AH143" s="8" t="n">
        <f aca="false">SUM(AH144,AH145,AH146,AH147,AH148,AH149,AH150,AH151,AH152,AH153,AH154,AH155,AH156)</f>
        <v>0</v>
      </c>
      <c r="AI143" s="8" t="n">
        <f aca="false">SUM(AI144,AI145,AI146,AI147,AI148,AI149,AI150,AI151,AI152,AI153,AI154,AI155,AI156)</f>
        <v>0</v>
      </c>
      <c r="AJ143" s="8" t="n">
        <f aca="false">SUM(AJ144,AJ145,AJ146,AJ147,AJ148,AJ149,AJ150,AJ151,AJ152,AJ153,AJ154,AJ155,AJ156)</f>
        <v>0</v>
      </c>
      <c r="AK143" s="8" t="n">
        <f aca="false">SUM(AK144,AK145,AK146,AK147,AK148,AK149,AK150,AK151,AK152,AK153,AK154,AK155,AK156)</f>
        <v>0</v>
      </c>
      <c r="AL143" s="8" t="n">
        <f aca="false">SUM(AL144,AL145,AL146,AL147,AL148,AL149,AL150,AL151,AL152,AL153,AL154,AL155,AL156)</f>
        <v>0</v>
      </c>
      <c r="AM143" s="8" t="n">
        <f aca="false">SUM(AM144,AM145,AM146,AM147,AM148,AM149,AM150,AM151,AM152,AM153,AM154,AM155,AM156)</f>
        <v>0</v>
      </c>
      <c r="AN143" s="8" t="n">
        <f aca="false">SUM(AN144,AN145,AN146,AN147,AN148,AN149,AN150,AN151,AN152,AN153,AN154,AN155,AN156)</f>
        <v>0</v>
      </c>
      <c r="AO143" s="8" t="n">
        <f aca="false">SUM(AO144,AO145,AO146,AO147,AO148,AO149,AO150,AO151,AO152,AO153,AO154,AO155,AO156)</f>
        <v>0</v>
      </c>
      <c r="AP143" s="8" t="n">
        <f aca="false">SUM(AP144,AP145,AP146,AP147,AP148,AP149,AP150,AP151,AP152,AP153,AP154,AP155,AP156)</f>
        <v>0</v>
      </c>
      <c r="AQ143" s="8" t="n">
        <f aca="false">SUM(AQ144,AQ145,AQ146,AQ147,AQ148,AQ149,AQ150,AQ151,AQ152,AQ153,AQ154,AQ155,AQ156)</f>
        <v>0</v>
      </c>
      <c r="AR143" s="8" t="n">
        <f aca="false">SUM(AR144,AR145,AR146,AR147,AR148,AR149,AR150,AR151,AR152,AR153,AR154,AR155,AR156)</f>
        <v>0</v>
      </c>
      <c r="AS143" s="8" t="n">
        <f aca="false">SUM(AS144,AS145,AS146,AS147,AS148,AS149,AS150,AS151,AS152,AS153,AS154,AS155,AS156)</f>
        <v>0</v>
      </c>
    </row>
    <row r="144" customFormat="false" ht="15" hidden="true" customHeight="true" outlineLevel="1" collapsed="false">
      <c r="A144" s="1" t="s">
        <v>12</v>
      </c>
      <c r="B144" s="1" t="s">
        <v>10</v>
      </c>
      <c r="C144" s="1" t="s">
        <v>117</v>
      </c>
      <c r="D144" s="1" t="s">
        <v>141</v>
      </c>
      <c r="E144" s="1" t="s">
        <v>80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2</v>
      </c>
      <c r="AA144" s="10" t="n">
        <v>2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</row>
    <row r="145" customFormat="false" ht="15" hidden="true" customHeight="true" outlineLevel="1" collapsed="false">
      <c r="A145" s="1" t="s">
        <v>12</v>
      </c>
      <c r="B145" s="1" t="s">
        <v>10</v>
      </c>
      <c r="C145" s="1" t="s">
        <v>117</v>
      </c>
      <c r="D145" s="1" t="s">
        <v>141</v>
      </c>
      <c r="E145" s="1" t="s">
        <v>81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9</v>
      </c>
      <c r="AC145" s="10" t="n">
        <v>24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</row>
    <row r="146" customFormat="false" ht="15" hidden="true" customHeight="true" outlineLevel="1" collapsed="false">
      <c r="A146" s="1" t="s">
        <v>12</v>
      </c>
      <c r="B146" s="1" t="s">
        <v>10</v>
      </c>
      <c r="C146" s="1" t="s">
        <v>117</v>
      </c>
      <c r="D146" s="1" t="s">
        <v>141</v>
      </c>
      <c r="E146" s="1" t="s">
        <v>94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5</v>
      </c>
      <c r="AC146" s="10" t="n">
        <v>4.5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</row>
    <row r="147" customFormat="false" ht="15" hidden="true" customHeight="true" outlineLevel="1" collapsed="false">
      <c r="A147" s="1" t="s">
        <v>12</v>
      </c>
      <c r="B147" s="1" t="s">
        <v>10</v>
      </c>
      <c r="C147" s="1" t="s">
        <v>117</v>
      </c>
      <c r="D147" s="1" t="s">
        <v>141</v>
      </c>
      <c r="E147" s="1" t="s">
        <v>102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5</v>
      </c>
      <c r="AB147" s="10" t="n">
        <v>0</v>
      </c>
      <c r="AC147" s="10" t="n">
        <v>0</v>
      </c>
      <c r="AD147" s="10" t="n">
        <v>1.5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</row>
    <row r="148" customFormat="false" ht="15" hidden="true" customHeight="true" outlineLevel="1" collapsed="false">
      <c r="A148" s="1" t="s">
        <v>12</v>
      </c>
      <c r="B148" s="1" t="s">
        <v>10</v>
      </c>
      <c r="C148" s="1" t="s">
        <v>117</v>
      </c>
      <c r="D148" s="1" t="s">
        <v>141</v>
      </c>
      <c r="E148" s="1" t="s">
        <v>95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3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</row>
    <row r="149" customFormat="false" ht="15" hidden="true" customHeight="true" outlineLevel="1" collapsed="false">
      <c r="A149" s="1" t="s">
        <v>12</v>
      </c>
      <c r="B149" s="1" t="s">
        <v>10</v>
      </c>
      <c r="C149" s="1" t="s">
        <v>117</v>
      </c>
      <c r="D149" s="1" t="s">
        <v>141</v>
      </c>
      <c r="E149" s="1" t="s">
        <v>40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0.400000000000006</v>
      </c>
      <c r="AE149" s="10" t="n">
        <v>0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0" t="n">
        <v>0</v>
      </c>
      <c r="AO149" s="10" t="n">
        <v>0</v>
      </c>
      <c r="AP149" s="10" t="n">
        <v>0</v>
      </c>
      <c r="AQ149" s="10" t="n">
        <v>0</v>
      </c>
      <c r="AR149" s="10" t="n">
        <v>0</v>
      </c>
      <c r="AS149" s="10" t="n">
        <v>0</v>
      </c>
    </row>
    <row r="150" customFormat="false" ht="15" hidden="true" customHeight="true" outlineLevel="1" collapsed="false">
      <c r="A150" s="1" t="s">
        <v>12</v>
      </c>
      <c r="B150" s="1" t="s">
        <v>10</v>
      </c>
      <c r="C150" s="1" t="s">
        <v>117</v>
      </c>
      <c r="D150" s="1" t="s">
        <v>141</v>
      </c>
      <c r="E150" s="1" t="s">
        <v>96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7.5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</row>
    <row r="151" customFormat="false" ht="15" hidden="true" customHeight="true" outlineLevel="1" collapsed="false">
      <c r="A151" s="1" t="s">
        <v>12</v>
      </c>
      <c r="B151" s="1" t="s">
        <v>10</v>
      </c>
      <c r="C151" s="1" t="s">
        <v>117</v>
      </c>
      <c r="D151" s="1" t="s">
        <v>141</v>
      </c>
      <c r="E151" s="1" t="s">
        <v>85</v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2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</row>
    <row r="152" customFormat="false" ht="15" hidden="true" customHeight="true" outlineLevel="1" collapsed="false">
      <c r="A152" s="1" t="s">
        <v>12</v>
      </c>
      <c r="B152" s="1" t="s">
        <v>10</v>
      </c>
      <c r="C152" s="1" t="s">
        <v>117</v>
      </c>
      <c r="D152" s="1" t="s">
        <v>141</v>
      </c>
      <c r="E152" s="1" t="s">
        <v>103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10</v>
      </c>
      <c r="AA152" s="10" t="n">
        <v>8</v>
      </c>
      <c r="AB152" s="10" t="n">
        <v>7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</row>
    <row r="153" customFormat="false" ht="15" hidden="true" customHeight="true" outlineLevel="1" collapsed="false">
      <c r="A153" s="1" t="s">
        <v>12</v>
      </c>
      <c r="B153" s="1" t="s">
        <v>10</v>
      </c>
      <c r="C153" s="1" t="s">
        <v>117</v>
      </c>
      <c r="D153" s="1" t="s">
        <v>141</v>
      </c>
      <c r="E153" s="1" t="s">
        <v>99</v>
      </c>
      <c r="F153" s="10" t="n">
        <v>0</v>
      </c>
      <c r="G153" s="10" t="n">
        <v>0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6</v>
      </c>
      <c r="AC153" s="10" t="n">
        <v>0</v>
      </c>
      <c r="AD153" s="10" t="n">
        <v>0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</row>
    <row r="154" customFormat="false" ht="15" hidden="true" customHeight="true" outlineLevel="1" collapsed="false">
      <c r="A154" s="1" t="s">
        <v>12</v>
      </c>
      <c r="B154" s="1" t="s">
        <v>10</v>
      </c>
      <c r="C154" s="1" t="s">
        <v>117</v>
      </c>
      <c r="D154" s="1" t="s">
        <v>141</v>
      </c>
      <c r="E154" s="1" t="s">
        <v>100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6</v>
      </c>
      <c r="AC154" s="10" t="n">
        <v>19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</row>
    <row r="155" customFormat="false" ht="15" hidden="true" customHeight="true" outlineLevel="1" collapsed="false">
      <c r="A155" s="1" t="s">
        <v>12</v>
      </c>
      <c r="B155" s="1" t="s">
        <v>10</v>
      </c>
      <c r="C155" s="1" t="s">
        <v>117</v>
      </c>
      <c r="D155" s="1" t="s">
        <v>141</v>
      </c>
      <c r="E155" s="1" t="s">
        <v>88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16.5</v>
      </c>
      <c r="N155" s="10" t="n">
        <v>6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</row>
    <row r="156" customFormat="false" ht="15" hidden="true" customHeight="true" outlineLevel="1" collapsed="false">
      <c r="A156" s="1" t="s">
        <v>12</v>
      </c>
      <c r="B156" s="1" t="s">
        <v>10</v>
      </c>
      <c r="C156" s="1" t="s">
        <v>117</v>
      </c>
      <c r="D156" s="1" t="s">
        <v>141</v>
      </c>
      <c r="E156" s="1" t="s">
        <v>105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16</v>
      </c>
      <c r="AB156" s="10" t="n">
        <v>16</v>
      </c>
      <c r="AC156" s="10" t="n">
        <v>0</v>
      </c>
      <c r="AD156" s="10" t="n">
        <v>16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</row>
    <row r="157" customFormat="false" ht="15" hidden="false" customHeight="true" outlineLevel="0" collapsed="false">
      <c r="A157" s="4" t="s">
        <v>29</v>
      </c>
      <c r="B157" s="4" t="s">
        <v>10</v>
      </c>
      <c r="C157" s="4" t="s">
        <v>28</v>
      </c>
      <c r="D157" s="4" t="s">
        <v>76</v>
      </c>
      <c r="E157" s="4" t="s">
        <v>77</v>
      </c>
      <c r="F157" s="8" t="n">
        <f aca="false">SUM(F158,F159)</f>
        <v>31.5</v>
      </c>
      <c r="G157" s="8" t="n">
        <f aca="false">SUM(G158,G159)</f>
        <v>25</v>
      </c>
      <c r="H157" s="8" t="n">
        <f aca="false">SUM(H158,H159)</f>
        <v>25</v>
      </c>
      <c r="I157" s="8" t="n">
        <f aca="false">SUM(I158,I159)</f>
        <v>25</v>
      </c>
      <c r="J157" s="8" t="n">
        <f aca="false">SUM(J158,J159)</f>
        <v>40</v>
      </c>
      <c r="K157" s="8" t="n">
        <f aca="false">SUM(K158,K159)</f>
        <v>40</v>
      </c>
      <c r="L157" s="8" t="n">
        <f aca="false">SUM(L158,L159)</f>
        <v>40</v>
      </c>
      <c r="M157" s="8" t="n">
        <f aca="false">SUM(M158,M159)</f>
        <v>40</v>
      </c>
      <c r="N157" s="8" t="n">
        <f aca="false">SUM(N158,N159)</f>
        <v>40</v>
      </c>
      <c r="O157" s="8" t="n">
        <f aca="false">SUM(O158,O159)</f>
        <v>40</v>
      </c>
      <c r="P157" s="8" t="n">
        <f aca="false">SUM(P158,P159)</f>
        <v>15</v>
      </c>
      <c r="Q157" s="8" t="n">
        <f aca="false">SUM(Q158,Q159)</f>
        <v>15</v>
      </c>
      <c r="R157" s="8" t="n">
        <f aca="false">SUM(R158,R159)</f>
        <v>15</v>
      </c>
      <c r="S157" s="8" t="n">
        <f aca="false">SUM(S158,S159)</f>
        <v>3</v>
      </c>
      <c r="T157" s="8" t="n">
        <f aca="false">SUM(T158,T159)</f>
        <v>3</v>
      </c>
      <c r="U157" s="8" t="n">
        <f aca="false">SUM(U158,U159)</f>
        <v>3</v>
      </c>
      <c r="V157" s="8" t="n">
        <f aca="false">SUM(V158,V159)</f>
        <v>2</v>
      </c>
      <c r="W157" s="8" t="n">
        <f aca="false">SUM(W158,W159)</f>
        <v>0</v>
      </c>
      <c r="X157" s="8" t="n">
        <f aca="false">SUM(X158,X159)</f>
        <v>10</v>
      </c>
      <c r="Y157" s="8" t="n">
        <f aca="false">SUM(Y158,Y159)</f>
        <v>50</v>
      </c>
      <c r="Z157" s="8" t="n">
        <f aca="false">SUM(Z158,Z159)</f>
        <v>50</v>
      </c>
      <c r="AA157" s="8" t="n">
        <f aca="false">SUM(AA158,AA159)</f>
        <v>50</v>
      </c>
      <c r="AB157" s="8" t="n">
        <f aca="false">SUM(AB158,AB159)</f>
        <v>55</v>
      </c>
      <c r="AC157" s="8" t="n">
        <f aca="false">SUM(AC158,AC159)</f>
        <v>55</v>
      </c>
      <c r="AD157" s="8" t="n">
        <f aca="false">SUM(AD158,AD159)</f>
        <v>55</v>
      </c>
      <c r="AE157" s="8" t="n">
        <f aca="false">SUM(AE158,AE159)</f>
        <v>40</v>
      </c>
      <c r="AF157" s="8" t="n">
        <f aca="false">SUM(AF158,AF159)</f>
        <v>25</v>
      </c>
      <c r="AG157" s="8" t="n">
        <f aca="false">SUM(AG158,AG159)</f>
        <v>40</v>
      </c>
      <c r="AH157" s="8" t="n">
        <f aca="false">SUM(AH158,AH159)</f>
        <v>30</v>
      </c>
      <c r="AI157" s="8" t="n">
        <f aca="false">SUM(AI158,AI159)</f>
        <v>30</v>
      </c>
      <c r="AJ157" s="8" t="n">
        <f aca="false">SUM(AJ158,AJ159)</f>
        <v>30</v>
      </c>
      <c r="AK157" s="8" t="n">
        <f aca="false">SUM(AK158,AK159)</f>
        <v>30</v>
      </c>
      <c r="AL157" s="8" t="n">
        <f aca="false">SUM(AL158,AL159)</f>
        <v>30</v>
      </c>
      <c r="AM157" s="8" t="n">
        <f aca="false">SUM(AM158,AM159)</f>
        <v>30</v>
      </c>
      <c r="AN157" s="8" t="n">
        <f aca="false">SUM(AN158,AN159)</f>
        <v>20</v>
      </c>
      <c r="AO157" s="8" t="n">
        <f aca="false">SUM(AO158,AO159)</f>
        <v>15</v>
      </c>
      <c r="AP157" s="8" t="n">
        <f aca="false">SUM(AP158,AP159)</f>
        <v>5</v>
      </c>
      <c r="AQ157" s="8" t="n">
        <f aca="false">SUM(AQ158,AQ159)</f>
        <v>0</v>
      </c>
      <c r="AR157" s="8" t="n">
        <f aca="false">SUM(AR158,AR159)</f>
        <v>0</v>
      </c>
      <c r="AS157" s="8" t="n">
        <f aca="false">SUM(AS158,AS159)</f>
        <v>0</v>
      </c>
    </row>
    <row r="158" customFormat="false" ht="15" hidden="true" customHeight="true" outlineLevel="1" collapsed="false">
      <c r="A158" s="1" t="s">
        <v>29</v>
      </c>
      <c r="B158" s="1" t="s">
        <v>10</v>
      </c>
      <c r="C158" s="1" t="s">
        <v>28</v>
      </c>
      <c r="D158" s="1" t="s">
        <v>141</v>
      </c>
      <c r="E158" s="1" t="s">
        <v>91</v>
      </c>
      <c r="F158" s="10" t="n">
        <v>11</v>
      </c>
      <c r="G158" s="10" t="n">
        <v>5</v>
      </c>
      <c r="H158" s="10" t="n">
        <v>5</v>
      </c>
      <c r="I158" s="10" t="n">
        <v>5</v>
      </c>
      <c r="J158" s="10" t="n">
        <v>10</v>
      </c>
      <c r="K158" s="10" t="n">
        <v>10</v>
      </c>
      <c r="L158" s="10" t="n">
        <v>20</v>
      </c>
      <c r="M158" s="10" t="n">
        <v>30</v>
      </c>
      <c r="N158" s="10" t="n">
        <v>30</v>
      </c>
      <c r="O158" s="10" t="n">
        <v>30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25</v>
      </c>
      <c r="AG158" s="10" t="n">
        <v>40</v>
      </c>
      <c r="AH158" s="10" t="n">
        <v>30</v>
      </c>
      <c r="AI158" s="10" t="n">
        <v>30</v>
      </c>
      <c r="AJ158" s="10" t="n">
        <v>30</v>
      </c>
      <c r="AK158" s="10" t="n">
        <v>30</v>
      </c>
      <c r="AL158" s="10" t="n">
        <v>30</v>
      </c>
      <c r="AM158" s="10" t="n">
        <v>30</v>
      </c>
      <c r="AN158" s="10" t="n">
        <v>20</v>
      </c>
      <c r="AO158" s="10" t="n">
        <v>15</v>
      </c>
      <c r="AP158" s="10" t="n">
        <v>5</v>
      </c>
      <c r="AQ158" s="10" t="n">
        <v>0</v>
      </c>
      <c r="AR158" s="10" t="n">
        <v>0</v>
      </c>
      <c r="AS158" s="10" t="n">
        <v>0</v>
      </c>
    </row>
    <row r="159" customFormat="false" ht="15" hidden="true" customHeight="true" outlineLevel="1" collapsed="false">
      <c r="A159" s="1" t="s">
        <v>29</v>
      </c>
      <c r="B159" s="1" t="s">
        <v>10</v>
      </c>
      <c r="C159" s="1" t="s">
        <v>28</v>
      </c>
      <c r="D159" s="1" t="s">
        <v>141</v>
      </c>
      <c r="E159" s="1" t="s">
        <v>92</v>
      </c>
      <c r="F159" s="10" t="n">
        <v>20.5</v>
      </c>
      <c r="G159" s="10" t="n">
        <v>20</v>
      </c>
      <c r="H159" s="10" t="n">
        <v>20</v>
      </c>
      <c r="I159" s="10" t="n">
        <v>20</v>
      </c>
      <c r="J159" s="10" t="n">
        <v>30</v>
      </c>
      <c r="K159" s="10" t="n">
        <v>30</v>
      </c>
      <c r="L159" s="10" t="n">
        <v>20</v>
      </c>
      <c r="M159" s="10" t="n">
        <v>10</v>
      </c>
      <c r="N159" s="10" t="n">
        <v>10</v>
      </c>
      <c r="O159" s="10" t="n">
        <v>10</v>
      </c>
      <c r="P159" s="10" t="n">
        <v>15</v>
      </c>
      <c r="Q159" s="10" t="n">
        <v>15</v>
      </c>
      <c r="R159" s="10" t="n">
        <v>15</v>
      </c>
      <c r="S159" s="10" t="n">
        <v>3</v>
      </c>
      <c r="T159" s="10" t="n">
        <v>3</v>
      </c>
      <c r="U159" s="10" t="n">
        <v>3</v>
      </c>
      <c r="V159" s="10" t="n">
        <v>2</v>
      </c>
      <c r="W159" s="10" t="n">
        <v>0</v>
      </c>
      <c r="X159" s="10" t="n">
        <v>10</v>
      </c>
      <c r="Y159" s="10" t="n">
        <v>50</v>
      </c>
      <c r="Z159" s="10" t="n">
        <v>50</v>
      </c>
      <c r="AA159" s="10" t="n">
        <v>50</v>
      </c>
      <c r="AB159" s="10" t="n">
        <v>55</v>
      </c>
      <c r="AC159" s="10" t="n">
        <v>55</v>
      </c>
      <c r="AD159" s="10" t="n">
        <v>55</v>
      </c>
      <c r="AE159" s="10" t="n">
        <v>40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</row>
    <row r="160" customFormat="false" ht="15" hidden="false" customHeight="true" outlineLevel="0" collapsed="false">
      <c r="A160" s="4" t="s">
        <v>12</v>
      </c>
      <c r="B160" s="4" t="s">
        <v>14</v>
      </c>
      <c r="C160" s="4" t="s">
        <v>13</v>
      </c>
      <c r="D160" s="4" t="s">
        <v>76</v>
      </c>
      <c r="E160" s="4" t="s">
        <v>77</v>
      </c>
      <c r="F160" s="8" t="n">
        <f aca="false">SUM(F161,F162,F163,F164,F165,F166,F167,F168,F169)</f>
        <v>40</v>
      </c>
      <c r="G160" s="8" t="n">
        <f aca="false">SUM(G161,G162,G163,G164,G165,G166,G167,G168,G169)</f>
        <v>32</v>
      </c>
      <c r="H160" s="8" t="n">
        <f aca="false">SUM(H161,H162,H163,H164,H165,H166,H167,H168,H169)</f>
        <v>40</v>
      </c>
      <c r="I160" s="8" t="n">
        <f aca="false">SUM(I161,I162,I163,I164,I165,I166,I167,I168,I169)</f>
        <v>33</v>
      </c>
      <c r="J160" s="8" t="n">
        <f aca="false">SUM(J161,J162,J163,J164,J165,J166,J167,J168,J169)</f>
        <v>30</v>
      </c>
      <c r="K160" s="8" t="n">
        <f aca="false">SUM(K161,K162,K163,K164,K165,K166,K167,K168,K169)</f>
        <v>30</v>
      </c>
      <c r="L160" s="8" t="n">
        <f aca="false">SUM(L161,L162,L163,L164,L165,L166,L167,L168,L169)</f>
        <v>40</v>
      </c>
      <c r="M160" s="8" t="n">
        <f aca="false">SUM(M161,M162,M163,M164,M165,M166,M167,M168,M169)</f>
        <v>37.846154</v>
      </c>
      <c r="N160" s="8" t="n">
        <f aca="false">SUM(N161,N162,N163,N164,N165,N166,N167,N168,N169)</f>
        <v>30</v>
      </c>
      <c r="O160" s="8" t="n">
        <f aca="false">SUM(O161,O162,O163,O164,O165,O166,O167,O168,O169)</f>
        <v>40</v>
      </c>
      <c r="P160" s="8" t="n">
        <f aca="false">SUM(P161,P162,P163,P164,P165,P166,P167,P168,P169)</f>
        <v>40</v>
      </c>
      <c r="Q160" s="8" t="n">
        <f aca="false">SUM(Q161,Q162,Q163,Q164,Q165,Q166,Q167,Q168,Q169)</f>
        <v>40</v>
      </c>
      <c r="R160" s="8" t="n">
        <f aca="false">SUM(R161,R162,R163,R164,R165,R166,R167,R168,R169)</f>
        <v>35</v>
      </c>
      <c r="S160" s="8" t="n">
        <f aca="false">SUM(S161,S162,S163,S164,S165,S166,S167,S168,S169)</f>
        <v>40</v>
      </c>
      <c r="T160" s="8" t="n">
        <f aca="false">SUM(T161,T162,T163,T164,T165,T166,T167,T168,T169)</f>
        <v>35</v>
      </c>
      <c r="U160" s="8" t="n">
        <f aca="false">SUM(U161,U162,U163,U164,U165,U166,U167,U168,U169)</f>
        <v>35</v>
      </c>
      <c r="V160" s="8" t="n">
        <f aca="false">SUM(V161,V162,V163,V164,V165,V166,V167,V168,V169)</f>
        <v>0</v>
      </c>
      <c r="W160" s="8" t="n">
        <f aca="false">SUM(W161,W162,W163,W164,W165,W166,W167,W168,W169)</f>
        <v>0</v>
      </c>
      <c r="X160" s="8" t="n">
        <f aca="false">SUM(X161,X162,X163,X164,X165,X166,X167,X168,X169)</f>
        <v>37</v>
      </c>
      <c r="Y160" s="8" t="n">
        <f aca="false">SUM(Y161,Y162,Y163,Y164,Y165,Y166,Y167,Y168,Y169)</f>
        <v>55</v>
      </c>
      <c r="Z160" s="8" t="n">
        <f aca="false">SUM(Z161,Z162,Z163,Z164,Z165,Z166,Z167,Z168,Z169)</f>
        <v>55</v>
      </c>
      <c r="AA160" s="8" t="n">
        <f aca="false">SUM(AA161,AA162,AA163,AA164,AA165,AA166,AA167,AA168,AA169)</f>
        <v>55</v>
      </c>
      <c r="AB160" s="8" t="n">
        <f aca="false">SUM(AB161,AB162,AB163,AB164,AB165,AB166,AB167,AB168,AB169)</f>
        <v>55</v>
      </c>
      <c r="AC160" s="8" t="n">
        <f aca="false">SUM(AC161,AC162,AC163,AC164,AC165,AC166,AC167,AC168,AC169)</f>
        <v>55</v>
      </c>
      <c r="AD160" s="8" t="n">
        <f aca="false">SUM(AD161,AD162,AD163,AD164,AD165,AD166,AD167,AD168,AD169)</f>
        <v>55</v>
      </c>
      <c r="AE160" s="8" t="n">
        <f aca="false">SUM(AE161,AE162,AE163,AE164,AE165,AE166,AE167,AE168,AE169)</f>
        <v>49</v>
      </c>
      <c r="AF160" s="8" t="n">
        <f aca="false">SUM(AF161,AF162,AF163,AF164,AF165,AF166,AF167,AF168,AF169)</f>
        <v>0</v>
      </c>
      <c r="AG160" s="8" t="n">
        <f aca="false">SUM(AG161,AG162,AG163,AG164,AG165,AG166,AG167,AG168,AG169)</f>
        <v>0</v>
      </c>
      <c r="AH160" s="8" t="n">
        <f aca="false">SUM(AH161,AH162,AH163,AH164,AH165,AH166,AH167,AH168,AH169)</f>
        <v>0</v>
      </c>
      <c r="AI160" s="8" t="n">
        <f aca="false">SUM(AI161,AI162,AI163,AI164,AI165,AI166,AI167,AI168,AI169)</f>
        <v>0</v>
      </c>
      <c r="AJ160" s="8" t="n">
        <f aca="false">SUM(AJ161,AJ162,AJ163,AJ164,AJ165,AJ166,AJ167,AJ168,AJ169)</f>
        <v>0</v>
      </c>
      <c r="AK160" s="8" t="n">
        <f aca="false">SUM(AK161,AK162,AK163,AK164,AK165,AK166,AK167,AK168,AK169)</f>
        <v>0</v>
      </c>
      <c r="AL160" s="8" t="n">
        <f aca="false">SUM(AL161,AL162,AL163,AL164,AL165,AL166,AL167,AL168,AL169)</f>
        <v>0</v>
      </c>
      <c r="AM160" s="8" t="n">
        <f aca="false">SUM(AM161,AM162,AM163,AM164,AM165,AM166,AM167,AM168,AM169)</f>
        <v>0</v>
      </c>
      <c r="AN160" s="8" t="n">
        <f aca="false">SUM(AN161,AN162,AN163,AN164,AN165,AN166,AN167,AN168,AN169)</f>
        <v>0</v>
      </c>
      <c r="AO160" s="8" t="n">
        <f aca="false">SUM(AO161,AO162,AO163,AO164,AO165,AO166,AO167,AO168,AO169)</f>
        <v>0</v>
      </c>
      <c r="AP160" s="8" t="n">
        <f aca="false">SUM(AP161,AP162,AP163,AP164,AP165,AP166,AP167,AP168,AP169)</f>
        <v>0</v>
      </c>
      <c r="AQ160" s="8" t="n">
        <f aca="false">SUM(AQ161,AQ162,AQ163,AQ164,AQ165,AQ166,AQ167,AQ168,AQ169)</f>
        <v>0</v>
      </c>
      <c r="AR160" s="8" t="n">
        <f aca="false">SUM(AR161,AR162,AR163,AR164,AR165,AR166,AR167,AR168,AR169)</f>
        <v>0</v>
      </c>
      <c r="AS160" s="8" t="n">
        <f aca="false">SUM(AS161,AS162,AS163,AS164,AS165,AS166,AS167,AS168,AS169)</f>
        <v>0</v>
      </c>
    </row>
    <row r="161" customFormat="false" ht="15" hidden="true" customHeight="true" outlineLevel="1" collapsed="false">
      <c r="A161" s="1" t="s">
        <v>12</v>
      </c>
      <c r="B161" s="1" t="s">
        <v>14</v>
      </c>
      <c r="C161" s="1" t="s">
        <v>13</v>
      </c>
      <c r="D161" s="1" t="s">
        <v>141</v>
      </c>
      <c r="E161" s="1" t="s">
        <v>108</v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21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</row>
    <row r="162" customFormat="false" ht="15" hidden="true" customHeight="true" outlineLevel="1" collapsed="false">
      <c r="A162" s="1" t="s">
        <v>12</v>
      </c>
      <c r="B162" s="1" t="s">
        <v>14</v>
      </c>
      <c r="C162" s="1" t="s">
        <v>13</v>
      </c>
      <c r="D162" s="1" t="s">
        <v>141</v>
      </c>
      <c r="E162" s="1" t="s">
        <v>81</v>
      </c>
      <c r="F162" s="10" t="n">
        <v>0</v>
      </c>
      <c r="G162" s="10" t="n">
        <v>0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1.346154</v>
      </c>
      <c r="N162" s="10" t="n">
        <v>0</v>
      </c>
      <c r="O162" s="10" t="n">
        <v>14</v>
      </c>
      <c r="P162" s="10" t="n">
        <v>16</v>
      </c>
      <c r="Q162" s="10" t="n">
        <v>0</v>
      </c>
      <c r="R162" s="10" t="n">
        <v>4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13.1</v>
      </c>
      <c r="AA162" s="10" t="n">
        <v>25</v>
      </c>
      <c r="AB162" s="10" t="n">
        <v>36</v>
      </c>
      <c r="AC162" s="10" t="n">
        <v>17</v>
      </c>
      <c r="AD162" s="10" t="n">
        <v>25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</row>
    <row r="163" customFormat="false" ht="15" hidden="true" customHeight="true" outlineLevel="1" collapsed="false">
      <c r="A163" s="1" t="s">
        <v>12</v>
      </c>
      <c r="B163" s="1" t="s">
        <v>14</v>
      </c>
      <c r="C163" s="1" t="s">
        <v>13</v>
      </c>
      <c r="D163" s="1" t="s">
        <v>141</v>
      </c>
      <c r="E163" s="1" t="s">
        <v>40</v>
      </c>
      <c r="F163" s="10" t="n">
        <v>0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2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</row>
    <row r="164" customFormat="false" ht="15" hidden="true" customHeight="true" outlineLevel="1" collapsed="false">
      <c r="A164" s="1" t="s">
        <v>12</v>
      </c>
      <c r="B164" s="1" t="s">
        <v>14</v>
      </c>
      <c r="C164" s="1" t="s">
        <v>13</v>
      </c>
      <c r="D164" s="1" t="s">
        <v>141</v>
      </c>
      <c r="E164" s="1" t="s">
        <v>96</v>
      </c>
      <c r="F164" s="10" t="n">
        <v>28</v>
      </c>
      <c r="G164" s="10" t="n">
        <v>0</v>
      </c>
      <c r="H164" s="10" t="n">
        <v>30</v>
      </c>
      <c r="I164" s="10" t="n">
        <v>25</v>
      </c>
      <c r="J164" s="10" t="n">
        <v>30</v>
      </c>
      <c r="K164" s="10" t="n">
        <v>30</v>
      </c>
      <c r="L164" s="10" t="n">
        <v>20</v>
      </c>
      <c r="M164" s="10" t="n">
        <v>6.5</v>
      </c>
      <c r="N164" s="10" t="n">
        <v>24</v>
      </c>
      <c r="O164" s="10" t="n">
        <v>24</v>
      </c>
      <c r="P164" s="10" t="n">
        <v>24</v>
      </c>
      <c r="Q164" s="10" t="n">
        <v>28</v>
      </c>
      <c r="R164" s="10" t="n">
        <v>0</v>
      </c>
      <c r="S164" s="10" t="n">
        <v>24</v>
      </c>
      <c r="T164" s="10" t="n">
        <v>30</v>
      </c>
      <c r="U164" s="10" t="n">
        <v>30</v>
      </c>
      <c r="V164" s="10" t="n">
        <v>0</v>
      </c>
      <c r="W164" s="10" t="n">
        <v>0</v>
      </c>
      <c r="X164" s="10" t="n">
        <v>16</v>
      </c>
      <c r="Y164" s="10" t="n">
        <v>24</v>
      </c>
      <c r="Z164" s="10" t="n">
        <v>24</v>
      </c>
      <c r="AA164" s="10" t="n">
        <v>30</v>
      </c>
      <c r="AB164" s="10" t="n">
        <v>19</v>
      </c>
      <c r="AC164" s="10" t="n">
        <v>30</v>
      </c>
      <c r="AD164" s="10" t="n">
        <v>30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</row>
    <row r="165" customFormat="false" ht="15" hidden="true" customHeight="true" outlineLevel="1" collapsed="false">
      <c r="A165" s="1" t="s">
        <v>12</v>
      </c>
      <c r="B165" s="1" t="s">
        <v>14</v>
      </c>
      <c r="C165" s="1" t="s">
        <v>13</v>
      </c>
      <c r="D165" s="1" t="s">
        <v>141</v>
      </c>
      <c r="E165" s="1" t="s">
        <v>103</v>
      </c>
      <c r="F165" s="10" t="n">
        <v>0</v>
      </c>
      <c r="G165" s="10" t="n">
        <v>0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21</v>
      </c>
      <c r="Z165" s="10" t="n">
        <v>14.9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</row>
    <row r="166" customFormat="false" ht="15" hidden="true" customHeight="true" outlineLevel="1" collapsed="false">
      <c r="A166" s="1" t="s">
        <v>12</v>
      </c>
      <c r="B166" s="1" t="s">
        <v>14</v>
      </c>
      <c r="C166" s="1" t="s">
        <v>13</v>
      </c>
      <c r="D166" s="1" t="s">
        <v>141</v>
      </c>
      <c r="E166" s="1" t="s">
        <v>98</v>
      </c>
      <c r="F166" s="10" t="n">
        <v>0</v>
      </c>
      <c r="G166" s="10" t="n">
        <v>8</v>
      </c>
      <c r="H166" s="10" t="n">
        <v>8</v>
      </c>
      <c r="I166" s="10" t="n">
        <v>8</v>
      </c>
      <c r="J166" s="10" t="n">
        <v>0</v>
      </c>
      <c r="K166" s="10" t="n">
        <v>0</v>
      </c>
      <c r="L166" s="10" t="n">
        <v>5</v>
      </c>
      <c r="M166" s="10" t="n">
        <v>5</v>
      </c>
      <c r="N166" s="10" t="n">
        <v>5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5</v>
      </c>
      <c r="T166" s="10" t="n">
        <v>5</v>
      </c>
      <c r="U166" s="10" t="n">
        <v>5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3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</row>
    <row r="167" customFormat="false" ht="15" hidden="true" customHeight="true" outlineLevel="1" collapsed="false">
      <c r="A167" s="1" t="s">
        <v>12</v>
      </c>
      <c r="B167" s="1" t="s">
        <v>14</v>
      </c>
      <c r="C167" s="1" t="s">
        <v>13</v>
      </c>
      <c r="D167" s="1" t="s">
        <v>141</v>
      </c>
      <c r="E167" s="1" t="s">
        <v>99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25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n">
        <v>-1.77635683940025E-015</v>
      </c>
      <c r="AC167" s="10" t="n">
        <v>0</v>
      </c>
      <c r="AD167" s="10" t="n">
        <v>0</v>
      </c>
      <c r="AE167" s="10" t="n">
        <v>0</v>
      </c>
      <c r="AF167" s="10" t="n">
        <v>0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</row>
    <row r="168" customFormat="false" ht="15" hidden="true" customHeight="true" outlineLevel="1" collapsed="false">
      <c r="A168" s="1" t="s">
        <v>12</v>
      </c>
      <c r="B168" s="1" t="s">
        <v>14</v>
      </c>
      <c r="C168" s="1" t="s">
        <v>13</v>
      </c>
      <c r="D168" s="1" t="s">
        <v>141</v>
      </c>
      <c r="E168" s="1" t="s">
        <v>43</v>
      </c>
      <c r="F168" s="10" t="n">
        <v>12</v>
      </c>
      <c r="G168" s="10" t="n">
        <v>24</v>
      </c>
      <c r="H168" s="10" t="n">
        <v>2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1</v>
      </c>
      <c r="O168" s="10" t="n">
        <v>0</v>
      </c>
      <c r="P168" s="10" t="n">
        <v>0</v>
      </c>
      <c r="Q168" s="10" t="n">
        <v>12</v>
      </c>
      <c r="R168" s="10" t="n">
        <v>31</v>
      </c>
      <c r="S168" s="10" t="n">
        <v>11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14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</row>
    <row r="169" customFormat="false" ht="15" hidden="true" customHeight="true" outlineLevel="1" collapsed="false">
      <c r="A169" s="1" t="s">
        <v>12</v>
      </c>
      <c r="B169" s="1" t="s">
        <v>14</v>
      </c>
      <c r="C169" s="1" t="s">
        <v>13</v>
      </c>
      <c r="D169" s="1" t="s">
        <v>141</v>
      </c>
      <c r="E169" s="1" t="s">
        <v>100</v>
      </c>
      <c r="F169" s="10" t="n">
        <v>0</v>
      </c>
      <c r="G169" s="10" t="n">
        <v>0</v>
      </c>
      <c r="H169" s="10" t="n">
        <v>0</v>
      </c>
      <c r="I169" s="10" t="n">
        <v>0</v>
      </c>
      <c r="J169" s="10" t="n">
        <v>0</v>
      </c>
      <c r="K169" s="10" t="n">
        <v>0</v>
      </c>
      <c r="L169" s="10" t="n">
        <v>15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10</v>
      </c>
      <c r="Z169" s="10" t="n">
        <v>0</v>
      </c>
      <c r="AA169" s="10" t="n">
        <v>0</v>
      </c>
      <c r="AB169" s="10" t="n">
        <v>0</v>
      </c>
      <c r="AC169" s="10" t="n">
        <v>8</v>
      </c>
      <c r="AD169" s="10" t="n">
        <v>0</v>
      </c>
      <c r="AE169" s="10" t="n">
        <v>35</v>
      </c>
      <c r="AF169" s="10" t="n">
        <v>0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</row>
    <row r="170" customFormat="false" ht="15" hidden="false" customHeight="true" outlineLevel="0" collapsed="false">
      <c r="A170" s="4" t="s">
        <v>12</v>
      </c>
      <c r="B170" s="4" t="s">
        <v>14</v>
      </c>
      <c r="C170" s="4" t="s">
        <v>26</v>
      </c>
      <c r="D170" s="4" t="s">
        <v>76</v>
      </c>
      <c r="E170" s="4" t="s">
        <v>77</v>
      </c>
      <c r="F170" s="8" t="n">
        <f aca="false">SUM(F171,F172,F173,F174,F175,F176,F177,F178,F179,F180,F181)</f>
        <v>40</v>
      </c>
      <c r="G170" s="8" t="n">
        <f aca="false">SUM(G171,G172,G173,G174,G175,G176,G177,G178,G179,G180,G181)</f>
        <v>16</v>
      </c>
      <c r="H170" s="8" t="n">
        <f aca="false">SUM(H171,H172,H173,H174,H175,H176,H177,H178,H179,H180,H181)</f>
        <v>40</v>
      </c>
      <c r="I170" s="8" t="n">
        <f aca="false">SUM(I171,I172,I173,I174,I175,I176,I177,I178,I179,I180,I181)</f>
        <v>35</v>
      </c>
      <c r="J170" s="8" t="n">
        <f aca="false">SUM(J171,J172,J173,J174,J175,J176,J177,J178,J179,J180,J181)</f>
        <v>35.1</v>
      </c>
      <c r="K170" s="8" t="n">
        <f aca="false">SUM(K171,K172,K173,K174,K175,K176,K177,K178,K179,K180,K181)</f>
        <v>40</v>
      </c>
      <c r="L170" s="8" t="n">
        <f aca="false">SUM(L171,L172,L173,L174,L175,L176,L177,L178,L179,L180,L181)</f>
        <v>19.3</v>
      </c>
      <c r="M170" s="8" t="n">
        <f aca="false">SUM(M171,M172,M173,M174,M175,M176,M177,M178,M179,M180,M181)</f>
        <v>40</v>
      </c>
      <c r="N170" s="8" t="n">
        <f aca="false">SUM(N171,N172,N173,N174,N175,N176,N177,N178,N179,N180,N181)</f>
        <v>34.2</v>
      </c>
      <c r="O170" s="8" t="n">
        <f aca="false">SUM(O171,O172,O173,O174,O175,O176,O177,O178,O179,O180,O181)</f>
        <v>40</v>
      </c>
      <c r="P170" s="8" t="n">
        <f aca="false">SUM(P171,P172,P173,P174,P175,P176,P177,P178,P179,P180,P181)</f>
        <v>40</v>
      </c>
      <c r="Q170" s="8" t="n">
        <f aca="false">SUM(Q171,Q172,Q173,Q174,Q175,Q176,Q177,Q178,Q179,Q180,Q181)</f>
        <v>40</v>
      </c>
      <c r="R170" s="8" t="n">
        <f aca="false">SUM(R171,R172,R173,R174,R175,R176,R177,R178,R179,R180,R181)</f>
        <v>21</v>
      </c>
      <c r="S170" s="8" t="n">
        <f aca="false">SUM(S171,S172,S173,S174,S175,S176,S177,S178,S179,S180,S181)</f>
        <v>40</v>
      </c>
      <c r="T170" s="8" t="n">
        <f aca="false">SUM(T171,T172,T173,T174,T175,T176,T177,T178,T179,T180,T181)</f>
        <v>40</v>
      </c>
      <c r="U170" s="8" t="n">
        <f aca="false">SUM(U171,U172,U173,U174,U175,U176,U177,U178,U179,U180,U181)</f>
        <v>40</v>
      </c>
      <c r="V170" s="8" t="n">
        <f aca="false">SUM(V171,V172,V173,V174,V175,V176,V177,V178,V179,V180,V181)</f>
        <v>0</v>
      </c>
      <c r="W170" s="8" t="n">
        <f aca="false">SUM(W171,W172,W173,W174,W175,W176,W177,W178,W179,W180,W181)</f>
        <v>0</v>
      </c>
      <c r="X170" s="8" t="n">
        <f aca="false">SUM(X171,X172,X173,X174,X175,X176,X177,X178,X179,X180,X181)</f>
        <v>55</v>
      </c>
      <c r="Y170" s="8" t="n">
        <f aca="false">SUM(Y171,Y172,Y173,Y174,Y175,Y176,Y177,Y178,Y179,Y180,Y181)</f>
        <v>55</v>
      </c>
      <c r="Z170" s="8" t="n">
        <f aca="false">SUM(Z171,Z172,Z173,Z174,Z175,Z176,Z177,Z178,Z179,Z180,Z181)</f>
        <v>55</v>
      </c>
      <c r="AA170" s="8" t="n">
        <f aca="false">SUM(AA171,AA172,AA173,AA174,AA175,AA176,AA177,AA178,AA179,AA180,AA181)</f>
        <v>55</v>
      </c>
      <c r="AB170" s="8" t="n">
        <f aca="false">SUM(AB171,AB172,AB173,AB174,AB175,AB176,AB177,AB178,AB179,AB180,AB181)</f>
        <v>55</v>
      </c>
      <c r="AC170" s="8" t="n">
        <f aca="false">SUM(AC171,AC172,AC173,AC174,AC175,AC176,AC177,AC178,AC179,AC180,AC181)</f>
        <v>55</v>
      </c>
      <c r="AD170" s="8" t="n">
        <f aca="false">SUM(AD171,AD172,AD173,AD174,AD175,AD176,AD177,AD178,AD179,AD180,AD181)</f>
        <v>55</v>
      </c>
      <c r="AE170" s="8" t="n">
        <f aca="false">SUM(AE171,AE172,AE173,AE174,AE175,AE176,AE177,AE178,AE179,AE180,AE181)</f>
        <v>21.9</v>
      </c>
      <c r="AF170" s="8" t="n">
        <f aca="false">SUM(AF171,AF172,AF173,AF174,AF175,AF176,AF177,AF178,AF179,AF180,AF181)</f>
        <v>11.3</v>
      </c>
      <c r="AG170" s="8" t="n">
        <f aca="false">SUM(AG171,AG172,AG173,AG174,AG175,AG176,AG177,AG178,AG179,AG180,AG181)</f>
        <v>29.7</v>
      </c>
      <c r="AH170" s="8" t="n">
        <f aca="false">SUM(AH171,AH172,AH173,AH174,AH175,AH176,AH177,AH178,AH179,AH180,AH181)</f>
        <v>22</v>
      </c>
      <c r="AI170" s="8" t="n">
        <f aca="false">SUM(AI171,AI172,AI173,AI174,AI175,AI176,AI177,AI178,AI179,AI180,AI181)</f>
        <v>16</v>
      </c>
      <c r="AJ170" s="8" t="n">
        <f aca="false">SUM(AJ171,AJ172,AJ173,AJ174,AJ175,AJ176,AJ177,AJ178,AJ179,AJ180,AJ181)</f>
        <v>16</v>
      </c>
      <c r="AK170" s="8" t="n">
        <f aca="false">SUM(AK171,AK172,AK173,AK174,AK175,AK176,AK177,AK178,AK179,AK180,AK181)</f>
        <v>16</v>
      </c>
      <c r="AL170" s="8" t="n">
        <f aca="false">SUM(AL171,AL172,AL173,AL174,AL175,AL176,AL177,AL178,AL179,AL180,AL181)</f>
        <v>5.1</v>
      </c>
      <c r="AM170" s="8" t="n">
        <f aca="false">SUM(AM171,AM172,AM173,AM174,AM175,AM176,AM177,AM178,AM179,AM180,AM181)</f>
        <v>0</v>
      </c>
      <c r="AN170" s="8" t="n">
        <f aca="false">SUM(AN171,AN172,AN173,AN174,AN175,AN176,AN177,AN178,AN179,AN180,AN181)</f>
        <v>0</v>
      </c>
      <c r="AO170" s="8" t="n">
        <f aca="false">SUM(AO171,AO172,AO173,AO174,AO175,AO176,AO177,AO178,AO179,AO180,AO181)</f>
        <v>0</v>
      </c>
      <c r="AP170" s="8" t="n">
        <f aca="false">SUM(AP171,AP172,AP173,AP174,AP175,AP176,AP177,AP178,AP179,AP180,AP181)</f>
        <v>0</v>
      </c>
      <c r="AQ170" s="8" t="n">
        <f aca="false">SUM(AQ171,AQ172,AQ173,AQ174,AQ175,AQ176,AQ177,AQ178,AQ179,AQ180,AQ181)</f>
        <v>0</v>
      </c>
      <c r="AR170" s="8" t="n">
        <f aca="false">SUM(AR171,AR172,AR173,AR174,AR175,AR176,AR177,AR178,AR179,AR180,AR181)</f>
        <v>0</v>
      </c>
      <c r="AS170" s="8" t="n">
        <f aca="false">SUM(AS171,AS172,AS173,AS174,AS175,AS176,AS177,AS178,AS179,AS180,AS181)</f>
        <v>0</v>
      </c>
    </row>
    <row r="171" customFormat="false" ht="15" hidden="true" customHeight="true" outlineLevel="1" collapsed="false">
      <c r="A171" s="1" t="s">
        <v>12</v>
      </c>
      <c r="B171" s="1" t="s">
        <v>14</v>
      </c>
      <c r="C171" s="1" t="s">
        <v>26</v>
      </c>
      <c r="D171" s="1" t="s">
        <v>141</v>
      </c>
      <c r="E171" s="1" t="s">
        <v>80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5</v>
      </c>
      <c r="M171" s="10" t="n">
        <v>8</v>
      </c>
      <c r="N171" s="10" t="n">
        <v>2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3</v>
      </c>
      <c r="Y171" s="10" t="n">
        <v>6</v>
      </c>
      <c r="Z171" s="10" t="n">
        <v>5</v>
      </c>
      <c r="AA171" s="10" t="n">
        <v>2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5</v>
      </c>
      <c r="AG171" s="10" t="n">
        <v>21</v>
      </c>
      <c r="AH171" s="10" t="n">
        <v>6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</row>
    <row r="172" customFormat="false" ht="15" hidden="true" customHeight="true" outlineLevel="1" collapsed="false">
      <c r="A172" s="1" t="s">
        <v>12</v>
      </c>
      <c r="B172" s="1" t="s">
        <v>14</v>
      </c>
      <c r="C172" s="1" t="s">
        <v>26</v>
      </c>
      <c r="D172" s="1" t="s">
        <v>141</v>
      </c>
      <c r="E172" s="1" t="s">
        <v>94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6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</row>
    <row r="173" customFormat="false" ht="15" hidden="true" customHeight="true" outlineLevel="1" collapsed="false">
      <c r="A173" s="1" t="s">
        <v>12</v>
      </c>
      <c r="B173" s="1" t="s">
        <v>14</v>
      </c>
      <c r="C173" s="1" t="s">
        <v>26</v>
      </c>
      <c r="D173" s="1" t="s">
        <v>141</v>
      </c>
      <c r="E173" s="1" t="s">
        <v>102</v>
      </c>
      <c r="F173" s="10" t="n">
        <v>0</v>
      </c>
      <c r="G173" s="10" t="n">
        <v>0</v>
      </c>
      <c r="H173" s="10" t="n">
        <v>1</v>
      </c>
      <c r="I173" s="10" t="n">
        <v>0</v>
      </c>
      <c r="J173" s="10" t="n">
        <v>0</v>
      </c>
      <c r="K173" s="10" t="n">
        <v>20</v>
      </c>
      <c r="L173" s="10" t="n">
        <v>0</v>
      </c>
      <c r="M173" s="10" t="n">
        <v>11.9</v>
      </c>
      <c r="N173" s="10" t="n">
        <v>15</v>
      </c>
      <c r="O173" s="10" t="n">
        <v>0.600000000000001</v>
      </c>
      <c r="P173" s="10" t="n">
        <v>0</v>
      </c>
      <c r="Q173" s="10" t="n">
        <v>0</v>
      </c>
      <c r="R173" s="10" t="n">
        <v>15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5.3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</row>
    <row r="174" customFormat="false" ht="15" hidden="true" customHeight="true" outlineLevel="1" collapsed="false">
      <c r="A174" s="1" t="s">
        <v>12</v>
      </c>
      <c r="B174" s="1" t="s">
        <v>14</v>
      </c>
      <c r="C174" s="1" t="s">
        <v>26</v>
      </c>
      <c r="D174" s="1" t="s">
        <v>141</v>
      </c>
      <c r="E174" s="1" t="s">
        <v>40</v>
      </c>
      <c r="F174" s="10" t="n">
        <v>0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12</v>
      </c>
      <c r="AC174" s="10" t="n">
        <v>24</v>
      </c>
      <c r="AD174" s="10" t="n">
        <v>20</v>
      </c>
      <c r="AE174" s="10" t="n">
        <v>10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</row>
    <row r="175" customFormat="false" ht="15" hidden="true" customHeight="true" outlineLevel="1" collapsed="false">
      <c r="A175" s="1" t="s">
        <v>12</v>
      </c>
      <c r="B175" s="1" t="s">
        <v>14</v>
      </c>
      <c r="C175" s="1" t="s">
        <v>26</v>
      </c>
      <c r="D175" s="1" t="s">
        <v>141</v>
      </c>
      <c r="E175" s="1" t="s">
        <v>97</v>
      </c>
      <c r="F175" s="10" t="n">
        <v>8</v>
      </c>
      <c r="G175" s="10" t="n">
        <v>0</v>
      </c>
      <c r="H175" s="10" t="n">
        <v>20</v>
      </c>
      <c r="I175" s="10" t="n">
        <v>20</v>
      </c>
      <c r="J175" s="10" t="n">
        <v>20</v>
      </c>
      <c r="K175" s="10" t="n">
        <v>0</v>
      </c>
      <c r="L175" s="10" t="n">
        <v>0</v>
      </c>
      <c r="M175" s="10" t="n">
        <v>5</v>
      </c>
      <c r="N175" s="10" t="n">
        <v>5</v>
      </c>
      <c r="O175" s="10" t="n">
        <v>20</v>
      </c>
      <c r="P175" s="10" t="n">
        <v>20</v>
      </c>
      <c r="Q175" s="10" t="n">
        <v>20</v>
      </c>
      <c r="R175" s="10" t="n">
        <v>0</v>
      </c>
      <c r="S175" s="10" t="n">
        <v>15</v>
      </c>
      <c r="T175" s="10" t="n">
        <v>15</v>
      </c>
      <c r="U175" s="10" t="n">
        <v>15</v>
      </c>
      <c r="V175" s="10" t="n">
        <v>0</v>
      </c>
      <c r="W175" s="10" t="n">
        <v>0</v>
      </c>
      <c r="X175" s="10" t="n">
        <v>10</v>
      </c>
      <c r="Y175" s="10" t="n">
        <v>10</v>
      </c>
      <c r="Z175" s="10" t="n">
        <v>10</v>
      </c>
      <c r="AA175" s="10" t="n">
        <v>10</v>
      </c>
      <c r="AB175" s="10" t="n">
        <v>10</v>
      </c>
      <c r="AC175" s="10" t="n">
        <v>5</v>
      </c>
      <c r="AD175" s="10" t="n">
        <v>5</v>
      </c>
      <c r="AE175" s="10" t="n">
        <v>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0</v>
      </c>
      <c r="AQ175" s="10" t="n">
        <v>0</v>
      </c>
      <c r="AR175" s="10" t="n">
        <v>0</v>
      </c>
      <c r="AS175" s="10" t="n">
        <v>0</v>
      </c>
    </row>
    <row r="176" customFormat="false" ht="15" hidden="true" customHeight="true" outlineLevel="1" collapsed="false">
      <c r="A176" s="1" t="s">
        <v>12</v>
      </c>
      <c r="B176" s="1" t="s">
        <v>14</v>
      </c>
      <c r="C176" s="1" t="s">
        <v>26</v>
      </c>
      <c r="D176" s="1" t="s">
        <v>141</v>
      </c>
      <c r="E176" s="1" t="s">
        <v>98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5</v>
      </c>
      <c r="P176" s="10" t="n">
        <v>2</v>
      </c>
      <c r="Q176" s="10" t="n">
        <v>0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15</v>
      </c>
      <c r="Y176" s="10" t="n">
        <v>15</v>
      </c>
      <c r="Z176" s="10" t="n">
        <v>12</v>
      </c>
      <c r="AA176" s="10" t="n">
        <v>15</v>
      </c>
      <c r="AB176" s="10" t="n">
        <v>15</v>
      </c>
      <c r="AC176" s="10" t="n">
        <v>16</v>
      </c>
      <c r="AD176" s="10" t="n">
        <v>20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</row>
    <row r="177" customFormat="false" ht="15" hidden="true" customHeight="true" outlineLevel="1" collapsed="false">
      <c r="A177" s="1" t="s">
        <v>12</v>
      </c>
      <c r="B177" s="1" t="s">
        <v>14</v>
      </c>
      <c r="C177" s="1" t="s">
        <v>26</v>
      </c>
      <c r="D177" s="1" t="s">
        <v>141</v>
      </c>
      <c r="E177" s="1" t="s">
        <v>99</v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1.8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</row>
    <row r="178" customFormat="false" ht="15" hidden="true" customHeight="true" outlineLevel="1" collapsed="false">
      <c r="A178" s="1" t="s">
        <v>12</v>
      </c>
      <c r="B178" s="1" t="s">
        <v>14</v>
      </c>
      <c r="C178" s="1" t="s">
        <v>26</v>
      </c>
      <c r="D178" s="1" t="s">
        <v>141</v>
      </c>
      <c r="E178" s="1" t="s">
        <v>106</v>
      </c>
      <c r="F178" s="10" t="n">
        <v>32</v>
      </c>
      <c r="G178" s="10" t="n">
        <v>0</v>
      </c>
      <c r="H178" s="10" t="n">
        <v>0</v>
      </c>
      <c r="I178" s="10" t="n">
        <v>0</v>
      </c>
      <c r="J178" s="10" t="n">
        <v>0</v>
      </c>
      <c r="K178" s="10" t="n">
        <v>12</v>
      </c>
      <c r="L178" s="10" t="n">
        <v>12</v>
      </c>
      <c r="M178" s="10" t="n">
        <v>15</v>
      </c>
      <c r="N178" s="10" t="n">
        <v>12</v>
      </c>
      <c r="O178" s="10" t="n">
        <v>6</v>
      </c>
      <c r="P178" s="10" t="n">
        <v>10</v>
      </c>
      <c r="Q178" s="10" t="n">
        <v>12</v>
      </c>
      <c r="R178" s="10" t="n">
        <v>0</v>
      </c>
      <c r="S178" s="10" t="n">
        <v>10</v>
      </c>
      <c r="T178" s="10" t="n">
        <v>12</v>
      </c>
      <c r="U178" s="10" t="n">
        <v>14</v>
      </c>
      <c r="V178" s="10" t="n">
        <v>0</v>
      </c>
      <c r="W178" s="10" t="n">
        <v>0</v>
      </c>
      <c r="X178" s="10" t="n">
        <v>8</v>
      </c>
      <c r="Y178" s="10" t="n">
        <v>8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</row>
    <row r="179" customFormat="false" ht="15" hidden="true" customHeight="true" outlineLevel="1" collapsed="false">
      <c r="A179" s="1" t="s">
        <v>12</v>
      </c>
      <c r="B179" s="1" t="s">
        <v>14</v>
      </c>
      <c r="C179" s="1" t="s">
        <v>26</v>
      </c>
      <c r="D179" s="1" t="s">
        <v>141</v>
      </c>
      <c r="E179" s="1" t="s">
        <v>111</v>
      </c>
      <c r="F179" s="10" t="n">
        <v>0</v>
      </c>
      <c r="G179" s="10" t="n">
        <v>4</v>
      </c>
      <c r="H179" s="10" t="n">
        <v>8</v>
      </c>
      <c r="I179" s="10" t="n">
        <v>8</v>
      </c>
      <c r="J179" s="10" t="n">
        <v>8</v>
      </c>
      <c r="K179" s="10" t="n">
        <v>0</v>
      </c>
      <c r="L179" s="10" t="n">
        <v>0</v>
      </c>
      <c r="M179" s="10" t="n">
        <v>0</v>
      </c>
      <c r="N179" s="10" t="n">
        <v>0</v>
      </c>
      <c r="O179" s="10" t="n">
        <v>8</v>
      </c>
      <c r="P179" s="10" t="n">
        <v>8</v>
      </c>
      <c r="Q179" s="10" t="n">
        <v>8</v>
      </c>
      <c r="R179" s="10" t="n">
        <v>0</v>
      </c>
      <c r="S179" s="10" t="n">
        <v>5</v>
      </c>
      <c r="T179" s="10" t="n">
        <v>3</v>
      </c>
      <c r="U179" s="10" t="n">
        <v>1</v>
      </c>
      <c r="V179" s="10" t="n">
        <v>0</v>
      </c>
      <c r="W179" s="10" t="n">
        <v>0</v>
      </c>
      <c r="X179" s="10" t="n">
        <v>0</v>
      </c>
      <c r="Y179" s="10" t="n">
        <v>8</v>
      </c>
      <c r="Z179" s="10" t="n">
        <v>20</v>
      </c>
      <c r="AA179" s="10" t="n">
        <v>20</v>
      </c>
      <c r="AB179" s="10" t="n">
        <v>10</v>
      </c>
      <c r="AC179" s="10" t="n">
        <v>0</v>
      </c>
      <c r="AD179" s="10" t="n">
        <v>0</v>
      </c>
      <c r="AE179" s="10" t="n">
        <v>0</v>
      </c>
      <c r="AF179" s="10" t="n">
        <v>0</v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0" t="n">
        <v>0</v>
      </c>
      <c r="AM179" s="10" t="n">
        <v>0</v>
      </c>
      <c r="AN179" s="10" t="n">
        <v>0</v>
      </c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</row>
    <row r="180" customFormat="false" ht="15" hidden="true" customHeight="true" outlineLevel="1" collapsed="false">
      <c r="A180" s="1" t="s">
        <v>12</v>
      </c>
      <c r="B180" s="1" t="s">
        <v>14</v>
      </c>
      <c r="C180" s="1" t="s">
        <v>26</v>
      </c>
      <c r="D180" s="1" t="s">
        <v>141</v>
      </c>
      <c r="E180" s="1" t="s">
        <v>112</v>
      </c>
      <c r="F180" s="10" t="n">
        <v>0</v>
      </c>
      <c r="G180" s="10" t="n">
        <v>4</v>
      </c>
      <c r="H180" s="10" t="n">
        <v>6</v>
      </c>
      <c r="I180" s="10" t="n">
        <v>6</v>
      </c>
      <c r="J180" s="10" t="n">
        <v>6</v>
      </c>
      <c r="K180" s="10" t="n">
        <v>6</v>
      </c>
      <c r="L180" s="10" t="n">
        <v>2</v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2</v>
      </c>
      <c r="Y180" s="10" t="n">
        <v>6</v>
      </c>
      <c r="Z180" s="10" t="n">
        <v>8</v>
      </c>
      <c r="AA180" s="10" t="n">
        <v>8</v>
      </c>
      <c r="AB180" s="10" t="n">
        <v>8</v>
      </c>
      <c r="AC180" s="10" t="n">
        <v>10</v>
      </c>
      <c r="AD180" s="10" t="n">
        <v>10</v>
      </c>
      <c r="AE180" s="10" t="n">
        <v>10</v>
      </c>
      <c r="AF180" s="10" t="n">
        <v>0</v>
      </c>
      <c r="AG180" s="10" t="n">
        <v>0</v>
      </c>
      <c r="AH180" s="10" t="n">
        <v>0</v>
      </c>
      <c r="AI180" s="10" t="n">
        <v>0</v>
      </c>
      <c r="AJ180" s="10" t="n">
        <v>0</v>
      </c>
      <c r="AK180" s="10" t="n">
        <v>0</v>
      </c>
      <c r="AL180" s="10" t="n">
        <v>0</v>
      </c>
      <c r="AM180" s="10" t="n">
        <v>0</v>
      </c>
      <c r="AN180" s="10" t="n">
        <v>0</v>
      </c>
      <c r="AO180" s="10" t="n">
        <v>0</v>
      </c>
      <c r="AP180" s="10" t="n">
        <v>0</v>
      </c>
      <c r="AQ180" s="10" t="n">
        <v>0</v>
      </c>
      <c r="AR180" s="10" t="n">
        <v>0</v>
      </c>
      <c r="AS180" s="10" t="n">
        <v>0</v>
      </c>
    </row>
    <row r="181" customFormat="false" ht="15" hidden="true" customHeight="true" outlineLevel="1" collapsed="false">
      <c r="A181" s="1" t="s">
        <v>12</v>
      </c>
      <c r="B181" s="1" t="s">
        <v>14</v>
      </c>
      <c r="C181" s="1" t="s">
        <v>26</v>
      </c>
      <c r="D181" s="1" t="s">
        <v>141</v>
      </c>
      <c r="E181" s="1" t="s">
        <v>107</v>
      </c>
      <c r="F181" s="10" t="n">
        <v>0</v>
      </c>
      <c r="G181" s="10" t="n">
        <v>8</v>
      </c>
      <c r="H181" s="10" t="n">
        <v>5</v>
      </c>
      <c r="I181" s="10" t="n">
        <v>1</v>
      </c>
      <c r="J181" s="10" t="n">
        <v>1.1</v>
      </c>
      <c r="K181" s="10" t="n">
        <v>2</v>
      </c>
      <c r="L181" s="10" t="n">
        <v>0.3</v>
      </c>
      <c r="M181" s="10" t="n">
        <v>0.1</v>
      </c>
      <c r="N181" s="10" t="n">
        <v>0.2</v>
      </c>
      <c r="O181" s="10" t="n">
        <v>0.4</v>
      </c>
      <c r="P181" s="10" t="n">
        <v>0</v>
      </c>
      <c r="Q181" s="10" t="n">
        <v>0</v>
      </c>
      <c r="R181" s="10" t="n">
        <v>0</v>
      </c>
      <c r="S181" s="10" t="n">
        <v>10</v>
      </c>
      <c r="T181" s="10" t="n">
        <v>10</v>
      </c>
      <c r="U181" s="10" t="n">
        <v>10</v>
      </c>
      <c r="V181" s="10" t="n">
        <v>0</v>
      </c>
      <c r="W181" s="10" t="n">
        <v>0</v>
      </c>
      <c r="X181" s="10" t="n">
        <v>11.7</v>
      </c>
      <c r="Y181" s="10" t="n">
        <v>0.2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1.9</v>
      </c>
      <c r="AF181" s="10" t="n">
        <v>6.3</v>
      </c>
      <c r="AG181" s="10" t="n">
        <v>8.7</v>
      </c>
      <c r="AH181" s="10" t="n">
        <v>16</v>
      </c>
      <c r="AI181" s="10" t="n">
        <v>16</v>
      </c>
      <c r="AJ181" s="10" t="n">
        <v>16</v>
      </c>
      <c r="AK181" s="10" t="n">
        <v>16</v>
      </c>
      <c r="AL181" s="10" t="n">
        <v>5.1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</row>
    <row r="182" customFormat="false" ht="15" hidden="false" customHeight="true" outlineLevel="0" collapsed="false">
      <c r="A182" s="4" t="s">
        <v>29</v>
      </c>
      <c r="B182" s="4" t="s">
        <v>14</v>
      </c>
      <c r="C182" s="4" t="s">
        <v>31</v>
      </c>
      <c r="D182" s="4" t="s">
        <v>76</v>
      </c>
      <c r="E182" s="4" t="s">
        <v>77</v>
      </c>
      <c r="F182" s="8" t="n">
        <f aca="false">SUM(F183,F184)</f>
        <v>24</v>
      </c>
      <c r="G182" s="8" t="n">
        <f aca="false">SUM(G183,G184)</f>
        <v>18</v>
      </c>
      <c r="H182" s="8" t="n">
        <f aca="false">SUM(H183,H184)</f>
        <v>18</v>
      </c>
      <c r="I182" s="8" t="n">
        <f aca="false">SUM(I183,I184)</f>
        <v>15</v>
      </c>
      <c r="J182" s="8" t="n">
        <f aca="false">SUM(J183,J184)</f>
        <v>25</v>
      </c>
      <c r="K182" s="8" t="n">
        <f aca="false">SUM(K183,K184)</f>
        <v>35</v>
      </c>
      <c r="L182" s="8" t="n">
        <f aca="false">SUM(L183,L184)</f>
        <v>40</v>
      </c>
      <c r="M182" s="8" t="n">
        <f aca="false">SUM(M183,M184)</f>
        <v>40</v>
      </c>
      <c r="N182" s="8" t="n">
        <f aca="false">SUM(N183,N184)</f>
        <v>40</v>
      </c>
      <c r="O182" s="8" t="n">
        <f aca="false">SUM(O183,O184)</f>
        <v>15</v>
      </c>
      <c r="P182" s="8" t="n">
        <f aca="false">SUM(P183,P184)</f>
        <v>15</v>
      </c>
      <c r="Q182" s="8" t="n">
        <f aca="false">SUM(Q183,Q184)</f>
        <v>15</v>
      </c>
      <c r="R182" s="8" t="n">
        <f aca="false">SUM(R183,R184)</f>
        <v>25</v>
      </c>
      <c r="S182" s="8" t="n">
        <f aca="false">SUM(S183,S184)</f>
        <v>15</v>
      </c>
      <c r="T182" s="8" t="n">
        <f aca="false">SUM(T183,T184)</f>
        <v>15</v>
      </c>
      <c r="U182" s="8" t="n">
        <f aca="false">SUM(U183,U184)</f>
        <v>15</v>
      </c>
      <c r="V182" s="8" t="n">
        <f aca="false">SUM(V183,V184)</f>
        <v>0</v>
      </c>
      <c r="W182" s="8" t="n">
        <f aca="false">SUM(W183,W184)</f>
        <v>0</v>
      </c>
      <c r="X182" s="8" t="n">
        <f aca="false">SUM(X183,X184)</f>
        <v>20</v>
      </c>
      <c r="Y182" s="8" t="n">
        <f aca="false">SUM(Y183,Y184)</f>
        <v>40</v>
      </c>
      <c r="Z182" s="8" t="n">
        <f aca="false">SUM(Z183,Z184)</f>
        <v>55</v>
      </c>
      <c r="AA182" s="8" t="n">
        <f aca="false">SUM(AA183,AA184)</f>
        <v>50</v>
      </c>
      <c r="AB182" s="8" t="n">
        <f aca="false">SUM(AB183,AB184)</f>
        <v>50</v>
      </c>
      <c r="AC182" s="8" t="n">
        <f aca="false">SUM(AC183,AC184)</f>
        <v>55</v>
      </c>
      <c r="AD182" s="8" t="n">
        <f aca="false">SUM(AD183,AD184)</f>
        <v>50</v>
      </c>
      <c r="AE182" s="8" t="n">
        <f aca="false">SUM(AE183,AE184)</f>
        <v>25</v>
      </c>
      <c r="AF182" s="8" t="n">
        <f aca="false">SUM(AF183,AF184)</f>
        <v>25</v>
      </c>
      <c r="AG182" s="8" t="n">
        <f aca="false">SUM(AG183,AG184)</f>
        <v>25</v>
      </c>
      <c r="AH182" s="8" t="n">
        <f aca="false">SUM(AH183,AH184)</f>
        <v>25</v>
      </c>
      <c r="AI182" s="8" t="n">
        <f aca="false">SUM(AI183,AI184)</f>
        <v>25</v>
      </c>
      <c r="AJ182" s="8" t="n">
        <f aca="false">SUM(AJ183,AJ184)</f>
        <v>25</v>
      </c>
      <c r="AK182" s="8" t="n">
        <f aca="false">SUM(AK183,AK184)</f>
        <v>25</v>
      </c>
      <c r="AL182" s="8" t="n">
        <f aca="false">SUM(AL183,AL184)</f>
        <v>25</v>
      </c>
      <c r="AM182" s="8" t="n">
        <f aca="false">SUM(AM183,AM184)</f>
        <v>10</v>
      </c>
      <c r="AN182" s="8" t="n">
        <f aca="false">SUM(AN183,AN184)</f>
        <v>10</v>
      </c>
      <c r="AO182" s="8" t="n">
        <f aca="false">SUM(AO183,AO184)</f>
        <v>5</v>
      </c>
      <c r="AP182" s="8" t="n">
        <f aca="false">SUM(AP183,AP184)</f>
        <v>0</v>
      </c>
      <c r="AQ182" s="8" t="n">
        <f aca="false">SUM(AQ183,AQ184)</f>
        <v>0</v>
      </c>
      <c r="AR182" s="8" t="n">
        <f aca="false">SUM(AR183,AR184)</f>
        <v>0</v>
      </c>
      <c r="AS182" s="8" t="n">
        <f aca="false">SUM(AS183,AS184)</f>
        <v>0</v>
      </c>
    </row>
    <row r="183" customFormat="false" ht="15" hidden="true" customHeight="true" outlineLevel="1" collapsed="false">
      <c r="A183" s="1" t="s">
        <v>29</v>
      </c>
      <c r="B183" s="1" t="s">
        <v>14</v>
      </c>
      <c r="C183" s="1" t="s">
        <v>31</v>
      </c>
      <c r="D183" s="1" t="s">
        <v>141</v>
      </c>
      <c r="E183" s="1" t="s">
        <v>91</v>
      </c>
      <c r="F183" s="10" t="n">
        <v>10</v>
      </c>
      <c r="G183" s="10" t="n">
        <v>10</v>
      </c>
      <c r="H183" s="10" t="n">
        <v>10</v>
      </c>
      <c r="I183" s="10" t="n">
        <v>10</v>
      </c>
      <c r="J183" s="10" t="n">
        <v>20</v>
      </c>
      <c r="K183" s="10" t="n">
        <v>30</v>
      </c>
      <c r="L183" s="10" t="n">
        <v>30</v>
      </c>
      <c r="M183" s="10" t="n">
        <v>20</v>
      </c>
      <c r="N183" s="10" t="n">
        <v>20</v>
      </c>
      <c r="O183" s="10" t="n">
        <v>10</v>
      </c>
      <c r="P183" s="10" t="n">
        <v>10</v>
      </c>
      <c r="Q183" s="10" t="n">
        <v>10</v>
      </c>
      <c r="R183" s="10" t="n">
        <v>10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5</v>
      </c>
      <c r="AF183" s="10" t="n">
        <v>25</v>
      </c>
      <c r="AG183" s="10" t="n">
        <v>25</v>
      </c>
      <c r="AH183" s="10" t="n">
        <v>25</v>
      </c>
      <c r="AI183" s="10" t="n">
        <v>25</v>
      </c>
      <c r="AJ183" s="10" t="n">
        <v>25</v>
      </c>
      <c r="AK183" s="10" t="n">
        <v>25</v>
      </c>
      <c r="AL183" s="10" t="n">
        <v>25</v>
      </c>
      <c r="AM183" s="10" t="n">
        <v>10</v>
      </c>
      <c r="AN183" s="10" t="n">
        <v>10</v>
      </c>
      <c r="AO183" s="10" t="n">
        <v>5</v>
      </c>
      <c r="AP183" s="10" t="n">
        <v>0</v>
      </c>
      <c r="AQ183" s="10" t="n">
        <v>0</v>
      </c>
      <c r="AR183" s="10" t="n">
        <v>0</v>
      </c>
      <c r="AS183" s="10" t="n">
        <v>0</v>
      </c>
    </row>
    <row r="184" customFormat="false" ht="15" hidden="true" customHeight="true" outlineLevel="1" collapsed="false">
      <c r="A184" s="1" t="s">
        <v>29</v>
      </c>
      <c r="B184" s="1" t="s">
        <v>14</v>
      </c>
      <c r="C184" s="1" t="s">
        <v>31</v>
      </c>
      <c r="D184" s="1" t="s">
        <v>141</v>
      </c>
      <c r="E184" s="1" t="s">
        <v>92</v>
      </c>
      <c r="F184" s="10" t="n">
        <v>14</v>
      </c>
      <c r="G184" s="10" t="n">
        <v>8</v>
      </c>
      <c r="H184" s="10" t="n">
        <v>8</v>
      </c>
      <c r="I184" s="10" t="n">
        <v>5</v>
      </c>
      <c r="J184" s="10" t="n">
        <v>5</v>
      </c>
      <c r="K184" s="10" t="n">
        <v>5</v>
      </c>
      <c r="L184" s="10" t="n">
        <v>10</v>
      </c>
      <c r="M184" s="10" t="n">
        <v>20</v>
      </c>
      <c r="N184" s="10" t="n">
        <v>20</v>
      </c>
      <c r="O184" s="10" t="n">
        <v>5</v>
      </c>
      <c r="P184" s="10" t="n">
        <v>5</v>
      </c>
      <c r="Q184" s="10" t="n">
        <v>5</v>
      </c>
      <c r="R184" s="10" t="n">
        <v>15</v>
      </c>
      <c r="S184" s="10" t="n">
        <v>15</v>
      </c>
      <c r="T184" s="10" t="n">
        <v>15</v>
      </c>
      <c r="U184" s="10" t="n">
        <v>15</v>
      </c>
      <c r="V184" s="10" t="n">
        <v>0</v>
      </c>
      <c r="W184" s="10" t="n">
        <v>0</v>
      </c>
      <c r="X184" s="10" t="n">
        <v>20</v>
      </c>
      <c r="Y184" s="10" t="n">
        <v>40</v>
      </c>
      <c r="Z184" s="10" t="n">
        <v>55</v>
      </c>
      <c r="AA184" s="10" t="n">
        <v>50</v>
      </c>
      <c r="AB184" s="10" t="n">
        <v>50</v>
      </c>
      <c r="AC184" s="10" t="n">
        <v>55</v>
      </c>
      <c r="AD184" s="10" t="n">
        <v>50</v>
      </c>
      <c r="AE184" s="10" t="n">
        <v>20</v>
      </c>
      <c r="AF184" s="10" t="n">
        <v>0</v>
      </c>
      <c r="AG184" s="10" t="n">
        <v>0</v>
      </c>
      <c r="AH184" s="10" t="n">
        <v>0</v>
      </c>
      <c r="AI184" s="10" t="n">
        <v>0</v>
      </c>
      <c r="AJ184" s="10" t="n">
        <v>0</v>
      </c>
      <c r="AK184" s="10" t="n">
        <v>0</v>
      </c>
      <c r="AL184" s="10" t="n">
        <v>0</v>
      </c>
      <c r="AM184" s="10" t="n">
        <v>0</v>
      </c>
      <c r="AN184" s="10" t="n">
        <v>0</v>
      </c>
      <c r="AO184" s="10" t="n">
        <v>0</v>
      </c>
      <c r="AP184" s="10" t="n">
        <v>0</v>
      </c>
      <c r="AQ184" s="10" t="n">
        <v>0</v>
      </c>
      <c r="AR184" s="10" t="n">
        <v>0</v>
      </c>
      <c r="AS184" s="10" t="n">
        <v>0</v>
      </c>
    </row>
    <row r="185" customFormat="false" ht="15" hidden="false" customHeight="true" outlineLevel="0" collapsed="false">
      <c r="A185" s="4" t="s">
        <v>29</v>
      </c>
      <c r="B185" s="4" t="s">
        <v>14</v>
      </c>
      <c r="C185" s="4" t="s">
        <v>120</v>
      </c>
      <c r="D185" s="4" t="s">
        <v>76</v>
      </c>
      <c r="E185" s="4" t="s">
        <v>77</v>
      </c>
      <c r="F185" s="8" t="n">
        <f aca="false">SUM(F186,F187)</f>
        <v>7</v>
      </c>
      <c r="G185" s="8" t="n">
        <f aca="false">SUM(G186,G187)</f>
        <v>0</v>
      </c>
      <c r="H185" s="8" t="n">
        <f aca="false">SUM(H186,H187)</f>
        <v>0</v>
      </c>
      <c r="I185" s="8" t="n">
        <f aca="false">SUM(I186,I187)</f>
        <v>5</v>
      </c>
      <c r="J185" s="8" t="n">
        <f aca="false">SUM(J186,J187)</f>
        <v>5</v>
      </c>
      <c r="K185" s="8" t="n">
        <f aca="false">SUM(K186,K187)</f>
        <v>5</v>
      </c>
      <c r="L185" s="8" t="n">
        <f aca="false">SUM(L186,L187)</f>
        <v>40</v>
      </c>
      <c r="M185" s="8" t="n">
        <f aca="false">SUM(M186,M187)</f>
        <v>20</v>
      </c>
      <c r="N185" s="8" t="n">
        <f aca="false">SUM(N186,N187)</f>
        <v>20</v>
      </c>
      <c r="O185" s="8" t="n">
        <f aca="false">SUM(O186,O187)</f>
        <v>5</v>
      </c>
      <c r="P185" s="8" t="n">
        <f aca="false">SUM(P186,P187)</f>
        <v>5</v>
      </c>
      <c r="Q185" s="8" t="n">
        <f aca="false">SUM(Q186,Q187)</f>
        <v>5</v>
      </c>
      <c r="R185" s="8" t="n">
        <f aca="false">SUM(R186,R187)</f>
        <v>15</v>
      </c>
      <c r="S185" s="8" t="n">
        <f aca="false">SUM(S186,S187)</f>
        <v>15</v>
      </c>
      <c r="T185" s="8" t="n">
        <f aca="false">SUM(T186,T187)</f>
        <v>15</v>
      </c>
      <c r="U185" s="8" t="n">
        <f aca="false">SUM(U186,U187)</f>
        <v>15</v>
      </c>
      <c r="V185" s="8" t="n">
        <f aca="false">SUM(V186,V187)</f>
        <v>0</v>
      </c>
      <c r="W185" s="8" t="n">
        <f aca="false">SUM(W186,W187)</f>
        <v>0</v>
      </c>
      <c r="X185" s="8" t="n">
        <f aca="false">SUM(X186,X187)</f>
        <v>20</v>
      </c>
      <c r="Y185" s="8" t="n">
        <f aca="false">SUM(Y186,Y187)</f>
        <v>40</v>
      </c>
      <c r="Z185" s="8" t="n">
        <f aca="false">SUM(Z186,Z187)</f>
        <v>55</v>
      </c>
      <c r="AA185" s="8" t="n">
        <f aca="false">SUM(AA186,AA187)</f>
        <v>55</v>
      </c>
      <c r="AB185" s="8" t="n">
        <f aca="false">SUM(AB186,AB187)</f>
        <v>55</v>
      </c>
      <c r="AC185" s="8" t="n">
        <f aca="false">SUM(AC186,AC187)</f>
        <v>55</v>
      </c>
      <c r="AD185" s="8" t="n">
        <f aca="false">SUM(AD186,AD187)</f>
        <v>50</v>
      </c>
      <c r="AE185" s="8" t="n">
        <f aca="false">SUM(AE186,AE187)</f>
        <v>25</v>
      </c>
      <c r="AF185" s="8" t="n">
        <f aca="false">SUM(AF186,AF187)</f>
        <v>25</v>
      </c>
      <c r="AG185" s="8" t="n">
        <f aca="false">SUM(AG186,AG187)</f>
        <v>25</v>
      </c>
      <c r="AH185" s="8" t="n">
        <f aca="false">SUM(AH186,AH187)</f>
        <v>25</v>
      </c>
      <c r="AI185" s="8" t="n">
        <f aca="false">SUM(AI186,AI187)</f>
        <v>25</v>
      </c>
      <c r="AJ185" s="8" t="n">
        <f aca="false">SUM(AJ186,AJ187)</f>
        <v>25</v>
      </c>
      <c r="AK185" s="8" t="n">
        <f aca="false">SUM(AK186,AK187)</f>
        <v>25</v>
      </c>
      <c r="AL185" s="8" t="n">
        <f aca="false">SUM(AL186,AL187)</f>
        <v>25</v>
      </c>
      <c r="AM185" s="8" t="n">
        <f aca="false">SUM(AM186,AM187)</f>
        <v>10</v>
      </c>
      <c r="AN185" s="8" t="n">
        <f aca="false">SUM(AN186,AN187)</f>
        <v>10</v>
      </c>
      <c r="AO185" s="8" t="n">
        <f aca="false">SUM(AO186,AO187)</f>
        <v>0</v>
      </c>
      <c r="AP185" s="8" t="n">
        <f aca="false">SUM(AP186,AP187)</f>
        <v>0</v>
      </c>
      <c r="AQ185" s="8" t="n">
        <f aca="false">SUM(AQ186,AQ187)</f>
        <v>0</v>
      </c>
      <c r="AR185" s="8" t="n">
        <f aca="false">SUM(AR186,AR187)</f>
        <v>0</v>
      </c>
      <c r="AS185" s="8" t="n">
        <f aca="false">SUM(AS186,AS187)</f>
        <v>0</v>
      </c>
    </row>
    <row r="186" customFormat="false" ht="15" hidden="true" customHeight="true" outlineLevel="1" collapsed="false">
      <c r="A186" s="1" t="s">
        <v>29</v>
      </c>
      <c r="B186" s="1" t="s">
        <v>14</v>
      </c>
      <c r="C186" s="1" t="s">
        <v>120</v>
      </c>
      <c r="D186" s="1" t="s">
        <v>141</v>
      </c>
      <c r="E186" s="1" t="s">
        <v>91</v>
      </c>
      <c r="F186" s="10" t="n">
        <v>0</v>
      </c>
      <c r="G186" s="10" t="n">
        <v>0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5</v>
      </c>
      <c r="AF186" s="10" t="n">
        <v>25</v>
      </c>
      <c r="AG186" s="10" t="n">
        <v>25</v>
      </c>
      <c r="AH186" s="10" t="n">
        <v>25</v>
      </c>
      <c r="AI186" s="10" t="n">
        <v>25</v>
      </c>
      <c r="AJ186" s="10" t="n">
        <v>25</v>
      </c>
      <c r="AK186" s="10" t="n">
        <v>25</v>
      </c>
      <c r="AL186" s="10" t="n">
        <v>25</v>
      </c>
      <c r="AM186" s="10" t="n">
        <v>10</v>
      </c>
      <c r="AN186" s="10" t="n">
        <v>10</v>
      </c>
      <c r="AO186" s="10" t="n">
        <v>0</v>
      </c>
      <c r="AP186" s="10" t="n">
        <v>0</v>
      </c>
      <c r="AQ186" s="10" t="n">
        <v>0</v>
      </c>
      <c r="AR186" s="10" t="n">
        <v>0</v>
      </c>
      <c r="AS186" s="10" t="n">
        <v>0</v>
      </c>
    </row>
    <row r="187" customFormat="false" ht="15" hidden="true" customHeight="true" outlineLevel="1" collapsed="false">
      <c r="A187" s="1" t="s">
        <v>29</v>
      </c>
      <c r="B187" s="1" t="s">
        <v>14</v>
      </c>
      <c r="C187" s="1" t="s">
        <v>120</v>
      </c>
      <c r="D187" s="1" t="s">
        <v>141</v>
      </c>
      <c r="E187" s="1" t="s">
        <v>92</v>
      </c>
      <c r="F187" s="10" t="n">
        <v>7</v>
      </c>
      <c r="G187" s="10" t="n">
        <v>0</v>
      </c>
      <c r="H187" s="10" t="n">
        <v>0</v>
      </c>
      <c r="I187" s="10" t="n">
        <v>5</v>
      </c>
      <c r="J187" s="10" t="n">
        <v>5</v>
      </c>
      <c r="K187" s="10" t="n">
        <v>5</v>
      </c>
      <c r="L187" s="10" t="n">
        <v>40</v>
      </c>
      <c r="M187" s="10" t="n">
        <v>20</v>
      </c>
      <c r="N187" s="10" t="n">
        <v>20</v>
      </c>
      <c r="O187" s="10" t="n">
        <v>5</v>
      </c>
      <c r="P187" s="10" t="n">
        <v>5</v>
      </c>
      <c r="Q187" s="10" t="n">
        <v>5</v>
      </c>
      <c r="R187" s="10" t="n">
        <v>15</v>
      </c>
      <c r="S187" s="10" t="n">
        <v>15</v>
      </c>
      <c r="T187" s="10" t="n">
        <v>15</v>
      </c>
      <c r="U187" s="10" t="n">
        <v>15</v>
      </c>
      <c r="V187" s="10" t="n">
        <v>0</v>
      </c>
      <c r="W187" s="10" t="n">
        <v>0</v>
      </c>
      <c r="X187" s="10" t="n">
        <v>20</v>
      </c>
      <c r="Y187" s="10" t="n">
        <v>40</v>
      </c>
      <c r="Z187" s="10" t="n">
        <v>55</v>
      </c>
      <c r="AA187" s="10" t="n">
        <v>55</v>
      </c>
      <c r="AB187" s="10" t="n">
        <v>55</v>
      </c>
      <c r="AC187" s="10" t="n">
        <v>55</v>
      </c>
      <c r="AD187" s="10" t="n">
        <v>50</v>
      </c>
      <c r="AE187" s="10" t="n">
        <v>20</v>
      </c>
      <c r="AF187" s="10" t="n">
        <v>0</v>
      </c>
      <c r="AG187" s="10" t="n">
        <v>0</v>
      </c>
      <c r="AH187" s="10" t="n">
        <v>0</v>
      </c>
      <c r="AI187" s="10" t="n">
        <v>0</v>
      </c>
      <c r="AJ187" s="10" t="n">
        <v>0</v>
      </c>
      <c r="AK187" s="10" t="n">
        <v>0</v>
      </c>
      <c r="AL187" s="10" t="n">
        <v>0</v>
      </c>
      <c r="AM187" s="10" t="n">
        <v>0</v>
      </c>
      <c r="AN187" s="10" t="n">
        <v>0</v>
      </c>
      <c r="AO187" s="10" t="n">
        <v>0</v>
      </c>
      <c r="AP187" s="10" t="n">
        <v>0</v>
      </c>
      <c r="AQ187" s="10" t="n">
        <v>0</v>
      </c>
      <c r="AR187" s="10" t="n">
        <v>0</v>
      </c>
      <c r="AS187" s="10" t="n">
        <v>0</v>
      </c>
    </row>
    <row r="188" customFormat="false" ht="15" hidden="false" customHeight="true" outlineLevel="0" collapsed="false">
      <c r="A188" s="4" t="s">
        <v>12</v>
      </c>
      <c r="B188" s="4" t="s">
        <v>14</v>
      </c>
      <c r="C188" s="4" t="s">
        <v>146</v>
      </c>
      <c r="D188" s="4" t="s">
        <v>76</v>
      </c>
      <c r="E188" s="4" t="s">
        <v>77</v>
      </c>
      <c r="F188" s="8" t="n">
        <f aca="false">SUM(F189,F190,F191,F192,F193)</f>
        <v>0</v>
      </c>
      <c r="G188" s="8" t="n">
        <f aca="false">SUM(G189,G190,G191,G192,G193)</f>
        <v>0</v>
      </c>
      <c r="H188" s="8" t="n">
        <f aca="false">SUM(H189,H190,H191,H192,H193)</f>
        <v>0</v>
      </c>
      <c r="I188" s="8" t="n">
        <f aca="false">SUM(I189,I190,I191,I192,I193)</f>
        <v>0</v>
      </c>
      <c r="J188" s="8" t="n">
        <f aca="false">SUM(J189,J190,J191,J192,J193)</f>
        <v>0</v>
      </c>
      <c r="K188" s="8" t="n">
        <f aca="false">SUM(K189,K190,K191,K192,K193)</f>
        <v>0</v>
      </c>
      <c r="L188" s="8" t="n">
        <f aca="false">SUM(L189,L190,L191,L192,L193)</f>
        <v>0</v>
      </c>
      <c r="M188" s="8" t="n">
        <f aca="false">SUM(M189,M190,M191,M192,M193)</f>
        <v>0</v>
      </c>
      <c r="N188" s="8" t="n">
        <f aca="false">SUM(N189,N190,N191,N192,N193)</f>
        <v>0</v>
      </c>
      <c r="O188" s="8" t="n">
        <f aca="false">SUM(O189,O190,O191,O192,O193)</f>
        <v>0</v>
      </c>
      <c r="P188" s="8" t="n">
        <f aca="false">SUM(P189,P190,P191,P192,P193)</f>
        <v>0</v>
      </c>
      <c r="Q188" s="8" t="n">
        <f aca="false">SUM(Q189,Q190,Q191,Q192,Q193)</f>
        <v>0</v>
      </c>
      <c r="R188" s="8" t="n">
        <f aca="false">SUM(R189,R190,R191,R192,R193)</f>
        <v>0</v>
      </c>
      <c r="S188" s="8" t="n">
        <f aca="false">SUM(S189,S190,S191,S192,S193)</f>
        <v>0</v>
      </c>
      <c r="T188" s="8" t="n">
        <f aca="false">SUM(T189,T190,T191,T192,T193)</f>
        <v>0</v>
      </c>
      <c r="U188" s="8" t="n">
        <f aca="false">SUM(U189,U190,U191,U192,U193)</f>
        <v>0</v>
      </c>
      <c r="V188" s="8" t="n">
        <f aca="false">SUM(V189,V190,V191,V192,V193)</f>
        <v>0</v>
      </c>
      <c r="W188" s="8" t="n">
        <f aca="false">SUM(W189,W190,W191,W192,W193)</f>
        <v>0</v>
      </c>
      <c r="X188" s="8" t="n">
        <f aca="false">SUM(X189,X190,X191,X192,X193)</f>
        <v>0</v>
      </c>
      <c r="Y188" s="8" t="n">
        <f aca="false">SUM(Y189,Y190,Y191,Y192,Y193)</f>
        <v>55</v>
      </c>
      <c r="Z188" s="8" t="n">
        <f aca="false">SUM(Z189,Z190,Z191,Z192,Z193)</f>
        <v>55</v>
      </c>
      <c r="AA188" s="8" t="n">
        <f aca="false">SUM(AA189,AA190,AA191,AA192,AA193)</f>
        <v>55</v>
      </c>
      <c r="AB188" s="8" t="n">
        <f aca="false">SUM(AB189,AB190,AB191,AB192,AB193)</f>
        <v>55</v>
      </c>
      <c r="AC188" s="8" t="n">
        <f aca="false">SUM(AC189,AC190,AC191,AC192,AC193)</f>
        <v>33</v>
      </c>
      <c r="AD188" s="8" t="n">
        <f aca="false">SUM(AD189,AD190,AD191,AD192,AD193)</f>
        <v>17</v>
      </c>
      <c r="AE188" s="8" t="n">
        <f aca="false">SUM(AE189,AE190,AE191,AE192,AE193)</f>
        <v>0</v>
      </c>
      <c r="AF188" s="8" t="n">
        <f aca="false">SUM(AF189,AF190,AF191,AF192,AF193)</f>
        <v>0</v>
      </c>
      <c r="AG188" s="8" t="n">
        <f aca="false">SUM(AG189,AG190,AG191,AG192,AG193)</f>
        <v>0</v>
      </c>
      <c r="AH188" s="8" t="n">
        <f aca="false">SUM(AH189,AH190,AH191,AH192,AH193)</f>
        <v>0</v>
      </c>
      <c r="AI188" s="8" t="n">
        <f aca="false">SUM(AI189,AI190,AI191,AI192,AI193)</f>
        <v>0</v>
      </c>
      <c r="AJ188" s="8" t="n">
        <f aca="false">SUM(AJ189,AJ190,AJ191,AJ192,AJ193)</f>
        <v>0</v>
      </c>
      <c r="AK188" s="8" t="n">
        <f aca="false">SUM(AK189,AK190,AK191,AK192,AK193)</f>
        <v>0</v>
      </c>
      <c r="AL188" s="8" t="n">
        <f aca="false">SUM(AL189,AL190,AL191,AL192,AL193)</f>
        <v>0</v>
      </c>
      <c r="AM188" s="8" t="n">
        <f aca="false">SUM(AM189,AM190,AM191,AM192,AM193)</f>
        <v>0</v>
      </c>
      <c r="AN188" s="8" t="n">
        <f aca="false">SUM(AN189,AN190,AN191,AN192,AN193)</f>
        <v>0</v>
      </c>
      <c r="AO188" s="8" t="n">
        <f aca="false">SUM(AO189,AO190,AO191,AO192,AO193)</f>
        <v>0</v>
      </c>
      <c r="AP188" s="8" t="n">
        <f aca="false">SUM(AP189,AP190,AP191,AP192,AP193)</f>
        <v>0</v>
      </c>
      <c r="AQ188" s="8" t="n">
        <f aca="false">SUM(AQ189,AQ190,AQ191,AQ192,AQ193)</f>
        <v>0</v>
      </c>
      <c r="AR188" s="8" t="n">
        <f aca="false">SUM(AR189,AR190,AR191,AR192,AR193)</f>
        <v>0</v>
      </c>
      <c r="AS188" s="8" t="n">
        <f aca="false">SUM(AS189,AS190,AS191,AS192,AS193)</f>
        <v>0</v>
      </c>
    </row>
    <row r="189" customFormat="false" ht="15" hidden="true" customHeight="true" outlineLevel="1" collapsed="false">
      <c r="A189" s="1" t="s">
        <v>12</v>
      </c>
      <c r="B189" s="1" t="s">
        <v>14</v>
      </c>
      <c r="C189" s="1" t="s">
        <v>146</v>
      </c>
      <c r="D189" s="1" t="s">
        <v>141</v>
      </c>
      <c r="E189" s="1" t="s">
        <v>108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  <c r="S189" s="10" t="n">
        <v>0</v>
      </c>
      <c r="T189" s="10" t="n">
        <v>0</v>
      </c>
      <c r="U189" s="10" t="n">
        <v>0</v>
      </c>
      <c r="V189" s="10" t="n">
        <v>0</v>
      </c>
      <c r="W189" s="10" t="n">
        <v>0</v>
      </c>
      <c r="X189" s="10" t="n">
        <v>0</v>
      </c>
      <c r="Y189" s="10" t="n">
        <v>31</v>
      </c>
      <c r="Z189" s="10" t="n">
        <v>20.5</v>
      </c>
      <c r="AA189" s="10" t="n">
        <v>22.5</v>
      </c>
      <c r="AB189" s="10" t="n">
        <v>26.5</v>
      </c>
      <c r="AC189" s="10" t="n">
        <v>3.5</v>
      </c>
      <c r="AD189" s="10" t="n">
        <v>0</v>
      </c>
      <c r="AE189" s="10" t="n">
        <v>0</v>
      </c>
      <c r="AF189" s="10" t="n">
        <v>0</v>
      </c>
      <c r="AG189" s="10" t="n">
        <v>0</v>
      </c>
      <c r="AH189" s="10" t="n">
        <v>0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</row>
    <row r="190" customFormat="false" ht="15" hidden="true" customHeight="true" outlineLevel="1" collapsed="false">
      <c r="A190" s="1" t="s">
        <v>12</v>
      </c>
      <c r="B190" s="1" t="s">
        <v>14</v>
      </c>
      <c r="C190" s="1" t="s">
        <v>146</v>
      </c>
      <c r="D190" s="1" t="s">
        <v>141</v>
      </c>
      <c r="E190" s="1" t="s">
        <v>81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20.9</v>
      </c>
      <c r="AC190" s="10" t="n">
        <v>29.5</v>
      </c>
      <c r="AD190" s="10" t="n">
        <v>0</v>
      </c>
      <c r="AE190" s="10" t="n">
        <v>0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</row>
    <row r="191" customFormat="false" ht="15" hidden="true" customHeight="true" outlineLevel="1" collapsed="false">
      <c r="A191" s="1" t="s">
        <v>12</v>
      </c>
      <c r="B191" s="1" t="s">
        <v>14</v>
      </c>
      <c r="C191" s="1" t="s">
        <v>146</v>
      </c>
      <c r="D191" s="1" t="s">
        <v>141</v>
      </c>
      <c r="E191" s="1" t="s">
        <v>102</v>
      </c>
      <c r="F191" s="10" t="n">
        <v>0</v>
      </c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24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17</v>
      </c>
      <c r="AE191" s="10" t="n">
        <v>0</v>
      </c>
      <c r="AF191" s="10" t="n">
        <v>0</v>
      </c>
      <c r="AG191" s="10" t="n">
        <v>0</v>
      </c>
      <c r="AH191" s="10" t="n">
        <v>0</v>
      </c>
      <c r="AI191" s="10" t="n">
        <v>0</v>
      </c>
      <c r="AJ191" s="10" t="n">
        <v>0</v>
      </c>
      <c r="AK191" s="10" t="n">
        <v>0</v>
      </c>
      <c r="AL191" s="10" t="n">
        <v>0</v>
      </c>
      <c r="AM191" s="10" t="n">
        <v>0</v>
      </c>
      <c r="AN191" s="10" t="n">
        <v>0</v>
      </c>
      <c r="AO191" s="10" t="n">
        <v>0</v>
      </c>
      <c r="AP191" s="10" t="n">
        <v>0</v>
      </c>
      <c r="AQ191" s="10" t="n">
        <v>0</v>
      </c>
      <c r="AR191" s="10" t="n">
        <v>0</v>
      </c>
      <c r="AS191" s="10" t="n">
        <v>0</v>
      </c>
    </row>
    <row r="192" customFormat="false" ht="15" hidden="true" customHeight="true" outlineLevel="1" collapsed="false">
      <c r="A192" s="1" t="s">
        <v>12</v>
      </c>
      <c r="B192" s="1" t="s">
        <v>14</v>
      </c>
      <c r="C192" s="1" t="s">
        <v>146</v>
      </c>
      <c r="D192" s="1" t="s">
        <v>141</v>
      </c>
      <c r="E192" s="1" t="s">
        <v>95</v>
      </c>
      <c r="F192" s="10" t="n">
        <v>0</v>
      </c>
      <c r="G192" s="10" t="n">
        <v>0</v>
      </c>
      <c r="H192" s="10" t="n">
        <v>0</v>
      </c>
      <c r="I192" s="10" t="n">
        <v>0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34.5</v>
      </c>
      <c r="AA192" s="10" t="n">
        <v>28</v>
      </c>
      <c r="AB192" s="10" t="n">
        <v>7.6</v>
      </c>
      <c r="AC192" s="10" t="n">
        <v>0</v>
      </c>
      <c r="AD192" s="10" t="n">
        <v>0</v>
      </c>
      <c r="AE192" s="10" t="n">
        <v>0</v>
      </c>
      <c r="AF192" s="10" t="n">
        <v>0</v>
      </c>
      <c r="AG192" s="10" t="n">
        <v>0</v>
      </c>
      <c r="AH192" s="10" t="n">
        <v>0</v>
      </c>
      <c r="AI192" s="10" t="n">
        <v>0</v>
      </c>
      <c r="AJ192" s="10" t="n">
        <v>0</v>
      </c>
      <c r="AK192" s="10" t="n">
        <v>0</v>
      </c>
      <c r="AL192" s="10" t="n">
        <v>0</v>
      </c>
      <c r="AM192" s="10" t="n">
        <v>0</v>
      </c>
      <c r="AN192" s="10" t="n">
        <v>0</v>
      </c>
      <c r="AO192" s="10" t="n">
        <v>0</v>
      </c>
      <c r="AP192" s="10" t="n">
        <v>0</v>
      </c>
      <c r="AQ192" s="10" t="n">
        <v>0</v>
      </c>
      <c r="AR192" s="10" t="n">
        <v>0</v>
      </c>
      <c r="AS192" s="10" t="n">
        <v>0</v>
      </c>
    </row>
    <row r="193" customFormat="false" ht="15" hidden="true" customHeight="true" outlineLevel="1" collapsed="false">
      <c r="A193" s="1" t="s">
        <v>12</v>
      </c>
      <c r="B193" s="1" t="s">
        <v>14</v>
      </c>
      <c r="C193" s="1" t="s">
        <v>146</v>
      </c>
      <c r="D193" s="1" t="s">
        <v>141</v>
      </c>
      <c r="E193" s="1" t="s">
        <v>103</v>
      </c>
      <c r="F193" s="10" t="n">
        <v>0</v>
      </c>
      <c r="G193" s="10" t="n">
        <v>0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4.5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10" t="n">
        <v>0</v>
      </c>
      <c r="AG193" s="10" t="n">
        <v>0</v>
      </c>
      <c r="AH193" s="10" t="n">
        <v>0</v>
      </c>
      <c r="AI193" s="10" t="n">
        <v>0</v>
      </c>
      <c r="AJ193" s="10" t="n">
        <v>0</v>
      </c>
      <c r="AK193" s="10" t="n">
        <v>0</v>
      </c>
      <c r="AL193" s="10" t="n">
        <v>0</v>
      </c>
      <c r="AM193" s="10" t="n">
        <v>0</v>
      </c>
      <c r="AN193" s="10" t="n">
        <v>0</v>
      </c>
      <c r="AO193" s="10" t="n">
        <v>0</v>
      </c>
      <c r="AP193" s="10" t="n">
        <v>0</v>
      </c>
      <c r="AQ193" s="10" t="n">
        <v>0</v>
      </c>
      <c r="AR193" s="10" t="n">
        <v>0</v>
      </c>
      <c r="AS193" s="10" t="n">
        <v>0</v>
      </c>
    </row>
    <row r="194" customFormat="false" ht="15" hidden="false" customHeight="true" outlineLevel="0" collapsed="false">
      <c r="A194" s="4" t="s">
        <v>12</v>
      </c>
      <c r="B194" s="4" t="s">
        <v>14</v>
      </c>
      <c r="C194" s="4" t="s">
        <v>147</v>
      </c>
      <c r="D194" s="4" t="s">
        <v>76</v>
      </c>
      <c r="E194" s="4" t="s">
        <v>77</v>
      </c>
      <c r="F194" s="8" t="n">
        <f aca="false">SUM(F195,F196,F197)</f>
        <v>0</v>
      </c>
      <c r="G194" s="8" t="n">
        <f aca="false">SUM(G195,G196,G197)</f>
        <v>0</v>
      </c>
      <c r="H194" s="8" t="n">
        <f aca="false">SUM(H195,H196,H197)</f>
        <v>0</v>
      </c>
      <c r="I194" s="8" t="n">
        <f aca="false">SUM(I195,I196,I197)</f>
        <v>0</v>
      </c>
      <c r="J194" s="8" t="n">
        <f aca="false">SUM(J195,J196,J197)</f>
        <v>0</v>
      </c>
      <c r="K194" s="8" t="n">
        <f aca="false">SUM(K195,K196,K197)</f>
        <v>0</v>
      </c>
      <c r="L194" s="8" t="n">
        <f aca="false">SUM(L195,L196,L197)</f>
        <v>0</v>
      </c>
      <c r="M194" s="8" t="n">
        <f aca="false">SUM(M195,M196,M197)</f>
        <v>0</v>
      </c>
      <c r="N194" s="8" t="n">
        <f aca="false">SUM(N195,N196,N197)</f>
        <v>0</v>
      </c>
      <c r="O194" s="8" t="n">
        <f aca="false">SUM(O195,O196,O197)</f>
        <v>0</v>
      </c>
      <c r="P194" s="8" t="n">
        <f aca="false">SUM(P195,P196,P197)</f>
        <v>0</v>
      </c>
      <c r="Q194" s="8" t="n">
        <f aca="false">SUM(Q195,Q196,Q197)</f>
        <v>0</v>
      </c>
      <c r="R194" s="8" t="n">
        <f aca="false">SUM(R195,R196,R197)</f>
        <v>0</v>
      </c>
      <c r="S194" s="8" t="n">
        <f aca="false">SUM(S195,S196,S197)</f>
        <v>0</v>
      </c>
      <c r="T194" s="8" t="n">
        <f aca="false">SUM(T195,T196,T197)</f>
        <v>0</v>
      </c>
      <c r="U194" s="8" t="n">
        <f aca="false">SUM(U195,U196,U197)</f>
        <v>0</v>
      </c>
      <c r="V194" s="8" t="n">
        <f aca="false">SUM(V195,V196,V197)</f>
        <v>0</v>
      </c>
      <c r="W194" s="8" t="n">
        <f aca="false">SUM(W195,W196,W197)</f>
        <v>0</v>
      </c>
      <c r="X194" s="8" t="n">
        <f aca="false">SUM(X195,X196,X197)</f>
        <v>0</v>
      </c>
      <c r="Y194" s="8" t="n">
        <f aca="false">SUM(Y195,Y196,Y197)</f>
        <v>17</v>
      </c>
      <c r="Z194" s="8" t="n">
        <f aca="false">SUM(Z195,Z196,Z197)</f>
        <v>52.5</v>
      </c>
      <c r="AA194" s="8" t="n">
        <f aca="false">SUM(AA195,AA196,AA197)</f>
        <v>55</v>
      </c>
      <c r="AB194" s="8" t="n">
        <f aca="false">SUM(AB195,AB196,AB197)</f>
        <v>55</v>
      </c>
      <c r="AC194" s="8" t="n">
        <f aca="false">SUM(AC195,AC196,AC197)</f>
        <v>38</v>
      </c>
      <c r="AD194" s="8" t="n">
        <f aca="false">SUM(AD195,AD196,AD197)</f>
        <v>55</v>
      </c>
      <c r="AE194" s="8" t="n">
        <f aca="false">SUM(AE195,AE196,AE197)</f>
        <v>0</v>
      </c>
      <c r="AF194" s="8" t="n">
        <f aca="false">SUM(AF195,AF196,AF197)</f>
        <v>0</v>
      </c>
      <c r="AG194" s="8" t="n">
        <f aca="false">SUM(AG195,AG196,AG197)</f>
        <v>0</v>
      </c>
      <c r="AH194" s="8" t="n">
        <f aca="false">SUM(AH195,AH196,AH197)</f>
        <v>0</v>
      </c>
      <c r="AI194" s="8" t="n">
        <f aca="false">SUM(AI195,AI196,AI197)</f>
        <v>0</v>
      </c>
      <c r="AJ194" s="8" t="n">
        <f aca="false">SUM(AJ195,AJ196,AJ197)</f>
        <v>0</v>
      </c>
      <c r="AK194" s="8" t="n">
        <f aca="false">SUM(AK195,AK196,AK197)</f>
        <v>0</v>
      </c>
      <c r="AL194" s="8" t="n">
        <f aca="false">SUM(AL195,AL196,AL197)</f>
        <v>0</v>
      </c>
      <c r="AM194" s="8" t="n">
        <f aca="false">SUM(AM195,AM196,AM197)</f>
        <v>0</v>
      </c>
      <c r="AN194" s="8" t="n">
        <f aca="false">SUM(AN195,AN196,AN197)</f>
        <v>0</v>
      </c>
      <c r="AO194" s="8" t="n">
        <f aca="false">SUM(AO195,AO196,AO197)</f>
        <v>0</v>
      </c>
      <c r="AP194" s="8" t="n">
        <f aca="false">SUM(AP195,AP196,AP197)</f>
        <v>0</v>
      </c>
      <c r="AQ194" s="8" t="n">
        <f aca="false">SUM(AQ195,AQ196,AQ197)</f>
        <v>0</v>
      </c>
      <c r="AR194" s="8" t="n">
        <f aca="false">SUM(AR195,AR196,AR197)</f>
        <v>0</v>
      </c>
      <c r="AS194" s="8" t="n">
        <f aca="false">SUM(AS195,AS196,AS197)</f>
        <v>0</v>
      </c>
    </row>
    <row r="195" customFormat="false" ht="15" hidden="true" customHeight="true" outlineLevel="1" collapsed="false">
      <c r="A195" s="1" t="s">
        <v>12</v>
      </c>
      <c r="B195" s="1" t="s">
        <v>14</v>
      </c>
      <c r="C195" s="1" t="s">
        <v>147</v>
      </c>
      <c r="D195" s="1" t="s">
        <v>141</v>
      </c>
      <c r="E195" s="1" t="s">
        <v>102</v>
      </c>
      <c r="F195" s="10" t="n">
        <v>0</v>
      </c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17</v>
      </c>
      <c r="Z195" s="10" t="n">
        <v>48</v>
      </c>
      <c r="AA195" s="10" t="n">
        <v>45</v>
      </c>
      <c r="AB195" s="10" t="n">
        <v>47</v>
      </c>
      <c r="AC195" s="10" t="n">
        <v>38</v>
      </c>
      <c r="AD195" s="10" t="n">
        <v>0</v>
      </c>
      <c r="AE195" s="10" t="n">
        <v>0</v>
      </c>
      <c r="AF195" s="10" t="n">
        <v>0</v>
      </c>
      <c r="AG195" s="10" t="n">
        <v>0</v>
      </c>
      <c r="AH195" s="10" t="n">
        <v>0</v>
      </c>
      <c r="AI195" s="10" t="n">
        <v>0</v>
      </c>
      <c r="AJ195" s="10" t="n">
        <v>0</v>
      </c>
      <c r="AK195" s="10" t="n">
        <v>0</v>
      </c>
      <c r="AL195" s="10" t="n">
        <v>0</v>
      </c>
      <c r="AM195" s="10" t="n">
        <v>0</v>
      </c>
      <c r="AN195" s="10" t="n">
        <v>0</v>
      </c>
      <c r="AO195" s="10" t="n">
        <v>0</v>
      </c>
      <c r="AP195" s="10" t="n">
        <v>0</v>
      </c>
      <c r="AQ195" s="10" t="n">
        <v>0</v>
      </c>
      <c r="AR195" s="10" t="n">
        <v>0</v>
      </c>
      <c r="AS195" s="10" t="n">
        <v>0</v>
      </c>
    </row>
    <row r="196" customFormat="false" ht="15" hidden="true" customHeight="true" outlineLevel="1" collapsed="false">
      <c r="A196" s="1" t="s">
        <v>12</v>
      </c>
      <c r="B196" s="1" t="s">
        <v>14</v>
      </c>
      <c r="C196" s="1" t="s">
        <v>147</v>
      </c>
      <c r="D196" s="1" t="s">
        <v>141</v>
      </c>
      <c r="E196" s="1" t="s">
        <v>95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4.5</v>
      </c>
      <c r="AA196" s="10" t="n">
        <v>0</v>
      </c>
      <c r="AB196" s="10" t="n">
        <v>8</v>
      </c>
      <c r="AC196" s="10" t="n">
        <v>0</v>
      </c>
      <c r="AD196" s="10" t="n">
        <v>0</v>
      </c>
      <c r="AE196" s="10" t="n">
        <v>0</v>
      </c>
      <c r="AF196" s="10" t="n">
        <v>0</v>
      </c>
      <c r="AG196" s="10" t="n">
        <v>0</v>
      </c>
      <c r="AH196" s="10" t="n">
        <v>0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</row>
    <row r="197" customFormat="false" ht="15" hidden="true" customHeight="true" outlineLevel="1" collapsed="false">
      <c r="A197" s="1" t="s">
        <v>12</v>
      </c>
      <c r="B197" s="1" t="s">
        <v>14</v>
      </c>
      <c r="C197" s="1" t="s">
        <v>147</v>
      </c>
      <c r="D197" s="1" t="s">
        <v>141</v>
      </c>
      <c r="E197" s="1" t="s">
        <v>103</v>
      </c>
      <c r="F197" s="10" t="n">
        <v>0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10</v>
      </c>
      <c r="AB197" s="10" t="n">
        <v>0</v>
      </c>
      <c r="AC197" s="10" t="n">
        <v>0</v>
      </c>
      <c r="AD197" s="10" t="n">
        <v>55</v>
      </c>
      <c r="AE197" s="10" t="n">
        <v>0</v>
      </c>
      <c r="AF197" s="10" t="n">
        <v>0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0" t="n">
        <v>0</v>
      </c>
      <c r="AM197" s="10" t="n">
        <v>0</v>
      </c>
      <c r="AN197" s="10" t="n">
        <v>0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</row>
    <row r="198" customFormat="false" ht="15" hidden="false" customHeight="true" outlineLevel="0" collapsed="false">
      <c r="A198" s="4" t="s">
        <v>12</v>
      </c>
      <c r="B198" s="4" t="s">
        <v>14</v>
      </c>
      <c r="C198" s="4" t="s">
        <v>148</v>
      </c>
      <c r="D198" s="4" t="s">
        <v>76</v>
      </c>
      <c r="E198" s="4" t="s">
        <v>77</v>
      </c>
      <c r="F198" s="8" t="n">
        <f aca="false">SUM(F199,F200,F201,F202,F203,F204,F205)</f>
        <v>0</v>
      </c>
      <c r="G198" s="8" t="n">
        <f aca="false">SUM(G199,G200,G201,G202,G203,G204,G205)</f>
        <v>0</v>
      </c>
      <c r="H198" s="8" t="n">
        <f aca="false">SUM(H199,H200,H201,H202,H203,H204,H205)</f>
        <v>0</v>
      </c>
      <c r="I198" s="8" t="n">
        <f aca="false">SUM(I199,I200,I201,I202,I203,I204,I205)</f>
        <v>0</v>
      </c>
      <c r="J198" s="8" t="n">
        <f aca="false">SUM(J199,J200,J201,J202,J203,J204,J205)</f>
        <v>0</v>
      </c>
      <c r="K198" s="8" t="n">
        <f aca="false">SUM(K199,K200,K201,K202,K203,K204,K205)</f>
        <v>0</v>
      </c>
      <c r="L198" s="8" t="n">
        <f aca="false">SUM(L199,L200,L201,L202,L203,L204,L205)</f>
        <v>0</v>
      </c>
      <c r="M198" s="8" t="n">
        <f aca="false">SUM(M199,M200,M201,M202,M203,M204,M205)</f>
        <v>0</v>
      </c>
      <c r="N198" s="8" t="n">
        <f aca="false">SUM(N199,N200,N201,N202,N203,N204,N205)</f>
        <v>0</v>
      </c>
      <c r="O198" s="8" t="n">
        <f aca="false">SUM(O199,O200,O201,O202,O203,O204,O205)</f>
        <v>0</v>
      </c>
      <c r="P198" s="8" t="n">
        <f aca="false">SUM(P199,P200,P201,P202,P203,P204,P205)</f>
        <v>0</v>
      </c>
      <c r="Q198" s="8" t="n">
        <f aca="false">SUM(Q199,Q200,Q201,Q202,Q203,Q204,Q205)</f>
        <v>0</v>
      </c>
      <c r="R198" s="8" t="n">
        <f aca="false">SUM(R199,R200,R201,R202,R203,R204,R205)</f>
        <v>0</v>
      </c>
      <c r="S198" s="8" t="n">
        <f aca="false">SUM(S199,S200,S201,S202,S203,S204,S205)</f>
        <v>0</v>
      </c>
      <c r="T198" s="8" t="n">
        <f aca="false">SUM(T199,T200,T201,T202,T203,T204,T205)</f>
        <v>0</v>
      </c>
      <c r="U198" s="8" t="n">
        <f aca="false">SUM(U199,U200,U201,U202,U203,U204,U205)</f>
        <v>0</v>
      </c>
      <c r="V198" s="8" t="n">
        <f aca="false">SUM(V199,V200,V201,V202,V203,V204,V205)</f>
        <v>0</v>
      </c>
      <c r="W198" s="8" t="n">
        <f aca="false">SUM(W199,W200,W201,W202,W203,W204,W205)</f>
        <v>0</v>
      </c>
      <c r="X198" s="8" t="n">
        <f aca="false">SUM(X199,X200,X201,X202,X203,X204,X205)</f>
        <v>0</v>
      </c>
      <c r="Y198" s="8" t="n">
        <f aca="false">SUM(Y199,Y200,Y201,Y202,Y203,Y204,Y205)</f>
        <v>12.5</v>
      </c>
      <c r="Z198" s="8" t="n">
        <f aca="false">SUM(Z199,Z200,Z201,Z202,Z203,Z204,Z205)</f>
        <v>55</v>
      </c>
      <c r="AA198" s="8" t="n">
        <f aca="false">SUM(AA199,AA200,AA201,AA202,AA203,AA204,AA205)</f>
        <v>55</v>
      </c>
      <c r="AB198" s="8" t="n">
        <f aca="false">SUM(AB199,AB200,AB201,AB202,AB203,AB204,AB205)</f>
        <v>55</v>
      </c>
      <c r="AC198" s="8" t="n">
        <f aca="false">SUM(AC199,AC200,AC201,AC202,AC203,AC204,AC205)</f>
        <v>41.5</v>
      </c>
      <c r="AD198" s="8" t="n">
        <f aca="false">SUM(AD199,AD200,AD201,AD202,AD203,AD204,AD205)</f>
        <v>6</v>
      </c>
      <c r="AE198" s="8" t="n">
        <f aca="false">SUM(AE199,AE200,AE201,AE202,AE203,AE204,AE205)</f>
        <v>0</v>
      </c>
      <c r="AF198" s="8" t="n">
        <f aca="false">SUM(AF199,AF200,AF201,AF202,AF203,AF204,AF205)</f>
        <v>0</v>
      </c>
      <c r="AG198" s="8" t="n">
        <f aca="false">SUM(AG199,AG200,AG201,AG202,AG203,AG204,AG205)</f>
        <v>0</v>
      </c>
      <c r="AH198" s="8" t="n">
        <f aca="false">SUM(AH199,AH200,AH201,AH202,AH203,AH204,AH205)</f>
        <v>0</v>
      </c>
      <c r="AI198" s="8" t="n">
        <f aca="false">SUM(AI199,AI200,AI201,AI202,AI203,AI204,AI205)</f>
        <v>0</v>
      </c>
      <c r="AJ198" s="8" t="n">
        <f aca="false">SUM(AJ199,AJ200,AJ201,AJ202,AJ203,AJ204,AJ205)</f>
        <v>0</v>
      </c>
      <c r="AK198" s="8" t="n">
        <f aca="false">SUM(AK199,AK200,AK201,AK202,AK203,AK204,AK205)</f>
        <v>0</v>
      </c>
      <c r="AL198" s="8" t="n">
        <f aca="false">SUM(AL199,AL200,AL201,AL202,AL203,AL204,AL205)</f>
        <v>0</v>
      </c>
      <c r="AM198" s="8" t="n">
        <f aca="false">SUM(AM199,AM200,AM201,AM202,AM203,AM204,AM205)</f>
        <v>0</v>
      </c>
      <c r="AN198" s="8" t="n">
        <f aca="false">SUM(AN199,AN200,AN201,AN202,AN203,AN204,AN205)</f>
        <v>0</v>
      </c>
      <c r="AO198" s="8" t="n">
        <f aca="false">SUM(AO199,AO200,AO201,AO202,AO203,AO204,AO205)</f>
        <v>0</v>
      </c>
      <c r="AP198" s="8" t="n">
        <f aca="false">SUM(AP199,AP200,AP201,AP202,AP203,AP204,AP205)</f>
        <v>0</v>
      </c>
      <c r="AQ198" s="8" t="n">
        <f aca="false">SUM(AQ199,AQ200,AQ201,AQ202,AQ203,AQ204,AQ205)</f>
        <v>0</v>
      </c>
      <c r="AR198" s="8" t="n">
        <f aca="false">SUM(AR199,AR200,AR201,AR202,AR203,AR204,AR205)</f>
        <v>0</v>
      </c>
      <c r="AS198" s="8" t="n">
        <f aca="false">SUM(AS199,AS200,AS201,AS202,AS203,AS204,AS205)</f>
        <v>0</v>
      </c>
    </row>
    <row r="199" customFormat="false" ht="15" hidden="true" customHeight="true" outlineLevel="1" collapsed="false">
      <c r="A199" s="1" t="s">
        <v>12</v>
      </c>
      <c r="B199" s="1" t="s">
        <v>14</v>
      </c>
      <c r="C199" s="1" t="s">
        <v>148</v>
      </c>
      <c r="D199" s="1" t="s">
        <v>141</v>
      </c>
      <c r="E199" s="1" t="s">
        <v>95</v>
      </c>
      <c r="F199" s="10" t="n">
        <v>0</v>
      </c>
      <c r="G199" s="10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0</v>
      </c>
      <c r="P199" s="10" t="n">
        <v>0</v>
      </c>
      <c r="Q199" s="10" t="n">
        <v>0</v>
      </c>
      <c r="R199" s="10" t="n">
        <v>0</v>
      </c>
      <c r="S199" s="10" t="n">
        <v>0</v>
      </c>
      <c r="T199" s="10" t="n">
        <v>0</v>
      </c>
      <c r="U199" s="10" t="n">
        <v>0</v>
      </c>
      <c r="V199" s="10" t="n">
        <v>0</v>
      </c>
      <c r="W199" s="10" t="n">
        <v>0</v>
      </c>
      <c r="X199" s="10" t="n">
        <v>0</v>
      </c>
      <c r="Y199" s="10" t="n">
        <v>0</v>
      </c>
      <c r="Z199" s="10" t="n">
        <v>0</v>
      </c>
      <c r="AA199" s="10" t="n">
        <v>0</v>
      </c>
      <c r="AB199" s="10" t="n">
        <v>14.4</v>
      </c>
      <c r="AC199" s="10" t="n">
        <v>0</v>
      </c>
      <c r="AD199" s="10" t="n">
        <v>0</v>
      </c>
      <c r="AE199" s="10" t="n">
        <v>0</v>
      </c>
      <c r="AF199" s="10" t="n">
        <v>0</v>
      </c>
      <c r="AG199" s="10" t="n">
        <v>0</v>
      </c>
      <c r="AH199" s="10" t="n">
        <v>0</v>
      </c>
      <c r="AI199" s="10" t="n">
        <v>0</v>
      </c>
      <c r="AJ199" s="10" t="n">
        <v>0</v>
      </c>
      <c r="AK199" s="10" t="n">
        <v>0</v>
      </c>
      <c r="AL199" s="10" t="n">
        <v>0</v>
      </c>
      <c r="AM199" s="10" t="n">
        <v>0</v>
      </c>
      <c r="AN199" s="10" t="n">
        <v>0</v>
      </c>
      <c r="AO199" s="10" t="n">
        <v>0</v>
      </c>
      <c r="AP199" s="10" t="n">
        <v>0</v>
      </c>
      <c r="AQ199" s="10" t="n">
        <v>0</v>
      </c>
      <c r="AR199" s="10" t="n">
        <v>0</v>
      </c>
      <c r="AS199" s="10" t="n">
        <v>0</v>
      </c>
    </row>
    <row r="200" customFormat="false" ht="15" hidden="true" customHeight="true" outlineLevel="1" collapsed="false">
      <c r="A200" s="1" t="s">
        <v>12</v>
      </c>
      <c r="B200" s="1" t="s">
        <v>14</v>
      </c>
      <c r="C200" s="1" t="s">
        <v>148</v>
      </c>
      <c r="D200" s="1" t="s">
        <v>141</v>
      </c>
      <c r="E200" s="1" t="s">
        <v>40</v>
      </c>
      <c r="F200" s="10" t="n">
        <v>0</v>
      </c>
      <c r="G200" s="10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0</v>
      </c>
      <c r="X200" s="10" t="n">
        <v>0</v>
      </c>
      <c r="Y200" s="10" t="n">
        <v>0</v>
      </c>
      <c r="Z200" s="10" t="n">
        <v>0</v>
      </c>
      <c r="AA200" s="10" t="n">
        <v>0</v>
      </c>
      <c r="AB200" s="10" t="n">
        <v>12.5</v>
      </c>
      <c r="AC200" s="10" t="n">
        <v>29</v>
      </c>
      <c r="AD200" s="10" t="n">
        <v>0</v>
      </c>
      <c r="AE200" s="10" t="n">
        <v>0</v>
      </c>
      <c r="AF200" s="10" t="n">
        <v>0</v>
      </c>
      <c r="AG200" s="10" t="n">
        <v>0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0" t="n">
        <v>0</v>
      </c>
      <c r="AM200" s="10" t="n">
        <v>0</v>
      </c>
      <c r="AN200" s="10" t="n">
        <v>0</v>
      </c>
      <c r="AO200" s="10" t="n">
        <v>0</v>
      </c>
      <c r="AP200" s="10" t="n">
        <v>0</v>
      </c>
      <c r="AQ200" s="10" t="n">
        <v>0</v>
      </c>
      <c r="AR200" s="10" t="n">
        <v>0</v>
      </c>
      <c r="AS200" s="10" t="n">
        <v>0</v>
      </c>
    </row>
    <row r="201" customFormat="false" ht="15" hidden="true" customHeight="true" outlineLevel="1" collapsed="false">
      <c r="A201" s="1" t="s">
        <v>12</v>
      </c>
      <c r="B201" s="1" t="s">
        <v>14</v>
      </c>
      <c r="C201" s="1" t="s">
        <v>148</v>
      </c>
      <c r="D201" s="1" t="s">
        <v>141</v>
      </c>
      <c r="E201" s="1" t="s">
        <v>96</v>
      </c>
      <c r="F201" s="10" t="n">
        <v>0</v>
      </c>
      <c r="G201" s="10" t="n">
        <v>0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n">
        <v>0</v>
      </c>
      <c r="S201" s="10" t="n">
        <v>0</v>
      </c>
      <c r="T201" s="10" t="n">
        <v>0</v>
      </c>
      <c r="U201" s="10" t="n">
        <v>0</v>
      </c>
      <c r="V201" s="10" t="n">
        <v>0</v>
      </c>
      <c r="W201" s="10" t="n">
        <v>0</v>
      </c>
      <c r="X201" s="10" t="n">
        <v>0</v>
      </c>
      <c r="Y201" s="10" t="n">
        <v>0</v>
      </c>
      <c r="Z201" s="10" t="n">
        <v>0</v>
      </c>
      <c r="AA201" s="10" t="n">
        <v>0</v>
      </c>
      <c r="AB201" s="10" t="n">
        <v>11</v>
      </c>
      <c r="AC201" s="10" t="n">
        <v>0</v>
      </c>
      <c r="AD201" s="10" t="n">
        <v>0</v>
      </c>
      <c r="AE201" s="10" t="n">
        <v>0</v>
      </c>
      <c r="AF201" s="10" t="n">
        <v>0</v>
      </c>
      <c r="AG201" s="10" t="n">
        <v>0</v>
      </c>
      <c r="AH201" s="10" t="n">
        <v>0</v>
      </c>
      <c r="AI201" s="10" t="n">
        <v>0</v>
      </c>
      <c r="AJ201" s="10" t="n">
        <v>0</v>
      </c>
      <c r="AK201" s="10" t="n">
        <v>0</v>
      </c>
      <c r="AL201" s="10" t="n">
        <v>0</v>
      </c>
      <c r="AM201" s="10" t="n">
        <v>0</v>
      </c>
      <c r="AN201" s="10" t="n">
        <v>0</v>
      </c>
      <c r="AO201" s="10" t="n">
        <v>0</v>
      </c>
      <c r="AP201" s="10" t="n">
        <v>0</v>
      </c>
      <c r="AQ201" s="10" t="n">
        <v>0</v>
      </c>
      <c r="AR201" s="10" t="n">
        <v>0</v>
      </c>
      <c r="AS201" s="10" t="n">
        <v>0</v>
      </c>
    </row>
    <row r="202" customFormat="false" ht="15" hidden="true" customHeight="true" outlineLevel="1" collapsed="false">
      <c r="A202" s="1" t="s">
        <v>12</v>
      </c>
      <c r="B202" s="1" t="s">
        <v>14</v>
      </c>
      <c r="C202" s="1" t="s">
        <v>148</v>
      </c>
      <c r="D202" s="1" t="s">
        <v>141</v>
      </c>
      <c r="E202" s="1" t="s">
        <v>85</v>
      </c>
      <c r="F202" s="10" t="n">
        <v>0</v>
      </c>
      <c r="G202" s="10" t="n">
        <v>0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0</v>
      </c>
      <c r="X202" s="10" t="n">
        <v>0</v>
      </c>
      <c r="Y202" s="10" t="n">
        <v>0</v>
      </c>
      <c r="Z202" s="10" t="n">
        <v>0</v>
      </c>
      <c r="AA202" s="10" t="n">
        <v>29</v>
      </c>
      <c r="AB202" s="10" t="n">
        <v>17.1</v>
      </c>
      <c r="AC202" s="10" t="n">
        <v>0</v>
      </c>
      <c r="AD202" s="10" t="n">
        <v>6</v>
      </c>
      <c r="AE202" s="10" t="n">
        <v>0</v>
      </c>
      <c r="AF202" s="10" t="n">
        <v>0</v>
      </c>
      <c r="AG202" s="10" t="n">
        <v>0</v>
      </c>
      <c r="AH202" s="10" t="n">
        <v>0</v>
      </c>
      <c r="AI202" s="10" t="n">
        <v>0</v>
      </c>
      <c r="AJ202" s="10" t="n">
        <v>0</v>
      </c>
      <c r="AK202" s="10" t="n">
        <v>0</v>
      </c>
      <c r="AL202" s="10" t="n">
        <v>0</v>
      </c>
      <c r="AM202" s="10" t="n">
        <v>0</v>
      </c>
      <c r="AN202" s="10" t="n">
        <v>0</v>
      </c>
      <c r="AO202" s="10" t="n">
        <v>0</v>
      </c>
      <c r="AP202" s="10" t="n">
        <v>0</v>
      </c>
      <c r="AQ202" s="10" t="n">
        <v>0</v>
      </c>
      <c r="AR202" s="10" t="n">
        <v>0</v>
      </c>
      <c r="AS202" s="10" t="n">
        <v>0</v>
      </c>
    </row>
    <row r="203" customFormat="false" ht="15" hidden="true" customHeight="true" outlineLevel="1" collapsed="false">
      <c r="A203" s="1" t="s">
        <v>12</v>
      </c>
      <c r="B203" s="1" t="s">
        <v>14</v>
      </c>
      <c r="C203" s="1" t="s">
        <v>148</v>
      </c>
      <c r="D203" s="1" t="s">
        <v>141</v>
      </c>
      <c r="E203" s="1" t="s">
        <v>103</v>
      </c>
      <c r="F203" s="10" t="n">
        <v>0</v>
      </c>
      <c r="G203" s="10" t="n">
        <v>0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0</v>
      </c>
      <c r="V203" s="10" t="n">
        <v>0</v>
      </c>
      <c r="W203" s="10" t="n">
        <v>0</v>
      </c>
      <c r="X203" s="10" t="n">
        <v>0</v>
      </c>
      <c r="Y203" s="10" t="n">
        <v>0</v>
      </c>
      <c r="Z203" s="10" t="n">
        <v>23.6</v>
      </c>
      <c r="AA203" s="10" t="n">
        <v>26</v>
      </c>
      <c r="AB203" s="10" t="n">
        <v>0</v>
      </c>
      <c r="AC203" s="10" t="n">
        <v>0</v>
      </c>
      <c r="AD203" s="10" t="n">
        <v>0</v>
      </c>
      <c r="AE203" s="10" t="n">
        <v>0</v>
      </c>
      <c r="AF203" s="10" t="n">
        <v>0</v>
      </c>
      <c r="AG203" s="10" t="n">
        <v>0</v>
      </c>
      <c r="AH203" s="10" t="n">
        <v>0</v>
      </c>
      <c r="AI203" s="10" t="n">
        <v>0</v>
      </c>
      <c r="AJ203" s="10" t="n">
        <v>0</v>
      </c>
      <c r="AK203" s="10" t="n">
        <v>0</v>
      </c>
      <c r="AL203" s="10" t="n">
        <v>0</v>
      </c>
      <c r="AM203" s="10" t="n">
        <v>0</v>
      </c>
      <c r="AN203" s="10" t="n">
        <v>0</v>
      </c>
      <c r="AO203" s="10" t="n">
        <v>0</v>
      </c>
      <c r="AP203" s="10" t="n">
        <v>0</v>
      </c>
      <c r="AQ203" s="10" t="n">
        <v>0</v>
      </c>
      <c r="AR203" s="10" t="n">
        <v>0</v>
      </c>
      <c r="AS203" s="10" t="n">
        <v>0</v>
      </c>
    </row>
    <row r="204" customFormat="false" ht="15" hidden="true" customHeight="true" outlineLevel="1" collapsed="false">
      <c r="A204" s="1" t="s">
        <v>12</v>
      </c>
      <c r="B204" s="1" t="s">
        <v>14</v>
      </c>
      <c r="C204" s="1" t="s">
        <v>148</v>
      </c>
      <c r="D204" s="1" t="s">
        <v>141</v>
      </c>
      <c r="E204" s="1" t="s">
        <v>46</v>
      </c>
      <c r="F204" s="10" t="n">
        <v>0</v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</v>
      </c>
      <c r="V204" s="10" t="n">
        <v>0</v>
      </c>
      <c r="W204" s="10" t="n">
        <v>0</v>
      </c>
      <c r="X204" s="10" t="n">
        <v>0</v>
      </c>
      <c r="Y204" s="10" t="n">
        <v>12.5</v>
      </c>
      <c r="Z204" s="10" t="n">
        <v>31.4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0" t="n">
        <v>0</v>
      </c>
      <c r="AM204" s="10" t="n">
        <v>0</v>
      </c>
      <c r="AN204" s="10" t="n">
        <v>0</v>
      </c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</row>
    <row r="205" customFormat="false" ht="15" hidden="true" customHeight="true" outlineLevel="1" collapsed="false">
      <c r="A205" s="1" t="s">
        <v>12</v>
      </c>
      <c r="B205" s="1" t="s">
        <v>14</v>
      </c>
      <c r="C205" s="1" t="s">
        <v>148</v>
      </c>
      <c r="D205" s="1" t="s">
        <v>141</v>
      </c>
      <c r="E205" s="1" t="s">
        <v>122</v>
      </c>
      <c r="F205" s="10" t="n">
        <v>0</v>
      </c>
      <c r="G205" s="10" t="n">
        <v>0</v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  <c r="AC205" s="10" t="n">
        <v>12.5</v>
      </c>
      <c r="AD205" s="10" t="n">
        <v>0</v>
      </c>
      <c r="AE205" s="10" t="n">
        <v>0</v>
      </c>
      <c r="AF205" s="10" t="n">
        <v>0</v>
      </c>
      <c r="AG205" s="10" t="n">
        <v>0</v>
      </c>
      <c r="AH205" s="10" t="n">
        <v>0</v>
      </c>
      <c r="AI205" s="10" t="n">
        <v>0</v>
      </c>
      <c r="AJ205" s="10" t="n">
        <v>0</v>
      </c>
      <c r="AK205" s="10" t="n">
        <v>0</v>
      </c>
      <c r="AL205" s="10" t="n">
        <v>0</v>
      </c>
      <c r="AM205" s="10" t="n">
        <v>0</v>
      </c>
      <c r="AN205" s="10" t="n">
        <v>0</v>
      </c>
      <c r="AO205" s="10" t="n">
        <v>0</v>
      </c>
      <c r="AP205" s="10" t="n">
        <v>0</v>
      </c>
      <c r="AQ205" s="10" t="n">
        <v>0</v>
      </c>
      <c r="AR205" s="10" t="n">
        <v>0</v>
      </c>
      <c r="AS205" s="10" t="n">
        <v>0</v>
      </c>
    </row>
    <row r="206" customFormat="false" ht="15" hidden="false" customHeight="true" outlineLevel="0" collapsed="false">
      <c r="A206" s="4" t="s">
        <v>12</v>
      </c>
      <c r="B206" s="4" t="s">
        <v>14</v>
      </c>
      <c r="C206" s="4" t="s">
        <v>149</v>
      </c>
      <c r="D206" s="4" t="s">
        <v>76</v>
      </c>
      <c r="E206" s="4" t="s">
        <v>77</v>
      </c>
      <c r="F206" s="8" t="n">
        <f aca="false">SUM(F207,F208,F209,F210)</f>
        <v>0</v>
      </c>
      <c r="G206" s="8" t="n">
        <f aca="false">SUM(G207,G208,G209,G210)</f>
        <v>0</v>
      </c>
      <c r="H206" s="8" t="n">
        <f aca="false">SUM(H207,H208,H209,H210)</f>
        <v>0</v>
      </c>
      <c r="I206" s="8" t="n">
        <f aca="false">SUM(I207,I208,I209,I210)</f>
        <v>0</v>
      </c>
      <c r="J206" s="8" t="n">
        <f aca="false">SUM(J207,J208,J209,J210)</f>
        <v>0</v>
      </c>
      <c r="K206" s="8" t="n">
        <f aca="false">SUM(K207,K208,K209,K210)</f>
        <v>0</v>
      </c>
      <c r="L206" s="8" t="n">
        <f aca="false">SUM(L207,L208,L209,L210)</f>
        <v>0</v>
      </c>
      <c r="M206" s="8" t="n">
        <f aca="false">SUM(M207,M208,M209,M210)</f>
        <v>0</v>
      </c>
      <c r="N206" s="8" t="n">
        <f aca="false">SUM(N207,N208,N209,N210)</f>
        <v>0</v>
      </c>
      <c r="O206" s="8" t="n">
        <f aca="false">SUM(O207,O208,O209,O210)</f>
        <v>0</v>
      </c>
      <c r="P206" s="8" t="n">
        <f aca="false">SUM(P207,P208,P209,P210)</f>
        <v>0</v>
      </c>
      <c r="Q206" s="8" t="n">
        <f aca="false">SUM(Q207,Q208,Q209,Q210)</f>
        <v>0</v>
      </c>
      <c r="R206" s="8" t="n">
        <f aca="false">SUM(R207,R208,R209,R210)</f>
        <v>0</v>
      </c>
      <c r="S206" s="8" t="n">
        <f aca="false">SUM(S207,S208,S209,S210)</f>
        <v>0</v>
      </c>
      <c r="T206" s="8" t="n">
        <f aca="false">SUM(T207,T208,T209,T210)</f>
        <v>0</v>
      </c>
      <c r="U206" s="8" t="n">
        <f aca="false">SUM(U207,U208,U209,U210)</f>
        <v>0</v>
      </c>
      <c r="V206" s="8" t="n">
        <f aca="false">SUM(V207,V208,V209,V210)</f>
        <v>0</v>
      </c>
      <c r="W206" s="8" t="n">
        <f aca="false">SUM(W207,W208,W209,W210)</f>
        <v>0</v>
      </c>
      <c r="X206" s="8" t="n">
        <f aca="false">SUM(X207,X208,X209,X210)</f>
        <v>0</v>
      </c>
      <c r="Y206" s="8" t="n">
        <f aca="false">SUM(Y207,Y208,Y209,Y210)</f>
        <v>9.2</v>
      </c>
      <c r="Z206" s="8" t="n">
        <f aca="false">SUM(Z207,Z208,Z209,Z210)</f>
        <v>51.1</v>
      </c>
      <c r="AA206" s="8" t="n">
        <f aca="false">SUM(AA207,AA208,AA209,AA210)</f>
        <v>55</v>
      </c>
      <c r="AB206" s="8" t="n">
        <f aca="false">SUM(AB207,AB208,AB209,AB210)</f>
        <v>55</v>
      </c>
      <c r="AC206" s="8" t="n">
        <f aca="false">SUM(AC207,AC208,AC209,AC210)</f>
        <v>55</v>
      </c>
      <c r="AD206" s="8" t="n">
        <f aca="false">SUM(AD207,AD208,AD209,AD210)</f>
        <v>55</v>
      </c>
      <c r="AE206" s="8" t="n">
        <f aca="false">SUM(AE207,AE208,AE209,AE210)</f>
        <v>0</v>
      </c>
      <c r="AF206" s="8" t="n">
        <f aca="false">SUM(AF207,AF208,AF209,AF210)</f>
        <v>0</v>
      </c>
      <c r="AG206" s="8" t="n">
        <f aca="false">SUM(AG207,AG208,AG209,AG210)</f>
        <v>0</v>
      </c>
      <c r="AH206" s="8" t="n">
        <f aca="false">SUM(AH207,AH208,AH209,AH210)</f>
        <v>0</v>
      </c>
      <c r="AI206" s="8" t="n">
        <f aca="false">SUM(AI207,AI208,AI209,AI210)</f>
        <v>0</v>
      </c>
      <c r="AJ206" s="8" t="n">
        <f aca="false">SUM(AJ207,AJ208,AJ209,AJ210)</f>
        <v>0</v>
      </c>
      <c r="AK206" s="8" t="n">
        <f aca="false">SUM(AK207,AK208,AK209,AK210)</f>
        <v>0</v>
      </c>
      <c r="AL206" s="8" t="n">
        <f aca="false">SUM(AL207,AL208,AL209,AL210)</f>
        <v>0</v>
      </c>
      <c r="AM206" s="8" t="n">
        <f aca="false">SUM(AM207,AM208,AM209,AM210)</f>
        <v>0</v>
      </c>
      <c r="AN206" s="8" t="n">
        <f aca="false">SUM(AN207,AN208,AN209,AN210)</f>
        <v>0</v>
      </c>
      <c r="AO206" s="8" t="n">
        <f aca="false">SUM(AO207,AO208,AO209,AO210)</f>
        <v>0</v>
      </c>
      <c r="AP206" s="8" t="n">
        <f aca="false">SUM(AP207,AP208,AP209,AP210)</f>
        <v>0</v>
      </c>
      <c r="AQ206" s="8" t="n">
        <f aca="false">SUM(AQ207,AQ208,AQ209,AQ210)</f>
        <v>0</v>
      </c>
      <c r="AR206" s="8" t="n">
        <f aca="false">SUM(AR207,AR208,AR209,AR210)</f>
        <v>0</v>
      </c>
      <c r="AS206" s="8" t="n">
        <f aca="false">SUM(AS207,AS208,AS209,AS210)</f>
        <v>0</v>
      </c>
    </row>
    <row r="207" customFormat="false" ht="15" hidden="true" customHeight="true" outlineLevel="1" collapsed="false">
      <c r="A207" s="1" t="s">
        <v>12</v>
      </c>
      <c r="B207" s="1" t="s">
        <v>14</v>
      </c>
      <c r="C207" s="1" t="s">
        <v>149</v>
      </c>
      <c r="D207" s="1" t="s">
        <v>141</v>
      </c>
      <c r="E207" s="1" t="s">
        <v>85</v>
      </c>
      <c r="F207" s="10" t="n">
        <v>0</v>
      </c>
      <c r="G207" s="10" t="n">
        <v>0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8.9</v>
      </c>
      <c r="AC207" s="10" t="n">
        <v>2</v>
      </c>
      <c r="AD207" s="10" t="n">
        <v>0</v>
      </c>
      <c r="AE207" s="10" t="n">
        <v>0</v>
      </c>
      <c r="AF207" s="10" t="n">
        <v>0</v>
      </c>
      <c r="AG207" s="10" t="n">
        <v>0</v>
      </c>
      <c r="AH207" s="10" t="n">
        <v>0</v>
      </c>
      <c r="AI207" s="10" t="n">
        <v>0</v>
      </c>
      <c r="AJ207" s="10" t="n">
        <v>0</v>
      </c>
      <c r="AK207" s="10" t="n">
        <v>0</v>
      </c>
      <c r="AL207" s="10" t="n">
        <v>0</v>
      </c>
      <c r="AM207" s="10" t="n">
        <v>0</v>
      </c>
      <c r="AN207" s="10" t="n">
        <v>0</v>
      </c>
      <c r="AO207" s="10" t="n">
        <v>0</v>
      </c>
      <c r="AP207" s="10" t="n">
        <v>0</v>
      </c>
      <c r="AQ207" s="10" t="n">
        <v>0</v>
      </c>
      <c r="AR207" s="10" t="n">
        <v>0</v>
      </c>
      <c r="AS207" s="10" t="n">
        <v>0</v>
      </c>
    </row>
    <row r="208" customFormat="false" ht="15" hidden="true" customHeight="true" outlineLevel="1" collapsed="false">
      <c r="A208" s="1" t="s">
        <v>12</v>
      </c>
      <c r="B208" s="1" t="s">
        <v>14</v>
      </c>
      <c r="C208" s="1" t="s">
        <v>149</v>
      </c>
      <c r="D208" s="1" t="s">
        <v>141</v>
      </c>
      <c r="E208" s="1" t="s">
        <v>103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55</v>
      </c>
      <c r="AB208" s="10" t="n">
        <v>46.1</v>
      </c>
      <c r="AC208" s="10" t="n">
        <v>53</v>
      </c>
      <c r="AD208" s="10" t="n">
        <v>55</v>
      </c>
      <c r="AE208" s="10" t="n">
        <v>0</v>
      </c>
      <c r="AF208" s="10" t="n">
        <v>0</v>
      </c>
      <c r="AG208" s="10" t="n">
        <v>0</v>
      </c>
      <c r="AH208" s="10" t="n">
        <v>0</v>
      </c>
      <c r="AI208" s="10" t="n">
        <v>0</v>
      </c>
      <c r="AJ208" s="10" t="n">
        <v>0</v>
      </c>
      <c r="AK208" s="10" t="n">
        <v>0</v>
      </c>
      <c r="AL208" s="10" t="n">
        <v>0</v>
      </c>
      <c r="AM208" s="10" t="n">
        <v>0</v>
      </c>
      <c r="AN208" s="10" t="n">
        <v>0</v>
      </c>
      <c r="AO208" s="10" t="n">
        <v>0</v>
      </c>
      <c r="AP208" s="10" t="n">
        <v>0</v>
      </c>
      <c r="AQ208" s="10" t="n">
        <v>0</v>
      </c>
      <c r="AR208" s="10" t="n">
        <v>0</v>
      </c>
      <c r="AS208" s="10" t="n">
        <v>0</v>
      </c>
    </row>
    <row r="209" customFormat="false" ht="15" hidden="true" customHeight="true" outlineLevel="1" collapsed="false">
      <c r="A209" s="1" t="s">
        <v>12</v>
      </c>
      <c r="B209" s="1" t="s">
        <v>14</v>
      </c>
      <c r="C209" s="1" t="s">
        <v>149</v>
      </c>
      <c r="D209" s="1" t="s">
        <v>141</v>
      </c>
      <c r="E209" s="1" t="s">
        <v>46</v>
      </c>
      <c r="F209" s="10" t="n">
        <v>0</v>
      </c>
      <c r="G209" s="10" t="n">
        <v>0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1.1</v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10" t="n">
        <v>0</v>
      </c>
      <c r="AG209" s="10" t="n">
        <v>0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0</v>
      </c>
      <c r="AM209" s="10" t="n">
        <v>0</v>
      </c>
      <c r="AN209" s="10" t="n">
        <v>0</v>
      </c>
      <c r="AO209" s="10" t="n">
        <v>0</v>
      </c>
      <c r="AP209" s="10" t="n">
        <v>0</v>
      </c>
      <c r="AQ209" s="10" t="n">
        <v>0</v>
      </c>
      <c r="AR209" s="10" t="n">
        <v>0</v>
      </c>
      <c r="AS209" s="10" t="n">
        <v>0</v>
      </c>
    </row>
    <row r="210" customFormat="false" ht="15" hidden="true" customHeight="true" outlineLevel="1" collapsed="false">
      <c r="A210" s="1" t="s">
        <v>12</v>
      </c>
      <c r="B210" s="1" t="s">
        <v>14</v>
      </c>
      <c r="C210" s="1" t="s">
        <v>149</v>
      </c>
      <c r="D210" s="1" t="s">
        <v>141</v>
      </c>
      <c r="E210" s="1" t="s">
        <v>99</v>
      </c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9.2</v>
      </c>
      <c r="Z210" s="10" t="n">
        <v>50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0</v>
      </c>
      <c r="AJ210" s="10" t="n">
        <v>0</v>
      </c>
      <c r="AK210" s="10" t="n">
        <v>0</v>
      </c>
      <c r="AL210" s="10" t="n">
        <v>0</v>
      </c>
      <c r="AM210" s="10" t="n">
        <v>0</v>
      </c>
      <c r="AN210" s="10" t="n">
        <v>0</v>
      </c>
      <c r="AO210" s="10" t="n">
        <v>0</v>
      </c>
      <c r="AP210" s="10" t="n">
        <v>0</v>
      </c>
      <c r="AQ210" s="10" t="n">
        <v>0</v>
      </c>
      <c r="AR210" s="10" t="n">
        <v>0</v>
      </c>
      <c r="AS210" s="10" t="n">
        <v>0</v>
      </c>
    </row>
    <row r="211" customFormat="false" ht="15" hidden="false" customHeight="true" outlineLevel="0" collapsed="false">
      <c r="A211" s="4" t="s">
        <v>12</v>
      </c>
      <c r="B211" s="4" t="s">
        <v>14</v>
      </c>
      <c r="C211" s="4" t="s">
        <v>150</v>
      </c>
      <c r="D211" s="4" t="s">
        <v>76</v>
      </c>
      <c r="E211" s="4" t="s">
        <v>77</v>
      </c>
      <c r="F211" s="8" t="n">
        <f aca="false">SUM(F212)</f>
        <v>0</v>
      </c>
      <c r="G211" s="8" t="n">
        <f aca="false">SUM(G212)</f>
        <v>0</v>
      </c>
      <c r="H211" s="8" t="n">
        <f aca="false">SUM(H212)</f>
        <v>0</v>
      </c>
      <c r="I211" s="8" t="n">
        <f aca="false">SUM(I212)</f>
        <v>0</v>
      </c>
      <c r="J211" s="8" t="n">
        <f aca="false">SUM(J212)</f>
        <v>0</v>
      </c>
      <c r="K211" s="8" t="n">
        <f aca="false">SUM(K212)</f>
        <v>0</v>
      </c>
      <c r="L211" s="8" t="n">
        <f aca="false">SUM(L212)</f>
        <v>0</v>
      </c>
      <c r="M211" s="8" t="n">
        <f aca="false">SUM(M212)</f>
        <v>0</v>
      </c>
      <c r="N211" s="8" t="n">
        <f aca="false">SUM(N212)</f>
        <v>0</v>
      </c>
      <c r="O211" s="8" t="n">
        <f aca="false">SUM(O212)</f>
        <v>0</v>
      </c>
      <c r="P211" s="8" t="n">
        <f aca="false">SUM(P212)</f>
        <v>0</v>
      </c>
      <c r="Q211" s="8" t="n">
        <f aca="false">SUM(Q212)</f>
        <v>0</v>
      </c>
      <c r="R211" s="8" t="n">
        <f aca="false">SUM(R212)</f>
        <v>0</v>
      </c>
      <c r="S211" s="8" t="n">
        <f aca="false">SUM(S212)</f>
        <v>0</v>
      </c>
      <c r="T211" s="8" t="n">
        <f aca="false">SUM(T212)</f>
        <v>0</v>
      </c>
      <c r="U211" s="8" t="n">
        <f aca="false">SUM(U212)</f>
        <v>0</v>
      </c>
      <c r="V211" s="8" t="n">
        <f aca="false">SUM(V212)</f>
        <v>0</v>
      </c>
      <c r="W211" s="8" t="n">
        <f aca="false">SUM(W212)</f>
        <v>0</v>
      </c>
      <c r="X211" s="8" t="n">
        <f aca="false">SUM(X212)</f>
        <v>0</v>
      </c>
      <c r="Y211" s="8" t="n">
        <f aca="false">SUM(Y212)</f>
        <v>0</v>
      </c>
      <c r="Z211" s="8" t="n">
        <f aca="false">SUM(Z212)</f>
        <v>0</v>
      </c>
      <c r="AA211" s="8" t="n">
        <f aca="false">SUM(AA212)</f>
        <v>29.5</v>
      </c>
      <c r="AB211" s="8" t="n">
        <f aca="false">SUM(AB212)</f>
        <v>55</v>
      </c>
      <c r="AC211" s="8" t="n">
        <f aca="false">SUM(AC212)</f>
        <v>55</v>
      </c>
      <c r="AD211" s="8" t="n">
        <f aca="false">SUM(AD212)</f>
        <v>0</v>
      </c>
      <c r="AE211" s="8" t="n">
        <f aca="false">SUM(AE212)</f>
        <v>0</v>
      </c>
      <c r="AF211" s="8" t="n">
        <f aca="false">SUM(AF212)</f>
        <v>0</v>
      </c>
      <c r="AG211" s="8" t="n">
        <f aca="false">SUM(AG212)</f>
        <v>0</v>
      </c>
      <c r="AH211" s="8" t="n">
        <f aca="false">SUM(AH212)</f>
        <v>0</v>
      </c>
      <c r="AI211" s="8" t="n">
        <f aca="false">SUM(AI212)</f>
        <v>0</v>
      </c>
      <c r="AJ211" s="8" t="n">
        <f aca="false">SUM(AJ212)</f>
        <v>0</v>
      </c>
      <c r="AK211" s="8" t="n">
        <f aca="false">SUM(AK212)</f>
        <v>0</v>
      </c>
      <c r="AL211" s="8" t="n">
        <f aca="false">SUM(AL212)</f>
        <v>0</v>
      </c>
      <c r="AM211" s="8" t="n">
        <f aca="false">SUM(AM212)</f>
        <v>0</v>
      </c>
      <c r="AN211" s="8" t="n">
        <f aca="false">SUM(AN212)</f>
        <v>0</v>
      </c>
      <c r="AO211" s="8" t="n">
        <f aca="false">SUM(AO212)</f>
        <v>0</v>
      </c>
      <c r="AP211" s="8" t="n">
        <f aca="false">SUM(AP212)</f>
        <v>0</v>
      </c>
      <c r="AQ211" s="8" t="n">
        <f aca="false">SUM(AQ212)</f>
        <v>0</v>
      </c>
      <c r="AR211" s="8" t="n">
        <f aca="false">SUM(AR212)</f>
        <v>0</v>
      </c>
      <c r="AS211" s="8" t="n">
        <f aca="false">SUM(AS212)</f>
        <v>0</v>
      </c>
    </row>
    <row r="212" customFormat="false" ht="15" hidden="true" customHeight="true" outlineLevel="1" collapsed="false">
      <c r="A212" s="1" t="s">
        <v>12</v>
      </c>
      <c r="B212" s="1" t="s">
        <v>14</v>
      </c>
      <c r="C212" s="1" t="s">
        <v>150</v>
      </c>
      <c r="D212" s="1" t="s">
        <v>141</v>
      </c>
      <c r="E212" s="1" t="s">
        <v>103</v>
      </c>
      <c r="F212" s="10" t="n">
        <v>0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29.5</v>
      </c>
      <c r="AB212" s="10" t="n">
        <v>55</v>
      </c>
      <c r="AC212" s="10" t="n">
        <v>55</v>
      </c>
      <c r="AD212" s="10" t="n">
        <v>0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0</v>
      </c>
      <c r="AJ212" s="10" t="n">
        <v>0</v>
      </c>
      <c r="AK212" s="10" t="n">
        <v>0</v>
      </c>
      <c r="AL212" s="10" t="n">
        <v>0</v>
      </c>
      <c r="AM212" s="10" t="n">
        <v>0</v>
      </c>
      <c r="AN212" s="10" t="n">
        <v>0</v>
      </c>
      <c r="AO212" s="10" t="n">
        <v>0</v>
      </c>
      <c r="AP212" s="10" t="n">
        <v>0</v>
      </c>
      <c r="AQ212" s="10" t="n">
        <v>0</v>
      </c>
      <c r="AR212" s="10" t="n">
        <v>0</v>
      </c>
      <c r="AS212" s="10" t="n">
        <v>0</v>
      </c>
    </row>
    <row r="213" customFormat="false" ht="15" hidden="false" customHeight="true" outlineLevel="0" collapsed="false">
      <c r="A213" s="4" t="s">
        <v>12</v>
      </c>
      <c r="B213" s="4" t="s">
        <v>14</v>
      </c>
      <c r="C213" s="4" t="s">
        <v>151</v>
      </c>
      <c r="D213" s="4" t="s">
        <v>76</v>
      </c>
      <c r="E213" s="4" t="s">
        <v>77</v>
      </c>
      <c r="F213" s="8" t="n">
        <f aca="false">SUM(F214,F215,F216)</f>
        <v>0</v>
      </c>
      <c r="G213" s="8" t="n">
        <f aca="false">SUM(G214,G215,G216)</f>
        <v>0</v>
      </c>
      <c r="H213" s="8" t="n">
        <f aca="false">SUM(H214,H215,H216)</f>
        <v>0</v>
      </c>
      <c r="I213" s="8" t="n">
        <f aca="false">SUM(I214,I215,I216)</f>
        <v>0</v>
      </c>
      <c r="J213" s="8" t="n">
        <f aca="false">SUM(J214,J215,J216)</f>
        <v>0</v>
      </c>
      <c r="K213" s="8" t="n">
        <f aca="false">SUM(K214,K215,K216)</f>
        <v>0</v>
      </c>
      <c r="L213" s="8" t="n">
        <f aca="false">SUM(L214,L215,L216)</f>
        <v>0</v>
      </c>
      <c r="M213" s="8" t="n">
        <f aca="false">SUM(M214,M215,M216)</f>
        <v>0</v>
      </c>
      <c r="N213" s="8" t="n">
        <f aca="false">SUM(N214,N215,N216)</f>
        <v>0</v>
      </c>
      <c r="O213" s="8" t="n">
        <f aca="false">SUM(O214,O215,O216)</f>
        <v>0</v>
      </c>
      <c r="P213" s="8" t="n">
        <f aca="false">SUM(P214,P215,P216)</f>
        <v>0</v>
      </c>
      <c r="Q213" s="8" t="n">
        <f aca="false">SUM(Q214,Q215,Q216)</f>
        <v>0</v>
      </c>
      <c r="R213" s="8" t="n">
        <f aca="false">SUM(R214,R215,R216)</f>
        <v>0</v>
      </c>
      <c r="S213" s="8" t="n">
        <f aca="false">SUM(S214,S215,S216)</f>
        <v>0</v>
      </c>
      <c r="T213" s="8" t="n">
        <f aca="false">SUM(T214,T215,T216)</f>
        <v>0</v>
      </c>
      <c r="U213" s="8" t="n">
        <f aca="false">SUM(U214,U215,U216)</f>
        <v>0</v>
      </c>
      <c r="V213" s="8" t="n">
        <f aca="false">SUM(V214,V215,V216)</f>
        <v>0</v>
      </c>
      <c r="W213" s="8" t="n">
        <f aca="false">SUM(W214,W215,W216)</f>
        <v>0</v>
      </c>
      <c r="X213" s="8" t="n">
        <f aca="false">SUM(X214,X215,X216)</f>
        <v>0</v>
      </c>
      <c r="Y213" s="8" t="n">
        <f aca="false">SUM(Y214,Y215,Y216)</f>
        <v>0</v>
      </c>
      <c r="Z213" s="8" t="n">
        <f aca="false">SUM(Z214,Z215,Z216)</f>
        <v>0</v>
      </c>
      <c r="AA213" s="8" t="n">
        <f aca="false">SUM(AA214,AA215,AA216)</f>
        <v>35</v>
      </c>
      <c r="AB213" s="8" t="n">
        <f aca="false">SUM(AB214,AB215,AB216)</f>
        <v>55</v>
      </c>
      <c r="AC213" s="8" t="n">
        <f aca="false">SUM(AC214,AC215,AC216)</f>
        <v>32</v>
      </c>
      <c r="AD213" s="8" t="n">
        <f aca="false">SUM(AD214,AD215,AD216)</f>
        <v>25</v>
      </c>
      <c r="AE213" s="8" t="n">
        <f aca="false">SUM(AE214,AE215,AE216)</f>
        <v>0</v>
      </c>
      <c r="AF213" s="8" t="n">
        <f aca="false">SUM(AF214,AF215,AF216)</f>
        <v>0</v>
      </c>
      <c r="AG213" s="8" t="n">
        <f aca="false">SUM(AG214,AG215,AG216)</f>
        <v>0</v>
      </c>
      <c r="AH213" s="8" t="n">
        <f aca="false">SUM(AH214,AH215,AH216)</f>
        <v>0</v>
      </c>
      <c r="AI213" s="8" t="n">
        <f aca="false">SUM(AI214,AI215,AI216)</f>
        <v>0</v>
      </c>
      <c r="AJ213" s="8" t="n">
        <f aca="false">SUM(AJ214,AJ215,AJ216)</f>
        <v>0</v>
      </c>
      <c r="AK213" s="8" t="n">
        <f aca="false">SUM(AK214,AK215,AK216)</f>
        <v>0</v>
      </c>
      <c r="AL213" s="8" t="n">
        <f aca="false">SUM(AL214,AL215,AL216)</f>
        <v>0</v>
      </c>
      <c r="AM213" s="8" t="n">
        <f aca="false">SUM(AM214,AM215,AM216)</f>
        <v>0</v>
      </c>
      <c r="AN213" s="8" t="n">
        <f aca="false">SUM(AN214,AN215,AN216)</f>
        <v>0</v>
      </c>
      <c r="AO213" s="8" t="n">
        <f aca="false">SUM(AO214,AO215,AO216)</f>
        <v>0</v>
      </c>
      <c r="AP213" s="8" t="n">
        <f aca="false">SUM(AP214,AP215,AP216)</f>
        <v>0</v>
      </c>
      <c r="AQ213" s="8" t="n">
        <f aca="false">SUM(AQ214,AQ215,AQ216)</f>
        <v>0</v>
      </c>
      <c r="AR213" s="8" t="n">
        <f aca="false">SUM(AR214,AR215,AR216)</f>
        <v>0</v>
      </c>
      <c r="AS213" s="8" t="n">
        <f aca="false">SUM(AS214,AS215,AS216)</f>
        <v>0</v>
      </c>
    </row>
    <row r="214" customFormat="false" ht="15" hidden="true" customHeight="true" outlineLevel="1" collapsed="false">
      <c r="A214" s="1" t="s">
        <v>12</v>
      </c>
      <c r="B214" s="1" t="s">
        <v>14</v>
      </c>
      <c r="C214" s="1" t="s">
        <v>151</v>
      </c>
      <c r="D214" s="1" t="s">
        <v>141</v>
      </c>
      <c r="E214" s="1" t="s">
        <v>103</v>
      </c>
      <c r="F214" s="10" t="n">
        <v>0</v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10" t="n">
        <v>33.9</v>
      </c>
      <c r="AC214" s="10" t="n">
        <v>22</v>
      </c>
      <c r="AD214" s="10" t="n">
        <v>0</v>
      </c>
      <c r="AE214" s="10" t="n">
        <v>0</v>
      </c>
      <c r="AF214" s="10" t="n">
        <v>0</v>
      </c>
      <c r="AG214" s="10" t="n">
        <v>0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n">
        <v>0</v>
      </c>
      <c r="AN214" s="10" t="n">
        <v>0</v>
      </c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</row>
    <row r="215" customFormat="false" ht="15" hidden="true" customHeight="true" outlineLevel="1" collapsed="false">
      <c r="A215" s="1" t="s">
        <v>12</v>
      </c>
      <c r="B215" s="1" t="s">
        <v>14</v>
      </c>
      <c r="C215" s="1" t="s">
        <v>151</v>
      </c>
      <c r="D215" s="1" t="s">
        <v>141</v>
      </c>
      <c r="E215" s="1" t="s">
        <v>46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24</v>
      </c>
      <c r="AB215" s="10" t="n">
        <v>21.1</v>
      </c>
      <c r="AC215" s="10" t="n">
        <v>0</v>
      </c>
      <c r="AD215" s="10" t="n">
        <v>25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n">
        <v>0</v>
      </c>
      <c r="AN215" s="10" t="n">
        <v>0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</row>
    <row r="216" customFormat="false" ht="15" hidden="true" customHeight="true" outlineLevel="1" collapsed="false">
      <c r="A216" s="1" t="s">
        <v>12</v>
      </c>
      <c r="B216" s="1" t="s">
        <v>14</v>
      </c>
      <c r="C216" s="1" t="s">
        <v>151</v>
      </c>
      <c r="D216" s="1" t="s">
        <v>141</v>
      </c>
      <c r="E216" s="1" t="s">
        <v>99</v>
      </c>
      <c r="F216" s="10" t="n">
        <v>0</v>
      </c>
      <c r="G216" s="10" t="n">
        <v>0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11</v>
      </c>
      <c r="AB216" s="10" t="n">
        <v>0</v>
      </c>
      <c r="AC216" s="10" t="n">
        <v>10</v>
      </c>
      <c r="AD216" s="10" t="n">
        <v>0</v>
      </c>
      <c r="AE216" s="10" t="n">
        <v>0</v>
      </c>
      <c r="AF216" s="10" t="n">
        <v>0</v>
      </c>
      <c r="AG216" s="10" t="n">
        <v>0</v>
      </c>
      <c r="AH216" s="10" t="n">
        <v>0</v>
      </c>
      <c r="AI216" s="10" t="n">
        <v>0</v>
      </c>
      <c r="AJ216" s="10" t="n">
        <v>0</v>
      </c>
      <c r="AK216" s="10" t="n">
        <v>0</v>
      </c>
      <c r="AL216" s="10" t="n">
        <v>0</v>
      </c>
      <c r="AM216" s="10" t="n">
        <v>0</v>
      </c>
      <c r="AN216" s="10" t="n">
        <v>0</v>
      </c>
      <c r="AO216" s="10" t="n">
        <v>0</v>
      </c>
      <c r="AP216" s="10" t="n">
        <v>0</v>
      </c>
      <c r="AQ216" s="10" t="n">
        <v>0</v>
      </c>
      <c r="AR216" s="10" t="n">
        <v>0</v>
      </c>
      <c r="AS216" s="10" t="n">
        <v>0</v>
      </c>
    </row>
    <row r="217" customFormat="false" ht="15" hidden="false" customHeight="true" outlineLevel="0" collapsed="false">
      <c r="A217" s="4" t="s">
        <v>12</v>
      </c>
      <c r="B217" s="4" t="s">
        <v>14</v>
      </c>
      <c r="C217" s="4" t="s">
        <v>152</v>
      </c>
      <c r="D217" s="4" t="s">
        <v>76</v>
      </c>
      <c r="E217" s="4" t="s">
        <v>77</v>
      </c>
      <c r="F217" s="8" t="n">
        <f aca="false">SUM(F218,F219)</f>
        <v>0</v>
      </c>
      <c r="G217" s="8" t="n">
        <f aca="false">SUM(G218,G219)</f>
        <v>0</v>
      </c>
      <c r="H217" s="8" t="n">
        <f aca="false">SUM(H218,H219)</f>
        <v>0</v>
      </c>
      <c r="I217" s="8" t="n">
        <f aca="false">SUM(I218,I219)</f>
        <v>0</v>
      </c>
      <c r="J217" s="8" t="n">
        <f aca="false">SUM(J218,J219)</f>
        <v>0</v>
      </c>
      <c r="K217" s="8" t="n">
        <f aca="false">SUM(K218,K219)</f>
        <v>0</v>
      </c>
      <c r="L217" s="8" t="n">
        <f aca="false">SUM(L218,L219)</f>
        <v>0</v>
      </c>
      <c r="M217" s="8" t="n">
        <f aca="false">SUM(M218,M219)</f>
        <v>0</v>
      </c>
      <c r="N217" s="8" t="n">
        <f aca="false">SUM(N218,N219)</f>
        <v>0</v>
      </c>
      <c r="O217" s="8" t="n">
        <f aca="false">SUM(O218,O219)</f>
        <v>0</v>
      </c>
      <c r="P217" s="8" t="n">
        <f aca="false">SUM(P218,P219)</f>
        <v>0</v>
      </c>
      <c r="Q217" s="8" t="n">
        <f aca="false">SUM(Q218,Q219)</f>
        <v>0</v>
      </c>
      <c r="R217" s="8" t="n">
        <f aca="false">SUM(R218,R219)</f>
        <v>0</v>
      </c>
      <c r="S217" s="8" t="n">
        <f aca="false">SUM(S218,S219)</f>
        <v>0</v>
      </c>
      <c r="T217" s="8" t="n">
        <f aca="false">SUM(T218,T219)</f>
        <v>0</v>
      </c>
      <c r="U217" s="8" t="n">
        <f aca="false">SUM(U218,U219)</f>
        <v>0</v>
      </c>
      <c r="V217" s="8" t="n">
        <f aca="false">SUM(V218,V219)</f>
        <v>0</v>
      </c>
      <c r="W217" s="8" t="n">
        <f aca="false">SUM(W218,W219)</f>
        <v>0</v>
      </c>
      <c r="X217" s="8" t="n">
        <f aca="false">SUM(X218,X219)</f>
        <v>0</v>
      </c>
      <c r="Y217" s="8" t="n">
        <f aca="false">SUM(Y218,Y219)</f>
        <v>0</v>
      </c>
      <c r="Z217" s="8" t="n">
        <f aca="false">SUM(Z218,Z219)</f>
        <v>0</v>
      </c>
      <c r="AA217" s="8" t="n">
        <f aca="false">SUM(AA218,AA219)</f>
        <v>55</v>
      </c>
      <c r="AB217" s="8" t="n">
        <f aca="false">SUM(AB218,AB219)</f>
        <v>55</v>
      </c>
      <c r="AC217" s="8" t="n">
        <f aca="false">SUM(AC218,AC219)</f>
        <v>34</v>
      </c>
      <c r="AD217" s="8" t="n">
        <f aca="false">SUM(AD218,AD219)</f>
        <v>55</v>
      </c>
      <c r="AE217" s="8" t="n">
        <f aca="false">SUM(AE218,AE219)</f>
        <v>0</v>
      </c>
      <c r="AF217" s="8" t="n">
        <f aca="false">SUM(AF218,AF219)</f>
        <v>0</v>
      </c>
      <c r="AG217" s="8" t="n">
        <f aca="false">SUM(AG218,AG219)</f>
        <v>0</v>
      </c>
      <c r="AH217" s="8" t="n">
        <f aca="false">SUM(AH218,AH219)</f>
        <v>0</v>
      </c>
      <c r="AI217" s="8" t="n">
        <f aca="false">SUM(AI218,AI219)</f>
        <v>0</v>
      </c>
      <c r="AJ217" s="8" t="n">
        <f aca="false">SUM(AJ218,AJ219)</f>
        <v>0</v>
      </c>
      <c r="AK217" s="8" t="n">
        <f aca="false">SUM(AK218,AK219)</f>
        <v>0</v>
      </c>
      <c r="AL217" s="8" t="n">
        <f aca="false">SUM(AL218,AL219)</f>
        <v>0</v>
      </c>
      <c r="AM217" s="8" t="n">
        <f aca="false">SUM(AM218,AM219)</f>
        <v>0</v>
      </c>
      <c r="AN217" s="8" t="n">
        <f aca="false">SUM(AN218,AN219)</f>
        <v>0</v>
      </c>
      <c r="AO217" s="8" t="n">
        <f aca="false">SUM(AO218,AO219)</f>
        <v>0</v>
      </c>
      <c r="AP217" s="8" t="n">
        <f aca="false">SUM(AP218,AP219)</f>
        <v>0</v>
      </c>
      <c r="AQ217" s="8" t="n">
        <f aca="false">SUM(AQ218,AQ219)</f>
        <v>0</v>
      </c>
      <c r="AR217" s="8" t="n">
        <f aca="false">SUM(AR218,AR219)</f>
        <v>0</v>
      </c>
      <c r="AS217" s="8" t="n">
        <f aca="false">SUM(AS218,AS219)</f>
        <v>0</v>
      </c>
    </row>
    <row r="218" customFormat="false" ht="15" hidden="true" customHeight="true" outlineLevel="1" collapsed="false">
      <c r="A218" s="1" t="s">
        <v>12</v>
      </c>
      <c r="B218" s="1" t="s">
        <v>14</v>
      </c>
      <c r="C218" s="1" t="s">
        <v>152</v>
      </c>
      <c r="D218" s="1" t="s">
        <v>141</v>
      </c>
      <c r="E218" s="1" t="s">
        <v>46</v>
      </c>
      <c r="F218" s="10" t="n">
        <v>0</v>
      </c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0</v>
      </c>
      <c r="Z218" s="10" t="n">
        <v>0</v>
      </c>
      <c r="AA218" s="10" t="n">
        <v>0</v>
      </c>
      <c r="AB218" s="10" t="n">
        <v>54.9</v>
      </c>
      <c r="AC218" s="10" t="n">
        <v>34</v>
      </c>
      <c r="AD218" s="10" t="n">
        <v>0</v>
      </c>
      <c r="AE218" s="10" t="n">
        <v>0</v>
      </c>
      <c r="AF218" s="10" t="n">
        <v>0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10" t="n">
        <v>0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</row>
    <row r="219" customFormat="false" ht="15" hidden="true" customHeight="true" outlineLevel="1" collapsed="false">
      <c r="A219" s="1" t="s">
        <v>12</v>
      </c>
      <c r="B219" s="1" t="s">
        <v>14</v>
      </c>
      <c r="C219" s="1" t="s">
        <v>152</v>
      </c>
      <c r="D219" s="1" t="s">
        <v>141</v>
      </c>
      <c r="E219" s="1" t="s">
        <v>99</v>
      </c>
      <c r="F219" s="10" t="n">
        <v>0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55</v>
      </c>
      <c r="AB219" s="10" t="n">
        <v>0.100000000000001</v>
      </c>
      <c r="AC219" s="10" t="n">
        <v>0</v>
      </c>
      <c r="AD219" s="10" t="n">
        <v>55</v>
      </c>
      <c r="AE219" s="10" t="n">
        <v>0</v>
      </c>
      <c r="AF219" s="10" t="n">
        <v>0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10" t="n">
        <v>0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</row>
    <row r="220" customFormat="false" ht="15" hidden="false" customHeight="true" outlineLevel="0" collapsed="false">
      <c r="A220" s="4" t="s">
        <v>12</v>
      </c>
      <c r="B220" s="4" t="s">
        <v>14</v>
      </c>
      <c r="C220" s="4" t="s">
        <v>153</v>
      </c>
      <c r="D220" s="4" t="s">
        <v>76</v>
      </c>
      <c r="E220" s="4" t="s">
        <v>77</v>
      </c>
      <c r="F220" s="8" t="n">
        <f aca="false">SUM(F221,F222)</f>
        <v>0</v>
      </c>
      <c r="G220" s="8" t="n">
        <f aca="false">SUM(G221,G222)</f>
        <v>0</v>
      </c>
      <c r="H220" s="8" t="n">
        <f aca="false">SUM(H221,H222)</f>
        <v>0</v>
      </c>
      <c r="I220" s="8" t="n">
        <f aca="false">SUM(I221,I222)</f>
        <v>0</v>
      </c>
      <c r="J220" s="8" t="n">
        <f aca="false">SUM(J221,J222)</f>
        <v>0</v>
      </c>
      <c r="K220" s="8" t="n">
        <f aca="false">SUM(K221,K222)</f>
        <v>0</v>
      </c>
      <c r="L220" s="8" t="n">
        <f aca="false">SUM(L221,L222)</f>
        <v>0</v>
      </c>
      <c r="M220" s="8" t="n">
        <f aca="false">SUM(M221,M222)</f>
        <v>0</v>
      </c>
      <c r="N220" s="8" t="n">
        <f aca="false">SUM(N221,N222)</f>
        <v>0</v>
      </c>
      <c r="O220" s="8" t="n">
        <f aca="false">SUM(O221,O222)</f>
        <v>0</v>
      </c>
      <c r="P220" s="8" t="n">
        <f aca="false">SUM(P221,P222)</f>
        <v>0</v>
      </c>
      <c r="Q220" s="8" t="n">
        <f aca="false">SUM(Q221,Q222)</f>
        <v>0</v>
      </c>
      <c r="R220" s="8" t="n">
        <f aca="false">SUM(R221,R222)</f>
        <v>0</v>
      </c>
      <c r="S220" s="8" t="n">
        <f aca="false">SUM(S221,S222)</f>
        <v>0</v>
      </c>
      <c r="T220" s="8" t="n">
        <f aca="false">SUM(T221,T222)</f>
        <v>0</v>
      </c>
      <c r="U220" s="8" t="n">
        <f aca="false">SUM(U221,U222)</f>
        <v>0</v>
      </c>
      <c r="V220" s="8" t="n">
        <f aca="false">SUM(V221,V222)</f>
        <v>0</v>
      </c>
      <c r="W220" s="8" t="n">
        <f aca="false">SUM(W221,W222)</f>
        <v>0</v>
      </c>
      <c r="X220" s="8" t="n">
        <f aca="false">SUM(X221,X222)</f>
        <v>0</v>
      </c>
      <c r="Y220" s="8" t="n">
        <f aca="false">SUM(Y221,Y222)</f>
        <v>0</v>
      </c>
      <c r="Z220" s="8" t="n">
        <f aca="false">SUM(Z221,Z222)</f>
        <v>0</v>
      </c>
      <c r="AA220" s="8" t="n">
        <f aca="false">SUM(AA221,AA222)</f>
        <v>23.5</v>
      </c>
      <c r="AB220" s="8" t="n">
        <f aca="false">SUM(AB221,AB222)</f>
        <v>55</v>
      </c>
      <c r="AC220" s="8" t="n">
        <f aca="false">SUM(AC221,AC222)</f>
        <v>44</v>
      </c>
      <c r="AD220" s="8" t="n">
        <f aca="false">SUM(AD221,AD222)</f>
        <v>12</v>
      </c>
      <c r="AE220" s="8" t="n">
        <f aca="false">SUM(AE221,AE222)</f>
        <v>0</v>
      </c>
      <c r="AF220" s="8" t="n">
        <f aca="false">SUM(AF221,AF222)</f>
        <v>0</v>
      </c>
      <c r="AG220" s="8" t="n">
        <f aca="false">SUM(AG221,AG222)</f>
        <v>0</v>
      </c>
      <c r="AH220" s="8" t="n">
        <f aca="false">SUM(AH221,AH222)</f>
        <v>0</v>
      </c>
      <c r="AI220" s="8" t="n">
        <f aca="false">SUM(AI221,AI222)</f>
        <v>0</v>
      </c>
      <c r="AJ220" s="8" t="n">
        <f aca="false">SUM(AJ221,AJ222)</f>
        <v>0</v>
      </c>
      <c r="AK220" s="8" t="n">
        <f aca="false">SUM(AK221,AK222)</f>
        <v>0</v>
      </c>
      <c r="AL220" s="8" t="n">
        <f aca="false">SUM(AL221,AL222)</f>
        <v>0</v>
      </c>
      <c r="AM220" s="8" t="n">
        <f aca="false">SUM(AM221,AM222)</f>
        <v>0</v>
      </c>
      <c r="AN220" s="8" t="n">
        <f aca="false">SUM(AN221,AN222)</f>
        <v>0</v>
      </c>
      <c r="AO220" s="8" t="n">
        <f aca="false">SUM(AO221,AO222)</f>
        <v>0</v>
      </c>
      <c r="AP220" s="8" t="n">
        <f aca="false">SUM(AP221,AP222)</f>
        <v>0</v>
      </c>
      <c r="AQ220" s="8" t="n">
        <f aca="false">SUM(AQ221,AQ222)</f>
        <v>0</v>
      </c>
      <c r="AR220" s="8" t="n">
        <f aca="false">SUM(AR221,AR222)</f>
        <v>0</v>
      </c>
      <c r="AS220" s="8" t="n">
        <f aca="false">SUM(AS221,AS222)</f>
        <v>0</v>
      </c>
    </row>
    <row r="221" customFormat="false" ht="15" hidden="true" customHeight="true" outlineLevel="1" collapsed="false">
      <c r="A221" s="1" t="s">
        <v>12</v>
      </c>
      <c r="B221" s="1" t="s">
        <v>14</v>
      </c>
      <c r="C221" s="1" t="s">
        <v>153</v>
      </c>
      <c r="D221" s="1" t="s">
        <v>141</v>
      </c>
      <c r="E221" s="1" t="s">
        <v>99</v>
      </c>
      <c r="F221" s="10" t="n">
        <v>0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55</v>
      </c>
      <c r="AC221" s="10" t="n">
        <v>24</v>
      </c>
      <c r="AD221" s="10" t="n">
        <v>5</v>
      </c>
      <c r="AE221" s="10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</row>
    <row r="222" customFormat="false" ht="15" hidden="true" customHeight="true" outlineLevel="1" collapsed="false">
      <c r="A222" s="1" t="s">
        <v>12</v>
      </c>
      <c r="B222" s="1" t="s">
        <v>14</v>
      </c>
      <c r="C222" s="1" t="s">
        <v>153</v>
      </c>
      <c r="D222" s="1" t="s">
        <v>141</v>
      </c>
      <c r="E222" s="1" t="s">
        <v>43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23.5</v>
      </c>
      <c r="AB222" s="10" t="n">
        <v>0</v>
      </c>
      <c r="AC222" s="10" t="n">
        <v>20</v>
      </c>
      <c r="AD222" s="10" t="n">
        <v>7</v>
      </c>
      <c r="AE222" s="10" t="n">
        <v>0</v>
      </c>
      <c r="AF222" s="10" t="n">
        <v>0</v>
      </c>
      <c r="AG222" s="10" t="n">
        <v>0</v>
      </c>
      <c r="AH222" s="10" t="n">
        <v>0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</row>
    <row r="223" customFormat="false" ht="15" hidden="false" customHeight="true" outlineLevel="0" collapsed="false">
      <c r="A223" s="4" t="s">
        <v>12</v>
      </c>
      <c r="B223" s="4" t="s">
        <v>14</v>
      </c>
      <c r="C223" s="4" t="s">
        <v>154</v>
      </c>
      <c r="D223" s="4" t="s">
        <v>76</v>
      </c>
      <c r="E223" s="4" t="s">
        <v>77</v>
      </c>
      <c r="F223" s="8" t="n">
        <f aca="false">SUM(F224,F225)</f>
        <v>0</v>
      </c>
      <c r="G223" s="8" t="n">
        <f aca="false">SUM(G224,G225)</f>
        <v>0</v>
      </c>
      <c r="H223" s="8" t="n">
        <f aca="false">SUM(H224,H225)</f>
        <v>0</v>
      </c>
      <c r="I223" s="8" t="n">
        <f aca="false">SUM(I224,I225)</f>
        <v>0</v>
      </c>
      <c r="J223" s="8" t="n">
        <f aca="false">SUM(J224,J225)</f>
        <v>0</v>
      </c>
      <c r="K223" s="8" t="n">
        <f aca="false">SUM(K224,K225)</f>
        <v>0</v>
      </c>
      <c r="L223" s="8" t="n">
        <f aca="false">SUM(L224,L225)</f>
        <v>0</v>
      </c>
      <c r="M223" s="8" t="n">
        <f aca="false">SUM(M224,M225)</f>
        <v>0</v>
      </c>
      <c r="N223" s="8" t="n">
        <f aca="false">SUM(N224,N225)</f>
        <v>0</v>
      </c>
      <c r="O223" s="8" t="n">
        <f aca="false">SUM(O224,O225)</f>
        <v>0</v>
      </c>
      <c r="P223" s="8" t="n">
        <f aca="false">SUM(P224,P225)</f>
        <v>0</v>
      </c>
      <c r="Q223" s="8" t="n">
        <f aca="false">SUM(Q224,Q225)</f>
        <v>0</v>
      </c>
      <c r="R223" s="8" t="n">
        <f aca="false">SUM(R224,R225)</f>
        <v>0</v>
      </c>
      <c r="S223" s="8" t="n">
        <f aca="false">SUM(S224,S225)</f>
        <v>0</v>
      </c>
      <c r="T223" s="8" t="n">
        <f aca="false">SUM(T224,T225)</f>
        <v>0</v>
      </c>
      <c r="U223" s="8" t="n">
        <f aca="false">SUM(U224,U225)</f>
        <v>0</v>
      </c>
      <c r="V223" s="8" t="n">
        <f aca="false">SUM(V224,V225)</f>
        <v>0</v>
      </c>
      <c r="W223" s="8" t="n">
        <f aca="false">SUM(W224,W225)</f>
        <v>0</v>
      </c>
      <c r="X223" s="8" t="n">
        <f aca="false">SUM(X224,X225)</f>
        <v>0</v>
      </c>
      <c r="Y223" s="8" t="n">
        <f aca="false">SUM(Y224,Y225)</f>
        <v>0</v>
      </c>
      <c r="Z223" s="8" t="n">
        <f aca="false">SUM(Z224,Z225)</f>
        <v>0</v>
      </c>
      <c r="AA223" s="8" t="n">
        <f aca="false">SUM(AA224,AA225)</f>
        <v>0</v>
      </c>
      <c r="AB223" s="8" t="n">
        <f aca="false">SUM(AB224,AB225)</f>
        <v>55</v>
      </c>
      <c r="AC223" s="8" t="n">
        <f aca="false">SUM(AC224,AC225)</f>
        <v>55</v>
      </c>
      <c r="AD223" s="8" t="n">
        <f aca="false">SUM(AD224,AD225)</f>
        <v>8</v>
      </c>
      <c r="AE223" s="8" t="n">
        <f aca="false">SUM(AE224,AE225)</f>
        <v>0</v>
      </c>
      <c r="AF223" s="8" t="n">
        <f aca="false">SUM(AF224,AF225)</f>
        <v>0</v>
      </c>
      <c r="AG223" s="8" t="n">
        <f aca="false">SUM(AG224,AG225)</f>
        <v>0</v>
      </c>
      <c r="AH223" s="8" t="n">
        <f aca="false">SUM(AH224,AH225)</f>
        <v>0</v>
      </c>
      <c r="AI223" s="8" t="n">
        <f aca="false">SUM(AI224,AI225)</f>
        <v>0</v>
      </c>
      <c r="AJ223" s="8" t="n">
        <f aca="false">SUM(AJ224,AJ225)</f>
        <v>0</v>
      </c>
      <c r="AK223" s="8" t="n">
        <f aca="false">SUM(AK224,AK225)</f>
        <v>0</v>
      </c>
      <c r="AL223" s="8" t="n">
        <f aca="false">SUM(AL224,AL225)</f>
        <v>0</v>
      </c>
      <c r="AM223" s="8" t="n">
        <f aca="false">SUM(AM224,AM225)</f>
        <v>0</v>
      </c>
      <c r="AN223" s="8" t="n">
        <f aca="false">SUM(AN224,AN225)</f>
        <v>0</v>
      </c>
      <c r="AO223" s="8" t="n">
        <f aca="false">SUM(AO224,AO225)</f>
        <v>0</v>
      </c>
      <c r="AP223" s="8" t="n">
        <f aca="false">SUM(AP224,AP225)</f>
        <v>0</v>
      </c>
      <c r="AQ223" s="8" t="n">
        <f aca="false">SUM(AQ224,AQ225)</f>
        <v>0</v>
      </c>
      <c r="AR223" s="8" t="n">
        <f aca="false">SUM(AR224,AR225)</f>
        <v>0</v>
      </c>
      <c r="AS223" s="8" t="n">
        <f aca="false">SUM(AS224,AS225)</f>
        <v>0</v>
      </c>
    </row>
    <row r="224" customFormat="false" ht="15" hidden="true" customHeight="true" outlineLevel="1" collapsed="false">
      <c r="A224" s="1" t="s">
        <v>12</v>
      </c>
      <c r="B224" s="1" t="s">
        <v>14</v>
      </c>
      <c r="C224" s="1" t="s">
        <v>154</v>
      </c>
      <c r="D224" s="1" t="s">
        <v>141</v>
      </c>
      <c r="E224" s="1" t="s">
        <v>99</v>
      </c>
      <c r="F224" s="10" t="n">
        <v>0</v>
      </c>
      <c r="G224" s="10" t="n">
        <v>0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41.9</v>
      </c>
      <c r="AC224" s="10" t="n">
        <v>55</v>
      </c>
      <c r="AD224" s="10" t="n">
        <v>0</v>
      </c>
      <c r="AE224" s="10" t="n">
        <v>0</v>
      </c>
      <c r="AF224" s="10" t="n">
        <v>0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0" t="n">
        <v>0</v>
      </c>
      <c r="AL224" s="10" t="n">
        <v>0</v>
      </c>
      <c r="AM224" s="10" t="n">
        <v>0</v>
      </c>
      <c r="AN224" s="10" t="n">
        <v>0</v>
      </c>
      <c r="AO224" s="10" t="n">
        <v>0</v>
      </c>
      <c r="AP224" s="10" t="n">
        <v>0</v>
      </c>
      <c r="AQ224" s="10" t="n">
        <v>0</v>
      </c>
      <c r="AR224" s="10" t="n">
        <v>0</v>
      </c>
      <c r="AS224" s="10" t="n">
        <v>0</v>
      </c>
    </row>
    <row r="225" customFormat="false" ht="15" hidden="true" customHeight="true" outlineLevel="1" collapsed="false">
      <c r="A225" s="1" t="s">
        <v>12</v>
      </c>
      <c r="B225" s="1" t="s">
        <v>14</v>
      </c>
      <c r="C225" s="1" t="s">
        <v>154</v>
      </c>
      <c r="D225" s="1" t="s">
        <v>141</v>
      </c>
      <c r="E225" s="1" t="s">
        <v>43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13.1</v>
      </c>
      <c r="AC225" s="10" t="n">
        <v>0</v>
      </c>
      <c r="AD225" s="10" t="n">
        <v>8</v>
      </c>
      <c r="AE225" s="10" t="n">
        <v>0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10" t="n">
        <v>0</v>
      </c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</row>
    <row r="226" customFormat="false" ht="15" hidden="false" customHeight="true" outlineLevel="0" collapsed="false">
      <c r="A226" s="4" t="s">
        <v>12</v>
      </c>
      <c r="B226" s="4" t="s">
        <v>14</v>
      </c>
      <c r="C226" s="4" t="s">
        <v>155</v>
      </c>
      <c r="D226" s="4" t="s">
        <v>76</v>
      </c>
      <c r="E226" s="4" t="s">
        <v>77</v>
      </c>
      <c r="F226" s="8" t="n">
        <f aca="false">SUM(F227,F228)</f>
        <v>0</v>
      </c>
      <c r="G226" s="8" t="n">
        <f aca="false">SUM(G227,G228)</f>
        <v>0</v>
      </c>
      <c r="H226" s="8" t="n">
        <f aca="false">SUM(H227,H228)</f>
        <v>0</v>
      </c>
      <c r="I226" s="8" t="n">
        <f aca="false">SUM(I227,I228)</f>
        <v>0</v>
      </c>
      <c r="J226" s="8" t="n">
        <f aca="false">SUM(J227,J228)</f>
        <v>0</v>
      </c>
      <c r="K226" s="8" t="n">
        <f aca="false">SUM(K227,K228)</f>
        <v>0</v>
      </c>
      <c r="L226" s="8" t="n">
        <f aca="false">SUM(L227,L228)</f>
        <v>0</v>
      </c>
      <c r="M226" s="8" t="n">
        <f aca="false">SUM(M227,M228)</f>
        <v>0</v>
      </c>
      <c r="N226" s="8" t="n">
        <f aca="false">SUM(N227,N228)</f>
        <v>0</v>
      </c>
      <c r="O226" s="8" t="n">
        <f aca="false">SUM(O227,O228)</f>
        <v>0</v>
      </c>
      <c r="P226" s="8" t="n">
        <f aca="false">SUM(P227,P228)</f>
        <v>0</v>
      </c>
      <c r="Q226" s="8" t="n">
        <f aca="false">SUM(Q227,Q228)</f>
        <v>0</v>
      </c>
      <c r="R226" s="8" t="n">
        <f aca="false">SUM(R227,R228)</f>
        <v>0</v>
      </c>
      <c r="S226" s="8" t="n">
        <f aca="false">SUM(S227,S228)</f>
        <v>0</v>
      </c>
      <c r="T226" s="8" t="n">
        <f aca="false">SUM(T227,T228)</f>
        <v>0</v>
      </c>
      <c r="U226" s="8" t="n">
        <f aca="false">SUM(U227,U228)</f>
        <v>0</v>
      </c>
      <c r="V226" s="8" t="n">
        <f aca="false">SUM(V227,V228)</f>
        <v>0</v>
      </c>
      <c r="W226" s="8" t="n">
        <f aca="false">SUM(W227,W228)</f>
        <v>0</v>
      </c>
      <c r="X226" s="8" t="n">
        <f aca="false">SUM(X227,X228)</f>
        <v>0</v>
      </c>
      <c r="Y226" s="8" t="n">
        <f aca="false">SUM(Y227,Y228)</f>
        <v>0</v>
      </c>
      <c r="Z226" s="8" t="n">
        <f aca="false">SUM(Z227,Z228)</f>
        <v>0</v>
      </c>
      <c r="AA226" s="8" t="n">
        <f aca="false">SUM(AA227,AA228)</f>
        <v>0</v>
      </c>
      <c r="AB226" s="8" t="n">
        <f aca="false">SUM(AB227,AB228)</f>
        <v>55</v>
      </c>
      <c r="AC226" s="8" t="n">
        <f aca="false">SUM(AC227,AC228)</f>
        <v>51</v>
      </c>
      <c r="AD226" s="8" t="n">
        <f aca="false">SUM(AD227,AD228)</f>
        <v>20</v>
      </c>
      <c r="AE226" s="8" t="n">
        <f aca="false">SUM(AE227,AE228)</f>
        <v>0</v>
      </c>
      <c r="AF226" s="8" t="n">
        <f aca="false">SUM(AF227,AF228)</f>
        <v>0</v>
      </c>
      <c r="AG226" s="8" t="n">
        <f aca="false">SUM(AG227,AG228)</f>
        <v>0</v>
      </c>
      <c r="AH226" s="8" t="n">
        <f aca="false">SUM(AH227,AH228)</f>
        <v>0</v>
      </c>
      <c r="AI226" s="8" t="n">
        <f aca="false">SUM(AI227,AI228)</f>
        <v>0</v>
      </c>
      <c r="AJ226" s="8" t="n">
        <f aca="false">SUM(AJ227,AJ228)</f>
        <v>0</v>
      </c>
      <c r="AK226" s="8" t="n">
        <f aca="false">SUM(AK227,AK228)</f>
        <v>0</v>
      </c>
      <c r="AL226" s="8" t="n">
        <f aca="false">SUM(AL227,AL228)</f>
        <v>0</v>
      </c>
      <c r="AM226" s="8" t="n">
        <f aca="false">SUM(AM227,AM228)</f>
        <v>0</v>
      </c>
      <c r="AN226" s="8" t="n">
        <f aca="false">SUM(AN227,AN228)</f>
        <v>0</v>
      </c>
      <c r="AO226" s="8" t="n">
        <f aca="false">SUM(AO227,AO228)</f>
        <v>0</v>
      </c>
      <c r="AP226" s="8" t="n">
        <f aca="false">SUM(AP227,AP228)</f>
        <v>0</v>
      </c>
      <c r="AQ226" s="8" t="n">
        <f aca="false">SUM(AQ227,AQ228)</f>
        <v>0</v>
      </c>
      <c r="AR226" s="8" t="n">
        <f aca="false">SUM(AR227,AR228)</f>
        <v>0</v>
      </c>
      <c r="AS226" s="8" t="n">
        <f aca="false">SUM(AS227,AS228)</f>
        <v>0</v>
      </c>
    </row>
    <row r="227" customFormat="false" ht="15" hidden="true" customHeight="true" outlineLevel="1" collapsed="false">
      <c r="A227" s="1" t="s">
        <v>12</v>
      </c>
      <c r="B227" s="1" t="s">
        <v>14</v>
      </c>
      <c r="C227" s="1" t="s">
        <v>155</v>
      </c>
      <c r="D227" s="1" t="s">
        <v>141</v>
      </c>
      <c r="E227" s="1" t="s">
        <v>43</v>
      </c>
      <c r="F227" s="10" t="n">
        <v>0</v>
      </c>
      <c r="G227" s="10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0</v>
      </c>
      <c r="Y227" s="10" t="n">
        <v>0</v>
      </c>
      <c r="Z227" s="10" t="n">
        <v>0</v>
      </c>
      <c r="AA227" s="10" t="n">
        <v>0</v>
      </c>
      <c r="AB227" s="10" t="n">
        <v>32.9</v>
      </c>
      <c r="AC227" s="10" t="n">
        <v>51</v>
      </c>
      <c r="AD227" s="10" t="n">
        <v>20</v>
      </c>
      <c r="AE227" s="10" t="n">
        <v>0</v>
      </c>
      <c r="AF227" s="10" t="n">
        <v>0</v>
      </c>
      <c r="AG227" s="10" t="n">
        <v>0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n">
        <v>0</v>
      </c>
      <c r="AN227" s="10" t="n">
        <v>0</v>
      </c>
      <c r="AO227" s="10" t="n">
        <v>0</v>
      </c>
      <c r="AP227" s="10" t="n">
        <v>0</v>
      </c>
      <c r="AQ227" s="10" t="n">
        <v>0</v>
      </c>
      <c r="AR227" s="10" t="n">
        <v>0</v>
      </c>
      <c r="AS227" s="10" t="n">
        <v>0</v>
      </c>
    </row>
    <row r="228" customFormat="false" ht="15" hidden="true" customHeight="true" outlineLevel="1" collapsed="false">
      <c r="A228" s="1" t="s">
        <v>12</v>
      </c>
      <c r="B228" s="1" t="s">
        <v>14</v>
      </c>
      <c r="C228" s="1" t="s">
        <v>155</v>
      </c>
      <c r="D228" s="1" t="s">
        <v>141</v>
      </c>
      <c r="E228" s="1" t="s">
        <v>100</v>
      </c>
      <c r="F228" s="10" t="n">
        <v>0</v>
      </c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0</v>
      </c>
      <c r="V228" s="10" t="n">
        <v>0</v>
      </c>
      <c r="W228" s="10" t="n">
        <v>0</v>
      </c>
      <c r="X228" s="10" t="n">
        <v>0</v>
      </c>
      <c r="Y228" s="10" t="n">
        <v>0</v>
      </c>
      <c r="Z228" s="10" t="n">
        <v>0</v>
      </c>
      <c r="AA228" s="10" t="n">
        <v>0</v>
      </c>
      <c r="AB228" s="10" t="n">
        <v>22.1</v>
      </c>
      <c r="AC228" s="10" t="n">
        <v>0</v>
      </c>
      <c r="AD228" s="10" t="n">
        <v>0</v>
      </c>
      <c r="AE228" s="10" t="n">
        <v>0</v>
      </c>
      <c r="AF228" s="10" t="n">
        <v>0</v>
      </c>
      <c r="AG228" s="10" t="n">
        <v>0</v>
      </c>
      <c r="AH228" s="10" t="n">
        <v>0</v>
      </c>
      <c r="AI228" s="10" t="n">
        <v>0</v>
      </c>
      <c r="AJ228" s="10" t="n">
        <v>0</v>
      </c>
      <c r="AK228" s="10" t="n">
        <v>0</v>
      </c>
      <c r="AL228" s="10" t="n">
        <v>0</v>
      </c>
      <c r="AM228" s="10" t="n">
        <v>0</v>
      </c>
      <c r="AN228" s="10" t="n">
        <v>0</v>
      </c>
      <c r="AO228" s="10" t="n">
        <v>0</v>
      </c>
      <c r="AP228" s="10" t="n">
        <v>0</v>
      </c>
      <c r="AQ228" s="10" t="n">
        <v>0</v>
      </c>
      <c r="AR228" s="10" t="n">
        <v>0</v>
      </c>
      <c r="AS228" s="10" t="n">
        <v>0</v>
      </c>
    </row>
    <row r="229" customFormat="false" ht="15" hidden="false" customHeight="true" outlineLevel="0" collapsed="false">
      <c r="A229" s="4" t="s">
        <v>12</v>
      </c>
      <c r="B229" s="4" t="s">
        <v>14</v>
      </c>
      <c r="C229" s="4" t="s">
        <v>156</v>
      </c>
      <c r="D229" s="4" t="s">
        <v>76</v>
      </c>
      <c r="E229" s="4" t="s">
        <v>77</v>
      </c>
      <c r="F229" s="8" t="n">
        <f aca="false">SUM(F230,F231)</f>
        <v>0</v>
      </c>
      <c r="G229" s="8" t="n">
        <f aca="false">SUM(G230,G231)</f>
        <v>0</v>
      </c>
      <c r="H229" s="8" t="n">
        <f aca="false">SUM(H230,H231)</f>
        <v>0</v>
      </c>
      <c r="I229" s="8" t="n">
        <f aca="false">SUM(I230,I231)</f>
        <v>0</v>
      </c>
      <c r="J229" s="8" t="n">
        <f aca="false">SUM(J230,J231)</f>
        <v>0</v>
      </c>
      <c r="K229" s="8" t="n">
        <f aca="false">SUM(K230,K231)</f>
        <v>0</v>
      </c>
      <c r="L229" s="8" t="n">
        <f aca="false">SUM(L230,L231)</f>
        <v>0</v>
      </c>
      <c r="M229" s="8" t="n">
        <f aca="false">SUM(M230,M231)</f>
        <v>0</v>
      </c>
      <c r="N229" s="8" t="n">
        <f aca="false">SUM(N230,N231)</f>
        <v>0</v>
      </c>
      <c r="O229" s="8" t="n">
        <f aca="false">SUM(O230,O231)</f>
        <v>0</v>
      </c>
      <c r="P229" s="8" t="n">
        <f aca="false">SUM(P230,P231)</f>
        <v>0</v>
      </c>
      <c r="Q229" s="8" t="n">
        <f aca="false">SUM(Q230,Q231)</f>
        <v>0</v>
      </c>
      <c r="R229" s="8" t="n">
        <f aca="false">SUM(R230,R231)</f>
        <v>0</v>
      </c>
      <c r="S229" s="8" t="n">
        <f aca="false">SUM(S230,S231)</f>
        <v>0</v>
      </c>
      <c r="T229" s="8" t="n">
        <f aca="false">SUM(T230,T231)</f>
        <v>0</v>
      </c>
      <c r="U229" s="8" t="n">
        <f aca="false">SUM(U230,U231)</f>
        <v>0</v>
      </c>
      <c r="V229" s="8" t="n">
        <f aca="false">SUM(V230,V231)</f>
        <v>0</v>
      </c>
      <c r="W229" s="8" t="n">
        <f aca="false">SUM(W230,W231)</f>
        <v>0</v>
      </c>
      <c r="X229" s="8" t="n">
        <f aca="false">SUM(X230,X231)</f>
        <v>0</v>
      </c>
      <c r="Y229" s="8" t="n">
        <f aca="false">SUM(Y230,Y231)</f>
        <v>0</v>
      </c>
      <c r="Z229" s="8" t="n">
        <f aca="false">SUM(Z230,Z231)</f>
        <v>0</v>
      </c>
      <c r="AA229" s="8" t="n">
        <f aca="false">SUM(AA230,AA231)</f>
        <v>0</v>
      </c>
      <c r="AB229" s="8" t="n">
        <f aca="false">SUM(AB230,AB231)</f>
        <v>55</v>
      </c>
      <c r="AC229" s="8" t="n">
        <f aca="false">SUM(AC230,AC231)</f>
        <v>40</v>
      </c>
      <c r="AD229" s="8" t="n">
        <f aca="false">SUM(AD230,AD231)</f>
        <v>12</v>
      </c>
      <c r="AE229" s="8" t="n">
        <f aca="false">SUM(AE230,AE231)</f>
        <v>0</v>
      </c>
      <c r="AF229" s="8" t="n">
        <f aca="false">SUM(AF230,AF231)</f>
        <v>0</v>
      </c>
      <c r="AG229" s="8" t="n">
        <f aca="false">SUM(AG230,AG231)</f>
        <v>0</v>
      </c>
      <c r="AH229" s="8" t="n">
        <f aca="false">SUM(AH230,AH231)</f>
        <v>0</v>
      </c>
      <c r="AI229" s="8" t="n">
        <f aca="false">SUM(AI230,AI231)</f>
        <v>0</v>
      </c>
      <c r="AJ229" s="8" t="n">
        <f aca="false">SUM(AJ230,AJ231)</f>
        <v>0</v>
      </c>
      <c r="AK229" s="8" t="n">
        <f aca="false">SUM(AK230,AK231)</f>
        <v>0</v>
      </c>
      <c r="AL229" s="8" t="n">
        <f aca="false">SUM(AL230,AL231)</f>
        <v>0</v>
      </c>
      <c r="AM229" s="8" t="n">
        <f aca="false">SUM(AM230,AM231)</f>
        <v>0</v>
      </c>
      <c r="AN229" s="8" t="n">
        <f aca="false">SUM(AN230,AN231)</f>
        <v>0</v>
      </c>
      <c r="AO229" s="8" t="n">
        <f aca="false">SUM(AO230,AO231)</f>
        <v>0</v>
      </c>
      <c r="AP229" s="8" t="n">
        <f aca="false">SUM(AP230,AP231)</f>
        <v>0</v>
      </c>
      <c r="AQ229" s="8" t="n">
        <f aca="false">SUM(AQ230,AQ231)</f>
        <v>0</v>
      </c>
      <c r="AR229" s="8" t="n">
        <f aca="false">SUM(AR230,AR231)</f>
        <v>0</v>
      </c>
      <c r="AS229" s="8" t="n">
        <f aca="false">SUM(AS230,AS231)</f>
        <v>0</v>
      </c>
    </row>
    <row r="230" customFormat="false" ht="15" hidden="true" customHeight="true" outlineLevel="1" collapsed="false">
      <c r="A230" s="1" t="s">
        <v>12</v>
      </c>
      <c r="B230" s="1" t="s">
        <v>14</v>
      </c>
      <c r="C230" s="1" t="s">
        <v>156</v>
      </c>
      <c r="D230" s="1" t="s">
        <v>141</v>
      </c>
      <c r="E230" s="1" t="s">
        <v>100</v>
      </c>
      <c r="F230" s="10" t="n">
        <v>0</v>
      </c>
      <c r="G230" s="10" t="n">
        <v>0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0</v>
      </c>
      <c r="AB230" s="10" t="n">
        <v>22.9</v>
      </c>
      <c r="AC230" s="10" t="n">
        <v>40</v>
      </c>
      <c r="AD230" s="10" t="n">
        <v>12</v>
      </c>
      <c r="AE230" s="10" t="n">
        <v>0</v>
      </c>
      <c r="AF230" s="10" t="n">
        <v>0</v>
      </c>
      <c r="AG230" s="10" t="n">
        <v>0</v>
      </c>
      <c r="AH230" s="10" t="n">
        <v>0</v>
      </c>
      <c r="AI230" s="10" t="n">
        <v>0</v>
      </c>
      <c r="AJ230" s="10" t="n">
        <v>0</v>
      </c>
      <c r="AK230" s="10" t="n">
        <v>0</v>
      </c>
      <c r="AL230" s="10" t="n">
        <v>0</v>
      </c>
      <c r="AM230" s="10" t="n">
        <v>0</v>
      </c>
      <c r="AN230" s="10" t="n">
        <v>0</v>
      </c>
      <c r="AO230" s="10" t="n">
        <v>0</v>
      </c>
      <c r="AP230" s="10" t="n">
        <v>0</v>
      </c>
      <c r="AQ230" s="10" t="n">
        <v>0</v>
      </c>
      <c r="AR230" s="10" t="n">
        <v>0</v>
      </c>
      <c r="AS230" s="10" t="n">
        <v>0</v>
      </c>
    </row>
    <row r="231" customFormat="false" ht="15" hidden="true" customHeight="true" outlineLevel="1" collapsed="false">
      <c r="A231" s="1" t="s">
        <v>12</v>
      </c>
      <c r="B231" s="1" t="s">
        <v>14</v>
      </c>
      <c r="C231" s="1" t="s">
        <v>156</v>
      </c>
      <c r="D231" s="1" t="s">
        <v>141</v>
      </c>
      <c r="E231" s="1" t="s">
        <v>105</v>
      </c>
      <c r="F231" s="10" t="n">
        <v>0</v>
      </c>
      <c r="G231" s="10" t="n">
        <v>0</v>
      </c>
      <c r="H231" s="10" t="n">
        <v>0</v>
      </c>
      <c r="I231" s="10" t="n">
        <v>0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0</v>
      </c>
      <c r="S231" s="10" t="n">
        <v>0</v>
      </c>
      <c r="T231" s="10" t="n">
        <v>0</v>
      </c>
      <c r="U231" s="10" t="n">
        <v>0</v>
      </c>
      <c r="V231" s="10" t="n">
        <v>0</v>
      </c>
      <c r="W231" s="10" t="n">
        <v>0</v>
      </c>
      <c r="X231" s="10" t="n">
        <v>0</v>
      </c>
      <c r="Y231" s="10" t="n">
        <v>0</v>
      </c>
      <c r="Z231" s="10" t="n">
        <v>0</v>
      </c>
      <c r="AA231" s="10" t="n">
        <v>0</v>
      </c>
      <c r="AB231" s="10" t="n">
        <v>32.1</v>
      </c>
      <c r="AC231" s="10" t="n">
        <v>0</v>
      </c>
      <c r="AD231" s="10" t="n">
        <v>0</v>
      </c>
      <c r="AE231" s="10" t="n">
        <v>0</v>
      </c>
      <c r="AF231" s="10" t="n">
        <v>0</v>
      </c>
      <c r="AG231" s="10" t="n">
        <v>0</v>
      </c>
      <c r="AH231" s="10" t="n">
        <v>0</v>
      </c>
      <c r="AI231" s="10" t="n">
        <v>0</v>
      </c>
      <c r="AJ231" s="10" t="n">
        <v>0</v>
      </c>
      <c r="AK231" s="10" t="n">
        <v>0</v>
      </c>
      <c r="AL231" s="10" t="n">
        <v>0</v>
      </c>
      <c r="AM231" s="10" t="n">
        <v>0</v>
      </c>
      <c r="AN231" s="10" t="n">
        <v>0</v>
      </c>
      <c r="AO231" s="10" t="n">
        <v>0</v>
      </c>
      <c r="AP231" s="10" t="n">
        <v>0</v>
      </c>
      <c r="AQ231" s="10" t="n">
        <v>0</v>
      </c>
      <c r="AR231" s="10" t="n">
        <v>0</v>
      </c>
      <c r="AS231" s="10" t="n">
        <v>0</v>
      </c>
    </row>
    <row r="232" customFormat="false" ht="15" hidden="false" customHeight="true" outlineLevel="0" collapsed="false">
      <c r="A232" s="4" t="s">
        <v>12</v>
      </c>
      <c r="B232" s="4" t="s">
        <v>14</v>
      </c>
      <c r="C232" s="4" t="s">
        <v>157</v>
      </c>
      <c r="D232" s="4" t="s">
        <v>76</v>
      </c>
      <c r="E232" s="4" t="s">
        <v>77</v>
      </c>
      <c r="F232" s="8" t="n">
        <f aca="false">SUM(F233)</f>
        <v>0</v>
      </c>
      <c r="G232" s="8" t="n">
        <f aca="false">SUM(G233)</f>
        <v>0</v>
      </c>
      <c r="H232" s="8" t="n">
        <f aca="false">SUM(H233)</f>
        <v>0</v>
      </c>
      <c r="I232" s="8" t="n">
        <f aca="false">SUM(I233)</f>
        <v>0</v>
      </c>
      <c r="J232" s="8" t="n">
        <f aca="false">SUM(J233)</f>
        <v>0</v>
      </c>
      <c r="K232" s="8" t="n">
        <f aca="false">SUM(K233)</f>
        <v>0</v>
      </c>
      <c r="L232" s="8" t="n">
        <f aca="false">SUM(L233)</f>
        <v>0</v>
      </c>
      <c r="M232" s="8" t="n">
        <f aca="false">SUM(M233)</f>
        <v>0</v>
      </c>
      <c r="N232" s="8" t="n">
        <f aca="false">SUM(N233)</f>
        <v>0</v>
      </c>
      <c r="O232" s="8" t="n">
        <f aca="false">SUM(O233)</f>
        <v>0</v>
      </c>
      <c r="P232" s="8" t="n">
        <f aca="false">SUM(P233)</f>
        <v>0</v>
      </c>
      <c r="Q232" s="8" t="n">
        <f aca="false">SUM(Q233)</f>
        <v>0</v>
      </c>
      <c r="R232" s="8" t="n">
        <f aca="false">SUM(R233)</f>
        <v>0</v>
      </c>
      <c r="S232" s="8" t="n">
        <f aca="false">SUM(S233)</f>
        <v>0</v>
      </c>
      <c r="T232" s="8" t="n">
        <f aca="false">SUM(T233)</f>
        <v>0</v>
      </c>
      <c r="U232" s="8" t="n">
        <f aca="false">SUM(U233)</f>
        <v>0</v>
      </c>
      <c r="V232" s="8" t="n">
        <f aca="false">SUM(V233)</f>
        <v>0</v>
      </c>
      <c r="W232" s="8" t="n">
        <f aca="false">SUM(W233)</f>
        <v>0</v>
      </c>
      <c r="X232" s="8" t="n">
        <f aca="false">SUM(X233)</f>
        <v>0</v>
      </c>
      <c r="Y232" s="8" t="n">
        <f aca="false">SUM(Y233)</f>
        <v>0</v>
      </c>
      <c r="Z232" s="8" t="n">
        <f aca="false">SUM(Z233)</f>
        <v>0</v>
      </c>
      <c r="AA232" s="8" t="n">
        <f aca="false">SUM(AA233)</f>
        <v>0</v>
      </c>
      <c r="AB232" s="8" t="n">
        <f aca="false">SUM(AB233)</f>
        <v>7.9</v>
      </c>
      <c r="AC232" s="8" t="n">
        <f aca="false">SUM(AC233)</f>
        <v>40</v>
      </c>
      <c r="AD232" s="8" t="n">
        <f aca="false">SUM(AD233)</f>
        <v>29.5</v>
      </c>
      <c r="AE232" s="8" t="n">
        <f aca="false">SUM(AE233)</f>
        <v>0</v>
      </c>
      <c r="AF232" s="8" t="n">
        <f aca="false">SUM(AF233)</f>
        <v>0</v>
      </c>
      <c r="AG232" s="8" t="n">
        <f aca="false">SUM(AG233)</f>
        <v>0</v>
      </c>
      <c r="AH232" s="8" t="n">
        <f aca="false">SUM(AH233)</f>
        <v>0</v>
      </c>
      <c r="AI232" s="8" t="n">
        <f aca="false">SUM(AI233)</f>
        <v>0</v>
      </c>
      <c r="AJ232" s="8" t="n">
        <f aca="false">SUM(AJ233)</f>
        <v>0</v>
      </c>
      <c r="AK232" s="8" t="n">
        <f aca="false">SUM(AK233)</f>
        <v>0</v>
      </c>
      <c r="AL232" s="8" t="n">
        <f aca="false">SUM(AL233)</f>
        <v>0</v>
      </c>
      <c r="AM232" s="8" t="n">
        <f aca="false">SUM(AM233)</f>
        <v>0</v>
      </c>
      <c r="AN232" s="8" t="n">
        <f aca="false">SUM(AN233)</f>
        <v>0</v>
      </c>
      <c r="AO232" s="8" t="n">
        <f aca="false">SUM(AO233)</f>
        <v>0</v>
      </c>
      <c r="AP232" s="8" t="n">
        <f aca="false">SUM(AP233)</f>
        <v>0</v>
      </c>
      <c r="AQ232" s="8" t="n">
        <f aca="false">SUM(AQ233)</f>
        <v>0</v>
      </c>
      <c r="AR232" s="8" t="n">
        <f aca="false">SUM(AR233)</f>
        <v>0</v>
      </c>
      <c r="AS232" s="8" t="n">
        <f aca="false">SUM(AS233)</f>
        <v>0</v>
      </c>
    </row>
    <row r="233" customFormat="false" ht="15" hidden="true" customHeight="true" outlineLevel="1" collapsed="false">
      <c r="A233" s="1" t="s">
        <v>12</v>
      </c>
      <c r="B233" s="1" t="s">
        <v>14</v>
      </c>
      <c r="C233" s="1" t="s">
        <v>157</v>
      </c>
      <c r="D233" s="1" t="s">
        <v>141</v>
      </c>
      <c r="E233" s="1" t="s">
        <v>105</v>
      </c>
      <c r="F233" s="10" t="n">
        <v>0</v>
      </c>
      <c r="G233" s="10" t="n">
        <v>0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  <c r="Q233" s="10" t="n">
        <v>0</v>
      </c>
      <c r="R233" s="10" t="n">
        <v>0</v>
      </c>
      <c r="S233" s="10" t="n">
        <v>0</v>
      </c>
      <c r="T233" s="10" t="n">
        <v>0</v>
      </c>
      <c r="U233" s="10" t="n">
        <v>0</v>
      </c>
      <c r="V233" s="10" t="n">
        <v>0</v>
      </c>
      <c r="W233" s="10" t="n">
        <v>0</v>
      </c>
      <c r="X233" s="10" t="n">
        <v>0</v>
      </c>
      <c r="Y233" s="10" t="n">
        <v>0</v>
      </c>
      <c r="Z233" s="10" t="n">
        <v>0</v>
      </c>
      <c r="AA233" s="10" t="n">
        <v>0</v>
      </c>
      <c r="AB233" s="10" t="n">
        <v>7.9</v>
      </c>
      <c r="AC233" s="10" t="n">
        <v>40</v>
      </c>
      <c r="AD233" s="10" t="n">
        <v>29.5</v>
      </c>
      <c r="AE233" s="10" t="n">
        <v>0</v>
      </c>
      <c r="AF233" s="10" t="n">
        <v>0</v>
      </c>
      <c r="AG233" s="10" t="n">
        <v>0</v>
      </c>
      <c r="AH233" s="10" t="n">
        <v>0</v>
      </c>
      <c r="AI233" s="10" t="n">
        <v>0</v>
      </c>
      <c r="AJ233" s="10" t="n">
        <v>0</v>
      </c>
      <c r="AK233" s="10" t="n">
        <v>0</v>
      </c>
      <c r="AL233" s="10" t="n">
        <v>0</v>
      </c>
      <c r="AM233" s="10" t="n">
        <v>0</v>
      </c>
      <c r="AN233" s="10" t="n">
        <v>0</v>
      </c>
      <c r="AO233" s="10" t="n">
        <v>0</v>
      </c>
      <c r="AP233" s="10" t="n">
        <v>0</v>
      </c>
      <c r="AQ233" s="10" t="n">
        <v>0</v>
      </c>
      <c r="AR233" s="10" t="n">
        <v>0</v>
      </c>
      <c r="AS233" s="10" t="n">
        <v>0</v>
      </c>
    </row>
    <row r="234" customFormat="false" ht="15" hidden="false" customHeight="true" outlineLevel="0" collapsed="false">
      <c r="A234" s="4" t="s">
        <v>12</v>
      </c>
      <c r="B234" s="4" t="s">
        <v>14</v>
      </c>
      <c r="C234" s="4" t="s">
        <v>17</v>
      </c>
      <c r="D234" s="4" t="s">
        <v>76</v>
      </c>
      <c r="E234" s="4" t="s">
        <v>77</v>
      </c>
      <c r="F234" s="8" t="n">
        <f aca="false">SUM(F235,F236,F237,F238,F239,F240,F241,F242,F243,F244,F245,F246,F247)</f>
        <v>37.230769</v>
      </c>
      <c r="G234" s="8" t="n">
        <f aca="false">SUM(G235,G236,G237,G238,G239,G240,G241,G242,G243,G244,G245,G246,G247)</f>
        <v>8</v>
      </c>
      <c r="H234" s="8" t="n">
        <f aca="false">SUM(H235,H236,H237,H238,H239,H240,H241,H242,H243,H244,H245,H246,H247)</f>
        <v>29</v>
      </c>
      <c r="I234" s="8" t="n">
        <f aca="false">SUM(I235,I236,I237,I238,I239,I240,I241,I242,I243,I244,I245,I246,I247)</f>
        <v>31</v>
      </c>
      <c r="J234" s="8" t="n">
        <f aca="false">SUM(J235,J236,J237,J238,J239,J240,J241,J242,J243,J244,J245,J246,J247)</f>
        <v>19</v>
      </c>
      <c r="K234" s="8" t="n">
        <f aca="false">SUM(K235,K236,K237,K238,K239,K240,K241,K242,K243,K244,K245,K246,K247)</f>
        <v>14.5</v>
      </c>
      <c r="L234" s="8" t="n">
        <f aca="false">SUM(L235,L236,L237,L238,L239,L240,L241,L242,L243,L244,L245,L246,L247)</f>
        <v>36.846154</v>
      </c>
      <c r="M234" s="8" t="n">
        <f aca="false">SUM(M235,M236,M237,M238,M239,M240,M241,M242,M243,M244,M245,M246,M247)</f>
        <v>40</v>
      </c>
      <c r="N234" s="8" t="n">
        <f aca="false">SUM(N235,N236,N237,N238,N239,N240,N241,N242,N243,N244,N245,N246,N247)</f>
        <v>40</v>
      </c>
      <c r="O234" s="8" t="n">
        <f aca="false">SUM(O235,O236,O237,O238,O239,O240,O241,O242,O243,O244,O245,O246,O247)</f>
        <v>26.884615</v>
      </c>
      <c r="P234" s="8" t="n">
        <f aca="false">SUM(P235,P236,P237,P238,P239,P240,P241,P242,P243,P244,P245,P246,P247)</f>
        <v>39.884615</v>
      </c>
      <c r="Q234" s="8" t="n">
        <f aca="false">SUM(Q235,Q236,Q237,Q238,Q239,Q240,Q241,Q242,Q243,Q244,Q245,Q246,Q247)</f>
        <v>36.5</v>
      </c>
      <c r="R234" s="8" t="n">
        <f aca="false">SUM(R235,R236,R237,R238,R239,R240,R241,R242,R243,R244,R245,R246,R247)</f>
        <v>9.5</v>
      </c>
      <c r="S234" s="8" t="n">
        <f aca="false">SUM(S235,S236,S237,S238,S239,S240,S241,S242,S243,S244,S245,S246,S247)</f>
        <v>12.5</v>
      </c>
      <c r="T234" s="8" t="n">
        <f aca="false">SUM(T235,T236,T237,T238,T239,T240,T241,T242,T243,T244,T245,T246,T247)</f>
        <v>25.884615</v>
      </c>
      <c r="U234" s="8" t="n">
        <f aca="false">SUM(U235,U236,U237,U238,U239,U240,U241,U242,U243,U244,U245,U246,U247)</f>
        <v>19.5</v>
      </c>
      <c r="V234" s="8" t="n">
        <f aca="false">SUM(V235,V236,V237,V238,V239,V240,V241,V242,V243,V244,V245,V246,V247)</f>
        <v>0</v>
      </c>
      <c r="W234" s="8" t="n">
        <f aca="false">SUM(W235,W236,W237,W238,W239,W240,W241,W242,W243,W244,W245,W246,W247)</f>
        <v>0</v>
      </c>
      <c r="X234" s="8" t="n">
        <f aca="false">SUM(X235,X236,X237,X238,X239,X240,X241,X242,X243,X244,X245,X246,X247)</f>
        <v>27.5</v>
      </c>
      <c r="Y234" s="8" t="n">
        <f aca="false">SUM(Y235,Y236,Y237,Y238,Y239,Y240,Y241,Y242,Y243,Y244,Y245,Y246,Y247)</f>
        <v>55</v>
      </c>
      <c r="Z234" s="8" t="n">
        <f aca="false">SUM(Z235,Z236,Z237,Z238,Z239,Z240,Z241,Z242,Z243,Z244,Z245,Z246,Z247)</f>
        <v>55</v>
      </c>
      <c r="AA234" s="8" t="n">
        <f aca="false">SUM(AA235,AA236,AA237,AA238,AA239,AA240,AA241,AA242,AA243,AA244,AA245,AA246,AA247)</f>
        <v>55</v>
      </c>
      <c r="AB234" s="8" t="n">
        <f aca="false">SUM(AB235,AB236,AB237,AB238,AB239,AB240,AB241,AB242,AB243,AB244,AB245,AB246,AB247)</f>
        <v>55</v>
      </c>
      <c r="AC234" s="8" t="n">
        <f aca="false">SUM(AC235,AC236,AC237,AC238,AC239,AC240,AC241,AC242,AC243,AC244,AC245,AC246,AC247)</f>
        <v>55</v>
      </c>
      <c r="AD234" s="8" t="n">
        <f aca="false">SUM(AD235,AD236,AD237,AD238,AD239,AD240,AD241,AD242,AD243,AD244,AD245,AD246,AD247)</f>
        <v>55</v>
      </c>
      <c r="AE234" s="8" t="n">
        <f aca="false">SUM(AE235,AE236,AE237,AE238,AE239,AE240,AE241,AE242,AE243,AE244,AE245,AE246,AE247)</f>
        <v>35.5</v>
      </c>
      <c r="AF234" s="8" t="n">
        <f aca="false">SUM(AF235,AF236,AF237,AF238,AF239,AF240,AF241,AF242,AF243,AF244,AF245,AF246,AF247)</f>
        <v>4.5</v>
      </c>
      <c r="AG234" s="8" t="n">
        <f aca="false">SUM(AG235,AG236,AG237,AG238,AG239,AG240,AG241,AG242,AG243,AG244,AG245,AG246,AG247)</f>
        <v>4.5</v>
      </c>
      <c r="AH234" s="8" t="n">
        <f aca="false">SUM(AH235,AH236,AH237,AH238,AH239,AH240,AH241,AH242,AH243,AH244,AH245,AH246,AH247)</f>
        <v>4.5</v>
      </c>
      <c r="AI234" s="8" t="n">
        <f aca="false">SUM(AI235,AI236,AI237,AI238,AI239,AI240,AI241,AI242,AI243,AI244,AI245,AI246,AI247)</f>
        <v>0</v>
      </c>
      <c r="AJ234" s="8" t="n">
        <f aca="false">SUM(AJ235,AJ236,AJ237,AJ238,AJ239,AJ240,AJ241,AJ242,AJ243,AJ244,AJ245,AJ246,AJ247)</f>
        <v>0</v>
      </c>
      <c r="AK234" s="8" t="n">
        <f aca="false">SUM(AK235,AK236,AK237,AK238,AK239,AK240,AK241,AK242,AK243,AK244,AK245,AK246,AK247)</f>
        <v>0</v>
      </c>
      <c r="AL234" s="8" t="n">
        <f aca="false">SUM(AL235,AL236,AL237,AL238,AL239,AL240,AL241,AL242,AL243,AL244,AL245,AL246,AL247)</f>
        <v>0</v>
      </c>
      <c r="AM234" s="8" t="n">
        <f aca="false">SUM(AM235,AM236,AM237,AM238,AM239,AM240,AM241,AM242,AM243,AM244,AM245,AM246,AM247)</f>
        <v>0</v>
      </c>
      <c r="AN234" s="8" t="n">
        <f aca="false">SUM(AN235,AN236,AN237,AN238,AN239,AN240,AN241,AN242,AN243,AN244,AN245,AN246,AN247)</f>
        <v>0</v>
      </c>
      <c r="AO234" s="8" t="n">
        <f aca="false">SUM(AO235,AO236,AO237,AO238,AO239,AO240,AO241,AO242,AO243,AO244,AO245,AO246,AO247)</f>
        <v>0</v>
      </c>
      <c r="AP234" s="8" t="n">
        <f aca="false">SUM(AP235,AP236,AP237,AP238,AP239,AP240,AP241,AP242,AP243,AP244,AP245,AP246,AP247)</f>
        <v>0</v>
      </c>
      <c r="AQ234" s="8" t="n">
        <f aca="false">SUM(AQ235,AQ236,AQ237,AQ238,AQ239,AQ240,AQ241,AQ242,AQ243,AQ244,AQ245,AQ246,AQ247)</f>
        <v>0</v>
      </c>
      <c r="AR234" s="8" t="n">
        <f aca="false">SUM(AR235,AR236,AR237,AR238,AR239,AR240,AR241,AR242,AR243,AR244,AR245,AR246,AR247)</f>
        <v>0</v>
      </c>
      <c r="AS234" s="8" t="n">
        <f aca="false">SUM(AS235,AS236,AS237,AS238,AS239,AS240,AS241,AS242,AS243,AS244,AS245,AS246,AS247)</f>
        <v>0</v>
      </c>
    </row>
    <row r="235" customFormat="false" ht="15" hidden="true" customHeight="true" outlineLevel="1" collapsed="false">
      <c r="A235" s="1" t="s">
        <v>12</v>
      </c>
      <c r="B235" s="1" t="s">
        <v>14</v>
      </c>
      <c r="C235" s="1" t="s">
        <v>17</v>
      </c>
      <c r="D235" s="1" t="s">
        <v>141</v>
      </c>
      <c r="E235" s="1" t="s">
        <v>121</v>
      </c>
      <c r="F235" s="10" t="n">
        <v>8</v>
      </c>
      <c r="G235" s="10" t="n">
        <v>0</v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0</v>
      </c>
      <c r="M235" s="10" t="n">
        <v>2</v>
      </c>
      <c r="N235" s="10" t="n">
        <v>3</v>
      </c>
      <c r="O235" s="10" t="n">
        <v>3</v>
      </c>
      <c r="P235" s="10" t="n">
        <v>3</v>
      </c>
      <c r="Q235" s="10" t="n">
        <v>3</v>
      </c>
      <c r="R235" s="10" t="n">
        <v>0</v>
      </c>
      <c r="S235" s="10" t="n">
        <v>3</v>
      </c>
      <c r="T235" s="10" t="n">
        <v>3</v>
      </c>
      <c r="U235" s="10" t="n">
        <v>3</v>
      </c>
      <c r="V235" s="10" t="n">
        <v>0</v>
      </c>
      <c r="W235" s="10" t="n">
        <v>0</v>
      </c>
      <c r="X235" s="10" t="n">
        <v>3</v>
      </c>
      <c r="Y235" s="10" t="n">
        <v>3</v>
      </c>
      <c r="Z235" s="10" t="n">
        <v>3</v>
      </c>
      <c r="AA235" s="10" t="n">
        <v>0</v>
      </c>
      <c r="AB235" s="10" t="n">
        <v>0</v>
      </c>
      <c r="AC235" s="10" t="n">
        <v>0</v>
      </c>
      <c r="AD235" s="10" t="n">
        <v>0</v>
      </c>
      <c r="AE235" s="10" t="n">
        <v>0</v>
      </c>
      <c r="AF235" s="10" t="n">
        <v>0</v>
      </c>
      <c r="AG235" s="10" t="n">
        <v>0</v>
      </c>
      <c r="AH235" s="10" t="n">
        <v>0</v>
      </c>
      <c r="AI235" s="10" t="n">
        <v>0</v>
      </c>
      <c r="AJ235" s="10" t="n">
        <v>0</v>
      </c>
      <c r="AK235" s="10" t="n">
        <v>0</v>
      </c>
      <c r="AL235" s="10" t="n">
        <v>0</v>
      </c>
      <c r="AM235" s="10" t="n">
        <v>0</v>
      </c>
      <c r="AN235" s="10" t="n">
        <v>0</v>
      </c>
      <c r="AO235" s="10" t="n">
        <v>0</v>
      </c>
      <c r="AP235" s="10" t="n">
        <v>0</v>
      </c>
      <c r="AQ235" s="10" t="n">
        <v>0</v>
      </c>
      <c r="AR235" s="10" t="n">
        <v>0</v>
      </c>
      <c r="AS235" s="10" t="n">
        <v>0</v>
      </c>
    </row>
    <row r="236" customFormat="false" ht="15" hidden="true" customHeight="true" outlineLevel="1" collapsed="false">
      <c r="A236" s="1" t="s">
        <v>12</v>
      </c>
      <c r="B236" s="1" t="s">
        <v>14</v>
      </c>
      <c r="C236" s="1" t="s">
        <v>17</v>
      </c>
      <c r="D236" s="1" t="s">
        <v>141</v>
      </c>
      <c r="E236" s="1" t="s">
        <v>108</v>
      </c>
      <c r="F236" s="10" t="n">
        <v>0</v>
      </c>
      <c r="G236" s="10" t="n">
        <v>5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10" t="n">
        <v>0</v>
      </c>
      <c r="AG236" s="10" t="n">
        <v>0</v>
      </c>
      <c r="AH236" s="10" t="n">
        <v>0</v>
      </c>
      <c r="AI236" s="10" t="n">
        <v>0</v>
      </c>
      <c r="AJ236" s="10" t="n">
        <v>0</v>
      </c>
      <c r="AK236" s="10" t="n">
        <v>0</v>
      </c>
      <c r="AL236" s="10" t="n">
        <v>0</v>
      </c>
      <c r="AM236" s="10" t="n">
        <v>0</v>
      </c>
      <c r="AN236" s="10" t="n">
        <v>0</v>
      </c>
      <c r="AO236" s="10" t="n">
        <v>0</v>
      </c>
      <c r="AP236" s="10" t="n">
        <v>0</v>
      </c>
      <c r="AQ236" s="10" t="n">
        <v>0</v>
      </c>
      <c r="AR236" s="10" t="n">
        <v>0</v>
      </c>
      <c r="AS236" s="10" t="n">
        <v>0</v>
      </c>
    </row>
    <row r="237" customFormat="false" ht="15" hidden="true" customHeight="true" outlineLevel="1" collapsed="false">
      <c r="A237" s="1" t="s">
        <v>12</v>
      </c>
      <c r="B237" s="1" t="s">
        <v>14</v>
      </c>
      <c r="C237" s="1" t="s">
        <v>17</v>
      </c>
      <c r="D237" s="1" t="s">
        <v>141</v>
      </c>
      <c r="E237" s="1" t="s">
        <v>81</v>
      </c>
      <c r="F237" s="10" t="n">
        <v>2.230769</v>
      </c>
      <c r="G237" s="10" t="n">
        <v>0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0" t="n">
        <v>0</v>
      </c>
      <c r="P237" s="10" t="n">
        <v>0</v>
      </c>
      <c r="Q237" s="10" t="n">
        <v>0</v>
      </c>
      <c r="R237" s="10" t="n">
        <v>0</v>
      </c>
      <c r="S237" s="10" t="n">
        <v>0</v>
      </c>
      <c r="T237" s="10" t="n">
        <v>0</v>
      </c>
      <c r="U237" s="10" t="n">
        <v>0</v>
      </c>
      <c r="V237" s="10" t="n">
        <v>0</v>
      </c>
      <c r="W237" s="10" t="n">
        <v>0</v>
      </c>
      <c r="X237" s="10" t="n">
        <v>0</v>
      </c>
      <c r="Y237" s="10" t="n">
        <v>0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10" t="n">
        <v>0</v>
      </c>
      <c r="AG237" s="10" t="n">
        <v>0</v>
      </c>
      <c r="AH237" s="10" t="n">
        <v>0</v>
      </c>
      <c r="AI237" s="10" t="n">
        <v>0</v>
      </c>
      <c r="AJ237" s="10" t="n">
        <v>0</v>
      </c>
      <c r="AK237" s="10" t="n">
        <v>0</v>
      </c>
      <c r="AL237" s="10" t="n">
        <v>0</v>
      </c>
      <c r="AM237" s="10" t="n">
        <v>0</v>
      </c>
      <c r="AN237" s="10" t="n">
        <v>0</v>
      </c>
      <c r="AO237" s="10" t="n">
        <v>0</v>
      </c>
      <c r="AP237" s="10" t="n">
        <v>0</v>
      </c>
      <c r="AQ237" s="10" t="n">
        <v>0</v>
      </c>
      <c r="AR237" s="10" t="n">
        <v>0</v>
      </c>
      <c r="AS237" s="10" t="n">
        <v>0</v>
      </c>
    </row>
    <row r="238" customFormat="false" ht="15" hidden="true" customHeight="true" outlineLevel="1" collapsed="false">
      <c r="A238" s="1" t="s">
        <v>12</v>
      </c>
      <c r="B238" s="1" t="s">
        <v>14</v>
      </c>
      <c r="C238" s="1" t="s">
        <v>17</v>
      </c>
      <c r="D238" s="1" t="s">
        <v>141</v>
      </c>
      <c r="E238" s="1" t="s">
        <v>102</v>
      </c>
      <c r="F238" s="10" t="n">
        <v>0</v>
      </c>
      <c r="G238" s="10" t="n">
        <v>0</v>
      </c>
      <c r="H238" s="10" t="n">
        <v>0</v>
      </c>
      <c r="I238" s="10" t="n">
        <v>28</v>
      </c>
      <c r="J238" s="10" t="n">
        <v>16</v>
      </c>
      <c r="K238" s="10" t="n">
        <v>0</v>
      </c>
      <c r="L238" s="10" t="n">
        <v>20</v>
      </c>
      <c r="M238" s="10" t="n">
        <v>0</v>
      </c>
      <c r="N238" s="10" t="n">
        <v>0</v>
      </c>
      <c r="O238" s="10" t="n">
        <v>0</v>
      </c>
      <c r="P238" s="10" t="n">
        <v>0</v>
      </c>
      <c r="Q238" s="10" t="n">
        <v>15</v>
      </c>
      <c r="R238" s="10" t="n">
        <v>0</v>
      </c>
      <c r="S238" s="10" t="n">
        <v>0</v>
      </c>
      <c r="T238" s="10" t="n">
        <v>0</v>
      </c>
      <c r="U238" s="10" t="n">
        <v>0</v>
      </c>
      <c r="V238" s="10" t="n">
        <v>0</v>
      </c>
      <c r="W238" s="10" t="n">
        <v>0</v>
      </c>
      <c r="X238" s="10" t="n">
        <v>0</v>
      </c>
      <c r="Y238" s="10" t="n">
        <v>0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0</v>
      </c>
      <c r="AE238" s="10" t="n">
        <v>0</v>
      </c>
      <c r="AF238" s="10" t="n">
        <v>0</v>
      </c>
      <c r="AG238" s="10" t="n">
        <v>0</v>
      </c>
      <c r="AH238" s="10" t="n">
        <v>0</v>
      </c>
      <c r="AI238" s="10" t="n">
        <v>0</v>
      </c>
      <c r="AJ238" s="10" t="n">
        <v>0</v>
      </c>
      <c r="AK238" s="10" t="n">
        <v>0</v>
      </c>
      <c r="AL238" s="10" t="n">
        <v>0</v>
      </c>
      <c r="AM238" s="10" t="n">
        <v>0</v>
      </c>
      <c r="AN238" s="10" t="n">
        <v>0</v>
      </c>
      <c r="AO238" s="10" t="n">
        <v>0</v>
      </c>
      <c r="AP238" s="10" t="n">
        <v>0</v>
      </c>
      <c r="AQ238" s="10" t="n">
        <v>0</v>
      </c>
      <c r="AR238" s="10" t="n">
        <v>0</v>
      </c>
      <c r="AS238" s="10" t="n">
        <v>0</v>
      </c>
    </row>
    <row r="239" customFormat="false" ht="15" hidden="true" customHeight="true" outlineLevel="1" collapsed="false">
      <c r="A239" s="1" t="s">
        <v>12</v>
      </c>
      <c r="B239" s="1" t="s">
        <v>14</v>
      </c>
      <c r="C239" s="1" t="s">
        <v>17</v>
      </c>
      <c r="D239" s="1" t="s">
        <v>141</v>
      </c>
      <c r="E239" s="1" t="s">
        <v>84</v>
      </c>
      <c r="F239" s="10" t="n">
        <v>0</v>
      </c>
      <c r="G239" s="10" t="n">
        <v>0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8</v>
      </c>
      <c r="N239" s="10" t="n">
        <v>7</v>
      </c>
      <c r="O239" s="10" t="n">
        <v>0</v>
      </c>
      <c r="P239" s="10" t="n">
        <v>0</v>
      </c>
      <c r="Q239" s="10" t="n">
        <v>0</v>
      </c>
      <c r="R239" s="10" t="n">
        <v>0</v>
      </c>
      <c r="S239" s="10" t="n">
        <v>0</v>
      </c>
      <c r="T239" s="10" t="n">
        <v>0</v>
      </c>
      <c r="U239" s="10" t="n">
        <v>0</v>
      </c>
      <c r="V239" s="10" t="n">
        <v>0</v>
      </c>
      <c r="W239" s="10" t="n">
        <v>0</v>
      </c>
      <c r="X239" s="10" t="n">
        <v>0</v>
      </c>
      <c r="Y239" s="10" t="n">
        <v>0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10" t="n">
        <v>0</v>
      </c>
      <c r="AG239" s="10" t="n">
        <v>0</v>
      </c>
      <c r="AH239" s="10" t="n">
        <v>0</v>
      </c>
      <c r="AI239" s="10" t="n">
        <v>0</v>
      </c>
      <c r="AJ239" s="10" t="n">
        <v>0</v>
      </c>
      <c r="AK239" s="10" t="n">
        <v>0</v>
      </c>
      <c r="AL239" s="10" t="n">
        <v>0</v>
      </c>
      <c r="AM239" s="10" t="n">
        <v>0</v>
      </c>
      <c r="AN239" s="10" t="n">
        <v>0</v>
      </c>
      <c r="AO239" s="10" t="n">
        <v>0</v>
      </c>
      <c r="AP239" s="10" t="n">
        <v>0</v>
      </c>
      <c r="AQ239" s="10" t="n">
        <v>0</v>
      </c>
      <c r="AR239" s="10" t="n">
        <v>0</v>
      </c>
      <c r="AS239" s="10" t="n">
        <v>0</v>
      </c>
    </row>
    <row r="240" customFormat="false" ht="15" hidden="true" customHeight="true" outlineLevel="1" collapsed="false">
      <c r="A240" s="1" t="s">
        <v>12</v>
      </c>
      <c r="B240" s="1" t="s">
        <v>14</v>
      </c>
      <c r="C240" s="1" t="s">
        <v>17</v>
      </c>
      <c r="D240" s="1" t="s">
        <v>141</v>
      </c>
      <c r="E240" s="1" t="s">
        <v>40</v>
      </c>
      <c r="F240" s="10" t="n">
        <v>0</v>
      </c>
      <c r="G240" s="10" t="n">
        <v>0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0" t="n">
        <v>8</v>
      </c>
      <c r="P240" s="10" t="n">
        <v>15</v>
      </c>
      <c r="Q240" s="10" t="n">
        <v>10</v>
      </c>
      <c r="R240" s="10" t="n">
        <v>0</v>
      </c>
      <c r="S240" s="10" t="n">
        <v>5</v>
      </c>
      <c r="T240" s="10" t="n">
        <v>0</v>
      </c>
      <c r="U240" s="10" t="n">
        <v>0</v>
      </c>
      <c r="V240" s="10" t="n">
        <v>0</v>
      </c>
      <c r="W240" s="10" t="n">
        <v>0</v>
      </c>
      <c r="X240" s="10" t="n">
        <v>0</v>
      </c>
      <c r="Y240" s="10" t="n">
        <v>0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10</v>
      </c>
      <c r="AF240" s="10" t="n">
        <v>0</v>
      </c>
      <c r="AG240" s="10" t="n">
        <v>0</v>
      </c>
      <c r="AH240" s="10" t="n">
        <v>0</v>
      </c>
      <c r="AI240" s="10" t="n">
        <v>0</v>
      </c>
      <c r="AJ240" s="10" t="n">
        <v>0</v>
      </c>
      <c r="AK240" s="10" t="n">
        <v>0</v>
      </c>
      <c r="AL240" s="10" t="n">
        <v>0</v>
      </c>
      <c r="AM240" s="10" t="n">
        <v>0</v>
      </c>
      <c r="AN240" s="10" t="n">
        <v>0</v>
      </c>
      <c r="AO240" s="10" t="n">
        <v>0</v>
      </c>
      <c r="AP240" s="10" t="n">
        <v>0</v>
      </c>
      <c r="AQ240" s="10" t="n">
        <v>0</v>
      </c>
      <c r="AR240" s="10" t="n">
        <v>0</v>
      </c>
      <c r="AS240" s="10" t="n">
        <v>0</v>
      </c>
    </row>
    <row r="241" customFormat="false" ht="15" hidden="true" customHeight="true" outlineLevel="1" collapsed="false">
      <c r="A241" s="1" t="s">
        <v>12</v>
      </c>
      <c r="B241" s="1" t="s">
        <v>14</v>
      </c>
      <c r="C241" s="1" t="s">
        <v>17</v>
      </c>
      <c r="D241" s="1" t="s">
        <v>141</v>
      </c>
      <c r="E241" s="1" t="s">
        <v>85</v>
      </c>
      <c r="F241" s="10" t="n">
        <v>0</v>
      </c>
      <c r="G241" s="10" t="n">
        <v>0</v>
      </c>
      <c r="H241" s="10" t="n">
        <v>24</v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  <c r="Q241" s="10" t="n">
        <v>0</v>
      </c>
      <c r="R241" s="10" t="n">
        <v>0</v>
      </c>
      <c r="S241" s="10" t="n">
        <v>0</v>
      </c>
      <c r="T241" s="10" t="n">
        <v>0</v>
      </c>
      <c r="U241" s="10" t="n">
        <v>0</v>
      </c>
      <c r="V241" s="10" t="n">
        <v>0</v>
      </c>
      <c r="W241" s="10" t="n">
        <v>0</v>
      </c>
      <c r="X241" s="10" t="n">
        <v>0</v>
      </c>
      <c r="Y241" s="10" t="n">
        <v>0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10" t="n">
        <v>0</v>
      </c>
      <c r="AG241" s="10" t="n">
        <v>0</v>
      </c>
      <c r="AH241" s="10" t="n">
        <v>0</v>
      </c>
      <c r="AI241" s="10" t="n">
        <v>0</v>
      </c>
      <c r="AJ241" s="10" t="n">
        <v>0</v>
      </c>
      <c r="AK241" s="10" t="n">
        <v>0</v>
      </c>
      <c r="AL241" s="10" t="n">
        <v>0</v>
      </c>
      <c r="AM241" s="10" t="n">
        <v>0</v>
      </c>
      <c r="AN241" s="10" t="n">
        <v>0</v>
      </c>
      <c r="AO241" s="10" t="n">
        <v>0</v>
      </c>
      <c r="AP241" s="10" t="n">
        <v>0</v>
      </c>
      <c r="AQ241" s="10" t="n">
        <v>0</v>
      </c>
      <c r="AR241" s="10" t="n">
        <v>0</v>
      </c>
      <c r="AS241" s="10" t="n">
        <v>0</v>
      </c>
    </row>
    <row r="242" customFormat="false" ht="15" hidden="true" customHeight="true" outlineLevel="1" collapsed="false">
      <c r="A242" s="1" t="s">
        <v>12</v>
      </c>
      <c r="B242" s="1" t="s">
        <v>14</v>
      </c>
      <c r="C242" s="1" t="s">
        <v>17</v>
      </c>
      <c r="D242" s="1" t="s">
        <v>141</v>
      </c>
      <c r="E242" s="1" t="s">
        <v>103</v>
      </c>
      <c r="F242" s="10" t="n">
        <v>0</v>
      </c>
      <c r="G242" s="10" t="n">
        <v>0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</v>
      </c>
      <c r="U242" s="10" t="n">
        <v>0</v>
      </c>
      <c r="V242" s="10" t="n">
        <v>0</v>
      </c>
      <c r="W242" s="10" t="n">
        <v>0</v>
      </c>
      <c r="X242" s="10" t="n">
        <v>20</v>
      </c>
      <c r="Y242" s="10" t="n">
        <v>20.5</v>
      </c>
      <c r="Z242" s="10" t="n">
        <v>13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10" t="n">
        <v>0</v>
      </c>
      <c r="AG242" s="10" t="n">
        <v>0</v>
      </c>
      <c r="AH242" s="10" t="n">
        <v>0</v>
      </c>
      <c r="AI242" s="10" t="n">
        <v>0</v>
      </c>
      <c r="AJ242" s="10" t="n">
        <v>0</v>
      </c>
      <c r="AK242" s="10" t="n">
        <v>0</v>
      </c>
      <c r="AL242" s="10" t="n">
        <v>0</v>
      </c>
      <c r="AM242" s="10" t="n">
        <v>0</v>
      </c>
      <c r="AN242" s="10" t="n">
        <v>0</v>
      </c>
      <c r="AO242" s="10" t="n">
        <v>0</v>
      </c>
      <c r="AP242" s="10" t="n">
        <v>0</v>
      </c>
      <c r="AQ242" s="10" t="n">
        <v>0</v>
      </c>
      <c r="AR242" s="10" t="n">
        <v>0</v>
      </c>
      <c r="AS242" s="10" t="n">
        <v>0</v>
      </c>
    </row>
    <row r="243" customFormat="false" ht="15" hidden="true" customHeight="true" outlineLevel="1" collapsed="false">
      <c r="A243" s="1" t="s">
        <v>12</v>
      </c>
      <c r="B243" s="1" t="s">
        <v>14</v>
      </c>
      <c r="C243" s="1" t="s">
        <v>17</v>
      </c>
      <c r="D243" s="1" t="s">
        <v>141</v>
      </c>
      <c r="E243" s="1" t="s">
        <v>46</v>
      </c>
      <c r="F243" s="10" t="n">
        <v>17</v>
      </c>
      <c r="G243" s="10" t="n">
        <v>3</v>
      </c>
      <c r="H243" s="10" t="n">
        <v>5</v>
      </c>
      <c r="I243" s="10" t="n">
        <v>3</v>
      </c>
      <c r="J243" s="10" t="n">
        <v>3</v>
      </c>
      <c r="K243" s="10" t="n">
        <v>4.5</v>
      </c>
      <c r="L243" s="10" t="n">
        <v>4.5</v>
      </c>
      <c r="M243" s="10" t="n">
        <v>0</v>
      </c>
      <c r="N243" s="10" t="n">
        <v>0</v>
      </c>
      <c r="O243" s="10" t="n">
        <v>15.884615</v>
      </c>
      <c r="P243" s="10" t="n">
        <v>21.884615</v>
      </c>
      <c r="Q243" s="10" t="n">
        <v>8.5</v>
      </c>
      <c r="R243" s="10" t="n">
        <v>9.5</v>
      </c>
      <c r="S243" s="10" t="n">
        <v>4.5</v>
      </c>
      <c r="T243" s="10" t="n">
        <v>18.884615</v>
      </c>
      <c r="U243" s="10" t="n">
        <v>16.5</v>
      </c>
      <c r="V243" s="10" t="n">
        <v>0</v>
      </c>
      <c r="W243" s="10" t="n">
        <v>0</v>
      </c>
      <c r="X243" s="10" t="n">
        <v>4.5</v>
      </c>
      <c r="Y243" s="10" t="n">
        <v>31.5</v>
      </c>
      <c r="Z243" s="10" t="n">
        <v>29</v>
      </c>
      <c r="AA243" s="10" t="n">
        <v>45</v>
      </c>
      <c r="AB243" s="10" t="n">
        <v>5</v>
      </c>
      <c r="AC243" s="10" t="n">
        <v>37.5</v>
      </c>
      <c r="AD243" s="10" t="n">
        <v>55</v>
      </c>
      <c r="AE243" s="10" t="n">
        <v>25.5</v>
      </c>
      <c r="AF243" s="10" t="n">
        <v>4.5</v>
      </c>
      <c r="AG243" s="10" t="n">
        <v>4.5</v>
      </c>
      <c r="AH243" s="10" t="n">
        <v>4.5</v>
      </c>
      <c r="AI243" s="10" t="n">
        <v>0</v>
      </c>
      <c r="AJ243" s="10" t="n">
        <v>0</v>
      </c>
      <c r="AK243" s="10" t="n">
        <v>0</v>
      </c>
      <c r="AL243" s="10" t="n">
        <v>0</v>
      </c>
      <c r="AM243" s="10" t="n">
        <v>0</v>
      </c>
      <c r="AN243" s="10" t="n">
        <v>0</v>
      </c>
      <c r="AO243" s="10" t="n">
        <v>0</v>
      </c>
      <c r="AP243" s="10" t="n">
        <v>0</v>
      </c>
      <c r="AQ243" s="10" t="n">
        <v>0</v>
      </c>
      <c r="AR243" s="10" t="n">
        <v>0</v>
      </c>
      <c r="AS243" s="10" t="n">
        <v>0</v>
      </c>
    </row>
    <row r="244" customFormat="false" ht="15" hidden="true" customHeight="true" outlineLevel="1" collapsed="false">
      <c r="A244" s="1" t="s">
        <v>12</v>
      </c>
      <c r="B244" s="1" t="s">
        <v>14</v>
      </c>
      <c r="C244" s="1" t="s">
        <v>17</v>
      </c>
      <c r="D244" s="1" t="s">
        <v>141</v>
      </c>
      <c r="E244" s="1" t="s">
        <v>99</v>
      </c>
      <c r="F244" s="10" t="n">
        <v>0</v>
      </c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2.346154</v>
      </c>
      <c r="M244" s="10" t="n">
        <v>0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10" t="n">
        <v>0</v>
      </c>
      <c r="U244" s="10" t="n">
        <v>0</v>
      </c>
      <c r="V244" s="10" t="n">
        <v>0</v>
      </c>
      <c r="W244" s="10" t="n">
        <v>0</v>
      </c>
      <c r="X244" s="10" t="n">
        <v>0</v>
      </c>
      <c r="Y244" s="10" t="n">
        <v>0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10" t="n">
        <v>0</v>
      </c>
      <c r="AG244" s="10" t="n">
        <v>0</v>
      </c>
      <c r="AH244" s="10" t="n">
        <v>0</v>
      </c>
      <c r="AI244" s="10" t="n">
        <v>0</v>
      </c>
      <c r="AJ244" s="10" t="n">
        <v>0</v>
      </c>
      <c r="AK244" s="10" t="n">
        <v>0</v>
      </c>
      <c r="AL244" s="10" t="n">
        <v>0</v>
      </c>
      <c r="AM244" s="10" t="n">
        <v>0</v>
      </c>
      <c r="AN244" s="10" t="n">
        <v>0</v>
      </c>
      <c r="AO244" s="10" t="n">
        <v>0</v>
      </c>
      <c r="AP244" s="10" t="n">
        <v>0</v>
      </c>
      <c r="AQ244" s="10" t="n">
        <v>0</v>
      </c>
      <c r="AR244" s="10" t="n">
        <v>0</v>
      </c>
      <c r="AS244" s="10" t="n">
        <v>0</v>
      </c>
    </row>
    <row r="245" customFormat="false" ht="15" hidden="true" customHeight="true" outlineLevel="1" collapsed="false">
      <c r="A245" s="1" t="s">
        <v>12</v>
      </c>
      <c r="B245" s="1" t="s">
        <v>14</v>
      </c>
      <c r="C245" s="1" t="s">
        <v>17</v>
      </c>
      <c r="D245" s="1" t="s">
        <v>141</v>
      </c>
      <c r="E245" s="1" t="s">
        <v>111</v>
      </c>
      <c r="F245" s="10" t="n">
        <v>10</v>
      </c>
      <c r="G245" s="10" t="n">
        <v>0</v>
      </c>
      <c r="H245" s="10" t="n">
        <v>0</v>
      </c>
      <c r="I245" s="10" t="n">
        <v>0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  <c r="S245" s="10" t="n">
        <v>0</v>
      </c>
      <c r="T245" s="10" t="n">
        <v>0</v>
      </c>
      <c r="U245" s="10" t="n">
        <v>0</v>
      </c>
      <c r="V245" s="10" t="n">
        <v>0</v>
      </c>
      <c r="W245" s="10" t="n">
        <v>0</v>
      </c>
      <c r="X245" s="10" t="n">
        <v>0</v>
      </c>
      <c r="Y245" s="10" t="n">
        <v>0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10" t="n">
        <v>0</v>
      </c>
      <c r="AG245" s="10" t="n">
        <v>0</v>
      </c>
      <c r="AH245" s="10" t="n">
        <v>0</v>
      </c>
      <c r="AI245" s="10" t="n">
        <v>0</v>
      </c>
      <c r="AJ245" s="10" t="n">
        <v>0</v>
      </c>
      <c r="AK245" s="10" t="n">
        <v>0</v>
      </c>
      <c r="AL245" s="10" t="n">
        <v>0</v>
      </c>
      <c r="AM245" s="10" t="n">
        <v>0</v>
      </c>
      <c r="AN245" s="10" t="n">
        <v>0</v>
      </c>
      <c r="AO245" s="10" t="n">
        <v>0</v>
      </c>
      <c r="AP245" s="10" t="n">
        <v>0</v>
      </c>
      <c r="AQ245" s="10" t="n">
        <v>0</v>
      </c>
      <c r="AR245" s="10" t="n">
        <v>0</v>
      </c>
      <c r="AS245" s="10" t="n">
        <v>0</v>
      </c>
    </row>
    <row r="246" customFormat="false" ht="15" hidden="true" customHeight="true" outlineLevel="1" collapsed="false">
      <c r="A246" s="1" t="s">
        <v>12</v>
      </c>
      <c r="B246" s="1" t="s">
        <v>14</v>
      </c>
      <c r="C246" s="1" t="s">
        <v>17</v>
      </c>
      <c r="D246" s="1" t="s">
        <v>141</v>
      </c>
      <c r="E246" s="1" t="s">
        <v>88</v>
      </c>
      <c r="F246" s="10" t="n">
        <v>0</v>
      </c>
      <c r="G246" s="10" t="n">
        <v>0</v>
      </c>
      <c r="H246" s="10" t="n">
        <v>0</v>
      </c>
      <c r="I246" s="10" t="n">
        <v>0</v>
      </c>
      <c r="J246" s="10" t="n">
        <v>0</v>
      </c>
      <c r="K246" s="10" t="n">
        <v>10</v>
      </c>
      <c r="L246" s="10" t="n">
        <v>10</v>
      </c>
      <c r="M246" s="10" t="n">
        <v>30</v>
      </c>
      <c r="N246" s="10" t="n">
        <v>30</v>
      </c>
      <c r="O246" s="10" t="n">
        <v>0</v>
      </c>
      <c r="P246" s="10" t="n">
        <v>0</v>
      </c>
      <c r="Q246" s="10" t="n">
        <v>0</v>
      </c>
      <c r="R246" s="10" t="n">
        <v>0</v>
      </c>
      <c r="S246" s="10" t="n">
        <v>0</v>
      </c>
      <c r="T246" s="10" t="n">
        <v>0</v>
      </c>
      <c r="U246" s="10" t="n">
        <v>0</v>
      </c>
      <c r="V246" s="10" t="n">
        <v>0</v>
      </c>
      <c r="W246" s="10" t="n">
        <v>0</v>
      </c>
      <c r="X246" s="10" t="n">
        <v>0</v>
      </c>
      <c r="Y246" s="10" t="n">
        <v>0</v>
      </c>
      <c r="Z246" s="10" t="n">
        <v>0</v>
      </c>
      <c r="AA246" s="10" t="n">
        <v>0</v>
      </c>
      <c r="AB246" s="10" t="n">
        <v>0</v>
      </c>
      <c r="AC246" s="10" t="n">
        <v>0</v>
      </c>
      <c r="AD246" s="10" t="n">
        <v>0</v>
      </c>
      <c r="AE246" s="10" t="n">
        <v>0</v>
      </c>
      <c r="AF246" s="10" t="n">
        <v>0</v>
      </c>
      <c r="AG246" s="10" t="n">
        <v>0</v>
      </c>
      <c r="AH246" s="10" t="n">
        <v>0</v>
      </c>
      <c r="AI246" s="10" t="n">
        <v>0</v>
      </c>
      <c r="AJ246" s="10" t="n">
        <v>0</v>
      </c>
      <c r="AK246" s="10" t="n">
        <v>0</v>
      </c>
      <c r="AL246" s="10" t="n">
        <v>0</v>
      </c>
      <c r="AM246" s="10" t="n">
        <v>0</v>
      </c>
      <c r="AN246" s="10" t="n">
        <v>0</v>
      </c>
      <c r="AO246" s="10" t="n">
        <v>0</v>
      </c>
      <c r="AP246" s="10" t="n">
        <v>0</v>
      </c>
      <c r="AQ246" s="10" t="n">
        <v>0</v>
      </c>
      <c r="AR246" s="10" t="n">
        <v>0</v>
      </c>
      <c r="AS246" s="10" t="n">
        <v>0</v>
      </c>
    </row>
    <row r="247" customFormat="false" ht="15" hidden="true" customHeight="true" outlineLevel="1" collapsed="false">
      <c r="A247" s="1" t="s">
        <v>12</v>
      </c>
      <c r="B247" s="1" t="s">
        <v>14</v>
      </c>
      <c r="C247" s="1" t="s">
        <v>17</v>
      </c>
      <c r="D247" s="1" t="s">
        <v>141</v>
      </c>
      <c r="E247" s="1" t="s">
        <v>122</v>
      </c>
      <c r="F247" s="10" t="n">
        <v>0</v>
      </c>
      <c r="G247" s="10" t="n">
        <v>0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  <c r="S247" s="10" t="n">
        <v>0</v>
      </c>
      <c r="T247" s="10" t="n">
        <v>4</v>
      </c>
      <c r="U247" s="10" t="n">
        <v>0</v>
      </c>
      <c r="V247" s="10" t="n">
        <v>0</v>
      </c>
      <c r="W247" s="10" t="n">
        <v>0</v>
      </c>
      <c r="X247" s="10" t="n">
        <v>0</v>
      </c>
      <c r="Y247" s="10" t="n">
        <v>0</v>
      </c>
      <c r="Z247" s="10" t="n">
        <v>10</v>
      </c>
      <c r="AA247" s="10" t="n">
        <v>10</v>
      </c>
      <c r="AB247" s="10" t="n">
        <v>50</v>
      </c>
      <c r="AC247" s="10" t="n">
        <v>17.5</v>
      </c>
      <c r="AD247" s="10" t="n">
        <v>0</v>
      </c>
      <c r="AE247" s="10" t="n">
        <v>0</v>
      </c>
      <c r="AF247" s="10" t="n">
        <v>0</v>
      </c>
      <c r="AG247" s="10" t="n">
        <v>0</v>
      </c>
      <c r="AH247" s="10" t="n">
        <v>0</v>
      </c>
      <c r="AI247" s="10" t="n">
        <v>0</v>
      </c>
      <c r="AJ247" s="10" t="n">
        <v>0</v>
      </c>
      <c r="AK247" s="10" t="n">
        <v>0</v>
      </c>
      <c r="AL247" s="10" t="n">
        <v>0</v>
      </c>
      <c r="AM247" s="10" t="n">
        <v>0</v>
      </c>
      <c r="AN247" s="10" t="n">
        <v>0</v>
      </c>
      <c r="AO247" s="10" t="n">
        <v>0</v>
      </c>
      <c r="AP247" s="10" t="n">
        <v>0</v>
      </c>
      <c r="AQ247" s="10" t="n">
        <v>0</v>
      </c>
      <c r="AR247" s="10" t="n">
        <v>0</v>
      </c>
      <c r="AS247" s="10" t="n">
        <v>0</v>
      </c>
    </row>
    <row r="248" customFormat="false" ht="15" hidden="false" customHeight="true" outlineLevel="0" collapsed="false">
      <c r="A248" s="4" t="s">
        <v>12</v>
      </c>
      <c r="B248" s="4" t="s">
        <v>14</v>
      </c>
      <c r="C248" s="4" t="s">
        <v>123</v>
      </c>
      <c r="D248" s="4" t="s">
        <v>76</v>
      </c>
      <c r="E248" s="4" t="s">
        <v>77</v>
      </c>
      <c r="F248" s="8" t="n">
        <f aca="false">SUM(F249,F250,F251)</f>
        <v>20</v>
      </c>
      <c r="G248" s="8" t="n">
        <f aca="false">SUM(G249,G250,G251)</f>
        <v>1.384615</v>
      </c>
      <c r="H248" s="8" t="n">
        <f aca="false">SUM(H249,H250,H251)</f>
        <v>1.384615</v>
      </c>
      <c r="I248" s="8" t="n">
        <f aca="false">SUM(I249,I250,I251)</f>
        <v>1.384615</v>
      </c>
      <c r="J248" s="8" t="n">
        <f aca="false">SUM(J249,J250,J251)</f>
        <v>1.384615</v>
      </c>
      <c r="K248" s="8" t="n">
        <f aca="false">SUM(K249,K250,K251)</f>
        <v>1.384615</v>
      </c>
      <c r="L248" s="8" t="n">
        <f aca="false">SUM(L249,L250,L251)</f>
        <v>1.384615</v>
      </c>
      <c r="M248" s="8" t="n">
        <f aca="false">SUM(M249,M250,M251)</f>
        <v>5.884615</v>
      </c>
      <c r="N248" s="8" t="n">
        <f aca="false">SUM(N249,N250,N251)</f>
        <v>5.884615</v>
      </c>
      <c r="O248" s="8" t="n">
        <f aca="false">SUM(O249,O250,O251)</f>
        <v>20</v>
      </c>
      <c r="P248" s="8" t="n">
        <f aca="false">SUM(P249,P250,P251)</f>
        <v>20</v>
      </c>
      <c r="Q248" s="8" t="n">
        <f aca="false">SUM(Q249,Q250,Q251)</f>
        <v>17.384615</v>
      </c>
      <c r="R248" s="8" t="n">
        <f aca="false">SUM(R249,R250,R251)</f>
        <v>1.384615</v>
      </c>
      <c r="S248" s="8" t="n">
        <f aca="false">SUM(S249,S250,S251)</f>
        <v>1.384615</v>
      </c>
      <c r="T248" s="8" t="n">
        <f aca="false">SUM(T249,T250,T251)</f>
        <v>20</v>
      </c>
      <c r="U248" s="8" t="n">
        <f aca="false">SUM(U249,U250,U251)</f>
        <v>1.384615</v>
      </c>
      <c r="V248" s="8" t="n">
        <f aca="false">SUM(V249,V250,V251)</f>
        <v>0.884615</v>
      </c>
      <c r="W248" s="8" t="n">
        <f aca="false">SUM(W249,W250,W251)</f>
        <v>0.884615</v>
      </c>
      <c r="X248" s="8" t="n">
        <f aca="false">SUM(X249,X250,X251)</f>
        <v>3.5</v>
      </c>
      <c r="Y248" s="8" t="n">
        <f aca="false">SUM(Y249,Y250,Y251)</f>
        <v>20</v>
      </c>
      <c r="Z248" s="8" t="n">
        <f aca="false">SUM(Z249,Z250,Z251)</f>
        <v>20</v>
      </c>
      <c r="AA248" s="8" t="n">
        <f aca="false">SUM(AA249,AA250,AA251)</f>
        <v>20</v>
      </c>
      <c r="AB248" s="8" t="n">
        <f aca="false">SUM(AB249,AB250,AB251)</f>
        <v>20</v>
      </c>
      <c r="AC248" s="8" t="n">
        <f aca="false">SUM(AC249,AC250,AC251)</f>
        <v>20</v>
      </c>
      <c r="AD248" s="8" t="n">
        <f aca="false">SUM(AD249,AD250,AD251)</f>
        <v>20</v>
      </c>
      <c r="AE248" s="8" t="n">
        <f aca="false">SUM(AE249,AE250,AE251)</f>
        <v>2</v>
      </c>
      <c r="AF248" s="8" t="n">
        <f aca="false">SUM(AF249,AF250,AF251)</f>
        <v>0</v>
      </c>
      <c r="AG248" s="8" t="n">
        <f aca="false">SUM(AG249,AG250,AG251)</f>
        <v>0</v>
      </c>
      <c r="AH248" s="8" t="n">
        <f aca="false">SUM(AH249,AH250,AH251)</f>
        <v>0</v>
      </c>
      <c r="AI248" s="8" t="n">
        <f aca="false">SUM(AI249,AI250,AI251)</f>
        <v>0</v>
      </c>
      <c r="AJ248" s="8" t="n">
        <f aca="false">SUM(AJ249,AJ250,AJ251)</f>
        <v>0</v>
      </c>
      <c r="AK248" s="8" t="n">
        <f aca="false">SUM(AK249,AK250,AK251)</f>
        <v>0</v>
      </c>
      <c r="AL248" s="8" t="n">
        <f aca="false">SUM(AL249,AL250,AL251)</f>
        <v>0</v>
      </c>
      <c r="AM248" s="8" t="n">
        <f aca="false">SUM(AM249,AM250,AM251)</f>
        <v>0</v>
      </c>
      <c r="AN248" s="8" t="n">
        <f aca="false">SUM(AN249,AN250,AN251)</f>
        <v>0</v>
      </c>
      <c r="AO248" s="8" t="n">
        <f aca="false">SUM(AO249,AO250,AO251)</f>
        <v>0</v>
      </c>
      <c r="AP248" s="8" t="n">
        <f aca="false">SUM(AP249,AP250,AP251)</f>
        <v>0</v>
      </c>
      <c r="AQ248" s="8" t="n">
        <f aca="false">SUM(AQ249,AQ250,AQ251)</f>
        <v>0</v>
      </c>
      <c r="AR248" s="8" t="n">
        <f aca="false">SUM(AR249,AR250,AR251)</f>
        <v>0</v>
      </c>
      <c r="AS248" s="8" t="n">
        <f aca="false">SUM(AS249,AS250,AS251)</f>
        <v>0</v>
      </c>
    </row>
    <row r="249" customFormat="false" ht="15" hidden="true" customHeight="true" outlineLevel="1" collapsed="false">
      <c r="A249" s="1" t="s">
        <v>12</v>
      </c>
      <c r="B249" s="1" t="s">
        <v>14</v>
      </c>
      <c r="C249" s="1" t="s">
        <v>123</v>
      </c>
      <c r="D249" s="1" t="s">
        <v>141</v>
      </c>
      <c r="E249" s="1" t="s">
        <v>81</v>
      </c>
      <c r="F249" s="10" t="n">
        <v>19.5</v>
      </c>
      <c r="G249" s="10" t="n">
        <v>0.884615</v>
      </c>
      <c r="H249" s="10" t="n">
        <v>0.884615</v>
      </c>
      <c r="I249" s="10" t="n">
        <v>0.884615</v>
      </c>
      <c r="J249" s="10" t="n">
        <v>0.884615</v>
      </c>
      <c r="K249" s="10" t="n">
        <v>0.884615</v>
      </c>
      <c r="L249" s="10" t="n">
        <v>0.884615</v>
      </c>
      <c r="M249" s="10" t="n">
        <v>0.884615</v>
      </c>
      <c r="N249" s="10" t="n">
        <v>0.884615</v>
      </c>
      <c r="O249" s="10" t="n">
        <v>0.884615</v>
      </c>
      <c r="P249" s="10" t="n">
        <v>0.884615</v>
      </c>
      <c r="Q249" s="10" t="n">
        <v>16.884615</v>
      </c>
      <c r="R249" s="10" t="n">
        <v>0.884615</v>
      </c>
      <c r="S249" s="10" t="n">
        <v>0.884615</v>
      </c>
      <c r="T249" s="10" t="n">
        <v>0.884615</v>
      </c>
      <c r="U249" s="10" t="n">
        <v>0.884615</v>
      </c>
      <c r="V249" s="10" t="n">
        <v>0.884615</v>
      </c>
      <c r="W249" s="10" t="n">
        <v>0.884615</v>
      </c>
      <c r="X249" s="10" t="n">
        <v>2</v>
      </c>
      <c r="Y249" s="10" t="n">
        <v>2</v>
      </c>
      <c r="Z249" s="10" t="n">
        <v>0</v>
      </c>
      <c r="AA249" s="10" t="n">
        <v>0</v>
      </c>
      <c r="AB249" s="10" t="n">
        <v>0</v>
      </c>
      <c r="AC249" s="10" t="n">
        <v>4</v>
      </c>
      <c r="AD249" s="10" t="n">
        <v>18</v>
      </c>
      <c r="AE249" s="10" t="n">
        <v>2</v>
      </c>
      <c r="AF249" s="10" t="n">
        <v>0</v>
      </c>
      <c r="AG249" s="10" t="n">
        <v>0</v>
      </c>
      <c r="AH249" s="10" t="n">
        <v>0</v>
      </c>
      <c r="AI249" s="10" t="n">
        <v>0</v>
      </c>
      <c r="AJ249" s="10" t="n">
        <v>0</v>
      </c>
      <c r="AK249" s="10" t="n">
        <v>0</v>
      </c>
      <c r="AL249" s="10" t="n">
        <v>0</v>
      </c>
      <c r="AM249" s="10" t="n">
        <v>0</v>
      </c>
      <c r="AN249" s="10" t="n">
        <v>0</v>
      </c>
      <c r="AO249" s="10" t="n">
        <v>0</v>
      </c>
      <c r="AP249" s="10" t="n">
        <v>0</v>
      </c>
      <c r="AQ249" s="10" t="n">
        <v>0</v>
      </c>
      <c r="AR249" s="10" t="n">
        <v>0</v>
      </c>
      <c r="AS249" s="10" t="n">
        <v>0</v>
      </c>
    </row>
    <row r="250" customFormat="false" ht="15" hidden="true" customHeight="true" outlineLevel="1" collapsed="false">
      <c r="A250" s="1" t="s">
        <v>12</v>
      </c>
      <c r="B250" s="1" t="s">
        <v>14</v>
      </c>
      <c r="C250" s="1" t="s">
        <v>123</v>
      </c>
      <c r="D250" s="1" t="s">
        <v>141</v>
      </c>
      <c r="E250" s="1" t="s">
        <v>46</v>
      </c>
      <c r="F250" s="10" t="n">
        <v>0.5</v>
      </c>
      <c r="G250" s="10" t="n">
        <v>0.5</v>
      </c>
      <c r="H250" s="10" t="n">
        <v>0.5</v>
      </c>
      <c r="I250" s="10" t="n">
        <v>0.5</v>
      </c>
      <c r="J250" s="10" t="n">
        <v>0.5</v>
      </c>
      <c r="K250" s="10" t="n">
        <v>0.5</v>
      </c>
      <c r="L250" s="10" t="n">
        <v>0.5</v>
      </c>
      <c r="M250" s="10" t="n">
        <v>5</v>
      </c>
      <c r="N250" s="10" t="n">
        <v>5</v>
      </c>
      <c r="O250" s="10" t="n">
        <v>19.115385</v>
      </c>
      <c r="P250" s="10" t="n">
        <v>19.115385</v>
      </c>
      <c r="Q250" s="10" t="n">
        <v>0.5</v>
      </c>
      <c r="R250" s="10" t="n">
        <v>0.5</v>
      </c>
      <c r="S250" s="10" t="n">
        <v>0.5</v>
      </c>
      <c r="T250" s="10" t="n">
        <v>19.115385</v>
      </c>
      <c r="U250" s="10" t="n">
        <v>0.5</v>
      </c>
      <c r="V250" s="10" t="n">
        <v>0</v>
      </c>
      <c r="W250" s="10" t="n">
        <v>0</v>
      </c>
      <c r="X250" s="10" t="n">
        <v>1.5</v>
      </c>
      <c r="Y250" s="10" t="n">
        <v>10.5</v>
      </c>
      <c r="Z250" s="10" t="n">
        <v>20</v>
      </c>
      <c r="AA250" s="10" t="n">
        <v>20</v>
      </c>
      <c r="AB250" s="10" t="n">
        <v>20</v>
      </c>
      <c r="AC250" s="10" t="n">
        <v>16</v>
      </c>
      <c r="AD250" s="10" t="n">
        <v>2</v>
      </c>
      <c r="AE250" s="10" t="n">
        <v>0</v>
      </c>
      <c r="AF250" s="10" t="n">
        <v>0</v>
      </c>
      <c r="AG250" s="10" t="n">
        <v>0</v>
      </c>
      <c r="AH250" s="10" t="n">
        <v>0</v>
      </c>
      <c r="AI250" s="10" t="n">
        <v>0</v>
      </c>
      <c r="AJ250" s="10" t="n">
        <v>0</v>
      </c>
      <c r="AK250" s="10" t="n">
        <v>0</v>
      </c>
      <c r="AL250" s="10" t="n">
        <v>0</v>
      </c>
      <c r="AM250" s="10" t="n">
        <v>0</v>
      </c>
      <c r="AN250" s="10" t="n">
        <v>0</v>
      </c>
      <c r="AO250" s="10" t="n">
        <v>0</v>
      </c>
      <c r="AP250" s="10" t="n">
        <v>0</v>
      </c>
      <c r="AQ250" s="10" t="n">
        <v>0</v>
      </c>
      <c r="AR250" s="10" t="n">
        <v>0</v>
      </c>
      <c r="AS250" s="10" t="n">
        <v>0</v>
      </c>
    </row>
    <row r="251" customFormat="false" ht="15" hidden="true" customHeight="true" outlineLevel="1" collapsed="false">
      <c r="A251" s="1" t="s">
        <v>12</v>
      </c>
      <c r="B251" s="1" t="s">
        <v>14</v>
      </c>
      <c r="C251" s="1" t="s">
        <v>123</v>
      </c>
      <c r="D251" s="1" t="s">
        <v>141</v>
      </c>
      <c r="E251" s="1" t="s">
        <v>99</v>
      </c>
      <c r="F251" s="10" t="n">
        <v>0</v>
      </c>
      <c r="G251" s="10" t="n">
        <v>0</v>
      </c>
      <c r="H251" s="10" t="n">
        <v>0</v>
      </c>
      <c r="I251" s="10" t="n">
        <v>0</v>
      </c>
      <c r="J251" s="10" t="n">
        <v>0</v>
      </c>
      <c r="K251" s="10" t="n">
        <v>0</v>
      </c>
      <c r="L251" s="10" t="n">
        <v>0</v>
      </c>
      <c r="M251" s="10" t="n">
        <v>0</v>
      </c>
      <c r="N251" s="10" t="n">
        <v>0</v>
      </c>
      <c r="O251" s="10" t="n">
        <v>0</v>
      </c>
      <c r="P251" s="10" t="n">
        <v>0</v>
      </c>
      <c r="Q251" s="10" t="n">
        <v>0</v>
      </c>
      <c r="R251" s="10" t="n">
        <v>0</v>
      </c>
      <c r="S251" s="10" t="n">
        <v>0</v>
      </c>
      <c r="T251" s="10" t="n">
        <v>0</v>
      </c>
      <c r="U251" s="10" t="n">
        <v>0</v>
      </c>
      <c r="V251" s="10" t="n">
        <v>0</v>
      </c>
      <c r="W251" s="10" t="n">
        <v>0</v>
      </c>
      <c r="X251" s="10" t="n">
        <v>0</v>
      </c>
      <c r="Y251" s="10" t="n">
        <v>7.5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10" t="n">
        <v>0</v>
      </c>
      <c r="AG251" s="10" t="n">
        <v>0</v>
      </c>
      <c r="AH251" s="10" t="n">
        <v>0</v>
      </c>
      <c r="AI251" s="10" t="n">
        <v>0</v>
      </c>
      <c r="AJ251" s="10" t="n">
        <v>0</v>
      </c>
      <c r="AK251" s="10" t="n">
        <v>0</v>
      </c>
      <c r="AL251" s="10" t="n">
        <v>0</v>
      </c>
      <c r="AM251" s="10" t="n">
        <v>0</v>
      </c>
      <c r="AN251" s="10" t="n">
        <v>0</v>
      </c>
      <c r="AO251" s="10" t="n">
        <v>0</v>
      </c>
      <c r="AP251" s="10" t="n">
        <v>0</v>
      </c>
      <c r="AQ251" s="10" t="n">
        <v>0</v>
      </c>
      <c r="AR251" s="10" t="n">
        <v>0</v>
      </c>
      <c r="AS251" s="10" t="n">
        <v>0</v>
      </c>
    </row>
    <row r="252" customFormat="false" ht="15" hidden="false" customHeight="true" outlineLevel="0" collapsed="false">
      <c r="A252" s="4" t="s">
        <v>12</v>
      </c>
      <c r="B252" s="4" t="s">
        <v>14</v>
      </c>
      <c r="C252" s="4" t="s">
        <v>24</v>
      </c>
      <c r="D252" s="4" t="s">
        <v>76</v>
      </c>
      <c r="E252" s="4" t="s">
        <v>77</v>
      </c>
      <c r="F252" s="8" t="n">
        <f aca="false">SUM(F253,F254,F255,F256,F257,F258,F259,F260)</f>
        <v>40</v>
      </c>
      <c r="G252" s="8" t="n">
        <f aca="false">SUM(G253,G254,G255,G256,G257,G258,G259,G260)</f>
        <v>33.346154</v>
      </c>
      <c r="H252" s="8" t="n">
        <f aca="false">SUM(H253,H254,H255,H256,H257,H258,H259,H260)</f>
        <v>17.346154</v>
      </c>
      <c r="I252" s="8" t="n">
        <f aca="false">SUM(I253,I254,I255,I256,I257,I258,I259,I260)</f>
        <v>25.346154</v>
      </c>
      <c r="J252" s="8" t="n">
        <f aca="false">SUM(J253,J254,J255,J256,J257,J258,J259,J260)</f>
        <v>31.346154</v>
      </c>
      <c r="K252" s="8" t="n">
        <f aca="false">SUM(K253,K254,K255,K256,K257,K258,K259,K260)</f>
        <v>26.346154</v>
      </c>
      <c r="L252" s="8" t="n">
        <f aca="false">SUM(L253,L254,L255,L256,L257,L258,L259,L260)</f>
        <v>40</v>
      </c>
      <c r="M252" s="8" t="n">
        <f aca="false">SUM(M253,M254,M255,M256,M257,M258,M259,M260)</f>
        <v>40</v>
      </c>
      <c r="N252" s="8" t="n">
        <f aca="false">SUM(N253,N254,N255,N256,N257,N258,N259,N260)</f>
        <v>36.346154</v>
      </c>
      <c r="O252" s="8" t="n">
        <f aca="false">SUM(O253,O254,O255,O256,O257,O258,O259,O260)</f>
        <v>40</v>
      </c>
      <c r="P252" s="8" t="n">
        <f aca="false">SUM(P253,P254,P255,P256,P257,P258,P259,P260)</f>
        <v>40</v>
      </c>
      <c r="Q252" s="8" t="n">
        <f aca="false">SUM(Q253,Q254,Q255,Q256,Q257,Q258,Q259,Q260)</f>
        <v>40</v>
      </c>
      <c r="R252" s="8" t="n">
        <f aca="false">SUM(R253,R254,R255,R256,R257,R258,R259,R260)</f>
        <v>40</v>
      </c>
      <c r="S252" s="8" t="n">
        <f aca="false">SUM(S253,S254,S255,S256,S257,S258,S259,S260)</f>
        <v>34.346154</v>
      </c>
      <c r="T252" s="8" t="n">
        <f aca="false">SUM(T253,T254,T255,T256,T257,T258,T259,T260)</f>
        <v>31.346154</v>
      </c>
      <c r="U252" s="8" t="n">
        <f aca="false">SUM(U253,U254,U255,U256,U257,U258,U259,U260)</f>
        <v>24.346154</v>
      </c>
      <c r="V252" s="8" t="n">
        <f aca="false">SUM(V253,V254,V255,V256,V257,V258,V259,V260)</f>
        <v>1.346154</v>
      </c>
      <c r="W252" s="8" t="n">
        <f aca="false">SUM(W253,W254,W255,W256,W257,W258,W259,W260)</f>
        <v>1.346154</v>
      </c>
      <c r="X252" s="8" t="n">
        <f aca="false">SUM(X253,X254,X255,X256,X257,X258,X259,X260)</f>
        <v>55</v>
      </c>
      <c r="Y252" s="8" t="n">
        <f aca="false">SUM(Y253,Y254,Y255,Y256,Y257,Y258,Y259,Y260)</f>
        <v>55</v>
      </c>
      <c r="Z252" s="8" t="n">
        <f aca="false">SUM(Z253,Z254,Z255,Z256,Z257,Z258,Z259,Z260)</f>
        <v>55</v>
      </c>
      <c r="AA252" s="8" t="n">
        <f aca="false">SUM(AA253,AA254,AA255,AA256,AA257,AA258,AA259,AA260)</f>
        <v>55</v>
      </c>
      <c r="AB252" s="8" t="n">
        <f aca="false">SUM(AB253,AB254,AB255,AB256,AB257,AB258,AB259,AB260)</f>
        <v>55</v>
      </c>
      <c r="AC252" s="8" t="n">
        <f aca="false">SUM(AC253,AC254,AC255,AC256,AC257,AC258,AC259,AC260)</f>
        <v>55</v>
      </c>
      <c r="AD252" s="8" t="n">
        <f aca="false">SUM(AD253,AD254,AD255,AD256,AD257,AD258,AD259,AD260)</f>
        <v>55</v>
      </c>
      <c r="AE252" s="8" t="n">
        <f aca="false">SUM(AE253,AE254,AE255,AE256,AE257,AE258,AE259,AE260)</f>
        <v>33.5</v>
      </c>
      <c r="AF252" s="8" t="n">
        <f aca="false">SUM(AF253,AF254,AF255,AF256,AF257,AF258,AF259,AF260)</f>
        <v>40</v>
      </c>
      <c r="AG252" s="8" t="n">
        <f aca="false">SUM(AG253,AG254,AG255,AG256,AG257,AG258,AG259,AG260)</f>
        <v>40</v>
      </c>
      <c r="AH252" s="8" t="n">
        <f aca="false">SUM(AH253,AH254,AH255,AH256,AH257,AH258,AH259,AH260)</f>
        <v>40</v>
      </c>
      <c r="AI252" s="8" t="n">
        <f aca="false">SUM(AI253,AI254,AI255,AI256,AI257,AI258,AI259,AI260)</f>
        <v>12</v>
      </c>
      <c r="AJ252" s="8" t="n">
        <f aca="false">SUM(AJ253,AJ254,AJ255,AJ256,AJ257,AJ258,AJ259,AJ260)</f>
        <v>0</v>
      </c>
      <c r="AK252" s="8" t="n">
        <f aca="false">SUM(AK253,AK254,AK255,AK256,AK257,AK258,AK259,AK260)</f>
        <v>0</v>
      </c>
      <c r="AL252" s="8" t="n">
        <f aca="false">SUM(AL253,AL254,AL255,AL256,AL257,AL258,AL259,AL260)</f>
        <v>0</v>
      </c>
      <c r="AM252" s="8" t="n">
        <f aca="false">SUM(AM253,AM254,AM255,AM256,AM257,AM258,AM259,AM260)</f>
        <v>0</v>
      </c>
      <c r="AN252" s="8" t="n">
        <f aca="false">SUM(AN253,AN254,AN255,AN256,AN257,AN258,AN259,AN260)</f>
        <v>0</v>
      </c>
      <c r="AO252" s="8" t="n">
        <f aca="false">SUM(AO253,AO254,AO255,AO256,AO257,AO258,AO259,AO260)</f>
        <v>0</v>
      </c>
      <c r="AP252" s="8" t="n">
        <f aca="false">SUM(AP253,AP254,AP255,AP256,AP257,AP258,AP259,AP260)</f>
        <v>0</v>
      </c>
      <c r="AQ252" s="8" t="n">
        <f aca="false">SUM(AQ253,AQ254,AQ255,AQ256,AQ257,AQ258,AQ259,AQ260)</f>
        <v>0</v>
      </c>
      <c r="AR252" s="8" t="n">
        <f aca="false">SUM(AR253,AR254,AR255,AR256,AR257,AR258,AR259,AR260)</f>
        <v>0</v>
      </c>
      <c r="AS252" s="8" t="n">
        <f aca="false">SUM(AS253,AS254,AS255,AS256,AS257,AS258,AS259,AS260)</f>
        <v>0</v>
      </c>
    </row>
    <row r="253" customFormat="false" ht="15" hidden="true" customHeight="true" outlineLevel="1" collapsed="false">
      <c r="A253" s="1" t="s">
        <v>12</v>
      </c>
      <c r="B253" s="1" t="s">
        <v>14</v>
      </c>
      <c r="C253" s="1" t="s">
        <v>24</v>
      </c>
      <c r="D253" s="1" t="s">
        <v>141</v>
      </c>
      <c r="E253" s="1" t="s">
        <v>80</v>
      </c>
      <c r="F253" s="10" t="n">
        <v>0</v>
      </c>
      <c r="G253" s="10" t="n">
        <v>2</v>
      </c>
      <c r="H253" s="10" t="n">
        <v>0</v>
      </c>
      <c r="I253" s="10" t="n">
        <v>4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0" t="n">
        <v>0</v>
      </c>
      <c r="P253" s="10" t="n">
        <v>0</v>
      </c>
      <c r="Q253" s="10" t="n">
        <v>0</v>
      </c>
      <c r="R253" s="10" t="n">
        <v>0</v>
      </c>
      <c r="S253" s="10" t="n">
        <v>0</v>
      </c>
      <c r="T253" s="10" t="n">
        <v>5</v>
      </c>
      <c r="U253" s="10" t="n">
        <v>6</v>
      </c>
      <c r="V253" s="10" t="n">
        <v>0</v>
      </c>
      <c r="W253" s="10" t="n">
        <v>0</v>
      </c>
      <c r="X253" s="10" t="n">
        <v>0</v>
      </c>
      <c r="Y253" s="10" t="n">
        <v>0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0" t="n">
        <v>10</v>
      </c>
      <c r="AF253" s="10" t="n">
        <v>20</v>
      </c>
      <c r="AG253" s="10" t="n">
        <v>16</v>
      </c>
      <c r="AH253" s="10" t="n">
        <v>16</v>
      </c>
      <c r="AI253" s="10" t="n">
        <v>0</v>
      </c>
      <c r="AJ253" s="10" t="n">
        <v>0</v>
      </c>
      <c r="AK253" s="10" t="n">
        <v>0</v>
      </c>
      <c r="AL253" s="10" t="n">
        <v>0</v>
      </c>
      <c r="AM253" s="10" t="n">
        <v>0</v>
      </c>
      <c r="AN253" s="10" t="n">
        <v>0</v>
      </c>
      <c r="AO253" s="10" t="n">
        <v>0</v>
      </c>
      <c r="AP253" s="10" t="n">
        <v>0</v>
      </c>
      <c r="AQ253" s="10" t="n">
        <v>0</v>
      </c>
      <c r="AR253" s="10" t="n">
        <v>0</v>
      </c>
      <c r="AS253" s="10" t="n">
        <v>0</v>
      </c>
    </row>
    <row r="254" customFormat="false" ht="15" hidden="true" customHeight="true" outlineLevel="1" collapsed="false">
      <c r="A254" s="1" t="s">
        <v>12</v>
      </c>
      <c r="B254" s="1" t="s">
        <v>14</v>
      </c>
      <c r="C254" s="1" t="s">
        <v>24</v>
      </c>
      <c r="D254" s="1" t="s">
        <v>141</v>
      </c>
      <c r="E254" s="1" t="s">
        <v>113</v>
      </c>
      <c r="F254" s="10" t="n">
        <v>0</v>
      </c>
      <c r="G254" s="10" t="n">
        <v>0</v>
      </c>
      <c r="H254" s="10" t="n">
        <v>5</v>
      </c>
      <c r="I254" s="10" t="n">
        <v>5</v>
      </c>
      <c r="J254" s="10" t="n">
        <v>5</v>
      </c>
      <c r="K254" s="10" t="n">
        <v>5</v>
      </c>
      <c r="L254" s="10" t="n">
        <v>5</v>
      </c>
      <c r="M254" s="10" t="n">
        <v>5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0</v>
      </c>
      <c r="U254" s="10" t="n">
        <v>0</v>
      </c>
      <c r="V254" s="10" t="n">
        <v>0</v>
      </c>
      <c r="W254" s="10" t="n">
        <v>0</v>
      </c>
      <c r="X254" s="10" t="n">
        <v>0</v>
      </c>
      <c r="Y254" s="10" t="n">
        <v>0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10" t="n">
        <v>20</v>
      </c>
      <c r="AG254" s="10" t="n">
        <v>24</v>
      </c>
      <c r="AH254" s="10" t="n">
        <v>24</v>
      </c>
      <c r="AI254" s="10" t="n">
        <v>12</v>
      </c>
      <c r="AJ254" s="10" t="n">
        <v>0</v>
      </c>
      <c r="AK254" s="10" t="n">
        <v>0</v>
      </c>
      <c r="AL254" s="10" t="n">
        <v>0</v>
      </c>
      <c r="AM254" s="10" t="n">
        <v>0</v>
      </c>
      <c r="AN254" s="10" t="n">
        <v>0</v>
      </c>
      <c r="AO254" s="10" t="n">
        <v>0</v>
      </c>
      <c r="AP254" s="10" t="n">
        <v>0</v>
      </c>
      <c r="AQ254" s="10" t="n">
        <v>0</v>
      </c>
      <c r="AR254" s="10" t="n">
        <v>0</v>
      </c>
      <c r="AS254" s="10" t="n">
        <v>0</v>
      </c>
    </row>
    <row r="255" customFormat="false" ht="15" hidden="true" customHeight="true" outlineLevel="1" collapsed="false">
      <c r="A255" s="1" t="s">
        <v>12</v>
      </c>
      <c r="B255" s="1" t="s">
        <v>14</v>
      </c>
      <c r="C255" s="1" t="s">
        <v>24</v>
      </c>
      <c r="D255" s="1" t="s">
        <v>141</v>
      </c>
      <c r="E255" s="1" t="s">
        <v>108</v>
      </c>
      <c r="F255" s="10" t="n">
        <v>0</v>
      </c>
      <c r="G255" s="10" t="n">
        <v>0</v>
      </c>
      <c r="H255" s="10" t="n">
        <v>5</v>
      </c>
      <c r="I255" s="10" t="n">
        <v>0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0" t="n">
        <v>0</v>
      </c>
      <c r="P255" s="10" t="n">
        <v>0</v>
      </c>
      <c r="Q255" s="10" t="n">
        <v>0</v>
      </c>
      <c r="R255" s="10" t="n">
        <v>0</v>
      </c>
      <c r="S255" s="10" t="n">
        <v>0</v>
      </c>
      <c r="T255" s="10" t="n">
        <v>0</v>
      </c>
      <c r="U255" s="10" t="n">
        <v>0</v>
      </c>
      <c r="V255" s="10" t="n">
        <v>0</v>
      </c>
      <c r="W255" s="10" t="n">
        <v>0</v>
      </c>
      <c r="X255" s="10" t="n">
        <v>0</v>
      </c>
      <c r="Y255" s="10" t="n">
        <v>0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10" t="n">
        <v>0</v>
      </c>
      <c r="AG255" s="10" t="n">
        <v>0</v>
      </c>
      <c r="AH255" s="10" t="n">
        <v>0</v>
      </c>
      <c r="AI255" s="10" t="n">
        <v>0</v>
      </c>
      <c r="AJ255" s="10" t="n">
        <v>0</v>
      </c>
      <c r="AK255" s="10" t="n">
        <v>0</v>
      </c>
      <c r="AL255" s="10" t="n">
        <v>0</v>
      </c>
      <c r="AM255" s="10" t="n">
        <v>0</v>
      </c>
      <c r="AN255" s="10" t="n">
        <v>0</v>
      </c>
      <c r="AO255" s="10" t="n">
        <v>0</v>
      </c>
      <c r="AP255" s="10" t="n">
        <v>0</v>
      </c>
      <c r="AQ255" s="10" t="n">
        <v>0</v>
      </c>
      <c r="AR255" s="10" t="n">
        <v>0</v>
      </c>
      <c r="AS255" s="10" t="n">
        <v>0</v>
      </c>
    </row>
    <row r="256" customFormat="false" ht="15" hidden="true" customHeight="true" outlineLevel="1" collapsed="false">
      <c r="A256" s="1" t="s">
        <v>12</v>
      </c>
      <c r="B256" s="1" t="s">
        <v>14</v>
      </c>
      <c r="C256" s="1" t="s">
        <v>24</v>
      </c>
      <c r="D256" s="1" t="s">
        <v>141</v>
      </c>
      <c r="E256" s="1" t="s">
        <v>81</v>
      </c>
      <c r="F256" s="10" t="n">
        <v>2.5</v>
      </c>
      <c r="G256" s="10" t="n">
        <v>1.346154</v>
      </c>
      <c r="H256" s="10" t="n">
        <v>1.346154</v>
      </c>
      <c r="I256" s="10" t="n">
        <v>1.346154</v>
      </c>
      <c r="J256" s="10" t="n">
        <v>1.346154</v>
      </c>
      <c r="K256" s="10" t="n">
        <v>1.346154</v>
      </c>
      <c r="L256" s="10" t="n">
        <v>1.346154</v>
      </c>
      <c r="M256" s="10" t="n">
        <v>0</v>
      </c>
      <c r="N256" s="10" t="n">
        <v>1.346154</v>
      </c>
      <c r="O256" s="10" t="n">
        <v>1.346154</v>
      </c>
      <c r="P256" s="10" t="n">
        <v>1.346154</v>
      </c>
      <c r="Q256" s="10" t="n">
        <v>1.346154</v>
      </c>
      <c r="R256" s="10" t="n">
        <v>1.346154</v>
      </c>
      <c r="S256" s="10" t="n">
        <v>1.346154</v>
      </c>
      <c r="T256" s="10" t="n">
        <v>1.346154</v>
      </c>
      <c r="U256" s="10" t="n">
        <v>1.346154</v>
      </c>
      <c r="V256" s="10" t="n">
        <v>1.346154</v>
      </c>
      <c r="W256" s="10" t="n">
        <v>1.346154</v>
      </c>
      <c r="X256" s="10" t="n">
        <v>2.5</v>
      </c>
      <c r="Y256" s="10" t="n">
        <v>2.5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0" t="n">
        <v>5</v>
      </c>
      <c r="AE256" s="10" t="n">
        <v>3.5</v>
      </c>
      <c r="AF256" s="10" t="n">
        <v>0</v>
      </c>
      <c r="AG256" s="10" t="n">
        <v>0</v>
      </c>
      <c r="AH256" s="10" t="n">
        <v>0</v>
      </c>
      <c r="AI256" s="10" t="n">
        <v>0</v>
      </c>
      <c r="AJ256" s="10" t="n">
        <v>0</v>
      </c>
      <c r="AK256" s="10" t="n">
        <v>0</v>
      </c>
      <c r="AL256" s="10" t="n">
        <v>0</v>
      </c>
      <c r="AM256" s="10" t="n">
        <v>0</v>
      </c>
      <c r="AN256" s="10" t="n">
        <v>0</v>
      </c>
      <c r="AO256" s="10" t="n">
        <v>0</v>
      </c>
      <c r="AP256" s="10" t="n">
        <v>0</v>
      </c>
      <c r="AQ256" s="10" t="n">
        <v>0</v>
      </c>
      <c r="AR256" s="10" t="n">
        <v>0</v>
      </c>
      <c r="AS256" s="10" t="n">
        <v>0</v>
      </c>
    </row>
    <row r="257" customFormat="false" ht="15" hidden="true" customHeight="true" outlineLevel="1" collapsed="false">
      <c r="A257" s="1" t="s">
        <v>12</v>
      </c>
      <c r="B257" s="1" t="s">
        <v>14</v>
      </c>
      <c r="C257" s="1" t="s">
        <v>24</v>
      </c>
      <c r="D257" s="1" t="s">
        <v>141</v>
      </c>
      <c r="E257" s="1" t="s">
        <v>84</v>
      </c>
      <c r="F257" s="10" t="n">
        <v>0</v>
      </c>
      <c r="G257" s="10" t="n">
        <v>0</v>
      </c>
      <c r="H257" s="10" t="n">
        <v>0</v>
      </c>
      <c r="I257" s="10" t="n">
        <v>0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5</v>
      </c>
      <c r="O257" s="10" t="n">
        <v>0</v>
      </c>
      <c r="P257" s="10" t="n">
        <v>0</v>
      </c>
      <c r="Q257" s="10" t="n">
        <v>0</v>
      </c>
      <c r="R257" s="10" t="n">
        <v>0</v>
      </c>
      <c r="S257" s="10" t="n">
        <v>0</v>
      </c>
      <c r="T257" s="10" t="n">
        <v>0</v>
      </c>
      <c r="U257" s="10" t="n">
        <v>0</v>
      </c>
      <c r="V257" s="10" t="n">
        <v>0</v>
      </c>
      <c r="W257" s="10" t="n">
        <v>0</v>
      </c>
      <c r="X257" s="10" t="n">
        <v>0</v>
      </c>
      <c r="Y257" s="10" t="n">
        <v>0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10" t="n">
        <v>0</v>
      </c>
      <c r="AG257" s="10" t="n">
        <v>0</v>
      </c>
      <c r="AH257" s="10" t="n">
        <v>0</v>
      </c>
      <c r="AI257" s="10" t="n">
        <v>0</v>
      </c>
      <c r="AJ257" s="10" t="n">
        <v>0</v>
      </c>
      <c r="AK257" s="10" t="n">
        <v>0</v>
      </c>
      <c r="AL257" s="10" t="n">
        <v>0</v>
      </c>
      <c r="AM257" s="10" t="n">
        <v>0</v>
      </c>
      <c r="AN257" s="10" t="n">
        <v>0</v>
      </c>
      <c r="AO257" s="10" t="n">
        <v>0</v>
      </c>
      <c r="AP257" s="10" t="n">
        <v>0</v>
      </c>
      <c r="AQ257" s="10" t="n">
        <v>0</v>
      </c>
      <c r="AR257" s="10" t="n">
        <v>0</v>
      </c>
      <c r="AS257" s="10" t="n">
        <v>0</v>
      </c>
    </row>
    <row r="258" customFormat="false" ht="15" hidden="true" customHeight="true" outlineLevel="1" collapsed="false">
      <c r="A258" s="1" t="s">
        <v>12</v>
      </c>
      <c r="B258" s="1" t="s">
        <v>14</v>
      </c>
      <c r="C258" s="1" t="s">
        <v>24</v>
      </c>
      <c r="D258" s="1" t="s">
        <v>141</v>
      </c>
      <c r="E258" s="1" t="s">
        <v>40</v>
      </c>
      <c r="F258" s="10" t="n">
        <v>0</v>
      </c>
      <c r="G258" s="10" t="n">
        <v>0</v>
      </c>
      <c r="H258" s="10" t="n">
        <v>0</v>
      </c>
      <c r="I258" s="10" t="n">
        <v>0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10" t="n">
        <v>0</v>
      </c>
      <c r="U258" s="10" t="n">
        <v>0</v>
      </c>
      <c r="V258" s="10" t="n">
        <v>0</v>
      </c>
      <c r="W258" s="10" t="n">
        <v>0</v>
      </c>
      <c r="X258" s="10" t="n">
        <v>0</v>
      </c>
      <c r="Y258" s="10" t="n">
        <v>0</v>
      </c>
      <c r="Z258" s="10" t="n">
        <v>0</v>
      </c>
      <c r="AA258" s="10" t="n">
        <v>0</v>
      </c>
      <c r="AB258" s="10" t="n">
        <v>0</v>
      </c>
      <c r="AC258" s="10" t="n">
        <v>5</v>
      </c>
      <c r="AD258" s="10" t="n">
        <v>20</v>
      </c>
      <c r="AE258" s="10" t="n">
        <v>20</v>
      </c>
      <c r="AF258" s="10" t="n">
        <v>0</v>
      </c>
      <c r="AG258" s="10" t="n">
        <v>0</v>
      </c>
      <c r="AH258" s="10" t="n">
        <v>0</v>
      </c>
      <c r="AI258" s="10" t="n">
        <v>0</v>
      </c>
      <c r="AJ258" s="10" t="n">
        <v>0</v>
      </c>
      <c r="AK258" s="10" t="n">
        <v>0</v>
      </c>
      <c r="AL258" s="10" t="n">
        <v>0</v>
      </c>
      <c r="AM258" s="10" t="n">
        <v>0</v>
      </c>
      <c r="AN258" s="10" t="n">
        <v>0</v>
      </c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</row>
    <row r="259" customFormat="false" ht="15" hidden="true" customHeight="true" outlineLevel="1" collapsed="false">
      <c r="A259" s="1" t="s">
        <v>12</v>
      </c>
      <c r="B259" s="1" t="s">
        <v>14</v>
      </c>
      <c r="C259" s="1" t="s">
        <v>24</v>
      </c>
      <c r="D259" s="1" t="s">
        <v>141</v>
      </c>
      <c r="E259" s="1" t="s">
        <v>103</v>
      </c>
      <c r="F259" s="10" t="n">
        <v>37.5</v>
      </c>
      <c r="G259" s="10" t="n">
        <v>30</v>
      </c>
      <c r="H259" s="10" t="n">
        <v>6</v>
      </c>
      <c r="I259" s="10" t="n">
        <v>15</v>
      </c>
      <c r="J259" s="10" t="n">
        <v>25</v>
      </c>
      <c r="K259" s="10" t="n">
        <v>20</v>
      </c>
      <c r="L259" s="10" t="n">
        <v>33.653846</v>
      </c>
      <c r="M259" s="10" t="n">
        <v>35</v>
      </c>
      <c r="N259" s="10" t="n">
        <v>30</v>
      </c>
      <c r="O259" s="10" t="n">
        <v>38.653846</v>
      </c>
      <c r="P259" s="10" t="n">
        <v>38.653846</v>
      </c>
      <c r="Q259" s="10" t="n">
        <v>38.653846</v>
      </c>
      <c r="R259" s="10" t="n">
        <v>38.653846</v>
      </c>
      <c r="S259" s="10" t="n">
        <v>30</v>
      </c>
      <c r="T259" s="10" t="n">
        <v>20</v>
      </c>
      <c r="U259" s="10" t="n">
        <v>10</v>
      </c>
      <c r="V259" s="10" t="n">
        <v>0</v>
      </c>
      <c r="W259" s="10" t="n">
        <v>0</v>
      </c>
      <c r="X259" s="10" t="n">
        <v>52.5</v>
      </c>
      <c r="Y259" s="10" t="n">
        <v>52.5</v>
      </c>
      <c r="Z259" s="10" t="n">
        <v>55</v>
      </c>
      <c r="AA259" s="10" t="n">
        <v>55</v>
      </c>
      <c r="AB259" s="10" t="n">
        <v>55</v>
      </c>
      <c r="AC259" s="10" t="n">
        <v>50</v>
      </c>
      <c r="AD259" s="10" t="n">
        <v>30</v>
      </c>
      <c r="AE259" s="10" t="n">
        <v>0</v>
      </c>
      <c r="AF259" s="10" t="n">
        <v>0</v>
      </c>
      <c r="AG259" s="10" t="n">
        <v>0</v>
      </c>
      <c r="AH259" s="10" t="n">
        <v>0</v>
      </c>
      <c r="AI259" s="10" t="n">
        <v>0</v>
      </c>
      <c r="AJ259" s="10" t="n">
        <v>0</v>
      </c>
      <c r="AK259" s="10" t="n">
        <v>0</v>
      </c>
      <c r="AL259" s="10" t="n">
        <v>0</v>
      </c>
      <c r="AM259" s="10" t="n">
        <v>0</v>
      </c>
      <c r="AN259" s="10" t="n">
        <v>0</v>
      </c>
      <c r="AO259" s="10" t="n">
        <v>0</v>
      </c>
      <c r="AP259" s="10" t="n">
        <v>0</v>
      </c>
      <c r="AQ259" s="10" t="n">
        <v>0</v>
      </c>
      <c r="AR259" s="10" t="n">
        <v>0</v>
      </c>
      <c r="AS259" s="10" t="n">
        <v>0</v>
      </c>
    </row>
    <row r="260" customFormat="false" ht="15" hidden="true" customHeight="true" outlineLevel="1" collapsed="false">
      <c r="A260" s="1" t="s">
        <v>12</v>
      </c>
      <c r="B260" s="1" t="s">
        <v>14</v>
      </c>
      <c r="C260" s="1" t="s">
        <v>24</v>
      </c>
      <c r="D260" s="1" t="s">
        <v>141</v>
      </c>
      <c r="E260" s="1" t="s">
        <v>111</v>
      </c>
      <c r="F260" s="10" t="n">
        <v>0</v>
      </c>
      <c r="G260" s="10" t="n">
        <v>0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3</v>
      </c>
      <c r="T260" s="10" t="n">
        <v>5</v>
      </c>
      <c r="U260" s="10" t="n">
        <v>7</v>
      </c>
      <c r="V260" s="10" t="n">
        <v>0</v>
      </c>
      <c r="W260" s="10" t="n">
        <v>0</v>
      </c>
      <c r="X260" s="10" t="n">
        <v>0</v>
      </c>
      <c r="Y260" s="10" t="n">
        <v>0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10" t="n">
        <v>0</v>
      </c>
      <c r="AG260" s="10" t="n">
        <v>0</v>
      </c>
      <c r="AH260" s="10" t="n">
        <v>0</v>
      </c>
      <c r="AI260" s="10" t="n">
        <v>0</v>
      </c>
      <c r="AJ260" s="10" t="n">
        <v>0</v>
      </c>
      <c r="AK260" s="10" t="n">
        <v>0</v>
      </c>
      <c r="AL260" s="10" t="n">
        <v>0</v>
      </c>
      <c r="AM260" s="10" t="n">
        <v>0</v>
      </c>
      <c r="AN260" s="10" t="n">
        <v>0</v>
      </c>
      <c r="AO260" s="10" t="n">
        <v>0</v>
      </c>
      <c r="AP260" s="10" t="n">
        <v>0</v>
      </c>
      <c r="AQ260" s="10" t="n">
        <v>0</v>
      </c>
      <c r="AR260" s="10" t="n">
        <v>0</v>
      </c>
      <c r="AS260" s="10" t="n">
        <v>0</v>
      </c>
    </row>
    <row r="261" customFormat="false" ht="15" hidden="false" customHeight="true" outlineLevel="0" collapsed="false">
      <c r="A261" s="4" t="s">
        <v>12</v>
      </c>
      <c r="B261" s="4" t="s">
        <v>14</v>
      </c>
      <c r="C261" s="4" t="s">
        <v>27</v>
      </c>
      <c r="D261" s="4" t="s">
        <v>76</v>
      </c>
      <c r="E261" s="4" t="s">
        <v>77</v>
      </c>
      <c r="F261" s="8" t="n">
        <f aca="false">SUM(F262,F263,F264,F265,F266,F267,F268,F269,F270)</f>
        <v>40</v>
      </c>
      <c r="G261" s="8" t="n">
        <f aca="false">SUM(G262,G263,G264,G265,G266,G267,G268,G269,G270)</f>
        <v>25.821429</v>
      </c>
      <c r="H261" s="8" t="n">
        <f aca="false">SUM(H262,H263,H264,H265,H266,H267,H268,H269,H270)</f>
        <v>14.821429</v>
      </c>
      <c r="I261" s="8" t="n">
        <f aca="false">SUM(I262,I263,I264,I265,I266,I267,I268,I269,I270)</f>
        <v>11</v>
      </c>
      <c r="J261" s="8" t="n">
        <f aca="false">SUM(J262,J263,J264,J265,J266,J267,J268,J269,J270)</f>
        <v>13</v>
      </c>
      <c r="K261" s="8" t="n">
        <f aca="false">SUM(K262,K263,K264,K265,K266,K267,K268,K269,K270)</f>
        <v>20</v>
      </c>
      <c r="L261" s="8" t="n">
        <f aca="false">SUM(L262,L263,L264,L265,L266,L267,L268,L269,L270)</f>
        <v>40</v>
      </c>
      <c r="M261" s="8" t="n">
        <f aca="false">SUM(M262,M263,M264,M265,M266,M267,M268,M269,M270)</f>
        <v>28</v>
      </c>
      <c r="N261" s="8" t="n">
        <f aca="false">SUM(N262,N263,N264,N265,N266,N267,N268,N269,N270)</f>
        <v>24</v>
      </c>
      <c r="O261" s="8" t="n">
        <f aca="false">SUM(O262,O263,O264,O265,O266,O267,O268,O269,O270)</f>
        <v>19</v>
      </c>
      <c r="P261" s="8" t="n">
        <f aca="false">SUM(P262,P263,P264,P265,P266,P267,P268,P269,P270)</f>
        <v>35</v>
      </c>
      <c r="Q261" s="8" t="n">
        <f aca="false">SUM(Q262,Q263,Q264,Q265,Q266,Q267,Q268,Q269,Q270)</f>
        <v>40</v>
      </c>
      <c r="R261" s="8" t="n">
        <f aca="false">SUM(R262,R263,R264,R265,R266,R267,R268,R269,R270)</f>
        <v>40</v>
      </c>
      <c r="S261" s="8" t="n">
        <f aca="false">SUM(S262,S263,S264,S265,S266,S267,S268,S269,S270)</f>
        <v>40</v>
      </c>
      <c r="T261" s="8" t="n">
        <f aca="false">SUM(T262,T263,T264,T265,T266,T267,T268,T269,T270)</f>
        <v>31</v>
      </c>
      <c r="U261" s="8" t="n">
        <f aca="false">SUM(U262,U263,U264,U265,U266,U267,U268,U269,U270)</f>
        <v>36</v>
      </c>
      <c r="V261" s="8" t="n">
        <f aca="false">SUM(V262,V263,V264,V265,V266,V267,V268,V269,V270)</f>
        <v>9.821429</v>
      </c>
      <c r="W261" s="8" t="n">
        <f aca="false">SUM(W262,W263,W264,W265,W266,W267,W268,W269,W270)</f>
        <v>4.821429</v>
      </c>
      <c r="X261" s="8" t="n">
        <f aca="false">SUM(X262,X263,X264,X265,X266,X267,X268,X269,X270)</f>
        <v>30</v>
      </c>
      <c r="Y261" s="8" t="n">
        <f aca="false">SUM(Y262,Y263,Y264,Y265,Y266,Y267,Y268,Y269,Y270)</f>
        <v>55</v>
      </c>
      <c r="Z261" s="8" t="n">
        <f aca="false">SUM(Z262,Z263,Z264,Z265,Z266,Z267,Z268,Z269,Z270)</f>
        <v>55</v>
      </c>
      <c r="AA261" s="8" t="n">
        <f aca="false">SUM(AA262,AA263,AA264,AA265,AA266,AA267,AA268,AA269,AA270)</f>
        <v>55</v>
      </c>
      <c r="AB261" s="8" t="n">
        <f aca="false">SUM(AB262,AB263,AB264,AB265,AB266,AB267,AB268,AB269,AB270)</f>
        <v>55</v>
      </c>
      <c r="AC261" s="8" t="n">
        <f aca="false">SUM(AC262,AC263,AC264,AC265,AC266,AC267,AC268,AC269,AC270)</f>
        <v>55</v>
      </c>
      <c r="AD261" s="8" t="n">
        <f aca="false">SUM(AD262,AD263,AD264,AD265,AD266,AD267,AD268,AD269,AD270)</f>
        <v>55</v>
      </c>
      <c r="AE261" s="8" t="n">
        <f aca="false">SUM(AE262,AE263,AE264,AE265,AE266,AE267,AE268,AE269,AE270)</f>
        <v>50</v>
      </c>
      <c r="AF261" s="8" t="n">
        <f aca="false">SUM(AF262,AF263,AF264,AF265,AF266,AF267,AF268,AF269,AF270)</f>
        <v>0</v>
      </c>
      <c r="AG261" s="8" t="n">
        <f aca="false">SUM(AG262,AG263,AG264,AG265,AG266,AG267,AG268,AG269,AG270)</f>
        <v>0</v>
      </c>
      <c r="AH261" s="8" t="n">
        <f aca="false">SUM(AH262,AH263,AH264,AH265,AH266,AH267,AH268,AH269,AH270)</f>
        <v>0</v>
      </c>
      <c r="AI261" s="8" t="n">
        <f aca="false">SUM(AI262,AI263,AI264,AI265,AI266,AI267,AI268,AI269,AI270)</f>
        <v>0</v>
      </c>
      <c r="AJ261" s="8" t="n">
        <f aca="false">SUM(AJ262,AJ263,AJ264,AJ265,AJ266,AJ267,AJ268,AJ269,AJ270)</f>
        <v>0</v>
      </c>
      <c r="AK261" s="8" t="n">
        <f aca="false">SUM(AK262,AK263,AK264,AK265,AK266,AK267,AK268,AK269,AK270)</f>
        <v>0</v>
      </c>
      <c r="AL261" s="8" t="n">
        <f aca="false">SUM(AL262,AL263,AL264,AL265,AL266,AL267,AL268,AL269,AL270)</f>
        <v>0</v>
      </c>
      <c r="AM261" s="8" t="n">
        <f aca="false">SUM(AM262,AM263,AM264,AM265,AM266,AM267,AM268,AM269,AM270)</f>
        <v>0</v>
      </c>
      <c r="AN261" s="8" t="n">
        <f aca="false">SUM(AN262,AN263,AN264,AN265,AN266,AN267,AN268,AN269,AN270)</f>
        <v>0</v>
      </c>
      <c r="AO261" s="8" t="n">
        <f aca="false">SUM(AO262,AO263,AO264,AO265,AO266,AO267,AO268,AO269,AO270)</f>
        <v>0</v>
      </c>
      <c r="AP261" s="8" t="n">
        <f aca="false">SUM(AP262,AP263,AP264,AP265,AP266,AP267,AP268,AP269,AP270)</f>
        <v>0</v>
      </c>
      <c r="AQ261" s="8" t="n">
        <f aca="false">SUM(AQ262,AQ263,AQ264,AQ265,AQ266,AQ267,AQ268,AQ269,AQ270)</f>
        <v>0</v>
      </c>
      <c r="AR261" s="8" t="n">
        <f aca="false">SUM(AR262,AR263,AR264,AR265,AR266,AR267,AR268,AR269,AR270)</f>
        <v>0</v>
      </c>
      <c r="AS261" s="8" t="n">
        <f aca="false">SUM(AS262,AS263,AS264,AS265,AS266,AS267,AS268,AS269,AS270)</f>
        <v>0</v>
      </c>
    </row>
    <row r="262" customFormat="false" ht="15" hidden="true" customHeight="true" outlineLevel="1" collapsed="false">
      <c r="A262" s="1" t="s">
        <v>12</v>
      </c>
      <c r="B262" s="1" t="s">
        <v>14</v>
      </c>
      <c r="C262" s="1" t="s">
        <v>27</v>
      </c>
      <c r="D262" s="1" t="s">
        <v>141</v>
      </c>
      <c r="E262" s="1" t="s">
        <v>81</v>
      </c>
      <c r="F262" s="10" t="n">
        <v>0</v>
      </c>
      <c r="G262" s="10" t="n">
        <v>1</v>
      </c>
      <c r="H262" s="10" t="n">
        <v>6</v>
      </c>
      <c r="I262" s="10" t="n">
        <v>0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0</v>
      </c>
      <c r="X262" s="10" t="n">
        <v>0</v>
      </c>
      <c r="Y262" s="10" t="n">
        <v>0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0" t="n">
        <v>5.5</v>
      </c>
      <c r="AE262" s="10" t="n">
        <v>2</v>
      </c>
      <c r="AF262" s="10" t="n">
        <v>0</v>
      </c>
      <c r="AG262" s="10" t="n">
        <v>0</v>
      </c>
      <c r="AH262" s="10" t="n">
        <v>0</v>
      </c>
      <c r="AI262" s="10" t="n">
        <v>0</v>
      </c>
      <c r="AJ262" s="10" t="n">
        <v>0</v>
      </c>
      <c r="AK262" s="10" t="n">
        <v>0</v>
      </c>
      <c r="AL262" s="10" t="n">
        <v>0</v>
      </c>
      <c r="AM262" s="10" t="n">
        <v>0</v>
      </c>
      <c r="AN262" s="10" t="n">
        <v>0</v>
      </c>
      <c r="AO262" s="10" t="n">
        <v>0</v>
      </c>
      <c r="AP262" s="10" t="n">
        <v>0</v>
      </c>
      <c r="AQ262" s="10" t="n">
        <v>0</v>
      </c>
      <c r="AR262" s="10" t="n">
        <v>0</v>
      </c>
      <c r="AS262" s="10" t="n">
        <v>0</v>
      </c>
    </row>
    <row r="263" customFormat="false" ht="15" hidden="true" customHeight="true" outlineLevel="1" collapsed="false">
      <c r="A263" s="1" t="s">
        <v>12</v>
      </c>
      <c r="B263" s="1" t="s">
        <v>14</v>
      </c>
      <c r="C263" s="1" t="s">
        <v>27</v>
      </c>
      <c r="D263" s="1" t="s">
        <v>141</v>
      </c>
      <c r="E263" s="1" t="s">
        <v>94</v>
      </c>
      <c r="F263" s="10" t="n">
        <v>4.821429</v>
      </c>
      <c r="G263" s="10" t="n">
        <v>4.821429</v>
      </c>
      <c r="H263" s="10" t="n">
        <v>4.821429</v>
      </c>
      <c r="I263" s="10" t="n">
        <v>6</v>
      </c>
      <c r="J263" s="10" t="n">
        <v>6</v>
      </c>
      <c r="K263" s="10" t="n">
        <v>6</v>
      </c>
      <c r="L263" s="10" t="n">
        <v>6</v>
      </c>
      <c r="M263" s="10" t="n">
        <v>6</v>
      </c>
      <c r="N263" s="10" t="n">
        <v>6</v>
      </c>
      <c r="O263" s="10" t="n">
        <v>6</v>
      </c>
      <c r="P263" s="10" t="n">
        <v>6</v>
      </c>
      <c r="Q263" s="10" t="n">
        <v>0</v>
      </c>
      <c r="R263" s="10" t="n">
        <v>0</v>
      </c>
      <c r="S263" s="10" t="n">
        <v>6</v>
      </c>
      <c r="T263" s="10" t="n">
        <v>6</v>
      </c>
      <c r="U263" s="10" t="n">
        <v>6</v>
      </c>
      <c r="V263" s="10" t="n">
        <v>4.821429</v>
      </c>
      <c r="W263" s="10" t="n">
        <v>4.821429</v>
      </c>
      <c r="X263" s="10" t="n">
        <v>8</v>
      </c>
      <c r="Y263" s="10" t="n">
        <v>8</v>
      </c>
      <c r="Z263" s="10" t="n">
        <v>8</v>
      </c>
      <c r="AA263" s="10" t="n">
        <v>3</v>
      </c>
      <c r="AB263" s="10" t="n">
        <v>8</v>
      </c>
      <c r="AC263" s="10" t="n">
        <v>8</v>
      </c>
      <c r="AD263" s="10" t="n">
        <v>8</v>
      </c>
      <c r="AE263" s="10" t="n">
        <v>8</v>
      </c>
      <c r="AF263" s="10" t="n">
        <v>0</v>
      </c>
      <c r="AG263" s="10" t="n">
        <v>0</v>
      </c>
      <c r="AH263" s="10" t="n">
        <v>0</v>
      </c>
      <c r="AI263" s="10" t="n">
        <v>0</v>
      </c>
      <c r="AJ263" s="10" t="n">
        <v>0</v>
      </c>
      <c r="AK263" s="10" t="n">
        <v>0</v>
      </c>
      <c r="AL263" s="10" t="n">
        <v>0</v>
      </c>
      <c r="AM263" s="10" t="n">
        <v>0</v>
      </c>
      <c r="AN263" s="10" t="n">
        <v>0</v>
      </c>
      <c r="AO263" s="10" t="n">
        <v>0</v>
      </c>
      <c r="AP263" s="10" t="n">
        <v>0</v>
      </c>
      <c r="AQ263" s="10" t="n">
        <v>0</v>
      </c>
      <c r="AR263" s="10" t="n">
        <v>0</v>
      </c>
      <c r="AS263" s="10" t="n">
        <v>0</v>
      </c>
    </row>
    <row r="264" customFormat="false" ht="15" hidden="true" customHeight="true" outlineLevel="1" collapsed="false">
      <c r="A264" s="1" t="s">
        <v>12</v>
      </c>
      <c r="B264" s="1" t="s">
        <v>14</v>
      </c>
      <c r="C264" s="1" t="s">
        <v>27</v>
      </c>
      <c r="D264" s="1" t="s">
        <v>141</v>
      </c>
      <c r="E264" s="1" t="s">
        <v>102</v>
      </c>
      <c r="F264" s="10" t="n">
        <v>0</v>
      </c>
      <c r="G264" s="10" t="n">
        <v>20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10" t="n">
        <v>0</v>
      </c>
      <c r="AG264" s="10" t="n">
        <v>0</v>
      </c>
      <c r="AH264" s="10" t="n">
        <v>0</v>
      </c>
      <c r="AI264" s="10" t="n">
        <v>0</v>
      </c>
      <c r="AJ264" s="10" t="n">
        <v>0</v>
      </c>
      <c r="AK264" s="10" t="n">
        <v>0</v>
      </c>
      <c r="AL264" s="10" t="n">
        <v>0</v>
      </c>
      <c r="AM264" s="10" t="n">
        <v>0</v>
      </c>
      <c r="AN264" s="10" t="n">
        <v>0</v>
      </c>
      <c r="AO264" s="10" t="n">
        <v>0</v>
      </c>
      <c r="AP264" s="10" t="n">
        <v>0</v>
      </c>
      <c r="AQ264" s="10" t="n">
        <v>0</v>
      </c>
      <c r="AR264" s="10" t="n">
        <v>0</v>
      </c>
      <c r="AS264" s="10" t="n">
        <v>0</v>
      </c>
    </row>
    <row r="265" customFormat="false" ht="15" hidden="true" customHeight="true" outlineLevel="1" collapsed="false">
      <c r="A265" s="1" t="s">
        <v>12</v>
      </c>
      <c r="B265" s="1" t="s">
        <v>14</v>
      </c>
      <c r="C265" s="1" t="s">
        <v>27</v>
      </c>
      <c r="D265" s="1" t="s">
        <v>141</v>
      </c>
      <c r="E265" s="1" t="s">
        <v>95</v>
      </c>
      <c r="F265" s="10" t="n">
        <v>0</v>
      </c>
      <c r="G265" s="10" t="n">
        <v>0</v>
      </c>
      <c r="H265" s="10" t="n">
        <v>0</v>
      </c>
      <c r="I265" s="10" t="n">
        <v>5</v>
      </c>
      <c r="J265" s="10" t="n">
        <v>7</v>
      </c>
      <c r="K265" s="10" t="n">
        <v>14</v>
      </c>
      <c r="L265" s="10" t="n">
        <v>5</v>
      </c>
      <c r="M265" s="10" t="n">
        <v>0</v>
      </c>
      <c r="N265" s="10" t="n">
        <v>0</v>
      </c>
      <c r="O265" s="10" t="n">
        <v>4</v>
      </c>
      <c r="P265" s="10" t="n">
        <v>29</v>
      </c>
      <c r="Q265" s="10" t="n">
        <v>40</v>
      </c>
      <c r="R265" s="10" t="n">
        <v>40</v>
      </c>
      <c r="S265" s="10" t="n">
        <v>24</v>
      </c>
      <c r="T265" s="10" t="n">
        <v>25</v>
      </c>
      <c r="U265" s="10" t="n">
        <v>5</v>
      </c>
      <c r="V265" s="10" t="n">
        <v>5</v>
      </c>
      <c r="W265" s="10" t="n">
        <v>0</v>
      </c>
      <c r="X265" s="10" t="n">
        <v>22</v>
      </c>
      <c r="Y265" s="10" t="n">
        <v>47</v>
      </c>
      <c r="Z265" s="10" t="n">
        <v>43</v>
      </c>
      <c r="AA265" s="10" t="n">
        <v>52</v>
      </c>
      <c r="AB265" s="10" t="n">
        <v>45</v>
      </c>
      <c r="AC265" s="10" t="n">
        <v>27</v>
      </c>
      <c r="AD265" s="10" t="n">
        <v>19</v>
      </c>
      <c r="AE265" s="10" t="n">
        <v>0</v>
      </c>
      <c r="AF265" s="10" t="n">
        <v>0</v>
      </c>
      <c r="AG265" s="10" t="n">
        <v>0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n">
        <v>0</v>
      </c>
      <c r="AN265" s="10" t="n">
        <v>0</v>
      </c>
      <c r="AO265" s="10" t="n">
        <v>0</v>
      </c>
      <c r="AP265" s="10" t="n">
        <v>0</v>
      </c>
      <c r="AQ265" s="10" t="n">
        <v>0</v>
      </c>
      <c r="AR265" s="10" t="n">
        <v>0</v>
      </c>
      <c r="AS265" s="10" t="n">
        <v>0</v>
      </c>
    </row>
    <row r="266" customFormat="false" ht="15" hidden="true" customHeight="true" outlineLevel="1" collapsed="false">
      <c r="A266" s="1" t="s">
        <v>12</v>
      </c>
      <c r="B266" s="1" t="s">
        <v>14</v>
      </c>
      <c r="C266" s="1" t="s">
        <v>27</v>
      </c>
      <c r="D266" s="1" t="s">
        <v>141</v>
      </c>
      <c r="E266" s="1" t="s">
        <v>84</v>
      </c>
      <c r="F266" s="10" t="n">
        <v>0</v>
      </c>
      <c r="G266" s="10" t="n">
        <v>0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22</v>
      </c>
      <c r="N266" s="10" t="n">
        <v>18</v>
      </c>
      <c r="O266" s="10" t="n">
        <v>0</v>
      </c>
      <c r="P266" s="10" t="n">
        <v>0</v>
      </c>
      <c r="Q266" s="10" t="n">
        <v>0</v>
      </c>
      <c r="R266" s="10" t="n">
        <v>0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10" t="n">
        <v>0</v>
      </c>
      <c r="AG266" s="10" t="n">
        <v>0</v>
      </c>
      <c r="AH266" s="10" t="n">
        <v>0</v>
      </c>
      <c r="AI266" s="10" t="n">
        <v>0</v>
      </c>
      <c r="AJ266" s="10" t="n">
        <v>0</v>
      </c>
      <c r="AK266" s="10" t="n">
        <v>0</v>
      </c>
      <c r="AL266" s="10" t="n">
        <v>0</v>
      </c>
      <c r="AM266" s="10" t="n">
        <v>0</v>
      </c>
      <c r="AN266" s="10" t="n">
        <v>0</v>
      </c>
      <c r="AO266" s="10" t="n">
        <v>0</v>
      </c>
      <c r="AP266" s="10" t="n">
        <v>0</v>
      </c>
      <c r="AQ266" s="10" t="n">
        <v>0</v>
      </c>
      <c r="AR266" s="10" t="n">
        <v>0</v>
      </c>
      <c r="AS266" s="10" t="n">
        <v>0</v>
      </c>
    </row>
    <row r="267" customFormat="false" ht="15" hidden="true" customHeight="true" outlineLevel="1" collapsed="false">
      <c r="A267" s="1" t="s">
        <v>12</v>
      </c>
      <c r="B267" s="1" t="s">
        <v>14</v>
      </c>
      <c r="C267" s="1" t="s">
        <v>27</v>
      </c>
      <c r="D267" s="1" t="s">
        <v>141</v>
      </c>
      <c r="E267" s="1" t="s">
        <v>40</v>
      </c>
      <c r="F267" s="10" t="n">
        <v>0</v>
      </c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0" t="n">
        <v>0</v>
      </c>
      <c r="P267" s="10" t="n">
        <v>0</v>
      </c>
      <c r="Q267" s="10" t="n">
        <v>0</v>
      </c>
      <c r="R267" s="10" t="n">
        <v>0</v>
      </c>
      <c r="S267" s="10" t="n">
        <v>10</v>
      </c>
      <c r="T267" s="10" t="n">
        <v>0</v>
      </c>
      <c r="U267" s="10" t="n">
        <v>0</v>
      </c>
      <c r="V267" s="10" t="n">
        <v>0</v>
      </c>
      <c r="W267" s="10" t="n">
        <v>0</v>
      </c>
      <c r="X267" s="10" t="n">
        <v>0</v>
      </c>
      <c r="Y267" s="10" t="n">
        <v>0</v>
      </c>
      <c r="Z267" s="10" t="n">
        <v>0</v>
      </c>
      <c r="AA267" s="10" t="n">
        <v>0</v>
      </c>
      <c r="AB267" s="10" t="n">
        <v>2</v>
      </c>
      <c r="AC267" s="10" t="n">
        <v>13</v>
      </c>
      <c r="AD267" s="10" t="n">
        <v>15</v>
      </c>
      <c r="AE267" s="10" t="n">
        <v>0</v>
      </c>
      <c r="AF267" s="10" t="n">
        <v>0</v>
      </c>
      <c r="AG267" s="10" t="n">
        <v>0</v>
      </c>
      <c r="AH267" s="10" t="n">
        <v>0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n">
        <v>0</v>
      </c>
      <c r="AN267" s="10" t="n">
        <v>0</v>
      </c>
      <c r="AO267" s="10" t="n">
        <v>0</v>
      </c>
      <c r="AP267" s="10" t="n">
        <v>0</v>
      </c>
      <c r="AQ267" s="10" t="n">
        <v>0</v>
      </c>
      <c r="AR267" s="10" t="n">
        <v>0</v>
      </c>
      <c r="AS267" s="10" t="n">
        <v>0</v>
      </c>
    </row>
    <row r="268" customFormat="false" ht="15" hidden="true" customHeight="true" outlineLevel="1" collapsed="false">
      <c r="A268" s="1" t="s">
        <v>12</v>
      </c>
      <c r="B268" s="1" t="s">
        <v>14</v>
      </c>
      <c r="C268" s="1" t="s">
        <v>27</v>
      </c>
      <c r="D268" s="1" t="s">
        <v>141</v>
      </c>
      <c r="E268" s="1" t="s">
        <v>85</v>
      </c>
      <c r="F268" s="10" t="n">
        <v>13.178571</v>
      </c>
      <c r="G268" s="10" t="n">
        <v>0</v>
      </c>
      <c r="H268" s="10" t="n">
        <v>4</v>
      </c>
      <c r="I268" s="10" t="n">
        <v>0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0" t="n">
        <v>0</v>
      </c>
      <c r="Q268" s="10" t="n">
        <v>0</v>
      </c>
      <c r="R268" s="10" t="n">
        <v>0</v>
      </c>
      <c r="S268" s="10" t="n">
        <v>0</v>
      </c>
      <c r="T268" s="10" t="n">
        <v>0</v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0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10" t="n">
        <v>0</v>
      </c>
      <c r="AG268" s="10" t="n">
        <v>0</v>
      </c>
      <c r="AH268" s="10" t="n">
        <v>0</v>
      </c>
      <c r="AI268" s="10" t="n">
        <v>0</v>
      </c>
      <c r="AJ268" s="10" t="n">
        <v>0</v>
      </c>
      <c r="AK268" s="10" t="n">
        <v>0</v>
      </c>
      <c r="AL268" s="10" t="n">
        <v>0</v>
      </c>
      <c r="AM268" s="10" t="n">
        <v>0</v>
      </c>
      <c r="AN268" s="10" t="n">
        <v>0</v>
      </c>
      <c r="AO268" s="10" t="n">
        <v>0</v>
      </c>
      <c r="AP268" s="10" t="n">
        <v>0</v>
      </c>
      <c r="AQ268" s="10" t="n">
        <v>0</v>
      </c>
      <c r="AR268" s="10" t="n">
        <v>0</v>
      </c>
      <c r="AS268" s="10" t="n">
        <v>0</v>
      </c>
    </row>
    <row r="269" customFormat="false" ht="15" hidden="true" customHeight="true" outlineLevel="1" collapsed="false">
      <c r="A269" s="1" t="s">
        <v>12</v>
      </c>
      <c r="B269" s="1" t="s">
        <v>14</v>
      </c>
      <c r="C269" s="1" t="s">
        <v>27</v>
      </c>
      <c r="D269" s="1" t="s">
        <v>141</v>
      </c>
      <c r="E269" s="1" t="s">
        <v>103</v>
      </c>
      <c r="F269" s="10" t="n">
        <v>0</v>
      </c>
      <c r="G269" s="10" t="n">
        <v>0</v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6.346154</v>
      </c>
      <c r="M269" s="10" t="n">
        <v>0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n">
        <v>0</v>
      </c>
      <c r="S269" s="10" t="n">
        <v>0</v>
      </c>
      <c r="T269" s="10" t="n">
        <v>0</v>
      </c>
      <c r="U269" s="10" t="n">
        <v>0</v>
      </c>
      <c r="V269" s="10" t="n">
        <v>0</v>
      </c>
      <c r="W269" s="10" t="n">
        <v>0</v>
      </c>
      <c r="X269" s="10" t="n">
        <v>0</v>
      </c>
      <c r="Y269" s="10" t="n">
        <v>0</v>
      </c>
      <c r="Z269" s="10" t="n">
        <v>4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10" t="n">
        <v>0</v>
      </c>
      <c r="AG269" s="10" t="n">
        <v>0</v>
      </c>
      <c r="AH269" s="10" t="n">
        <v>0</v>
      </c>
      <c r="AI269" s="10" t="n">
        <v>0</v>
      </c>
      <c r="AJ269" s="10" t="n">
        <v>0</v>
      </c>
      <c r="AK269" s="10" t="n">
        <v>0</v>
      </c>
      <c r="AL269" s="10" t="n">
        <v>0</v>
      </c>
      <c r="AM269" s="10" t="n">
        <v>0</v>
      </c>
      <c r="AN269" s="10" t="n">
        <v>0</v>
      </c>
      <c r="AO269" s="10" t="n">
        <v>0</v>
      </c>
      <c r="AP269" s="10" t="n">
        <v>0</v>
      </c>
      <c r="AQ269" s="10" t="n">
        <v>0</v>
      </c>
      <c r="AR269" s="10" t="n">
        <v>0</v>
      </c>
      <c r="AS269" s="10" t="n">
        <v>0</v>
      </c>
    </row>
    <row r="270" customFormat="false" ht="15" hidden="true" customHeight="true" outlineLevel="1" collapsed="false">
      <c r="A270" s="1" t="s">
        <v>12</v>
      </c>
      <c r="B270" s="1" t="s">
        <v>14</v>
      </c>
      <c r="C270" s="1" t="s">
        <v>27</v>
      </c>
      <c r="D270" s="1" t="s">
        <v>141</v>
      </c>
      <c r="E270" s="1" t="s">
        <v>99</v>
      </c>
      <c r="F270" s="10" t="n">
        <v>22</v>
      </c>
      <c r="G270" s="10" t="n">
        <v>0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22.653846</v>
      </c>
      <c r="M270" s="10" t="n">
        <v>0</v>
      </c>
      <c r="N270" s="10" t="n">
        <v>0</v>
      </c>
      <c r="O270" s="10" t="n">
        <v>9</v>
      </c>
      <c r="P270" s="10" t="n">
        <v>0</v>
      </c>
      <c r="Q270" s="10" t="n">
        <v>0</v>
      </c>
      <c r="R270" s="10" t="n">
        <v>0</v>
      </c>
      <c r="S270" s="10" t="n">
        <v>0</v>
      </c>
      <c r="T270" s="10" t="n">
        <v>0</v>
      </c>
      <c r="U270" s="10" t="n">
        <v>25</v>
      </c>
      <c r="V270" s="10" t="n">
        <v>0</v>
      </c>
      <c r="W270" s="10" t="n">
        <v>0</v>
      </c>
      <c r="X270" s="10" t="n">
        <v>0</v>
      </c>
      <c r="Y270" s="10" t="n">
        <v>0</v>
      </c>
      <c r="Z270" s="10" t="n">
        <v>0</v>
      </c>
      <c r="AA270" s="10" t="n">
        <v>0</v>
      </c>
      <c r="AB270" s="10" t="n">
        <v>0</v>
      </c>
      <c r="AC270" s="10" t="n">
        <v>7</v>
      </c>
      <c r="AD270" s="10" t="n">
        <v>7.5</v>
      </c>
      <c r="AE270" s="10" t="n">
        <v>40</v>
      </c>
      <c r="AF270" s="10" t="n">
        <v>0</v>
      </c>
      <c r="AG270" s="10" t="n">
        <v>0</v>
      </c>
      <c r="AH270" s="10" t="n">
        <v>0</v>
      </c>
      <c r="AI270" s="10" t="n">
        <v>0</v>
      </c>
      <c r="AJ270" s="10" t="n">
        <v>0</v>
      </c>
      <c r="AK270" s="10" t="n">
        <v>0</v>
      </c>
      <c r="AL270" s="10" t="n">
        <v>0</v>
      </c>
      <c r="AM270" s="10" t="n">
        <v>0</v>
      </c>
      <c r="AN270" s="10" t="n">
        <v>0</v>
      </c>
      <c r="AO270" s="10" t="n">
        <v>0</v>
      </c>
      <c r="AP270" s="10" t="n">
        <v>0</v>
      </c>
      <c r="AQ270" s="10" t="n">
        <v>0</v>
      </c>
      <c r="AR270" s="10" t="n">
        <v>0</v>
      </c>
      <c r="AS270" s="10" t="n">
        <v>0</v>
      </c>
    </row>
    <row r="271" customFormat="false" ht="15" hidden="false" customHeight="true" outlineLevel="0" collapsed="false">
      <c r="A271" s="4" t="s">
        <v>12</v>
      </c>
      <c r="B271" s="4" t="s">
        <v>14</v>
      </c>
      <c r="C271" s="4" t="s">
        <v>21</v>
      </c>
      <c r="D271" s="4" t="s">
        <v>76</v>
      </c>
      <c r="E271" s="4" t="s">
        <v>77</v>
      </c>
      <c r="F271" s="8" t="n">
        <f aca="false">SUM(F272,F273,F274,F275,F276,F277,F278,F279)</f>
        <v>40</v>
      </c>
      <c r="G271" s="8" t="n">
        <f aca="false">SUM(G272,G273,G274,G275,G276,G277,G278,G279)</f>
        <v>40</v>
      </c>
      <c r="H271" s="8" t="n">
        <f aca="false">SUM(H272,H273,H274,H275,H276,H277,H278,H279)</f>
        <v>40</v>
      </c>
      <c r="I271" s="8" t="n">
        <f aca="false">SUM(I272,I273,I274,I275,I276,I277,I278,I279)</f>
        <v>20</v>
      </c>
      <c r="J271" s="8" t="n">
        <f aca="false">SUM(J272,J273,J274,J275,J276,J277,J278,J279)</f>
        <v>34</v>
      </c>
      <c r="K271" s="8" t="n">
        <f aca="false">SUM(K272,K273,K274,K275,K276,K277,K278,K279)</f>
        <v>40</v>
      </c>
      <c r="L271" s="8" t="n">
        <f aca="false">SUM(L272,L273,L274,L275,L276,L277,L278,L279)</f>
        <v>40</v>
      </c>
      <c r="M271" s="8" t="n">
        <f aca="false">SUM(M272,M273,M274,M275,M276,M277,M278,M279)</f>
        <v>36</v>
      </c>
      <c r="N271" s="8" t="n">
        <f aca="false">SUM(N272,N273,N274,N275,N276,N277,N278,N279)</f>
        <v>40</v>
      </c>
      <c r="O271" s="8" t="n">
        <f aca="false">SUM(O272,O273,O274,O275,O276,O277,O278,O279)</f>
        <v>22</v>
      </c>
      <c r="P271" s="8" t="n">
        <f aca="false">SUM(P272,P273,P274,P275,P276,P277,P278,P279)</f>
        <v>31</v>
      </c>
      <c r="Q271" s="8" t="n">
        <f aca="false">SUM(Q272,Q273,Q274,Q275,Q276,Q277,Q278,Q279)</f>
        <v>40</v>
      </c>
      <c r="R271" s="8" t="n">
        <f aca="false">SUM(R272,R273,R274,R275,R276,R277,R278,R279)</f>
        <v>40</v>
      </c>
      <c r="S271" s="8" t="n">
        <f aca="false">SUM(S272,S273,S274,S275,S276,S277,S278,S279)</f>
        <v>40</v>
      </c>
      <c r="T271" s="8" t="n">
        <f aca="false">SUM(T272,T273,T274,T275,T276,T277,T278,T279)</f>
        <v>22</v>
      </c>
      <c r="U271" s="8" t="n">
        <f aca="false">SUM(U272,U273,U274,U275,U276,U277,U278,U279)</f>
        <v>37</v>
      </c>
      <c r="V271" s="8" t="n">
        <f aca="false">SUM(V272,V273,V274,V275,V276,V277,V278,V279)</f>
        <v>17</v>
      </c>
      <c r="W271" s="8" t="n">
        <f aca="false">SUM(W272,W273,W274,W275,W276,W277,W278,W279)</f>
        <v>15</v>
      </c>
      <c r="X271" s="8" t="n">
        <f aca="false">SUM(X272,X273,X274,X275,X276,X277,X278,X279)</f>
        <v>25.5</v>
      </c>
      <c r="Y271" s="8" t="n">
        <f aca="false">SUM(Y272,Y273,Y274,Y275,Y276,Y277,Y278,Y279)</f>
        <v>55</v>
      </c>
      <c r="Z271" s="8" t="n">
        <f aca="false">SUM(Z272,Z273,Z274,Z275,Z276,Z277,Z278,Z279)</f>
        <v>55</v>
      </c>
      <c r="AA271" s="8" t="n">
        <f aca="false">SUM(AA272,AA273,AA274,AA275,AA276,AA277,AA278,AA279)</f>
        <v>55</v>
      </c>
      <c r="AB271" s="8" t="n">
        <f aca="false">SUM(AB272,AB273,AB274,AB275,AB276,AB277,AB278,AB279)</f>
        <v>55</v>
      </c>
      <c r="AC271" s="8" t="n">
        <f aca="false">SUM(AC272,AC273,AC274,AC275,AC276,AC277,AC278,AC279)</f>
        <v>55</v>
      </c>
      <c r="AD271" s="8" t="n">
        <f aca="false">SUM(AD272,AD273,AD274,AD275,AD276,AD277,AD278,AD279)</f>
        <v>55</v>
      </c>
      <c r="AE271" s="8" t="n">
        <f aca="false">SUM(AE272,AE273,AE274,AE275,AE276,AE277,AE278,AE279)</f>
        <v>52</v>
      </c>
      <c r="AF271" s="8" t="n">
        <f aca="false">SUM(AF272,AF273,AF274,AF275,AF276,AF277,AF278,AF279)</f>
        <v>0</v>
      </c>
      <c r="AG271" s="8" t="n">
        <f aca="false">SUM(AG272,AG273,AG274,AG275,AG276,AG277,AG278,AG279)</f>
        <v>0</v>
      </c>
      <c r="AH271" s="8" t="n">
        <f aca="false">SUM(AH272,AH273,AH274,AH275,AH276,AH277,AH278,AH279)</f>
        <v>0</v>
      </c>
      <c r="AI271" s="8" t="n">
        <f aca="false">SUM(AI272,AI273,AI274,AI275,AI276,AI277,AI278,AI279)</f>
        <v>0</v>
      </c>
      <c r="AJ271" s="8" t="n">
        <f aca="false">SUM(AJ272,AJ273,AJ274,AJ275,AJ276,AJ277,AJ278,AJ279)</f>
        <v>0</v>
      </c>
      <c r="AK271" s="8" t="n">
        <f aca="false">SUM(AK272,AK273,AK274,AK275,AK276,AK277,AK278,AK279)</f>
        <v>0</v>
      </c>
      <c r="AL271" s="8" t="n">
        <f aca="false">SUM(AL272,AL273,AL274,AL275,AL276,AL277,AL278,AL279)</f>
        <v>0</v>
      </c>
      <c r="AM271" s="8" t="n">
        <f aca="false">SUM(AM272,AM273,AM274,AM275,AM276,AM277,AM278,AM279)</f>
        <v>0</v>
      </c>
      <c r="AN271" s="8" t="n">
        <f aca="false">SUM(AN272,AN273,AN274,AN275,AN276,AN277,AN278,AN279)</f>
        <v>0</v>
      </c>
      <c r="AO271" s="8" t="n">
        <f aca="false">SUM(AO272,AO273,AO274,AO275,AO276,AO277,AO278,AO279)</f>
        <v>0</v>
      </c>
      <c r="AP271" s="8" t="n">
        <f aca="false">SUM(AP272,AP273,AP274,AP275,AP276,AP277,AP278,AP279)</f>
        <v>0</v>
      </c>
      <c r="AQ271" s="8" t="n">
        <f aca="false">SUM(AQ272,AQ273,AQ274,AQ275,AQ276,AQ277,AQ278,AQ279)</f>
        <v>0</v>
      </c>
      <c r="AR271" s="8" t="n">
        <f aca="false">SUM(AR272,AR273,AR274,AR275,AR276,AR277,AR278,AR279)</f>
        <v>0</v>
      </c>
      <c r="AS271" s="8" t="n">
        <f aca="false">SUM(AS272,AS273,AS274,AS275,AS276,AS277,AS278,AS279)</f>
        <v>0</v>
      </c>
    </row>
    <row r="272" customFormat="false" ht="15" hidden="true" customHeight="true" outlineLevel="1" collapsed="false">
      <c r="A272" s="1" t="s">
        <v>12</v>
      </c>
      <c r="B272" s="1" t="s">
        <v>14</v>
      </c>
      <c r="C272" s="1" t="s">
        <v>21</v>
      </c>
      <c r="D272" s="1" t="s">
        <v>141</v>
      </c>
      <c r="E272" s="1" t="s">
        <v>84</v>
      </c>
      <c r="F272" s="10" t="n">
        <v>0</v>
      </c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5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10" t="n">
        <v>0</v>
      </c>
      <c r="AG272" s="10" t="n">
        <v>0</v>
      </c>
      <c r="AH272" s="10" t="n">
        <v>0</v>
      </c>
      <c r="AI272" s="10" t="n">
        <v>0</v>
      </c>
      <c r="AJ272" s="10" t="n">
        <v>0</v>
      </c>
      <c r="AK272" s="10" t="n">
        <v>0</v>
      </c>
      <c r="AL272" s="10" t="n">
        <v>0</v>
      </c>
      <c r="AM272" s="10" t="n">
        <v>0</v>
      </c>
      <c r="AN272" s="10" t="n">
        <v>0</v>
      </c>
      <c r="AO272" s="10" t="n">
        <v>0</v>
      </c>
      <c r="AP272" s="10" t="n">
        <v>0</v>
      </c>
      <c r="AQ272" s="10" t="n">
        <v>0</v>
      </c>
      <c r="AR272" s="10" t="n">
        <v>0</v>
      </c>
      <c r="AS272" s="10" t="n">
        <v>0</v>
      </c>
    </row>
    <row r="273" customFormat="false" ht="15" hidden="true" customHeight="true" outlineLevel="1" collapsed="false">
      <c r="A273" s="1" t="s">
        <v>12</v>
      </c>
      <c r="B273" s="1" t="s">
        <v>14</v>
      </c>
      <c r="C273" s="1" t="s">
        <v>21</v>
      </c>
      <c r="D273" s="1" t="s">
        <v>141</v>
      </c>
      <c r="E273" s="1" t="s">
        <v>40</v>
      </c>
      <c r="F273" s="10" t="n">
        <v>0</v>
      </c>
      <c r="G273" s="10" t="n">
        <v>0</v>
      </c>
      <c r="H273" s="10" t="n">
        <v>0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  <c r="X273" s="10" t="n">
        <v>0</v>
      </c>
      <c r="Y273" s="10" t="n">
        <v>0</v>
      </c>
      <c r="Z273" s="10" t="n">
        <v>0</v>
      </c>
      <c r="AA273" s="10" t="n">
        <v>0</v>
      </c>
      <c r="AB273" s="10" t="n">
        <v>10.5</v>
      </c>
      <c r="AC273" s="10" t="n">
        <v>15</v>
      </c>
      <c r="AD273" s="10" t="n">
        <v>25</v>
      </c>
      <c r="AE273" s="10" t="n">
        <v>10</v>
      </c>
      <c r="AF273" s="10" t="n">
        <v>0</v>
      </c>
      <c r="AG273" s="10" t="n">
        <v>0</v>
      </c>
      <c r="AH273" s="10" t="n">
        <v>0</v>
      </c>
      <c r="AI273" s="10" t="n">
        <v>0</v>
      </c>
      <c r="AJ273" s="10" t="n">
        <v>0</v>
      </c>
      <c r="AK273" s="10" t="n">
        <v>0</v>
      </c>
      <c r="AL273" s="10" t="n">
        <v>0</v>
      </c>
      <c r="AM273" s="10" t="n">
        <v>0</v>
      </c>
      <c r="AN273" s="10" t="n">
        <v>0</v>
      </c>
      <c r="AO273" s="10" t="n">
        <v>0</v>
      </c>
      <c r="AP273" s="10" t="n">
        <v>0</v>
      </c>
      <c r="AQ273" s="10" t="n">
        <v>0</v>
      </c>
      <c r="AR273" s="10" t="n">
        <v>0</v>
      </c>
      <c r="AS273" s="10" t="n">
        <v>0</v>
      </c>
    </row>
    <row r="274" customFormat="false" ht="15" hidden="true" customHeight="true" outlineLevel="1" collapsed="false">
      <c r="A274" s="1" t="s">
        <v>12</v>
      </c>
      <c r="B274" s="1" t="s">
        <v>14</v>
      </c>
      <c r="C274" s="1" t="s">
        <v>21</v>
      </c>
      <c r="D274" s="1" t="s">
        <v>141</v>
      </c>
      <c r="E274" s="1" t="s">
        <v>85</v>
      </c>
      <c r="F274" s="10" t="n">
        <v>19</v>
      </c>
      <c r="G274" s="10" t="n">
        <v>40</v>
      </c>
      <c r="H274" s="10" t="n">
        <v>40</v>
      </c>
      <c r="I274" s="10" t="n">
        <v>10</v>
      </c>
      <c r="J274" s="10" t="n">
        <v>24</v>
      </c>
      <c r="K274" s="10" t="n">
        <v>30</v>
      </c>
      <c r="L274" s="10" t="n">
        <v>35</v>
      </c>
      <c r="M274" s="10" t="n">
        <v>14</v>
      </c>
      <c r="N274" s="10" t="n">
        <v>32</v>
      </c>
      <c r="O274" s="10" t="n">
        <v>12</v>
      </c>
      <c r="P274" s="10" t="n">
        <v>2</v>
      </c>
      <c r="Q274" s="10" t="n">
        <v>20</v>
      </c>
      <c r="R274" s="10" t="n">
        <v>40</v>
      </c>
      <c r="S274" s="10" t="n">
        <v>40</v>
      </c>
      <c r="T274" s="10" t="n">
        <v>2</v>
      </c>
      <c r="U274" s="10" t="n">
        <v>17</v>
      </c>
      <c r="V274" s="10" t="n">
        <v>2</v>
      </c>
      <c r="W274" s="10" t="n">
        <v>0</v>
      </c>
      <c r="X274" s="10" t="n">
        <v>25.5</v>
      </c>
      <c r="Y274" s="10" t="n">
        <v>34.5</v>
      </c>
      <c r="Z274" s="10" t="n">
        <v>23.5</v>
      </c>
      <c r="AA274" s="10" t="n">
        <v>35.5</v>
      </c>
      <c r="AB274" s="10" t="n">
        <v>44.5</v>
      </c>
      <c r="AC274" s="10" t="n">
        <v>30.5</v>
      </c>
      <c r="AD274" s="10" t="n">
        <v>15.5</v>
      </c>
      <c r="AE274" s="10" t="n">
        <v>4.5</v>
      </c>
      <c r="AF274" s="10" t="n">
        <v>0</v>
      </c>
      <c r="AG274" s="10" t="n">
        <v>0</v>
      </c>
      <c r="AH274" s="10" t="n">
        <v>0</v>
      </c>
      <c r="AI274" s="10" t="n">
        <v>0</v>
      </c>
      <c r="AJ274" s="10" t="n">
        <v>0</v>
      </c>
      <c r="AK274" s="10" t="n">
        <v>0</v>
      </c>
      <c r="AL274" s="10" t="n">
        <v>0</v>
      </c>
      <c r="AM274" s="10" t="n">
        <v>0</v>
      </c>
      <c r="AN274" s="10" t="n">
        <v>0</v>
      </c>
      <c r="AO274" s="10" t="n">
        <v>0</v>
      </c>
      <c r="AP274" s="10" t="n">
        <v>0</v>
      </c>
      <c r="AQ274" s="10" t="n">
        <v>0</v>
      </c>
      <c r="AR274" s="10" t="n">
        <v>0</v>
      </c>
      <c r="AS274" s="10" t="n">
        <v>0</v>
      </c>
    </row>
    <row r="275" customFormat="false" ht="15" hidden="true" customHeight="true" outlineLevel="1" collapsed="false">
      <c r="A275" s="1" t="s">
        <v>12</v>
      </c>
      <c r="B275" s="1" t="s">
        <v>14</v>
      </c>
      <c r="C275" s="1" t="s">
        <v>21</v>
      </c>
      <c r="D275" s="1" t="s">
        <v>141</v>
      </c>
      <c r="E275" s="1" t="s">
        <v>103</v>
      </c>
      <c r="F275" s="10" t="n">
        <v>0</v>
      </c>
      <c r="G275" s="10" t="n">
        <v>0</v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0" t="n">
        <v>0</v>
      </c>
      <c r="P275" s="10" t="n">
        <v>0</v>
      </c>
      <c r="Q275" s="10" t="n">
        <v>0</v>
      </c>
      <c r="R275" s="10" t="n">
        <v>0</v>
      </c>
      <c r="S275" s="10" t="n">
        <v>0</v>
      </c>
      <c r="T275" s="10" t="n">
        <v>0</v>
      </c>
      <c r="U275" s="10" t="n">
        <v>0</v>
      </c>
      <c r="V275" s="10" t="n">
        <v>0</v>
      </c>
      <c r="W275" s="10" t="n">
        <v>0</v>
      </c>
      <c r="X275" s="10" t="n">
        <v>0</v>
      </c>
      <c r="Y275" s="10" t="n">
        <v>8.5</v>
      </c>
      <c r="Z275" s="10" t="n">
        <v>4.5</v>
      </c>
      <c r="AA275" s="10" t="n">
        <v>0</v>
      </c>
      <c r="AB275" s="10" t="n">
        <v>0</v>
      </c>
      <c r="AC275" s="10" t="n">
        <v>0</v>
      </c>
      <c r="AD275" s="10" t="n">
        <v>0</v>
      </c>
      <c r="AE275" s="10" t="n">
        <v>0</v>
      </c>
      <c r="AF275" s="10" t="n">
        <v>0</v>
      </c>
      <c r="AG275" s="10" t="n">
        <v>0</v>
      </c>
      <c r="AH275" s="10" t="n">
        <v>0</v>
      </c>
      <c r="AI275" s="10" t="n">
        <v>0</v>
      </c>
      <c r="AJ275" s="10" t="n">
        <v>0</v>
      </c>
      <c r="AK275" s="10" t="n">
        <v>0</v>
      </c>
      <c r="AL275" s="10" t="n">
        <v>0</v>
      </c>
      <c r="AM275" s="10" t="n">
        <v>0</v>
      </c>
      <c r="AN275" s="10" t="n">
        <v>0</v>
      </c>
      <c r="AO275" s="10" t="n">
        <v>0</v>
      </c>
      <c r="AP275" s="10" t="n">
        <v>0</v>
      </c>
      <c r="AQ275" s="10" t="n">
        <v>0</v>
      </c>
      <c r="AR275" s="10" t="n">
        <v>0</v>
      </c>
      <c r="AS275" s="10" t="n">
        <v>0</v>
      </c>
    </row>
    <row r="276" customFormat="false" ht="15" hidden="true" customHeight="true" outlineLevel="1" collapsed="false">
      <c r="A276" s="1" t="s">
        <v>12</v>
      </c>
      <c r="B276" s="1" t="s">
        <v>14</v>
      </c>
      <c r="C276" s="1" t="s">
        <v>21</v>
      </c>
      <c r="D276" s="1" t="s">
        <v>141</v>
      </c>
      <c r="E276" s="1" t="s">
        <v>99</v>
      </c>
      <c r="F276" s="10" t="n">
        <v>0</v>
      </c>
      <c r="G276" s="10" t="n">
        <v>0</v>
      </c>
      <c r="H276" s="10" t="n">
        <v>0</v>
      </c>
      <c r="I276" s="10" t="n">
        <v>0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0</v>
      </c>
      <c r="T276" s="10" t="n">
        <v>0</v>
      </c>
      <c r="U276" s="10" t="n">
        <v>0</v>
      </c>
      <c r="V276" s="10" t="n">
        <v>0</v>
      </c>
      <c r="W276" s="10" t="n">
        <v>0</v>
      </c>
      <c r="X276" s="10" t="n">
        <v>0</v>
      </c>
      <c r="Y276" s="10" t="n">
        <v>12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10" t="n">
        <v>0</v>
      </c>
      <c r="AG276" s="10" t="n">
        <v>0</v>
      </c>
      <c r="AH276" s="10" t="n">
        <v>0</v>
      </c>
      <c r="AI276" s="10" t="n">
        <v>0</v>
      </c>
      <c r="AJ276" s="10" t="n">
        <v>0</v>
      </c>
      <c r="AK276" s="10" t="n">
        <v>0</v>
      </c>
      <c r="AL276" s="10" t="n">
        <v>0</v>
      </c>
      <c r="AM276" s="10" t="n">
        <v>0</v>
      </c>
      <c r="AN276" s="10" t="n">
        <v>0</v>
      </c>
      <c r="AO276" s="10" t="n">
        <v>0</v>
      </c>
      <c r="AP276" s="10" t="n">
        <v>0</v>
      </c>
      <c r="AQ276" s="10" t="n">
        <v>0</v>
      </c>
      <c r="AR276" s="10" t="n">
        <v>0</v>
      </c>
      <c r="AS276" s="10" t="n">
        <v>0</v>
      </c>
    </row>
    <row r="277" customFormat="false" ht="15" hidden="true" customHeight="true" outlineLevel="1" collapsed="false">
      <c r="A277" s="1" t="s">
        <v>12</v>
      </c>
      <c r="B277" s="1" t="s">
        <v>14</v>
      </c>
      <c r="C277" s="1" t="s">
        <v>21</v>
      </c>
      <c r="D277" s="1" t="s">
        <v>141</v>
      </c>
      <c r="E277" s="1" t="s">
        <v>43</v>
      </c>
      <c r="F277" s="10" t="n">
        <v>21</v>
      </c>
      <c r="G277" s="10" t="n">
        <v>0</v>
      </c>
      <c r="H277" s="10" t="n">
        <v>0</v>
      </c>
      <c r="I277" s="10" t="n">
        <v>10</v>
      </c>
      <c r="J277" s="10" t="n">
        <v>10</v>
      </c>
      <c r="K277" s="10" t="n">
        <v>10</v>
      </c>
      <c r="L277" s="10" t="n">
        <v>5</v>
      </c>
      <c r="M277" s="10" t="n">
        <v>5</v>
      </c>
      <c r="N277" s="10" t="n">
        <v>4</v>
      </c>
      <c r="O277" s="10" t="n">
        <v>10</v>
      </c>
      <c r="P277" s="10" t="n">
        <v>29</v>
      </c>
      <c r="Q277" s="10" t="n">
        <v>20</v>
      </c>
      <c r="R277" s="10" t="n">
        <v>0</v>
      </c>
      <c r="S277" s="10" t="n">
        <v>0</v>
      </c>
      <c r="T277" s="10" t="n">
        <v>20</v>
      </c>
      <c r="U277" s="10" t="n">
        <v>20</v>
      </c>
      <c r="V277" s="10" t="n">
        <v>15</v>
      </c>
      <c r="W277" s="10" t="n">
        <v>15</v>
      </c>
      <c r="X277" s="10" t="n">
        <v>0</v>
      </c>
      <c r="Y277" s="10" t="n">
        <v>0</v>
      </c>
      <c r="Z277" s="10" t="n">
        <v>27</v>
      </c>
      <c r="AA277" s="10" t="n">
        <v>11.5</v>
      </c>
      <c r="AB277" s="10" t="n">
        <v>0</v>
      </c>
      <c r="AC277" s="10" t="n">
        <v>9.5</v>
      </c>
      <c r="AD277" s="10" t="n">
        <v>14.5</v>
      </c>
      <c r="AE277" s="10" t="n">
        <v>37.5</v>
      </c>
      <c r="AF277" s="10" t="n">
        <v>0</v>
      </c>
      <c r="AG277" s="10" t="n">
        <v>0</v>
      </c>
      <c r="AH277" s="10" t="n">
        <v>0</v>
      </c>
      <c r="AI277" s="10" t="n">
        <v>0</v>
      </c>
      <c r="AJ277" s="10" t="n">
        <v>0</v>
      </c>
      <c r="AK277" s="10" t="n">
        <v>0</v>
      </c>
      <c r="AL277" s="10" t="n">
        <v>0</v>
      </c>
      <c r="AM277" s="10" t="n">
        <v>0</v>
      </c>
      <c r="AN277" s="10" t="n">
        <v>0</v>
      </c>
      <c r="AO277" s="10" t="n">
        <v>0</v>
      </c>
      <c r="AP277" s="10" t="n">
        <v>0</v>
      </c>
      <c r="AQ277" s="10" t="n">
        <v>0</v>
      </c>
      <c r="AR277" s="10" t="n">
        <v>0</v>
      </c>
      <c r="AS277" s="10" t="n">
        <v>0</v>
      </c>
    </row>
    <row r="278" customFormat="false" ht="15" hidden="true" customHeight="true" outlineLevel="1" collapsed="false">
      <c r="A278" s="1" t="s">
        <v>12</v>
      </c>
      <c r="B278" s="1" t="s">
        <v>14</v>
      </c>
      <c r="C278" s="1" t="s">
        <v>21</v>
      </c>
      <c r="D278" s="1" t="s">
        <v>141</v>
      </c>
      <c r="E278" s="1" t="s">
        <v>88</v>
      </c>
      <c r="F278" s="10" t="n">
        <v>0</v>
      </c>
      <c r="G278" s="10" t="n">
        <v>0</v>
      </c>
      <c r="H278" s="10" t="n">
        <v>0</v>
      </c>
      <c r="I278" s="10" t="n">
        <v>0</v>
      </c>
      <c r="J278" s="10" t="n">
        <v>0</v>
      </c>
      <c r="K278" s="10" t="n">
        <v>0</v>
      </c>
      <c r="L278" s="10" t="n">
        <v>0</v>
      </c>
      <c r="M278" s="10" t="n">
        <v>12</v>
      </c>
      <c r="N278" s="10" t="n">
        <v>4</v>
      </c>
      <c r="O278" s="10" t="n">
        <v>0</v>
      </c>
      <c r="P278" s="10" t="n">
        <v>0</v>
      </c>
      <c r="Q278" s="10" t="n">
        <v>0</v>
      </c>
      <c r="R278" s="10" t="n">
        <v>0</v>
      </c>
      <c r="S278" s="10" t="n">
        <v>0</v>
      </c>
      <c r="T278" s="10" t="n">
        <v>0</v>
      </c>
      <c r="U278" s="10" t="n">
        <v>0</v>
      </c>
      <c r="V278" s="10" t="n">
        <v>0</v>
      </c>
      <c r="W278" s="10" t="n">
        <v>0</v>
      </c>
      <c r="X278" s="10" t="n">
        <v>0</v>
      </c>
      <c r="Y278" s="10" t="n">
        <v>0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10" t="n">
        <v>0</v>
      </c>
      <c r="AG278" s="10" t="n">
        <v>0</v>
      </c>
      <c r="AH278" s="10" t="n">
        <v>0</v>
      </c>
      <c r="AI278" s="10" t="n">
        <v>0</v>
      </c>
      <c r="AJ278" s="10" t="n">
        <v>0</v>
      </c>
      <c r="AK278" s="10" t="n">
        <v>0</v>
      </c>
      <c r="AL278" s="10" t="n">
        <v>0</v>
      </c>
      <c r="AM278" s="10" t="n">
        <v>0</v>
      </c>
      <c r="AN278" s="10" t="n">
        <v>0</v>
      </c>
      <c r="AO278" s="10" t="n">
        <v>0</v>
      </c>
      <c r="AP278" s="10" t="n">
        <v>0</v>
      </c>
      <c r="AQ278" s="10" t="n">
        <v>0</v>
      </c>
      <c r="AR278" s="10" t="n">
        <v>0</v>
      </c>
      <c r="AS278" s="10" t="n">
        <v>0</v>
      </c>
    </row>
    <row r="279" customFormat="false" ht="15" hidden="true" customHeight="true" outlineLevel="1" collapsed="false">
      <c r="A279" s="1" t="s">
        <v>12</v>
      </c>
      <c r="B279" s="1" t="s">
        <v>14</v>
      </c>
      <c r="C279" s="1" t="s">
        <v>21</v>
      </c>
      <c r="D279" s="1" t="s">
        <v>141</v>
      </c>
      <c r="E279" s="1" t="s">
        <v>105</v>
      </c>
      <c r="F279" s="10" t="n">
        <v>0</v>
      </c>
      <c r="G279" s="10" t="n">
        <v>0</v>
      </c>
      <c r="H279" s="10" t="n">
        <v>0</v>
      </c>
      <c r="I279" s="10" t="n">
        <v>0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0</v>
      </c>
      <c r="O279" s="10" t="n">
        <v>0</v>
      </c>
      <c r="P279" s="10" t="n">
        <v>0</v>
      </c>
      <c r="Q279" s="10" t="n">
        <v>0</v>
      </c>
      <c r="R279" s="10" t="n">
        <v>0</v>
      </c>
      <c r="S279" s="10" t="n">
        <v>0</v>
      </c>
      <c r="T279" s="10" t="n">
        <v>0</v>
      </c>
      <c r="U279" s="10" t="n">
        <v>0</v>
      </c>
      <c r="V279" s="10" t="n">
        <v>0</v>
      </c>
      <c r="W279" s="10" t="n">
        <v>0</v>
      </c>
      <c r="X279" s="10" t="n">
        <v>0</v>
      </c>
      <c r="Y279" s="10" t="n">
        <v>0</v>
      </c>
      <c r="Z279" s="10" t="n">
        <v>0</v>
      </c>
      <c r="AA279" s="10" t="n">
        <v>8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10" t="n">
        <v>0</v>
      </c>
      <c r="AG279" s="10" t="n">
        <v>0</v>
      </c>
      <c r="AH279" s="10" t="n">
        <v>0</v>
      </c>
      <c r="AI279" s="10" t="n">
        <v>0</v>
      </c>
      <c r="AJ279" s="10" t="n">
        <v>0</v>
      </c>
      <c r="AK279" s="10" t="n">
        <v>0</v>
      </c>
      <c r="AL279" s="10" t="n">
        <v>0</v>
      </c>
      <c r="AM279" s="10" t="n">
        <v>0</v>
      </c>
      <c r="AN279" s="10" t="n">
        <v>0</v>
      </c>
      <c r="AO279" s="10" t="n">
        <v>0</v>
      </c>
      <c r="AP279" s="10" t="n">
        <v>0</v>
      </c>
      <c r="AQ279" s="10" t="n">
        <v>0</v>
      </c>
      <c r="AR279" s="10" t="n">
        <v>0</v>
      </c>
      <c r="AS279" s="10" t="n">
        <v>0</v>
      </c>
    </row>
    <row r="280" customFormat="false" ht="15" hidden="false" customHeight="true" outlineLevel="0" collapsed="false">
      <c r="A280" s="4" t="s">
        <v>29</v>
      </c>
      <c r="B280" s="4" t="s">
        <v>14</v>
      </c>
      <c r="C280" s="4" t="s">
        <v>32</v>
      </c>
      <c r="D280" s="4" t="s">
        <v>76</v>
      </c>
      <c r="E280" s="4" t="s">
        <v>77</v>
      </c>
      <c r="F280" s="8" t="n">
        <f aca="false">SUM(F281,F282)</f>
        <v>20</v>
      </c>
      <c r="G280" s="8" t="n">
        <f aca="false">SUM(G281,G282)</f>
        <v>18</v>
      </c>
      <c r="H280" s="8" t="n">
        <f aca="false">SUM(H281,H282)</f>
        <v>18</v>
      </c>
      <c r="I280" s="8" t="n">
        <f aca="false">SUM(I281,I282)</f>
        <v>18</v>
      </c>
      <c r="J280" s="8" t="n">
        <f aca="false">SUM(J281,J282)</f>
        <v>25</v>
      </c>
      <c r="K280" s="8" t="n">
        <f aca="false">SUM(K281,K282)</f>
        <v>35</v>
      </c>
      <c r="L280" s="8" t="n">
        <f aca="false">SUM(L281,L282)</f>
        <v>40</v>
      </c>
      <c r="M280" s="8" t="n">
        <f aca="false">SUM(M281,M282)</f>
        <v>40</v>
      </c>
      <c r="N280" s="8" t="n">
        <f aca="false">SUM(N281,N282)</f>
        <v>40</v>
      </c>
      <c r="O280" s="8" t="n">
        <f aca="false">SUM(O281,O282)</f>
        <v>15</v>
      </c>
      <c r="P280" s="8" t="n">
        <f aca="false">SUM(P281,P282)</f>
        <v>15</v>
      </c>
      <c r="Q280" s="8" t="n">
        <f aca="false">SUM(Q281,Q282)</f>
        <v>15</v>
      </c>
      <c r="R280" s="8" t="n">
        <f aca="false">SUM(R281,R282)</f>
        <v>15</v>
      </c>
      <c r="S280" s="8" t="n">
        <f aca="false">SUM(S281,S282)</f>
        <v>5</v>
      </c>
      <c r="T280" s="8" t="n">
        <f aca="false">SUM(T281,T282)</f>
        <v>5</v>
      </c>
      <c r="U280" s="8" t="n">
        <f aca="false">SUM(U281,U282)</f>
        <v>5</v>
      </c>
      <c r="V280" s="8" t="n">
        <f aca="false">SUM(V281,V282)</f>
        <v>0</v>
      </c>
      <c r="W280" s="8" t="n">
        <f aca="false">SUM(W281,W282)</f>
        <v>0</v>
      </c>
      <c r="X280" s="8" t="n">
        <f aca="false">SUM(X281,X282)</f>
        <v>30</v>
      </c>
      <c r="Y280" s="8" t="n">
        <f aca="false">SUM(Y281,Y282)</f>
        <v>40</v>
      </c>
      <c r="Z280" s="8" t="n">
        <f aca="false">SUM(Z281,Z282)</f>
        <v>55</v>
      </c>
      <c r="AA280" s="8" t="n">
        <f aca="false">SUM(AA281,AA282)</f>
        <v>55</v>
      </c>
      <c r="AB280" s="8" t="n">
        <f aca="false">SUM(AB281,AB282)</f>
        <v>55</v>
      </c>
      <c r="AC280" s="8" t="n">
        <f aca="false">SUM(AC281,AC282)</f>
        <v>55</v>
      </c>
      <c r="AD280" s="8" t="n">
        <f aca="false">SUM(AD281,AD282)</f>
        <v>50</v>
      </c>
      <c r="AE280" s="8" t="n">
        <f aca="false">SUM(AE281,AE282)</f>
        <v>25</v>
      </c>
      <c r="AF280" s="8" t="n">
        <f aca="false">SUM(AF281,AF282)</f>
        <v>25</v>
      </c>
      <c r="AG280" s="8" t="n">
        <f aca="false">SUM(AG281,AG282)</f>
        <v>25</v>
      </c>
      <c r="AH280" s="8" t="n">
        <f aca="false">SUM(AH281,AH282)</f>
        <v>25</v>
      </c>
      <c r="AI280" s="8" t="n">
        <f aca="false">SUM(AI281,AI282)</f>
        <v>25</v>
      </c>
      <c r="AJ280" s="8" t="n">
        <f aca="false">SUM(AJ281,AJ282)</f>
        <v>25</v>
      </c>
      <c r="AK280" s="8" t="n">
        <f aca="false">SUM(AK281,AK282)</f>
        <v>25</v>
      </c>
      <c r="AL280" s="8" t="n">
        <f aca="false">SUM(AL281,AL282)</f>
        <v>25</v>
      </c>
      <c r="AM280" s="8" t="n">
        <f aca="false">SUM(AM281,AM282)</f>
        <v>10</v>
      </c>
      <c r="AN280" s="8" t="n">
        <f aca="false">SUM(AN281,AN282)</f>
        <v>10</v>
      </c>
      <c r="AO280" s="8" t="n">
        <f aca="false">SUM(AO281,AO282)</f>
        <v>5</v>
      </c>
      <c r="AP280" s="8" t="n">
        <f aca="false">SUM(AP281,AP282)</f>
        <v>0</v>
      </c>
      <c r="AQ280" s="8" t="n">
        <f aca="false">SUM(AQ281,AQ282)</f>
        <v>0</v>
      </c>
      <c r="AR280" s="8" t="n">
        <f aca="false">SUM(AR281,AR282)</f>
        <v>0</v>
      </c>
      <c r="AS280" s="8" t="n">
        <f aca="false">SUM(AS281,AS282)</f>
        <v>0</v>
      </c>
    </row>
    <row r="281" customFormat="false" ht="15" hidden="true" customHeight="true" outlineLevel="1" collapsed="false">
      <c r="A281" s="1" t="s">
        <v>29</v>
      </c>
      <c r="B281" s="1" t="s">
        <v>14</v>
      </c>
      <c r="C281" s="1" t="s">
        <v>32</v>
      </c>
      <c r="D281" s="1" t="s">
        <v>141</v>
      </c>
      <c r="E281" s="1" t="s">
        <v>91</v>
      </c>
      <c r="F281" s="10" t="n">
        <v>10</v>
      </c>
      <c r="G281" s="10" t="n">
        <v>10</v>
      </c>
      <c r="H281" s="10" t="n">
        <v>10</v>
      </c>
      <c r="I281" s="10" t="n">
        <v>10</v>
      </c>
      <c r="J281" s="10" t="n">
        <v>20</v>
      </c>
      <c r="K281" s="10" t="n">
        <v>30</v>
      </c>
      <c r="L281" s="10" t="n">
        <v>30</v>
      </c>
      <c r="M281" s="10" t="n">
        <v>20</v>
      </c>
      <c r="N281" s="10" t="n">
        <v>20</v>
      </c>
      <c r="O281" s="10" t="n">
        <v>10</v>
      </c>
      <c r="P281" s="10" t="n">
        <v>10</v>
      </c>
      <c r="Q281" s="10" t="n">
        <v>10</v>
      </c>
      <c r="R281" s="10" t="n">
        <v>10</v>
      </c>
      <c r="S281" s="10" t="n">
        <v>0</v>
      </c>
      <c r="T281" s="10" t="n">
        <v>0</v>
      </c>
      <c r="U281" s="10" t="n">
        <v>0</v>
      </c>
      <c r="V281" s="10" t="n">
        <v>0</v>
      </c>
      <c r="W281" s="10" t="n">
        <v>0</v>
      </c>
      <c r="X281" s="10" t="n">
        <v>0</v>
      </c>
      <c r="Y281" s="10" t="n">
        <v>0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0" t="n">
        <v>5</v>
      </c>
      <c r="AF281" s="10" t="n">
        <v>25</v>
      </c>
      <c r="AG281" s="10" t="n">
        <v>25</v>
      </c>
      <c r="AH281" s="10" t="n">
        <v>25</v>
      </c>
      <c r="AI281" s="10" t="n">
        <v>25</v>
      </c>
      <c r="AJ281" s="10" t="n">
        <v>25</v>
      </c>
      <c r="AK281" s="10" t="n">
        <v>25</v>
      </c>
      <c r="AL281" s="10" t="n">
        <v>25</v>
      </c>
      <c r="AM281" s="10" t="n">
        <v>10</v>
      </c>
      <c r="AN281" s="10" t="n">
        <v>10</v>
      </c>
      <c r="AO281" s="10" t="n">
        <v>5</v>
      </c>
      <c r="AP281" s="10" t="n">
        <v>0</v>
      </c>
      <c r="AQ281" s="10" t="n">
        <v>0</v>
      </c>
      <c r="AR281" s="10" t="n">
        <v>0</v>
      </c>
      <c r="AS281" s="10" t="n">
        <v>0</v>
      </c>
    </row>
    <row r="282" customFormat="false" ht="15" hidden="true" customHeight="true" outlineLevel="1" collapsed="false">
      <c r="A282" s="1" t="s">
        <v>29</v>
      </c>
      <c r="B282" s="1" t="s">
        <v>14</v>
      </c>
      <c r="C282" s="1" t="s">
        <v>32</v>
      </c>
      <c r="D282" s="1" t="s">
        <v>141</v>
      </c>
      <c r="E282" s="1" t="s">
        <v>92</v>
      </c>
      <c r="F282" s="10" t="n">
        <v>10</v>
      </c>
      <c r="G282" s="10" t="n">
        <v>8</v>
      </c>
      <c r="H282" s="10" t="n">
        <v>8</v>
      </c>
      <c r="I282" s="10" t="n">
        <v>8</v>
      </c>
      <c r="J282" s="10" t="n">
        <v>5</v>
      </c>
      <c r="K282" s="10" t="n">
        <v>5</v>
      </c>
      <c r="L282" s="10" t="n">
        <v>10</v>
      </c>
      <c r="M282" s="10" t="n">
        <v>20</v>
      </c>
      <c r="N282" s="10" t="n">
        <v>20</v>
      </c>
      <c r="O282" s="10" t="n">
        <v>5</v>
      </c>
      <c r="P282" s="10" t="n">
        <v>5</v>
      </c>
      <c r="Q282" s="10" t="n">
        <v>5</v>
      </c>
      <c r="R282" s="10" t="n">
        <v>5</v>
      </c>
      <c r="S282" s="10" t="n">
        <v>5</v>
      </c>
      <c r="T282" s="10" t="n">
        <v>5</v>
      </c>
      <c r="U282" s="10" t="n">
        <v>5</v>
      </c>
      <c r="V282" s="10" t="n">
        <v>0</v>
      </c>
      <c r="W282" s="10" t="n">
        <v>0</v>
      </c>
      <c r="X282" s="10" t="n">
        <v>30</v>
      </c>
      <c r="Y282" s="10" t="n">
        <v>40</v>
      </c>
      <c r="Z282" s="10" t="n">
        <v>55</v>
      </c>
      <c r="AA282" s="10" t="n">
        <v>55</v>
      </c>
      <c r="AB282" s="10" t="n">
        <v>55</v>
      </c>
      <c r="AC282" s="10" t="n">
        <v>55</v>
      </c>
      <c r="AD282" s="10" t="n">
        <v>50</v>
      </c>
      <c r="AE282" s="10" t="n">
        <v>20</v>
      </c>
      <c r="AF282" s="10" t="n">
        <v>0</v>
      </c>
      <c r="AG282" s="10" t="n">
        <v>0</v>
      </c>
      <c r="AH282" s="10" t="n">
        <v>0</v>
      </c>
      <c r="AI282" s="10" t="n">
        <v>0</v>
      </c>
      <c r="AJ282" s="10" t="n">
        <v>0</v>
      </c>
      <c r="AK282" s="10" t="n">
        <v>0</v>
      </c>
      <c r="AL282" s="10" t="n">
        <v>0</v>
      </c>
      <c r="AM282" s="10" t="n">
        <v>0</v>
      </c>
      <c r="AN282" s="10" t="n">
        <v>0</v>
      </c>
      <c r="AO282" s="10" t="n">
        <v>0</v>
      </c>
      <c r="AP282" s="10" t="n">
        <v>0</v>
      </c>
      <c r="AQ282" s="10" t="n">
        <v>0</v>
      </c>
      <c r="AR282" s="10" t="n">
        <v>0</v>
      </c>
      <c r="AS282" s="10" t="n">
        <v>0</v>
      </c>
    </row>
    <row r="283" customFormat="false" ht="15" hidden="false" customHeight="true" outlineLevel="0" collapsed="false">
      <c r="A283" s="4" t="s">
        <v>12</v>
      </c>
      <c r="B283" s="4" t="s">
        <v>14</v>
      </c>
      <c r="C283" s="4" t="s">
        <v>30</v>
      </c>
      <c r="D283" s="4" t="s">
        <v>76</v>
      </c>
      <c r="E283" s="4" t="s">
        <v>77</v>
      </c>
      <c r="F283" s="8" t="n">
        <f aca="false">SUM(F284,F285,F286,F287,F288,F289,F290,F291)</f>
        <v>40</v>
      </c>
      <c r="G283" s="8" t="n">
        <f aca="false">SUM(G284,G285,G286,G287,G288,G289,G290,G291)</f>
        <v>40</v>
      </c>
      <c r="H283" s="8" t="n">
        <f aca="false">SUM(H284,H285,H286,H287,H288,H289,H290,H291)</f>
        <v>40</v>
      </c>
      <c r="I283" s="8" t="n">
        <f aca="false">SUM(I284,I285,I286,I287,I288,I289,I290,I291)</f>
        <v>19</v>
      </c>
      <c r="J283" s="8" t="n">
        <f aca="false">SUM(J284,J285,J286,J287,J288,J289,J290,J291)</f>
        <v>17</v>
      </c>
      <c r="K283" s="8" t="n">
        <f aca="false">SUM(K284,K285,K286,K287,K288,K289,K290,K291)</f>
        <v>26</v>
      </c>
      <c r="L283" s="8" t="n">
        <f aca="false">SUM(L284,L285,L286,L287,L288,L289,L290,L291)</f>
        <v>40</v>
      </c>
      <c r="M283" s="8" t="n">
        <f aca="false">SUM(M284,M285,M286,M287,M288,M289,M290,M291)</f>
        <v>31</v>
      </c>
      <c r="N283" s="8" t="n">
        <f aca="false">SUM(N284,N285,N286,N287,N288,N289,N290,N291)</f>
        <v>19</v>
      </c>
      <c r="O283" s="8" t="n">
        <f aca="false">SUM(O284,O285,O286,O287,O288,O289,O290,O291)</f>
        <v>14</v>
      </c>
      <c r="P283" s="8" t="n">
        <f aca="false">SUM(P284,P285,P286,P287,P288,P289,P290,P291)</f>
        <v>22</v>
      </c>
      <c r="Q283" s="8" t="n">
        <f aca="false">SUM(Q284,Q285,Q286,Q287,Q288,Q289,Q290,Q291)</f>
        <v>40</v>
      </c>
      <c r="R283" s="8" t="n">
        <f aca="false">SUM(R284,R285,R286,R287,R288,R289,R290,R291)</f>
        <v>28</v>
      </c>
      <c r="S283" s="8" t="n">
        <f aca="false">SUM(S284,S285,S286,S287,S288,S289,S290,S291)</f>
        <v>40</v>
      </c>
      <c r="T283" s="8" t="n">
        <f aca="false">SUM(T284,T285,T286,T287,T288,T289,T290,T291)</f>
        <v>27.5</v>
      </c>
      <c r="U283" s="8" t="n">
        <f aca="false">SUM(U284,U285,U286,U287,U288,U289,U290,U291)</f>
        <v>22.5</v>
      </c>
      <c r="V283" s="8" t="n">
        <f aca="false">SUM(V284,V285,V286,V287,V288,V289,V290,V291)</f>
        <v>4</v>
      </c>
      <c r="W283" s="8" t="n">
        <f aca="false">SUM(W284,W285,W286,W287,W288,W289,W290,W291)</f>
        <v>0</v>
      </c>
      <c r="X283" s="8" t="n">
        <f aca="false">SUM(X284,X285,X286,X287,X288,X289,X290,X291)</f>
        <v>55</v>
      </c>
      <c r="Y283" s="8" t="n">
        <f aca="false">SUM(Y284,Y285,Y286,Y287,Y288,Y289,Y290,Y291)</f>
        <v>55</v>
      </c>
      <c r="Z283" s="8" t="n">
        <f aca="false">SUM(Z284,Z285,Z286,Z287,Z288,Z289,Z290,Z291)</f>
        <v>55</v>
      </c>
      <c r="AA283" s="8" t="n">
        <f aca="false">SUM(AA284,AA285,AA286,AA287,AA288,AA289,AA290,AA291)</f>
        <v>55</v>
      </c>
      <c r="AB283" s="8" t="n">
        <f aca="false">SUM(AB284,AB285,AB286,AB287,AB288,AB289,AB290,AB291)</f>
        <v>0</v>
      </c>
      <c r="AC283" s="8" t="n">
        <f aca="false">SUM(AC284,AC285,AC286,AC287,AC288,AC289,AC290,AC291)</f>
        <v>0</v>
      </c>
      <c r="AD283" s="8" t="n">
        <f aca="false">SUM(AD284,AD285,AD286,AD287,AD288,AD289,AD290,AD291)</f>
        <v>55</v>
      </c>
      <c r="AE283" s="8" t="n">
        <f aca="false">SUM(AE284,AE285,AE286,AE287,AE288,AE289,AE290,AE291)</f>
        <v>37</v>
      </c>
      <c r="AF283" s="8" t="n">
        <f aca="false">SUM(AF284,AF285,AF286,AF287,AF288,AF289,AF290,AF291)</f>
        <v>30</v>
      </c>
      <c r="AG283" s="8" t="n">
        <f aca="false">SUM(AG284,AG285,AG286,AG287,AG288,AG289,AG290,AG291)</f>
        <v>30</v>
      </c>
      <c r="AH283" s="8" t="n">
        <f aca="false">SUM(AH284,AH285,AH286,AH287,AH288,AH289,AH290,AH291)</f>
        <v>30</v>
      </c>
      <c r="AI283" s="8" t="n">
        <f aca="false">SUM(AI284,AI285,AI286,AI287,AI288,AI289,AI290,AI291)</f>
        <v>0</v>
      </c>
      <c r="AJ283" s="8" t="n">
        <f aca="false">SUM(AJ284,AJ285,AJ286,AJ287,AJ288,AJ289,AJ290,AJ291)</f>
        <v>0</v>
      </c>
      <c r="AK283" s="8" t="n">
        <f aca="false">SUM(AK284,AK285,AK286,AK287,AK288,AK289,AK290,AK291)</f>
        <v>0</v>
      </c>
      <c r="AL283" s="8" t="n">
        <f aca="false">SUM(AL284,AL285,AL286,AL287,AL288,AL289,AL290,AL291)</f>
        <v>0</v>
      </c>
      <c r="AM283" s="8" t="n">
        <f aca="false">SUM(AM284,AM285,AM286,AM287,AM288,AM289,AM290,AM291)</f>
        <v>0</v>
      </c>
      <c r="AN283" s="8" t="n">
        <f aca="false">SUM(AN284,AN285,AN286,AN287,AN288,AN289,AN290,AN291)</f>
        <v>0</v>
      </c>
      <c r="AO283" s="8" t="n">
        <f aca="false">SUM(AO284,AO285,AO286,AO287,AO288,AO289,AO290,AO291)</f>
        <v>0</v>
      </c>
      <c r="AP283" s="8" t="n">
        <f aca="false">SUM(AP284,AP285,AP286,AP287,AP288,AP289,AP290,AP291)</f>
        <v>0</v>
      </c>
      <c r="AQ283" s="8" t="n">
        <f aca="false">SUM(AQ284,AQ285,AQ286,AQ287,AQ288,AQ289,AQ290,AQ291)</f>
        <v>0</v>
      </c>
      <c r="AR283" s="8" t="n">
        <f aca="false">SUM(AR284,AR285,AR286,AR287,AR288,AR289,AR290,AR291)</f>
        <v>0</v>
      </c>
      <c r="AS283" s="8" t="n">
        <f aca="false">SUM(AS284,AS285,AS286,AS287,AS288,AS289,AS290,AS291)</f>
        <v>0</v>
      </c>
    </row>
    <row r="284" customFormat="false" ht="15" hidden="true" customHeight="true" outlineLevel="1" collapsed="false">
      <c r="A284" s="1" t="s">
        <v>12</v>
      </c>
      <c r="B284" s="1" t="s">
        <v>14</v>
      </c>
      <c r="C284" s="1" t="s">
        <v>30</v>
      </c>
      <c r="D284" s="1" t="s">
        <v>141</v>
      </c>
      <c r="E284" s="1" t="s">
        <v>81</v>
      </c>
      <c r="F284" s="10" t="n">
        <v>0</v>
      </c>
      <c r="G284" s="10" t="n">
        <v>0</v>
      </c>
      <c r="H284" s="10" t="n">
        <v>0</v>
      </c>
      <c r="I284" s="10" t="n">
        <v>0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n">
        <v>0</v>
      </c>
      <c r="S284" s="10" t="n">
        <v>0</v>
      </c>
      <c r="T284" s="10" t="n">
        <v>0</v>
      </c>
      <c r="U284" s="10" t="n">
        <v>0</v>
      </c>
      <c r="V284" s="10" t="n">
        <v>0</v>
      </c>
      <c r="W284" s="10" t="n">
        <v>0</v>
      </c>
      <c r="X284" s="10" t="n">
        <v>0</v>
      </c>
      <c r="Y284" s="10" t="n">
        <v>0</v>
      </c>
      <c r="Z284" s="10" t="n">
        <v>0</v>
      </c>
      <c r="AA284" s="10" t="n">
        <v>7</v>
      </c>
      <c r="AB284" s="10" t="n">
        <v>0</v>
      </c>
      <c r="AC284" s="10" t="n">
        <v>0</v>
      </c>
      <c r="AD284" s="10" t="n">
        <v>0</v>
      </c>
      <c r="AE284" s="10" t="n">
        <v>0</v>
      </c>
      <c r="AF284" s="10" t="n">
        <v>0</v>
      </c>
      <c r="AG284" s="10" t="n">
        <v>0</v>
      </c>
      <c r="AH284" s="10" t="n">
        <v>0</v>
      </c>
      <c r="AI284" s="10" t="n">
        <v>0</v>
      </c>
      <c r="AJ284" s="10" t="n">
        <v>0</v>
      </c>
      <c r="AK284" s="10" t="n">
        <v>0</v>
      </c>
      <c r="AL284" s="10" t="n">
        <v>0</v>
      </c>
      <c r="AM284" s="10" t="n">
        <v>0</v>
      </c>
      <c r="AN284" s="10" t="n">
        <v>0</v>
      </c>
      <c r="AO284" s="10" t="n">
        <v>0</v>
      </c>
      <c r="AP284" s="10" t="n">
        <v>0</v>
      </c>
      <c r="AQ284" s="10" t="n">
        <v>0</v>
      </c>
      <c r="AR284" s="10" t="n">
        <v>0</v>
      </c>
      <c r="AS284" s="10" t="n">
        <v>0</v>
      </c>
    </row>
    <row r="285" customFormat="false" ht="15" hidden="true" customHeight="true" outlineLevel="1" collapsed="false">
      <c r="A285" s="1" t="s">
        <v>12</v>
      </c>
      <c r="B285" s="1" t="s">
        <v>14</v>
      </c>
      <c r="C285" s="1" t="s">
        <v>30</v>
      </c>
      <c r="D285" s="1" t="s">
        <v>141</v>
      </c>
      <c r="E285" s="1" t="s">
        <v>94</v>
      </c>
      <c r="F285" s="10" t="n">
        <v>0</v>
      </c>
      <c r="G285" s="10" t="n">
        <v>0</v>
      </c>
      <c r="H285" s="10" t="n">
        <v>0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  <c r="S285" s="10" t="n">
        <v>0</v>
      </c>
      <c r="T285" s="10" t="n">
        <v>0</v>
      </c>
      <c r="U285" s="10" t="n">
        <v>0</v>
      </c>
      <c r="V285" s="10" t="n">
        <v>0</v>
      </c>
      <c r="W285" s="10" t="n">
        <v>0</v>
      </c>
      <c r="X285" s="10" t="n">
        <v>0</v>
      </c>
      <c r="Y285" s="10" t="n">
        <v>0</v>
      </c>
      <c r="Z285" s="10" t="n">
        <v>0</v>
      </c>
      <c r="AA285" s="10" t="n">
        <v>5</v>
      </c>
      <c r="AB285" s="10" t="n">
        <v>0</v>
      </c>
      <c r="AC285" s="10" t="n">
        <v>0</v>
      </c>
      <c r="AD285" s="10" t="n">
        <v>0</v>
      </c>
      <c r="AE285" s="10" t="n">
        <v>0</v>
      </c>
      <c r="AF285" s="10" t="n">
        <v>0</v>
      </c>
      <c r="AG285" s="10" t="n">
        <v>0</v>
      </c>
      <c r="AH285" s="10" t="n">
        <v>0</v>
      </c>
      <c r="AI285" s="10" t="n">
        <v>0</v>
      </c>
      <c r="AJ285" s="10" t="n">
        <v>0</v>
      </c>
      <c r="AK285" s="10" t="n">
        <v>0</v>
      </c>
      <c r="AL285" s="10" t="n">
        <v>0</v>
      </c>
      <c r="AM285" s="10" t="n">
        <v>0</v>
      </c>
      <c r="AN285" s="10" t="n">
        <v>0</v>
      </c>
      <c r="AO285" s="10" t="n">
        <v>0</v>
      </c>
      <c r="AP285" s="10" t="n">
        <v>0</v>
      </c>
      <c r="AQ285" s="10" t="n">
        <v>0</v>
      </c>
      <c r="AR285" s="10" t="n">
        <v>0</v>
      </c>
      <c r="AS285" s="10" t="n">
        <v>0</v>
      </c>
    </row>
    <row r="286" customFormat="false" ht="15" hidden="true" customHeight="true" outlineLevel="1" collapsed="false">
      <c r="A286" s="1" t="s">
        <v>12</v>
      </c>
      <c r="B286" s="1" t="s">
        <v>14</v>
      </c>
      <c r="C286" s="1" t="s">
        <v>30</v>
      </c>
      <c r="D286" s="1" t="s">
        <v>141</v>
      </c>
      <c r="E286" s="1" t="s">
        <v>95</v>
      </c>
      <c r="F286" s="10" t="n">
        <v>0</v>
      </c>
      <c r="G286" s="10" t="n">
        <v>0</v>
      </c>
      <c r="H286" s="10" t="n">
        <v>0</v>
      </c>
      <c r="I286" s="10" t="n">
        <v>0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  <c r="S286" s="10" t="n">
        <v>0</v>
      </c>
      <c r="T286" s="10" t="n">
        <v>0</v>
      </c>
      <c r="U286" s="10" t="n">
        <v>0</v>
      </c>
      <c r="V286" s="10" t="n">
        <v>0</v>
      </c>
      <c r="W286" s="10" t="n">
        <v>0</v>
      </c>
      <c r="X286" s="10" t="n">
        <v>0</v>
      </c>
      <c r="Y286" s="10" t="n">
        <v>8</v>
      </c>
      <c r="Z286" s="10" t="n">
        <v>0</v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10" t="n">
        <v>0</v>
      </c>
      <c r="AG286" s="10" t="n">
        <v>0</v>
      </c>
      <c r="AH286" s="10" t="n">
        <v>0</v>
      </c>
      <c r="AI286" s="10" t="n">
        <v>0</v>
      </c>
      <c r="AJ286" s="10" t="n">
        <v>0</v>
      </c>
      <c r="AK286" s="10" t="n">
        <v>0</v>
      </c>
      <c r="AL286" s="10" t="n">
        <v>0</v>
      </c>
      <c r="AM286" s="10" t="n">
        <v>0</v>
      </c>
      <c r="AN286" s="10" t="n">
        <v>0</v>
      </c>
      <c r="AO286" s="10" t="n">
        <v>0</v>
      </c>
      <c r="AP286" s="10" t="n">
        <v>0</v>
      </c>
      <c r="AQ286" s="10" t="n">
        <v>0</v>
      </c>
      <c r="AR286" s="10" t="n">
        <v>0</v>
      </c>
      <c r="AS286" s="10" t="n">
        <v>0</v>
      </c>
    </row>
    <row r="287" customFormat="false" ht="15" hidden="true" customHeight="true" outlineLevel="1" collapsed="false">
      <c r="A287" s="1" t="s">
        <v>12</v>
      </c>
      <c r="B287" s="1" t="s">
        <v>14</v>
      </c>
      <c r="C287" s="1" t="s">
        <v>30</v>
      </c>
      <c r="D287" s="1" t="s">
        <v>141</v>
      </c>
      <c r="E287" s="1" t="s">
        <v>85</v>
      </c>
      <c r="F287" s="10" t="n">
        <v>19</v>
      </c>
      <c r="G287" s="10" t="n">
        <v>23</v>
      </c>
      <c r="H287" s="10" t="n">
        <v>20</v>
      </c>
      <c r="I287" s="10" t="n">
        <v>2</v>
      </c>
      <c r="J287" s="10" t="n">
        <v>2</v>
      </c>
      <c r="K287" s="10" t="n">
        <v>11</v>
      </c>
      <c r="L287" s="10" t="n">
        <v>40</v>
      </c>
      <c r="M287" s="10" t="n">
        <v>16</v>
      </c>
      <c r="N287" s="10" t="n">
        <v>4</v>
      </c>
      <c r="O287" s="10" t="n">
        <v>4</v>
      </c>
      <c r="P287" s="10" t="n">
        <v>4</v>
      </c>
      <c r="Q287" s="10" t="n">
        <v>30</v>
      </c>
      <c r="R287" s="10" t="n">
        <v>28</v>
      </c>
      <c r="S287" s="10" t="n">
        <v>30</v>
      </c>
      <c r="T287" s="10" t="n">
        <v>27.5</v>
      </c>
      <c r="U287" s="10" t="n">
        <v>19.5</v>
      </c>
      <c r="V287" s="10" t="n">
        <v>4</v>
      </c>
      <c r="W287" s="10" t="n">
        <v>0</v>
      </c>
      <c r="X287" s="10" t="n">
        <v>15</v>
      </c>
      <c r="Y287" s="10" t="n">
        <v>40</v>
      </c>
      <c r="Z287" s="10" t="n">
        <v>40</v>
      </c>
      <c r="AA287" s="10" t="n">
        <v>4</v>
      </c>
      <c r="AB287" s="10" t="n">
        <v>0</v>
      </c>
      <c r="AC287" s="10" t="n">
        <v>0</v>
      </c>
      <c r="AD287" s="10" t="n">
        <v>10</v>
      </c>
      <c r="AE287" s="10" t="n">
        <v>2</v>
      </c>
      <c r="AF287" s="10" t="n">
        <v>0</v>
      </c>
      <c r="AG287" s="10" t="n">
        <v>0</v>
      </c>
      <c r="AH287" s="10" t="n">
        <v>0</v>
      </c>
      <c r="AI287" s="10" t="n">
        <v>0</v>
      </c>
      <c r="AJ287" s="10" t="n">
        <v>0</v>
      </c>
      <c r="AK287" s="10" t="n">
        <v>0</v>
      </c>
      <c r="AL287" s="10" t="n">
        <v>0</v>
      </c>
      <c r="AM287" s="10" t="n">
        <v>0</v>
      </c>
      <c r="AN287" s="10" t="n">
        <v>0</v>
      </c>
      <c r="AO287" s="10" t="n">
        <v>0</v>
      </c>
      <c r="AP287" s="10" t="n">
        <v>0</v>
      </c>
      <c r="AQ287" s="10" t="n">
        <v>0</v>
      </c>
      <c r="AR287" s="10" t="n">
        <v>0</v>
      </c>
      <c r="AS287" s="10" t="n">
        <v>0</v>
      </c>
    </row>
    <row r="288" customFormat="false" ht="15" hidden="true" customHeight="true" outlineLevel="1" collapsed="false">
      <c r="A288" s="1" t="s">
        <v>12</v>
      </c>
      <c r="B288" s="1" t="s">
        <v>14</v>
      </c>
      <c r="C288" s="1" t="s">
        <v>30</v>
      </c>
      <c r="D288" s="1" t="s">
        <v>141</v>
      </c>
      <c r="E288" s="1" t="s">
        <v>99</v>
      </c>
      <c r="F288" s="10" t="n">
        <v>19</v>
      </c>
      <c r="G288" s="10" t="n">
        <v>12</v>
      </c>
      <c r="H288" s="10" t="n">
        <v>10</v>
      </c>
      <c r="I288" s="10" t="n">
        <v>7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11</v>
      </c>
      <c r="Q288" s="10" t="n">
        <v>7</v>
      </c>
      <c r="R288" s="10" t="n">
        <v>0</v>
      </c>
      <c r="S288" s="10" t="n">
        <v>0</v>
      </c>
      <c r="T288" s="10" t="n">
        <v>0</v>
      </c>
      <c r="U288" s="10" t="n">
        <v>0</v>
      </c>
      <c r="V288" s="10" t="n">
        <v>0</v>
      </c>
      <c r="W288" s="10" t="n">
        <v>0</v>
      </c>
      <c r="X288" s="10" t="n">
        <v>40</v>
      </c>
      <c r="Y288" s="10" t="n">
        <v>7</v>
      </c>
      <c r="Z288" s="10" t="n">
        <v>0</v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10" t="n">
        <v>0</v>
      </c>
      <c r="AG288" s="10" t="n">
        <v>0</v>
      </c>
      <c r="AH288" s="10" t="n">
        <v>0</v>
      </c>
      <c r="AI288" s="10" t="n">
        <v>0</v>
      </c>
      <c r="AJ288" s="10" t="n">
        <v>0</v>
      </c>
      <c r="AK288" s="10" t="n">
        <v>0</v>
      </c>
      <c r="AL288" s="10" t="n">
        <v>0</v>
      </c>
      <c r="AM288" s="10" t="n">
        <v>0</v>
      </c>
      <c r="AN288" s="10" t="n">
        <v>0</v>
      </c>
      <c r="AO288" s="10" t="n">
        <v>0</v>
      </c>
      <c r="AP288" s="10" t="n">
        <v>0</v>
      </c>
      <c r="AQ288" s="10" t="n">
        <v>0</v>
      </c>
      <c r="AR288" s="10" t="n">
        <v>0</v>
      </c>
      <c r="AS288" s="10" t="n">
        <v>0</v>
      </c>
    </row>
    <row r="289" customFormat="false" ht="15" hidden="true" customHeight="true" outlineLevel="1" collapsed="false">
      <c r="A289" s="1" t="s">
        <v>12</v>
      </c>
      <c r="B289" s="1" t="s">
        <v>14</v>
      </c>
      <c r="C289" s="1" t="s">
        <v>30</v>
      </c>
      <c r="D289" s="1" t="s">
        <v>141</v>
      </c>
      <c r="E289" s="1" t="s">
        <v>43</v>
      </c>
      <c r="F289" s="10" t="n">
        <v>0</v>
      </c>
      <c r="G289" s="10" t="n">
        <v>0</v>
      </c>
      <c r="H289" s="10" t="n">
        <v>0</v>
      </c>
      <c r="I289" s="10" t="n">
        <v>0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  <c r="S289" s="10" t="n">
        <v>10</v>
      </c>
      <c r="T289" s="10" t="n">
        <v>0</v>
      </c>
      <c r="U289" s="10" t="n">
        <v>0</v>
      </c>
      <c r="V289" s="10" t="n">
        <v>0</v>
      </c>
      <c r="W289" s="10" t="n">
        <v>0</v>
      </c>
      <c r="X289" s="10" t="n">
        <v>0</v>
      </c>
      <c r="Y289" s="10" t="n">
        <v>0</v>
      </c>
      <c r="Z289" s="10" t="n">
        <v>0</v>
      </c>
      <c r="AA289" s="10" t="n">
        <v>4</v>
      </c>
      <c r="AB289" s="10" t="n">
        <v>0</v>
      </c>
      <c r="AC289" s="10" t="n">
        <v>0</v>
      </c>
      <c r="AD289" s="10" t="n">
        <v>0</v>
      </c>
      <c r="AE289" s="10" t="n">
        <v>0</v>
      </c>
      <c r="AF289" s="10" t="n">
        <v>0</v>
      </c>
      <c r="AG289" s="10" t="n">
        <v>0</v>
      </c>
      <c r="AH289" s="10" t="n">
        <v>0</v>
      </c>
      <c r="AI289" s="10" t="n">
        <v>0</v>
      </c>
      <c r="AJ289" s="10" t="n">
        <v>0</v>
      </c>
      <c r="AK289" s="10" t="n">
        <v>0</v>
      </c>
      <c r="AL289" s="10" t="n">
        <v>0</v>
      </c>
      <c r="AM289" s="10" t="n">
        <v>0</v>
      </c>
      <c r="AN289" s="10" t="n">
        <v>0</v>
      </c>
      <c r="AO289" s="10" t="n">
        <v>0</v>
      </c>
      <c r="AP289" s="10" t="n">
        <v>0</v>
      </c>
      <c r="AQ289" s="10" t="n">
        <v>0</v>
      </c>
      <c r="AR289" s="10" t="n">
        <v>0</v>
      </c>
      <c r="AS289" s="10" t="n">
        <v>0</v>
      </c>
    </row>
    <row r="290" customFormat="false" ht="15" hidden="true" customHeight="true" outlineLevel="1" collapsed="false">
      <c r="A290" s="1" t="s">
        <v>12</v>
      </c>
      <c r="B290" s="1" t="s">
        <v>14</v>
      </c>
      <c r="C290" s="1" t="s">
        <v>30</v>
      </c>
      <c r="D290" s="1" t="s">
        <v>141</v>
      </c>
      <c r="E290" s="1" t="s">
        <v>100</v>
      </c>
      <c r="F290" s="10" t="n">
        <v>2</v>
      </c>
      <c r="G290" s="10" t="n">
        <v>5</v>
      </c>
      <c r="H290" s="10" t="n">
        <v>10</v>
      </c>
      <c r="I290" s="10" t="n">
        <v>10</v>
      </c>
      <c r="J290" s="10" t="n">
        <v>15</v>
      </c>
      <c r="K290" s="10" t="n">
        <v>15</v>
      </c>
      <c r="L290" s="10" t="n">
        <v>0</v>
      </c>
      <c r="M290" s="10" t="n">
        <v>15</v>
      </c>
      <c r="N290" s="10" t="n">
        <v>15</v>
      </c>
      <c r="O290" s="10" t="n">
        <v>10</v>
      </c>
      <c r="P290" s="10" t="n">
        <v>7</v>
      </c>
      <c r="Q290" s="10" t="n">
        <v>3</v>
      </c>
      <c r="R290" s="10" t="n">
        <v>0</v>
      </c>
      <c r="S290" s="10" t="n">
        <v>0</v>
      </c>
      <c r="T290" s="10" t="n">
        <v>0</v>
      </c>
      <c r="U290" s="10" t="n">
        <v>3</v>
      </c>
      <c r="V290" s="10" t="n">
        <v>0</v>
      </c>
      <c r="W290" s="10" t="n">
        <v>0</v>
      </c>
      <c r="X290" s="10" t="n">
        <v>0</v>
      </c>
      <c r="Y290" s="10" t="n">
        <v>0</v>
      </c>
      <c r="Z290" s="10" t="n">
        <v>15</v>
      </c>
      <c r="AA290" s="10" t="n">
        <v>35</v>
      </c>
      <c r="AB290" s="10" t="n">
        <v>0</v>
      </c>
      <c r="AC290" s="10" t="n">
        <v>0</v>
      </c>
      <c r="AD290" s="10" t="n">
        <v>45</v>
      </c>
      <c r="AE290" s="10" t="n">
        <v>35</v>
      </c>
      <c r="AF290" s="10" t="n">
        <v>0</v>
      </c>
      <c r="AG290" s="10" t="n">
        <v>0</v>
      </c>
      <c r="AH290" s="10" t="n">
        <v>0</v>
      </c>
      <c r="AI290" s="10" t="n">
        <v>0</v>
      </c>
      <c r="AJ290" s="10" t="n">
        <v>0</v>
      </c>
      <c r="AK290" s="10" t="n">
        <v>0</v>
      </c>
      <c r="AL290" s="10" t="n">
        <v>0</v>
      </c>
      <c r="AM290" s="10" t="n">
        <v>0</v>
      </c>
      <c r="AN290" s="10" t="n">
        <v>0</v>
      </c>
      <c r="AO290" s="10" t="n">
        <v>0</v>
      </c>
      <c r="AP290" s="10" t="n">
        <v>0</v>
      </c>
      <c r="AQ290" s="10" t="n">
        <v>0</v>
      </c>
      <c r="AR290" s="10" t="n">
        <v>0</v>
      </c>
      <c r="AS290" s="10" t="n">
        <v>0</v>
      </c>
    </row>
    <row r="291" customFormat="false" ht="15" hidden="true" customHeight="true" outlineLevel="1" collapsed="false">
      <c r="A291" s="1" t="s">
        <v>12</v>
      </c>
      <c r="B291" s="1" t="s">
        <v>14</v>
      </c>
      <c r="C291" s="1" t="s">
        <v>30</v>
      </c>
      <c r="D291" s="1" t="s">
        <v>141</v>
      </c>
      <c r="E291" s="1" t="s">
        <v>114</v>
      </c>
      <c r="F291" s="10" t="n">
        <v>0</v>
      </c>
      <c r="G291" s="10" t="n">
        <v>0</v>
      </c>
      <c r="H291" s="10" t="n">
        <v>0</v>
      </c>
      <c r="I291" s="10" t="n">
        <v>0</v>
      </c>
      <c r="J291" s="10" t="n">
        <v>0</v>
      </c>
      <c r="K291" s="10" t="n">
        <v>0</v>
      </c>
      <c r="L291" s="10" t="n">
        <v>0</v>
      </c>
      <c r="M291" s="10" t="n">
        <v>0</v>
      </c>
      <c r="N291" s="10" t="n">
        <v>0</v>
      </c>
      <c r="O291" s="10" t="n">
        <v>0</v>
      </c>
      <c r="P291" s="10" t="n">
        <v>0</v>
      </c>
      <c r="Q291" s="10" t="n">
        <v>0</v>
      </c>
      <c r="R291" s="10" t="n">
        <v>0</v>
      </c>
      <c r="S291" s="10" t="n">
        <v>0</v>
      </c>
      <c r="T291" s="10" t="n">
        <v>0</v>
      </c>
      <c r="U291" s="10" t="n">
        <v>0</v>
      </c>
      <c r="V291" s="10" t="n">
        <v>0</v>
      </c>
      <c r="W291" s="10" t="n">
        <v>0</v>
      </c>
      <c r="X291" s="10" t="n">
        <v>0</v>
      </c>
      <c r="Y291" s="10" t="n">
        <v>0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10" t="n">
        <v>30</v>
      </c>
      <c r="AG291" s="10" t="n">
        <v>30</v>
      </c>
      <c r="AH291" s="10" t="n">
        <v>30</v>
      </c>
      <c r="AI291" s="10" t="n">
        <v>0</v>
      </c>
      <c r="AJ291" s="10" t="n">
        <v>0</v>
      </c>
      <c r="AK291" s="10" t="n">
        <v>0</v>
      </c>
      <c r="AL291" s="10" t="n">
        <v>0</v>
      </c>
      <c r="AM291" s="10" t="n">
        <v>0</v>
      </c>
      <c r="AN291" s="10" t="n">
        <v>0</v>
      </c>
      <c r="AO291" s="10" t="n">
        <v>0</v>
      </c>
      <c r="AP291" s="10" t="n">
        <v>0</v>
      </c>
      <c r="AQ291" s="10" t="n">
        <v>0</v>
      </c>
      <c r="AR291" s="10" t="n">
        <v>0</v>
      </c>
      <c r="AS291" s="10" t="n">
        <v>0</v>
      </c>
    </row>
    <row r="292" customFormat="false" ht="15" hidden="false" customHeight="true" outlineLevel="0" collapsed="false">
      <c r="A292" s="4" t="s">
        <v>12</v>
      </c>
      <c r="B292" s="4" t="s">
        <v>14</v>
      </c>
      <c r="C292" s="4" t="s">
        <v>158</v>
      </c>
      <c r="D292" s="4" t="s">
        <v>76</v>
      </c>
      <c r="E292" s="4" t="s">
        <v>77</v>
      </c>
      <c r="F292" s="8" t="n">
        <f aca="false">SUM(F293)</f>
        <v>0</v>
      </c>
      <c r="G292" s="8" t="n">
        <f aca="false">SUM(G293)</f>
        <v>0</v>
      </c>
      <c r="H292" s="8" t="n">
        <f aca="false">SUM(H293)</f>
        <v>0</v>
      </c>
      <c r="I292" s="8" t="n">
        <f aca="false">SUM(I293)</f>
        <v>0</v>
      </c>
      <c r="J292" s="8" t="n">
        <f aca="false">SUM(J293)</f>
        <v>0</v>
      </c>
      <c r="K292" s="8" t="n">
        <f aca="false">SUM(K293)</f>
        <v>0</v>
      </c>
      <c r="L292" s="8" t="n">
        <f aca="false">SUM(L293)</f>
        <v>0</v>
      </c>
      <c r="M292" s="8" t="n">
        <f aca="false">SUM(M293)</f>
        <v>0</v>
      </c>
      <c r="N292" s="8" t="n">
        <f aca="false">SUM(N293)</f>
        <v>0</v>
      </c>
      <c r="O292" s="8" t="n">
        <f aca="false">SUM(O293)</f>
        <v>0</v>
      </c>
      <c r="P292" s="8" t="n">
        <f aca="false">SUM(P293)</f>
        <v>0</v>
      </c>
      <c r="Q292" s="8" t="n">
        <f aca="false">SUM(Q293)</f>
        <v>0</v>
      </c>
      <c r="R292" s="8" t="n">
        <f aca="false">SUM(R293)</f>
        <v>0</v>
      </c>
      <c r="S292" s="8" t="n">
        <f aca="false">SUM(S293)</f>
        <v>0</v>
      </c>
      <c r="T292" s="8" t="n">
        <f aca="false">SUM(T293)</f>
        <v>0</v>
      </c>
      <c r="U292" s="8" t="n">
        <f aca="false">SUM(U293)</f>
        <v>0</v>
      </c>
      <c r="V292" s="8" t="n">
        <f aca="false">SUM(V293)</f>
        <v>0</v>
      </c>
      <c r="W292" s="8" t="n">
        <f aca="false">SUM(W293)</f>
        <v>0</v>
      </c>
      <c r="X292" s="8" t="n">
        <f aca="false">SUM(X293)</f>
        <v>0</v>
      </c>
      <c r="Y292" s="8" t="n">
        <f aca="false">SUM(Y293)</f>
        <v>0</v>
      </c>
      <c r="Z292" s="8" t="n">
        <f aca="false">SUM(Z293)</f>
        <v>0</v>
      </c>
      <c r="AA292" s="8" t="n">
        <f aca="false">SUM(AA293)</f>
        <v>3</v>
      </c>
      <c r="AB292" s="8" t="n">
        <f aca="false">SUM(AB293)</f>
        <v>0</v>
      </c>
      <c r="AC292" s="8" t="n">
        <f aca="false">SUM(AC293)</f>
        <v>0</v>
      </c>
      <c r="AD292" s="8" t="n">
        <f aca="false">SUM(AD293)</f>
        <v>0</v>
      </c>
      <c r="AE292" s="8" t="n">
        <f aca="false">SUM(AE293)</f>
        <v>0</v>
      </c>
      <c r="AF292" s="8" t="n">
        <f aca="false">SUM(AF293)</f>
        <v>0</v>
      </c>
      <c r="AG292" s="8" t="n">
        <f aca="false">SUM(AG293)</f>
        <v>0</v>
      </c>
      <c r="AH292" s="8" t="n">
        <f aca="false">SUM(AH293)</f>
        <v>0</v>
      </c>
      <c r="AI292" s="8" t="n">
        <f aca="false">SUM(AI293)</f>
        <v>0</v>
      </c>
      <c r="AJ292" s="8" t="n">
        <f aca="false">SUM(AJ293)</f>
        <v>0</v>
      </c>
      <c r="AK292" s="8" t="n">
        <f aca="false">SUM(AK293)</f>
        <v>0</v>
      </c>
      <c r="AL292" s="8" t="n">
        <f aca="false">SUM(AL293)</f>
        <v>0</v>
      </c>
      <c r="AM292" s="8" t="n">
        <f aca="false">SUM(AM293)</f>
        <v>0</v>
      </c>
      <c r="AN292" s="8" t="n">
        <f aca="false">SUM(AN293)</f>
        <v>0</v>
      </c>
      <c r="AO292" s="8" t="n">
        <f aca="false">SUM(AO293)</f>
        <v>0</v>
      </c>
      <c r="AP292" s="8" t="n">
        <f aca="false">SUM(AP293)</f>
        <v>0</v>
      </c>
      <c r="AQ292" s="8" t="n">
        <f aca="false">SUM(AQ293)</f>
        <v>0</v>
      </c>
      <c r="AR292" s="8" t="n">
        <f aca="false">SUM(AR293)</f>
        <v>0</v>
      </c>
      <c r="AS292" s="8" t="n">
        <f aca="false">SUM(AS293)</f>
        <v>0</v>
      </c>
    </row>
    <row r="293" customFormat="false" ht="15" hidden="true" customHeight="true" outlineLevel="1" collapsed="false">
      <c r="A293" s="1" t="s">
        <v>12</v>
      </c>
      <c r="B293" s="1" t="s">
        <v>14</v>
      </c>
      <c r="C293" s="1" t="s">
        <v>158</v>
      </c>
      <c r="D293" s="1" t="s">
        <v>141</v>
      </c>
      <c r="E293" s="1" t="s">
        <v>121</v>
      </c>
      <c r="F293" s="10" t="n">
        <v>0</v>
      </c>
      <c r="G293" s="10" t="n">
        <v>0</v>
      </c>
      <c r="H293" s="10" t="n">
        <v>0</v>
      </c>
      <c r="I293" s="10" t="n">
        <v>0</v>
      </c>
      <c r="J293" s="10" t="n">
        <v>0</v>
      </c>
      <c r="K293" s="10" t="n">
        <v>0</v>
      </c>
      <c r="L293" s="10" t="n">
        <v>0</v>
      </c>
      <c r="M293" s="10" t="n">
        <v>0</v>
      </c>
      <c r="N293" s="10" t="n">
        <v>0</v>
      </c>
      <c r="O293" s="10" t="n">
        <v>0</v>
      </c>
      <c r="P293" s="10" t="n">
        <v>0</v>
      </c>
      <c r="Q293" s="10" t="n">
        <v>0</v>
      </c>
      <c r="R293" s="10" t="n">
        <v>0</v>
      </c>
      <c r="S293" s="10" t="n">
        <v>0</v>
      </c>
      <c r="T293" s="10" t="n">
        <v>0</v>
      </c>
      <c r="U293" s="10" t="n">
        <v>0</v>
      </c>
      <c r="V293" s="10" t="n">
        <v>0</v>
      </c>
      <c r="W293" s="10" t="n">
        <v>0</v>
      </c>
      <c r="X293" s="10" t="n">
        <v>0</v>
      </c>
      <c r="Y293" s="10" t="n">
        <v>0</v>
      </c>
      <c r="Z293" s="10" t="n">
        <v>0</v>
      </c>
      <c r="AA293" s="10" t="n">
        <v>3</v>
      </c>
      <c r="AB293" s="10" t="n">
        <v>0</v>
      </c>
      <c r="AC293" s="10" t="n">
        <v>0</v>
      </c>
      <c r="AD293" s="10" t="n">
        <v>0</v>
      </c>
      <c r="AE293" s="10" t="n">
        <v>0</v>
      </c>
      <c r="AF293" s="10" t="n">
        <v>0</v>
      </c>
      <c r="AG293" s="10" t="n">
        <v>0</v>
      </c>
      <c r="AH293" s="10" t="n">
        <v>0</v>
      </c>
      <c r="AI293" s="10" t="n">
        <v>0</v>
      </c>
      <c r="AJ293" s="10" t="n">
        <v>0</v>
      </c>
      <c r="AK293" s="10" t="n">
        <v>0</v>
      </c>
      <c r="AL293" s="10" t="n">
        <v>0</v>
      </c>
      <c r="AM293" s="10" t="n">
        <v>0</v>
      </c>
      <c r="AN293" s="10" t="n">
        <v>0</v>
      </c>
      <c r="AO293" s="10" t="n">
        <v>0</v>
      </c>
      <c r="AP293" s="10" t="n">
        <v>0</v>
      </c>
      <c r="AQ293" s="10" t="n">
        <v>0</v>
      </c>
      <c r="AR293" s="10" t="n">
        <v>0</v>
      </c>
      <c r="AS293" s="10" t="n">
        <v>0</v>
      </c>
    </row>
    <row r="294" customFormat="false" ht="15" hidden="false" customHeight="true" outlineLevel="0" collapsed="false">
      <c r="A294" s="4" t="s">
        <v>12</v>
      </c>
      <c r="B294" s="4" t="s">
        <v>14</v>
      </c>
      <c r="C294" s="4" t="s">
        <v>126</v>
      </c>
      <c r="D294" s="4" t="s">
        <v>76</v>
      </c>
      <c r="E294" s="4" t="s">
        <v>77</v>
      </c>
      <c r="F294" s="8" t="n">
        <f aca="false">SUM(F295)</f>
        <v>8</v>
      </c>
      <c r="G294" s="8" t="n">
        <f aca="false">SUM(G295)</f>
        <v>0</v>
      </c>
      <c r="H294" s="8" t="n">
        <f aca="false">SUM(H295)</f>
        <v>0</v>
      </c>
      <c r="I294" s="8" t="n">
        <f aca="false">SUM(I295)</f>
        <v>0</v>
      </c>
      <c r="J294" s="8" t="n">
        <f aca="false">SUM(J295)</f>
        <v>0</v>
      </c>
      <c r="K294" s="8" t="n">
        <f aca="false">SUM(K295)</f>
        <v>0</v>
      </c>
      <c r="L294" s="8" t="n">
        <f aca="false">SUM(L295)</f>
        <v>0</v>
      </c>
      <c r="M294" s="8" t="n">
        <f aca="false">SUM(M295)</f>
        <v>0</v>
      </c>
      <c r="N294" s="8" t="n">
        <f aca="false">SUM(N295)</f>
        <v>0</v>
      </c>
      <c r="O294" s="8" t="n">
        <f aca="false">SUM(O295)</f>
        <v>0</v>
      </c>
      <c r="P294" s="8" t="n">
        <f aca="false">SUM(P295)</f>
        <v>0</v>
      </c>
      <c r="Q294" s="8" t="n">
        <f aca="false">SUM(Q295)</f>
        <v>0</v>
      </c>
      <c r="R294" s="8" t="n">
        <f aca="false">SUM(R295)</f>
        <v>0</v>
      </c>
      <c r="S294" s="8" t="n">
        <f aca="false">SUM(S295)</f>
        <v>0</v>
      </c>
      <c r="T294" s="8" t="n">
        <f aca="false">SUM(T295)</f>
        <v>0</v>
      </c>
      <c r="U294" s="8" t="n">
        <f aca="false">SUM(U295)</f>
        <v>0</v>
      </c>
      <c r="V294" s="8" t="n">
        <f aca="false">SUM(V295)</f>
        <v>0</v>
      </c>
      <c r="W294" s="8" t="n">
        <f aca="false">SUM(W295)</f>
        <v>0</v>
      </c>
      <c r="X294" s="8" t="n">
        <f aca="false">SUM(X295)</f>
        <v>0</v>
      </c>
      <c r="Y294" s="8" t="n">
        <f aca="false">SUM(Y295)</f>
        <v>0</v>
      </c>
      <c r="Z294" s="8" t="n">
        <f aca="false">SUM(Z295)</f>
        <v>0</v>
      </c>
      <c r="AA294" s="8" t="n">
        <f aca="false">SUM(AA295)</f>
        <v>0</v>
      </c>
      <c r="AB294" s="8" t="n">
        <f aca="false">SUM(AB295)</f>
        <v>0</v>
      </c>
      <c r="AC294" s="8" t="n">
        <f aca="false">SUM(AC295)</f>
        <v>0</v>
      </c>
      <c r="AD294" s="8" t="n">
        <f aca="false">SUM(AD295)</f>
        <v>0</v>
      </c>
      <c r="AE294" s="8" t="n">
        <f aca="false">SUM(AE295)</f>
        <v>0</v>
      </c>
      <c r="AF294" s="8" t="n">
        <f aca="false">SUM(AF295)</f>
        <v>0</v>
      </c>
      <c r="AG294" s="8" t="n">
        <f aca="false">SUM(AG295)</f>
        <v>0</v>
      </c>
      <c r="AH294" s="8" t="n">
        <f aca="false">SUM(AH295)</f>
        <v>0</v>
      </c>
      <c r="AI294" s="8" t="n">
        <f aca="false">SUM(AI295)</f>
        <v>0</v>
      </c>
      <c r="AJ294" s="8" t="n">
        <f aca="false">SUM(AJ295)</f>
        <v>0</v>
      </c>
      <c r="AK294" s="8" t="n">
        <f aca="false">SUM(AK295)</f>
        <v>0</v>
      </c>
      <c r="AL294" s="8" t="n">
        <f aca="false">SUM(AL295)</f>
        <v>0</v>
      </c>
      <c r="AM294" s="8" t="n">
        <f aca="false">SUM(AM295)</f>
        <v>0</v>
      </c>
      <c r="AN294" s="8" t="n">
        <f aca="false">SUM(AN295)</f>
        <v>0</v>
      </c>
      <c r="AO294" s="8" t="n">
        <f aca="false">SUM(AO295)</f>
        <v>0</v>
      </c>
      <c r="AP294" s="8" t="n">
        <f aca="false">SUM(AP295)</f>
        <v>0</v>
      </c>
      <c r="AQ294" s="8" t="n">
        <f aca="false">SUM(AQ295)</f>
        <v>0</v>
      </c>
      <c r="AR294" s="8" t="n">
        <f aca="false">SUM(AR295)</f>
        <v>0</v>
      </c>
      <c r="AS294" s="8" t="n">
        <f aca="false">SUM(AS295)</f>
        <v>0</v>
      </c>
    </row>
    <row r="295" customFormat="false" ht="15" hidden="true" customHeight="true" outlineLevel="1" collapsed="false">
      <c r="A295" s="1" t="s">
        <v>12</v>
      </c>
      <c r="B295" s="1" t="s">
        <v>14</v>
      </c>
      <c r="C295" s="1" t="s">
        <v>126</v>
      </c>
      <c r="D295" s="1" t="s">
        <v>141</v>
      </c>
      <c r="E295" s="1" t="s">
        <v>107</v>
      </c>
      <c r="F295" s="10" t="n">
        <v>8</v>
      </c>
      <c r="G295" s="10" t="n">
        <v>0</v>
      </c>
      <c r="H295" s="10" t="n">
        <v>0</v>
      </c>
      <c r="I295" s="10" t="n">
        <v>0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0" t="n">
        <v>0</v>
      </c>
      <c r="P295" s="10" t="n">
        <v>0</v>
      </c>
      <c r="Q295" s="10" t="n">
        <v>0</v>
      </c>
      <c r="R295" s="10" t="n">
        <v>0</v>
      </c>
      <c r="S295" s="10" t="n">
        <v>0</v>
      </c>
      <c r="T295" s="10" t="n">
        <v>0</v>
      </c>
      <c r="U295" s="10" t="n">
        <v>0</v>
      </c>
      <c r="V295" s="10" t="n">
        <v>0</v>
      </c>
      <c r="W295" s="10" t="n">
        <v>0</v>
      </c>
      <c r="X295" s="10" t="n">
        <v>0</v>
      </c>
      <c r="Y295" s="10" t="n">
        <v>0</v>
      </c>
      <c r="Z295" s="10" t="n">
        <v>0</v>
      </c>
      <c r="AA295" s="10" t="n">
        <v>0</v>
      </c>
      <c r="AB295" s="10" t="n">
        <v>0</v>
      </c>
      <c r="AC295" s="10" t="n">
        <v>0</v>
      </c>
      <c r="AD295" s="10" t="n">
        <v>0</v>
      </c>
      <c r="AE295" s="10" t="n">
        <v>0</v>
      </c>
      <c r="AF295" s="10" t="n">
        <v>0</v>
      </c>
      <c r="AG295" s="10" t="n">
        <v>0</v>
      </c>
      <c r="AH295" s="10" t="n">
        <v>0</v>
      </c>
      <c r="AI295" s="10" t="n">
        <v>0</v>
      </c>
      <c r="AJ295" s="10" t="n">
        <v>0</v>
      </c>
      <c r="AK295" s="10" t="n">
        <v>0</v>
      </c>
      <c r="AL295" s="10" t="n">
        <v>0</v>
      </c>
      <c r="AM295" s="10" t="n">
        <v>0</v>
      </c>
      <c r="AN295" s="10" t="n">
        <v>0</v>
      </c>
      <c r="AO295" s="10" t="n">
        <v>0</v>
      </c>
      <c r="AP295" s="10" t="n">
        <v>0</v>
      </c>
      <c r="AQ295" s="10" t="n">
        <v>0</v>
      </c>
      <c r="AR295" s="10" t="n">
        <v>0</v>
      </c>
      <c r="AS295" s="10" t="n">
        <v>0</v>
      </c>
    </row>
    <row r="296" customFormat="false" ht="15" hidden="false" customHeight="true" outlineLevel="0" collapsed="false">
      <c r="A296" s="4" t="s">
        <v>12</v>
      </c>
      <c r="B296" s="4" t="s">
        <v>14</v>
      </c>
      <c r="C296" s="4" t="s">
        <v>127</v>
      </c>
      <c r="D296" s="4" t="s">
        <v>76</v>
      </c>
      <c r="E296" s="4" t="s">
        <v>77</v>
      </c>
      <c r="F296" s="8" t="n">
        <f aca="false">SUM(F297)</f>
        <v>0</v>
      </c>
      <c r="G296" s="8" t="n">
        <f aca="false">SUM(G297)</f>
        <v>0</v>
      </c>
      <c r="H296" s="8" t="n">
        <f aca="false">SUM(H297)</f>
        <v>0</v>
      </c>
      <c r="I296" s="8" t="n">
        <f aca="false">SUM(I297)</f>
        <v>0</v>
      </c>
      <c r="J296" s="8" t="n">
        <f aca="false">SUM(J297)</f>
        <v>0</v>
      </c>
      <c r="K296" s="8" t="n">
        <f aca="false">SUM(K297)</f>
        <v>0</v>
      </c>
      <c r="L296" s="8" t="n">
        <f aca="false">SUM(L297)</f>
        <v>0</v>
      </c>
      <c r="M296" s="8" t="n">
        <f aca="false">SUM(M297)</f>
        <v>0</v>
      </c>
      <c r="N296" s="8" t="n">
        <f aca="false">SUM(N297)</f>
        <v>0</v>
      </c>
      <c r="O296" s="8" t="n">
        <f aca="false">SUM(O297)</f>
        <v>0</v>
      </c>
      <c r="P296" s="8" t="n">
        <f aca="false">SUM(P297)</f>
        <v>0</v>
      </c>
      <c r="Q296" s="8" t="n">
        <f aca="false">SUM(Q297)</f>
        <v>0</v>
      </c>
      <c r="R296" s="8" t="n">
        <f aca="false">SUM(R297)</f>
        <v>0</v>
      </c>
      <c r="S296" s="8" t="n">
        <f aca="false">SUM(S297)</f>
        <v>0</v>
      </c>
      <c r="T296" s="8" t="n">
        <f aca="false">SUM(T297)</f>
        <v>0</v>
      </c>
      <c r="U296" s="8" t="n">
        <f aca="false">SUM(U297)</f>
        <v>0</v>
      </c>
      <c r="V296" s="8" t="n">
        <f aca="false">SUM(V297)</f>
        <v>0</v>
      </c>
      <c r="W296" s="8" t="n">
        <f aca="false">SUM(W297)</f>
        <v>0</v>
      </c>
      <c r="X296" s="8" t="n">
        <f aca="false">SUM(X297)</f>
        <v>0</v>
      </c>
      <c r="Y296" s="8" t="n">
        <f aca="false">SUM(Y297)</f>
        <v>0</v>
      </c>
      <c r="Z296" s="8" t="n">
        <f aca="false">SUM(Z297)</f>
        <v>0</v>
      </c>
      <c r="AA296" s="8" t="n">
        <f aca="false">SUM(AA297)</f>
        <v>0</v>
      </c>
      <c r="AB296" s="8" t="n">
        <f aca="false">SUM(AB297)</f>
        <v>30</v>
      </c>
      <c r="AC296" s="8" t="n">
        <f aca="false">SUM(AC297)</f>
        <v>14</v>
      </c>
      <c r="AD296" s="8" t="n">
        <f aca="false">SUM(AD297)</f>
        <v>8</v>
      </c>
      <c r="AE296" s="8" t="n">
        <f aca="false">SUM(AE297)</f>
        <v>0</v>
      </c>
      <c r="AF296" s="8" t="n">
        <f aca="false">SUM(AF297)</f>
        <v>0</v>
      </c>
      <c r="AG296" s="8" t="n">
        <f aca="false">SUM(AG297)</f>
        <v>0</v>
      </c>
      <c r="AH296" s="8" t="n">
        <f aca="false">SUM(AH297)</f>
        <v>0</v>
      </c>
      <c r="AI296" s="8" t="n">
        <f aca="false">SUM(AI297)</f>
        <v>0</v>
      </c>
      <c r="AJ296" s="8" t="n">
        <f aca="false">SUM(AJ297)</f>
        <v>0</v>
      </c>
      <c r="AK296" s="8" t="n">
        <f aca="false">SUM(AK297)</f>
        <v>0</v>
      </c>
      <c r="AL296" s="8" t="n">
        <f aca="false">SUM(AL297)</f>
        <v>0</v>
      </c>
      <c r="AM296" s="8" t="n">
        <f aca="false">SUM(AM297)</f>
        <v>0</v>
      </c>
      <c r="AN296" s="8" t="n">
        <f aca="false">SUM(AN297)</f>
        <v>0</v>
      </c>
      <c r="AO296" s="8" t="n">
        <f aca="false">SUM(AO297)</f>
        <v>0</v>
      </c>
      <c r="AP296" s="8" t="n">
        <f aca="false">SUM(AP297)</f>
        <v>0</v>
      </c>
      <c r="AQ296" s="8" t="n">
        <f aca="false">SUM(AQ297)</f>
        <v>0</v>
      </c>
      <c r="AR296" s="8" t="n">
        <f aca="false">SUM(AR297)</f>
        <v>0</v>
      </c>
      <c r="AS296" s="8" t="n">
        <f aca="false">SUM(AS297)</f>
        <v>0</v>
      </c>
    </row>
    <row r="297" customFormat="false" ht="15" hidden="true" customHeight="true" outlineLevel="1" collapsed="false">
      <c r="A297" s="1" t="s">
        <v>12</v>
      </c>
      <c r="B297" s="1" t="s">
        <v>14</v>
      </c>
      <c r="C297" s="1" t="s">
        <v>127</v>
      </c>
      <c r="D297" s="1" t="s">
        <v>141</v>
      </c>
      <c r="E297" s="1" t="s">
        <v>40</v>
      </c>
      <c r="F297" s="10" t="n">
        <v>0</v>
      </c>
      <c r="G297" s="10" t="n">
        <v>0</v>
      </c>
      <c r="H297" s="10" t="n">
        <v>0</v>
      </c>
      <c r="I297" s="10" t="n">
        <v>0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0" t="n">
        <v>0</v>
      </c>
      <c r="P297" s="10" t="n">
        <v>0</v>
      </c>
      <c r="Q297" s="10" t="n">
        <v>0</v>
      </c>
      <c r="R297" s="10" t="n">
        <v>0</v>
      </c>
      <c r="S297" s="10" t="n">
        <v>0</v>
      </c>
      <c r="T297" s="10" t="n">
        <v>0</v>
      </c>
      <c r="U297" s="10" t="n">
        <v>0</v>
      </c>
      <c r="V297" s="10" t="n">
        <v>0</v>
      </c>
      <c r="W297" s="10" t="n">
        <v>0</v>
      </c>
      <c r="X297" s="10" t="n">
        <v>0</v>
      </c>
      <c r="Y297" s="10" t="n">
        <v>0</v>
      </c>
      <c r="Z297" s="10" t="n">
        <v>0</v>
      </c>
      <c r="AA297" s="10" t="n">
        <v>0</v>
      </c>
      <c r="AB297" s="10" t="n">
        <v>30</v>
      </c>
      <c r="AC297" s="10" t="n">
        <v>14</v>
      </c>
      <c r="AD297" s="10" t="n">
        <v>8</v>
      </c>
      <c r="AE297" s="10" t="n">
        <v>0</v>
      </c>
      <c r="AF297" s="10" t="n">
        <v>0</v>
      </c>
      <c r="AG297" s="10" t="n">
        <v>0</v>
      </c>
      <c r="AH297" s="10" t="n">
        <v>0</v>
      </c>
      <c r="AI297" s="10" t="n">
        <v>0</v>
      </c>
      <c r="AJ297" s="10" t="n">
        <v>0</v>
      </c>
      <c r="AK297" s="10" t="n">
        <v>0</v>
      </c>
      <c r="AL297" s="10" t="n">
        <v>0</v>
      </c>
      <c r="AM297" s="10" t="n">
        <v>0</v>
      </c>
      <c r="AN297" s="10" t="n">
        <v>0</v>
      </c>
      <c r="AO297" s="10" t="n">
        <v>0</v>
      </c>
      <c r="AP297" s="10" t="n">
        <v>0</v>
      </c>
      <c r="AQ297" s="10" t="n">
        <v>0</v>
      </c>
      <c r="AR297" s="10" t="n">
        <v>0</v>
      </c>
      <c r="AS297" s="10" t="n">
        <v>0</v>
      </c>
    </row>
    <row r="298" customFormat="false" ht="15" hidden="false" customHeight="true" outlineLevel="0" collapsed="false">
      <c r="A298" s="4" t="s">
        <v>12</v>
      </c>
      <c r="B298" s="4" t="s">
        <v>14</v>
      </c>
      <c r="C298" s="4" t="s">
        <v>128</v>
      </c>
      <c r="D298" s="4" t="s">
        <v>76</v>
      </c>
      <c r="E298" s="4" t="s">
        <v>77</v>
      </c>
      <c r="F298" s="8" t="n">
        <f aca="false">SUM(F299)</f>
        <v>2</v>
      </c>
      <c r="G298" s="8" t="n">
        <f aca="false">SUM(G299)</f>
        <v>0</v>
      </c>
      <c r="H298" s="8" t="n">
        <f aca="false">SUM(H299)</f>
        <v>0</v>
      </c>
      <c r="I298" s="8" t="n">
        <f aca="false">SUM(I299)</f>
        <v>4</v>
      </c>
      <c r="J298" s="8" t="n">
        <f aca="false">SUM(J299)</f>
        <v>3</v>
      </c>
      <c r="K298" s="8" t="n">
        <f aca="false">SUM(K299)</f>
        <v>0.9</v>
      </c>
      <c r="L298" s="8" t="n">
        <f aca="false">SUM(L299)</f>
        <v>0</v>
      </c>
      <c r="M298" s="8" t="n">
        <f aca="false">SUM(M299)</f>
        <v>0</v>
      </c>
      <c r="N298" s="8" t="n">
        <f aca="false">SUM(N299)</f>
        <v>0</v>
      </c>
      <c r="O298" s="8" t="n">
        <f aca="false">SUM(O299)</f>
        <v>0</v>
      </c>
      <c r="P298" s="8" t="n">
        <f aca="false">SUM(P299)</f>
        <v>0</v>
      </c>
      <c r="Q298" s="8" t="n">
        <f aca="false">SUM(Q299)</f>
        <v>0</v>
      </c>
      <c r="R298" s="8" t="n">
        <f aca="false">SUM(R299)</f>
        <v>0</v>
      </c>
      <c r="S298" s="8" t="n">
        <f aca="false">SUM(S299)</f>
        <v>0</v>
      </c>
      <c r="T298" s="8" t="n">
        <f aca="false">SUM(T299)</f>
        <v>1</v>
      </c>
      <c r="U298" s="8" t="n">
        <f aca="false">SUM(U299)</f>
        <v>1</v>
      </c>
      <c r="V298" s="8" t="n">
        <f aca="false">SUM(V299)</f>
        <v>0</v>
      </c>
      <c r="W298" s="8" t="n">
        <f aca="false">SUM(W299)</f>
        <v>0</v>
      </c>
      <c r="X298" s="8" t="n">
        <f aca="false">SUM(X299)</f>
        <v>0</v>
      </c>
      <c r="Y298" s="8" t="n">
        <f aca="false">SUM(Y299)</f>
        <v>0</v>
      </c>
      <c r="Z298" s="8" t="n">
        <f aca="false">SUM(Z299)</f>
        <v>0</v>
      </c>
      <c r="AA298" s="8" t="n">
        <f aca="false">SUM(AA299)</f>
        <v>0</v>
      </c>
      <c r="AB298" s="8" t="n">
        <f aca="false">SUM(AB299)</f>
        <v>0</v>
      </c>
      <c r="AC298" s="8" t="n">
        <f aca="false">SUM(AC299)</f>
        <v>0</v>
      </c>
      <c r="AD298" s="8" t="n">
        <f aca="false">SUM(AD299)</f>
        <v>0</v>
      </c>
      <c r="AE298" s="8" t="n">
        <f aca="false">SUM(AE299)</f>
        <v>0</v>
      </c>
      <c r="AF298" s="8" t="n">
        <f aca="false">SUM(AF299)</f>
        <v>0</v>
      </c>
      <c r="AG298" s="8" t="n">
        <f aca="false">SUM(AG299)</f>
        <v>0</v>
      </c>
      <c r="AH298" s="8" t="n">
        <f aca="false">SUM(AH299)</f>
        <v>0</v>
      </c>
      <c r="AI298" s="8" t="n">
        <f aca="false">SUM(AI299)</f>
        <v>0</v>
      </c>
      <c r="AJ298" s="8" t="n">
        <f aca="false">SUM(AJ299)</f>
        <v>0</v>
      </c>
      <c r="AK298" s="8" t="n">
        <f aca="false">SUM(AK299)</f>
        <v>0</v>
      </c>
      <c r="AL298" s="8" t="n">
        <f aca="false">SUM(AL299)</f>
        <v>0</v>
      </c>
      <c r="AM298" s="8" t="n">
        <f aca="false">SUM(AM299)</f>
        <v>0</v>
      </c>
      <c r="AN298" s="8" t="n">
        <f aca="false">SUM(AN299)</f>
        <v>0</v>
      </c>
      <c r="AO298" s="8" t="n">
        <f aca="false">SUM(AO299)</f>
        <v>0</v>
      </c>
      <c r="AP298" s="8" t="n">
        <f aca="false">SUM(AP299)</f>
        <v>0</v>
      </c>
      <c r="AQ298" s="8" t="n">
        <f aca="false">SUM(AQ299)</f>
        <v>0</v>
      </c>
      <c r="AR298" s="8" t="n">
        <f aca="false">SUM(AR299)</f>
        <v>0</v>
      </c>
      <c r="AS298" s="8" t="n">
        <f aca="false">SUM(AS299)</f>
        <v>0</v>
      </c>
    </row>
    <row r="299" customFormat="false" ht="15" hidden="true" customHeight="true" outlineLevel="1" collapsed="false">
      <c r="A299" s="1" t="s">
        <v>12</v>
      </c>
      <c r="B299" s="1" t="s">
        <v>14</v>
      </c>
      <c r="C299" s="1" t="s">
        <v>128</v>
      </c>
      <c r="D299" s="1" t="s">
        <v>141</v>
      </c>
      <c r="E299" s="1" t="s">
        <v>108</v>
      </c>
      <c r="F299" s="10" t="n">
        <v>2</v>
      </c>
      <c r="G299" s="10" t="n">
        <v>0</v>
      </c>
      <c r="H299" s="10" t="n">
        <v>0</v>
      </c>
      <c r="I299" s="10" t="n">
        <v>4</v>
      </c>
      <c r="J299" s="10" t="n">
        <v>3</v>
      </c>
      <c r="K299" s="10" t="n">
        <v>0.9</v>
      </c>
      <c r="L299" s="10" t="n">
        <v>0</v>
      </c>
      <c r="M299" s="10" t="n">
        <v>0</v>
      </c>
      <c r="N299" s="10" t="n">
        <v>0</v>
      </c>
      <c r="O299" s="10" t="n">
        <v>0</v>
      </c>
      <c r="P299" s="10" t="n">
        <v>0</v>
      </c>
      <c r="Q299" s="10" t="n">
        <v>0</v>
      </c>
      <c r="R299" s="10" t="n">
        <v>0</v>
      </c>
      <c r="S299" s="10" t="n">
        <v>0</v>
      </c>
      <c r="T299" s="10" t="n">
        <v>1</v>
      </c>
      <c r="U299" s="10" t="n">
        <v>1</v>
      </c>
      <c r="V299" s="10" t="n">
        <v>0</v>
      </c>
      <c r="W299" s="10" t="n">
        <v>0</v>
      </c>
      <c r="X299" s="10" t="n">
        <v>0</v>
      </c>
      <c r="Y299" s="10" t="n">
        <v>0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0" t="n">
        <v>0</v>
      </c>
      <c r="AE299" s="10" t="n">
        <v>0</v>
      </c>
      <c r="AF299" s="10" t="n">
        <v>0</v>
      </c>
      <c r="AG299" s="10" t="n">
        <v>0</v>
      </c>
      <c r="AH299" s="10" t="n">
        <v>0</v>
      </c>
      <c r="AI299" s="10" t="n">
        <v>0</v>
      </c>
      <c r="AJ299" s="10" t="n">
        <v>0</v>
      </c>
      <c r="AK299" s="10" t="n">
        <v>0</v>
      </c>
      <c r="AL299" s="10" t="n">
        <v>0</v>
      </c>
      <c r="AM299" s="10" t="n">
        <v>0</v>
      </c>
      <c r="AN299" s="10" t="n">
        <v>0</v>
      </c>
      <c r="AO299" s="10" t="n">
        <v>0</v>
      </c>
      <c r="AP299" s="10" t="n">
        <v>0</v>
      </c>
      <c r="AQ299" s="10" t="n">
        <v>0</v>
      </c>
      <c r="AR299" s="10" t="n">
        <v>0</v>
      </c>
      <c r="AS299" s="10" t="n">
        <v>0</v>
      </c>
    </row>
    <row r="300" customFormat="false" ht="15" hidden="false" customHeight="true" outlineLevel="0" collapsed="false">
      <c r="A300" s="4" t="s">
        <v>12</v>
      </c>
      <c r="B300" s="4" t="s">
        <v>14</v>
      </c>
      <c r="C300" s="4" t="s">
        <v>159</v>
      </c>
      <c r="D300" s="4" t="s">
        <v>76</v>
      </c>
      <c r="E300" s="4" t="s">
        <v>77</v>
      </c>
      <c r="F300" s="8" t="n">
        <f aca="false">SUM(F301)</f>
        <v>0</v>
      </c>
      <c r="G300" s="8" t="n">
        <f aca="false">SUM(G301)</f>
        <v>0</v>
      </c>
      <c r="H300" s="8" t="n">
        <f aca="false">SUM(H301)</f>
        <v>0</v>
      </c>
      <c r="I300" s="8" t="n">
        <f aca="false">SUM(I301)</f>
        <v>0</v>
      </c>
      <c r="J300" s="8" t="n">
        <f aca="false">SUM(J301)</f>
        <v>0</v>
      </c>
      <c r="K300" s="8" t="n">
        <f aca="false">SUM(K301)</f>
        <v>0</v>
      </c>
      <c r="L300" s="8" t="n">
        <f aca="false">SUM(L301)</f>
        <v>0</v>
      </c>
      <c r="M300" s="8" t="n">
        <f aca="false">SUM(M301)</f>
        <v>0</v>
      </c>
      <c r="N300" s="8" t="n">
        <f aca="false">SUM(N301)</f>
        <v>0</v>
      </c>
      <c r="O300" s="8" t="n">
        <f aca="false">SUM(O301)</f>
        <v>0</v>
      </c>
      <c r="P300" s="8" t="n">
        <f aca="false">SUM(P301)</f>
        <v>0</v>
      </c>
      <c r="Q300" s="8" t="n">
        <f aca="false">SUM(Q301)</f>
        <v>0</v>
      </c>
      <c r="R300" s="8" t="n">
        <f aca="false">SUM(R301)</f>
        <v>0</v>
      </c>
      <c r="S300" s="8" t="n">
        <f aca="false">SUM(S301)</f>
        <v>0</v>
      </c>
      <c r="T300" s="8" t="n">
        <f aca="false">SUM(T301)</f>
        <v>0</v>
      </c>
      <c r="U300" s="8" t="n">
        <f aca="false">SUM(U301)</f>
        <v>0</v>
      </c>
      <c r="V300" s="8" t="n">
        <f aca="false">SUM(V301)</f>
        <v>0</v>
      </c>
      <c r="W300" s="8" t="n">
        <f aca="false">SUM(W301)</f>
        <v>0</v>
      </c>
      <c r="X300" s="8" t="n">
        <f aca="false">SUM(X301)</f>
        <v>0</v>
      </c>
      <c r="Y300" s="8" t="n">
        <f aca="false">SUM(Y301)</f>
        <v>0</v>
      </c>
      <c r="Z300" s="8" t="n">
        <f aca="false">SUM(Z301)</f>
        <v>0</v>
      </c>
      <c r="AA300" s="8" t="n">
        <f aca="false">SUM(AA301)</f>
        <v>0</v>
      </c>
      <c r="AB300" s="8" t="n">
        <f aca="false">SUM(AB301)</f>
        <v>0</v>
      </c>
      <c r="AC300" s="8" t="n">
        <f aca="false">SUM(AC301)</f>
        <v>6</v>
      </c>
      <c r="AD300" s="8" t="n">
        <f aca="false">SUM(AD301)</f>
        <v>12</v>
      </c>
      <c r="AE300" s="8" t="n">
        <f aca="false">SUM(AE301)</f>
        <v>0</v>
      </c>
      <c r="AF300" s="8" t="n">
        <f aca="false">SUM(AF301)</f>
        <v>0</v>
      </c>
      <c r="AG300" s="8" t="n">
        <f aca="false">SUM(AG301)</f>
        <v>0</v>
      </c>
      <c r="AH300" s="8" t="n">
        <f aca="false">SUM(AH301)</f>
        <v>0</v>
      </c>
      <c r="AI300" s="8" t="n">
        <f aca="false">SUM(AI301)</f>
        <v>0</v>
      </c>
      <c r="AJ300" s="8" t="n">
        <f aca="false">SUM(AJ301)</f>
        <v>0</v>
      </c>
      <c r="AK300" s="8" t="n">
        <f aca="false">SUM(AK301)</f>
        <v>0</v>
      </c>
      <c r="AL300" s="8" t="n">
        <f aca="false">SUM(AL301)</f>
        <v>0</v>
      </c>
      <c r="AM300" s="8" t="n">
        <f aca="false">SUM(AM301)</f>
        <v>0</v>
      </c>
      <c r="AN300" s="8" t="n">
        <f aca="false">SUM(AN301)</f>
        <v>0</v>
      </c>
      <c r="AO300" s="8" t="n">
        <f aca="false">SUM(AO301)</f>
        <v>0</v>
      </c>
      <c r="AP300" s="8" t="n">
        <f aca="false">SUM(AP301)</f>
        <v>0</v>
      </c>
      <c r="AQ300" s="8" t="n">
        <f aca="false">SUM(AQ301)</f>
        <v>0</v>
      </c>
      <c r="AR300" s="8" t="n">
        <f aca="false">SUM(AR301)</f>
        <v>0</v>
      </c>
      <c r="AS300" s="8" t="n">
        <f aca="false">SUM(AS301)</f>
        <v>0</v>
      </c>
    </row>
    <row r="301" customFormat="false" ht="15" hidden="true" customHeight="true" outlineLevel="1" collapsed="false">
      <c r="A301" s="1" t="s">
        <v>12</v>
      </c>
      <c r="B301" s="1" t="s">
        <v>14</v>
      </c>
      <c r="C301" s="1" t="s">
        <v>159</v>
      </c>
      <c r="D301" s="1" t="s">
        <v>141</v>
      </c>
      <c r="E301" s="1" t="s">
        <v>81</v>
      </c>
      <c r="F301" s="10" t="n">
        <v>0</v>
      </c>
      <c r="G301" s="10" t="n">
        <v>0</v>
      </c>
      <c r="H301" s="10" t="n">
        <v>0</v>
      </c>
      <c r="I301" s="10" t="n">
        <v>0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0" t="n">
        <v>0</v>
      </c>
      <c r="P301" s="10" t="n">
        <v>0</v>
      </c>
      <c r="Q301" s="10" t="n">
        <v>0</v>
      </c>
      <c r="R301" s="10" t="n">
        <v>0</v>
      </c>
      <c r="S301" s="10" t="n">
        <v>0</v>
      </c>
      <c r="T301" s="10" t="n">
        <v>0</v>
      </c>
      <c r="U301" s="10" t="n">
        <v>0</v>
      </c>
      <c r="V301" s="10" t="n">
        <v>0</v>
      </c>
      <c r="W301" s="10" t="n">
        <v>0</v>
      </c>
      <c r="X301" s="10" t="n">
        <v>0</v>
      </c>
      <c r="Y301" s="10" t="n">
        <v>0</v>
      </c>
      <c r="Z301" s="10" t="n">
        <v>0</v>
      </c>
      <c r="AA301" s="10" t="n">
        <v>0</v>
      </c>
      <c r="AB301" s="10" t="n">
        <v>0</v>
      </c>
      <c r="AC301" s="10" t="n">
        <v>6</v>
      </c>
      <c r="AD301" s="10" t="n">
        <v>12</v>
      </c>
      <c r="AE301" s="10" t="n">
        <v>0</v>
      </c>
      <c r="AF301" s="10" t="n">
        <v>0</v>
      </c>
      <c r="AG301" s="10" t="n">
        <v>0</v>
      </c>
      <c r="AH301" s="10" t="n">
        <v>0</v>
      </c>
      <c r="AI301" s="10" t="n">
        <v>0</v>
      </c>
      <c r="AJ301" s="10" t="n">
        <v>0</v>
      </c>
      <c r="AK301" s="10" t="n">
        <v>0</v>
      </c>
      <c r="AL301" s="10" t="n">
        <v>0</v>
      </c>
      <c r="AM301" s="10" t="n">
        <v>0</v>
      </c>
      <c r="AN301" s="10" t="n">
        <v>0</v>
      </c>
      <c r="AO301" s="10" t="n">
        <v>0</v>
      </c>
      <c r="AP301" s="10" t="n">
        <v>0</v>
      </c>
      <c r="AQ301" s="10" t="n">
        <v>0</v>
      </c>
      <c r="AR301" s="10" t="n">
        <v>0</v>
      </c>
      <c r="AS301" s="10" t="n">
        <v>0</v>
      </c>
    </row>
    <row r="302" customFormat="false" ht="15" hidden="false" customHeight="true" outlineLevel="0" collapsed="false">
      <c r="A302" s="4" t="s">
        <v>12</v>
      </c>
      <c r="B302" s="4" t="s">
        <v>14</v>
      </c>
      <c r="C302" s="4" t="s">
        <v>160</v>
      </c>
      <c r="D302" s="4" t="s">
        <v>76</v>
      </c>
      <c r="E302" s="4" t="s">
        <v>77</v>
      </c>
      <c r="F302" s="8" t="n">
        <f aca="false">SUM(F303)</f>
        <v>0</v>
      </c>
      <c r="G302" s="8" t="n">
        <f aca="false">SUM(G303)</f>
        <v>0</v>
      </c>
      <c r="H302" s="8" t="n">
        <f aca="false">SUM(H303)</f>
        <v>0</v>
      </c>
      <c r="I302" s="8" t="n">
        <f aca="false">SUM(I303)</f>
        <v>0</v>
      </c>
      <c r="J302" s="8" t="n">
        <f aca="false">SUM(J303)</f>
        <v>0</v>
      </c>
      <c r="K302" s="8" t="n">
        <f aca="false">SUM(K303)</f>
        <v>0</v>
      </c>
      <c r="L302" s="8" t="n">
        <f aca="false">SUM(L303)</f>
        <v>0</v>
      </c>
      <c r="M302" s="8" t="n">
        <f aca="false">SUM(M303)</f>
        <v>0</v>
      </c>
      <c r="N302" s="8" t="n">
        <f aca="false">SUM(N303)</f>
        <v>0</v>
      </c>
      <c r="O302" s="8" t="n">
        <f aca="false">SUM(O303)</f>
        <v>0</v>
      </c>
      <c r="P302" s="8" t="n">
        <f aca="false">SUM(P303)</f>
        <v>0</v>
      </c>
      <c r="Q302" s="8" t="n">
        <f aca="false">SUM(Q303)</f>
        <v>6</v>
      </c>
      <c r="R302" s="8" t="n">
        <f aca="false">SUM(R303)</f>
        <v>0</v>
      </c>
      <c r="S302" s="8" t="n">
        <f aca="false">SUM(S303)</f>
        <v>0</v>
      </c>
      <c r="T302" s="8" t="n">
        <f aca="false">SUM(T303)</f>
        <v>0</v>
      </c>
      <c r="U302" s="8" t="n">
        <f aca="false">SUM(U303)</f>
        <v>0</v>
      </c>
      <c r="V302" s="8" t="n">
        <f aca="false">SUM(V303)</f>
        <v>0</v>
      </c>
      <c r="W302" s="8" t="n">
        <f aca="false">SUM(W303)</f>
        <v>0</v>
      </c>
      <c r="X302" s="8" t="n">
        <f aca="false">SUM(X303)</f>
        <v>0</v>
      </c>
      <c r="Y302" s="8" t="n">
        <f aca="false">SUM(Y303)</f>
        <v>0</v>
      </c>
      <c r="Z302" s="8" t="n">
        <f aca="false">SUM(Z303)</f>
        <v>0</v>
      </c>
      <c r="AA302" s="8" t="n">
        <f aca="false">SUM(AA303)</f>
        <v>0</v>
      </c>
      <c r="AB302" s="8" t="n">
        <f aca="false">SUM(AB303)</f>
        <v>0</v>
      </c>
      <c r="AC302" s="8" t="n">
        <f aca="false">SUM(AC303)</f>
        <v>0</v>
      </c>
      <c r="AD302" s="8" t="n">
        <f aca="false">SUM(AD303)</f>
        <v>0</v>
      </c>
      <c r="AE302" s="8" t="n">
        <f aca="false">SUM(AE303)</f>
        <v>0</v>
      </c>
      <c r="AF302" s="8" t="n">
        <f aca="false">SUM(AF303)</f>
        <v>0</v>
      </c>
      <c r="AG302" s="8" t="n">
        <f aca="false">SUM(AG303)</f>
        <v>0</v>
      </c>
      <c r="AH302" s="8" t="n">
        <f aca="false">SUM(AH303)</f>
        <v>0</v>
      </c>
      <c r="AI302" s="8" t="n">
        <f aca="false">SUM(AI303)</f>
        <v>0</v>
      </c>
      <c r="AJ302" s="8" t="n">
        <f aca="false">SUM(AJ303)</f>
        <v>0</v>
      </c>
      <c r="AK302" s="8" t="n">
        <f aca="false">SUM(AK303)</f>
        <v>0</v>
      </c>
      <c r="AL302" s="8" t="n">
        <f aca="false">SUM(AL303)</f>
        <v>0</v>
      </c>
      <c r="AM302" s="8" t="n">
        <f aca="false">SUM(AM303)</f>
        <v>0</v>
      </c>
      <c r="AN302" s="8" t="n">
        <f aca="false">SUM(AN303)</f>
        <v>0</v>
      </c>
      <c r="AO302" s="8" t="n">
        <f aca="false">SUM(AO303)</f>
        <v>0</v>
      </c>
      <c r="AP302" s="8" t="n">
        <f aca="false">SUM(AP303)</f>
        <v>0</v>
      </c>
      <c r="AQ302" s="8" t="n">
        <f aca="false">SUM(AQ303)</f>
        <v>0</v>
      </c>
      <c r="AR302" s="8" t="n">
        <f aca="false">SUM(AR303)</f>
        <v>0</v>
      </c>
      <c r="AS302" s="8" t="n">
        <f aca="false">SUM(AS303)</f>
        <v>0</v>
      </c>
    </row>
    <row r="303" customFormat="false" ht="15" hidden="true" customHeight="true" outlineLevel="1" collapsed="false">
      <c r="A303" s="1" t="s">
        <v>12</v>
      </c>
      <c r="B303" s="1" t="s">
        <v>14</v>
      </c>
      <c r="C303" s="1" t="s">
        <v>160</v>
      </c>
      <c r="D303" s="1" t="s">
        <v>141</v>
      </c>
      <c r="E303" s="1" t="s">
        <v>94</v>
      </c>
      <c r="F303" s="10" t="n">
        <v>0</v>
      </c>
      <c r="G303" s="10" t="n">
        <v>0</v>
      </c>
      <c r="H303" s="10" t="n">
        <v>0</v>
      </c>
      <c r="I303" s="10" t="n">
        <v>0</v>
      </c>
      <c r="J303" s="10" t="n">
        <v>0</v>
      </c>
      <c r="K303" s="10" t="n">
        <v>0</v>
      </c>
      <c r="L303" s="10" t="n">
        <v>0</v>
      </c>
      <c r="M303" s="10" t="n">
        <v>0</v>
      </c>
      <c r="N303" s="10" t="n">
        <v>0</v>
      </c>
      <c r="O303" s="10" t="n">
        <v>0</v>
      </c>
      <c r="P303" s="10" t="n">
        <v>0</v>
      </c>
      <c r="Q303" s="10" t="n">
        <v>6</v>
      </c>
      <c r="R303" s="10" t="n">
        <v>0</v>
      </c>
      <c r="S303" s="10" t="n">
        <v>0</v>
      </c>
      <c r="T303" s="10" t="n">
        <v>0</v>
      </c>
      <c r="U303" s="10" t="n">
        <v>0</v>
      </c>
      <c r="V303" s="10" t="n">
        <v>0</v>
      </c>
      <c r="W303" s="10" t="n">
        <v>0</v>
      </c>
      <c r="X303" s="10" t="n">
        <v>0</v>
      </c>
      <c r="Y303" s="10" t="n">
        <v>0</v>
      </c>
      <c r="Z303" s="10" t="n">
        <v>0</v>
      </c>
      <c r="AA303" s="10" t="n">
        <v>0</v>
      </c>
      <c r="AB303" s="10" t="n">
        <v>0</v>
      </c>
      <c r="AC303" s="10" t="n">
        <v>0</v>
      </c>
      <c r="AD303" s="10" t="n">
        <v>0</v>
      </c>
      <c r="AE303" s="10" t="n">
        <v>0</v>
      </c>
      <c r="AF303" s="10" t="n">
        <v>0</v>
      </c>
      <c r="AG303" s="10" t="n">
        <v>0</v>
      </c>
      <c r="AH303" s="10" t="n">
        <v>0</v>
      </c>
      <c r="AI303" s="10" t="n">
        <v>0</v>
      </c>
      <c r="AJ303" s="10" t="n">
        <v>0</v>
      </c>
      <c r="AK303" s="10" t="n">
        <v>0</v>
      </c>
      <c r="AL303" s="10" t="n">
        <v>0</v>
      </c>
      <c r="AM303" s="10" t="n">
        <v>0</v>
      </c>
      <c r="AN303" s="10" t="n">
        <v>0</v>
      </c>
      <c r="AO303" s="10" t="n">
        <v>0</v>
      </c>
      <c r="AP303" s="10" t="n">
        <v>0</v>
      </c>
      <c r="AQ303" s="10" t="n">
        <v>0</v>
      </c>
      <c r="AR303" s="10" t="n">
        <v>0</v>
      </c>
      <c r="AS303" s="10" t="n">
        <v>0</v>
      </c>
    </row>
    <row r="304" customFormat="false" ht="15" hidden="false" customHeight="true" outlineLevel="0" collapsed="false">
      <c r="A304" s="4" t="s">
        <v>12</v>
      </c>
      <c r="B304" s="4" t="s">
        <v>14</v>
      </c>
      <c r="C304" s="4" t="s">
        <v>129</v>
      </c>
      <c r="D304" s="4" t="s">
        <v>76</v>
      </c>
      <c r="E304" s="4" t="s">
        <v>77</v>
      </c>
      <c r="F304" s="8" t="n">
        <f aca="false">SUM(F305)</f>
        <v>0</v>
      </c>
      <c r="G304" s="8" t="n">
        <f aca="false">SUM(G305)</f>
        <v>0</v>
      </c>
      <c r="H304" s="8" t="n">
        <f aca="false">SUM(H305)</f>
        <v>19</v>
      </c>
      <c r="I304" s="8" t="n">
        <f aca="false">SUM(I305)</f>
        <v>0</v>
      </c>
      <c r="J304" s="8" t="n">
        <f aca="false">SUM(J305)</f>
        <v>0</v>
      </c>
      <c r="K304" s="8" t="n">
        <f aca="false">SUM(K305)</f>
        <v>0</v>
      </c>
      <c r="L304" s="8" t="n">
        <f aca="false">SUM(L305)</f>
        <v>0</v>
      </c>
      <c r="M304" s="8" t="n">
        <f aca="false">SUM(M305)</f>
        <v>3.1</v>
      </c>
      <c r="N304" s="8" t="n">
        <f aca="false">SUM(N305)</f>
        <v>0</v>
      </c>
      <c r="O304" s="8" t="n">
        <f aca="false">SUM(O305)</f>
        <v>13.4</v>
      </c>
      <c r="P304" s="8" t="n">
        <f aca="false">SUM(P305)</f>
        <v>15</v>
      </c>
      <c r="Q304" s="8" t="n">
        <f aca="false">SUM(Q305)</f>
        <v>0</v>
      </c>
      <c r="R304" s="8" t="n">
        <f aca="false">SUM(R305)</f>
        <v>0</v>
      </c>
      <c r="S304" s="8" t="n">
        <f aca="false">SUM(S305)</f>
        <v>10</v>
      </c>
      <c r="T304" s="8" t="n">
        <f aca="false">SUM(T305)</f>
        <v>15</v>
      </c>
      <c r="U304" s="8" t="n">
        <f aca="false">SUM(U305)</f>
        <v>10</v>
      </c>
      <c r="V304" s="8" t="n">
        <f aca="false">SUM(V305)</f>
        <v>0</v>
      </c>
      <c r="W304" s="8" t="n">
        <f aca="false">SUM(W305)</f>
        <v>0</v>
      </c>
      <c r="X304" s="8" t="n">
        <f aca="false">SUM(X305)</f>
        <v>30.7</v>
      </c>
      <c r="Y304" s="8" t="n">
        <f aca="false">SUM(Y305)</f>
        <v>0</v>
      </c>
      <c r="Z304" s="8" t="n">
        <f aca="false">SUM(Z305)</f>
        <v>0</v>
      </c>
      <c r="AA304" s="8" t="n">
        <f aca="false">SUM(AA305)</f>
        <v>0</v>
      </c>
      <c r="AB304" s="8" t="n">
        <f aca="false">SUM(AB305)</f>
        <v>0</v>
      </c>
      <c r="AC304" s="8" t="n">
        <f aca="false">SUM(AC305)</f>
        <v>0</v>
      </c>
      <c r="AD304" s="8" t="n">
        <f aca="false">SUM(AD305)</f>
        <v>0</v>
      </c>
      <c r="AE304" s="8" t="n">
        <f aca="false">SUM(AE305)</f>
        <v>0</v>
      </c>
      <c r="AF304" s="8" t="n">
        <f aca="false">SUM(AF305)</f>
        <v>0</v>
      </c>
      <c r="AG304" s="8" t="n">
        <f aca="false">SUM(AG305)</f>
        <v>0</v>
      </c>
      <c r="AH304" s="8" t="n">
        <f aca="false">SUM(AH305)</f>
        <v>0</v>
      </c>
      <c r="AI304" s="8" t="n">
        <f aca="false">SUM(AI305)</f>
        <v>0</v>
      </c>
      <c r="AJ304" s="8" t="n">
        <f aca="false">SUM(AJ305)</f>
        <v>0</v>
      </c>
      <c r="AK304" s="8" t="n">
        <f aca="false">SUM(AK305)</f>
        <v>0</v>
      </c>
      <c r="AL304" s="8" t="n">
        <f aca="false">SUM(AL305)</f>
        <v>0</v>
      </c>
      <c r="AM304" s="8" t="n">
        <f aca="false">SUM(AM305)</f>
        <v>0</v>
      </c>
      <c r="AN304" s="8" t="n">
        <f aca="false">SUM(AN305)</f>
        <v>0</v>
      </c>
      <c r="AO304" s="8" t="n">
        <f aca="false">SUM(AO305)</f>
        <v>0</v>
      </c>
      <c r="AP304" s="8" t="n">
        <f aca="false">SUM(AP305)</f>
        <v>0</v>
      </c>
      <c r="AQ304" s="8" t="n">
        <f aca="false">SUM(AQ305)</f>
        <v>0</v>
      </c>
      <c r="AR304" s="8" t="n">
        <f aca="false">SUM(AR305)</f>
        <v>0</v>
      </c>
      <c r="AS304" s="8" t="n">
        <f aca="false">SUM(AS305)</f>
        <v>0</v>
      </c>
    </row>
    <row r="305" customFormat="false" ht="15" hidden="true" customHeight="true" outlineLevel="1" collapsed="false">
      <c r="A305" s="1" t="s">
        <v>12</v>
      </c>
      <c r="B305" s="1" t="s">
        <v>14</v>
      </c>
      <c r="C305" s="1" t="s">
        <v>129</v>
      </c>
      <c r="D305" s="1" t="s">
        <v>141</v>
      </c>
      <c r="E305" s="1" t="s">
        <v>102</v>
      </c>
      <c r="F305" s="10" t="n">
        <v>0</v>
      </c>
      <c r="G305" s="10" t="n">
        <v>0</v>
      </c>
      <c r="H305" s="10" t="n">
        <v>19</v>
      </c>
      <c r="I305" s="10" t="n">
        <v>0</v>
      </c>
      <c r="J305" s="10" t="n">
        <v>0</v>
      </c>
      <c r="K305" s="10" t="n">
        <v>0</v>
      </c>
      <c r="L305" s="10" t="n">
        <v>0</v>
      </c>
      <c r="M305" s="10" t="n">
        <v>3.1</v>
      </c>
      <c r="N305" s="10" t="n">
        <v>0</v>
      </c>
      <c r="O305" s="10" t="n">
        <v>13.4</v>
      </c>
      <c r="P305" s="10" t="n">
        <v>15</v>
      </c>
      <c r="Q305" s="10" t="n">
        <v>0</v>
      </c>
      <c r="R305" s="10" t="n">
        <v>0</v>
      </c>
      <c r="S305" s="10" t="n">
        <v>10</v>
      </c>
      <c r="T305" s="10" t="n">
        <v>15</v>
      </c>
      <c r="U305" s="10" t="n">
        <v>10</v>
      </c>
      <c r="V305" s="10" t="n">
        <v>0</v>
      </c>
      <c r="W305" s="10" t="n">
        <v>0</v>
      </c>
      <c r="X305" s="10" t="n">
        <v>30.7</v>
      </c>
      <c r="Y305" s="10" t="n">
        <v>0</v>
      </c>
      <c r="Z305" s="10" t="n">
        <v>0</v>
      </c>
      <c r="AA305" s="10" t="n">
        <v>0</v>
      </c>
      <c r="AB305" s="10" t="n">
        <v>0</v>
      </c>
      <c r="AC305" s="10" t="n">
        <v>0</v>
      </c>
      <c r="AD305" s="10" t="n">
        <v>0</v>
      </c>
      <c r="AE305" s="10" t="n">
        <v>0</v>
      </c>
      <c r="AF305" s="10" t="n">
        <v>0</v>
      </c>
      <c r="AG305" s="10" t="n">
        <v>0</v>
      </c>
      <c r="AH305" s="10" t="n">
        <v>0</v>
      </c>
      <c r="AI305" s="10" t="n">
        <v>0</v>
      </c>
      <c r="AJ305" s="10" t="n">
        <v>0</v>
      </c>
      <c r="AK305" s="10" t="n">
        <v>0</v>
      </c>
      <c r="AL305" s="10" t="n">
        <v>0</v>
      </c>
      <c r="AM305" s="10" t="n">
        <v>0</v>
      </c>
      <c r="AN305" s="10" t="n">
        <v>0</v>
      </c>
      <c r="AO305" s="10" t="n">
        <v>0</v>
      </c>
      <c r="AP305" s="10" t="n">
        <v>0</v>
      </c>
      <c r="AQ305" s="10" t="n">
        <v>0</v>
      </c>
      <c r="AR305" s="10" t="n">
        <v>0</v>
      </c>
      <c r="AS305" s="10" t="n">
        <v>0</v>
      </c>
    </row>
    <row r="306" customFormat="false" ht="15" hidden="false" customHeight="true" outlineLevel="0" collapsed="false">
      <c r="A306" s="4" t="s">
        <v>12</v>
      </c>
      <c r="B306" s="4" t="s">
        <v>14</v>
      </c>
      <c r="C306" s="4" t="s">
        <v>161</v>
      </c>
      <c r="D306" s="4" t="s">
        <v>76</v>
      </c>
      <c r="E306" s="4" t="s">
        <v>77</v>
      </c>
      <c r="F306" s="8" t="n">
        <f aca="false">SUM(F307)</f>
        <v>2.5</v>
      </c>
      <c r="G306" s="8" t="n">
        <f aca="false">SUM(G307)</f>
        <v>0</v>
      </c>
      <c r="H306" s="8" t="n">
        <f aca="false">SUM(H307)</f>
        <v>0</v>
      </c>
      <c r="I306" s="8" t="n">
        <f aca="false">SUM(I307)</f>
        <v>0</v>
      </c>
      <c r="J306" s="8" t="n">
        <f aca="false">SUM(J307)</f>
        <v>0</v>
      </c>
      <c r="K306" s="8" t="n">
        <f aca="false">SUM(K307)</f>
        <v>0</v>
      </c>
      <c r="L306" s="8" t="n">
        <f aca="false">SUM(L307)</f>
        <v>0</v>
      </c>
      <c r="M306" s="8" t="n">
        <f aca="false">SUM(M307)</f>
        <v>0</v>
      </c>
      <c r="N306" s="8" t="n">
        <f aca="false">SUM(N307)</f>
        <v>0</v>
      </c>
      <c r="O306" s="8" t="n">
        <f aca="false">SUM(O307)</f>
        <v>0</v>
      </c>
      <c r="P306" s="8" t="n">
        <f aca="false">SUM(P307)</f>
        <v>0</v>
      </c>
      <c r="Q306" s="8" t="n">
        <f aca="false">SUM(Q307)</f>
        <v>0</v>
      </c>
      <c r="R306" s="8" t="n">
        <f aca="false">SUM(R307)</f>
        <v>0</v>
      </c>
      <c r="S306" s="8" t="n">
        <f aca="false">SUM(S307)</f>
        <v>0</v>
      </c>
      <c r="T306" s="8" t="n">
        <f aca="false">SUM(T307)</f>
        <v>0</v>
      </c>
      <c r="U306" s="8" t="n">
        <f aca="false">SUM(U307)</f>
        <v>0</v>
      </c>
      <c r="V306" s="8" t="n">
        <f aca="false">SUM(V307)</f>
        <v>0</v>
      </c>
      <c r="W306" s="8" t="n">
        <f aca="false">SUM(W307)</f>
        <v>0</v>
      </c>
      <c r="X306" s="8" t="n">
        <f aca="false">SUM(X307)</f>
        <v>0</v>
      </c>
      <c r="Y306" s="8" t="n">
        <f aca="false">SUM(Y307)</f>
        <v>0</v>
      </c>
      <c r="Z306" s="8" t="n">
        <f aca="false">SUM(Z307)</f>
        <v>0</v>
      </c>
      <c r="AA306" s="8" t="n">
        <f aca="false">SUM(AA307)</f>
        <v>0</v>
      </c>
      <c r="AB306" s="8" t="n">
        <f aca="false">SUM(AB307)</f>
        <v>0</v>
      </c>
      <c r="AC306" s="8" t="n">
        <f aca="false">SUM(AC307)</f>
        <v>0</v>
      </c>
      <c r="AD306" s="8" t="n">
        <f aca="false">SUM(AD307)</f>
        <v>0</v>
      </c>
      <c r="AE306" s="8" t="n">
        <f aca="false">SUM(AE307)</f>
        <v>0</v>
      </c>
      <c r="AF306" s="8" t="n">
        <f aca="false">SUM(AF307)</f>
        <v>0</v>
      </c>
      <c r="AG306" s="8" t="n">
        <f aca="false">SUM(AG307)</f>
        <v>0</v>
      </c>
      <c r="AH306" s="8" t="n">
        <f aca="false">SUM(AH307)</f>
        <v>0</v>
      </c>
      <c r="AI306" s="8" t="n">
        <f aca="false">SUM(AI307)</f>
        <v>0</v>
      </c>
      <c r="AJ306" s="8" t="n">
        <f aca="false">SUM(AJ307)</f>
        <v>0</v>
      </c>
      <c r="AK306" s="8" t="n">
        <f aca="false">SUM(AK307)</f>
        <v>0</v>
      </c>
      <c r="AL306" s="8" t="n">
        <f aca="false">SUM(AL307)</f>
        <v>0</v>
      </c>
      <c r="AM306" s="8" t="n">
        <f aca="false">SUM(AM307)</f>
        <v>0</v>
      </c>
      <c r="AN306" s="8" t="n">
        <f aca="false">SUM(AN307)</f>
        <v>0</v>
      </c>
      <c r="AO306" s="8" t="n">
        <f aca="false">SUM(AO307)</f>
        <v>0</v>
      </c>
      <c r="AP306" s="8" t="n">
        <f aca="false">SUM(AP307)</f>
        <v>0</v>
      </c>
      <c r="AQ306" s="8" t="n">
        <f aca="false">SUM(AQ307)</f>
        <v>0</v>
      </c>
      <c r="AR306" s="8" t="n">
        <f aca="false">SUM(AR307)</f>
        <v>0</v>
      </c>
      <c r="AS306" s="8" t="n">
        <f aca="false">SUM(AS307)</f>
        <v>0</v>
      </c>
    </row>
    <row r="307" customFormat="false" ht="15" hidden="true" customHeight="true" outlineLevel="1" collapsed="false">
      <c r="A307" s="1" t="s">
        <v>12</v>
      </c>
      <c r="B307" s="1" t="s">
        <v>14</v>
      </c>
      <c r="C307" s="1" t="s">
        <v>161</v>
      </c>
      <c r="D307" s="1" t="s">
        <v>141</v>
      </c>
      <c r="E307" s="1" t="s">
        <v>97</v>
      </c>
      <c r="F307" s="10" t="n">
        <v>2.5</v>
      </c>
      <c r="G307" s="10" t="n">
        <v>0</v>
      </c>
      <c r="H307" s="10" t="n">
        <v>0</v>
      </c>
      <c r="I307" s="10" t="n">
        <v>0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0</v>
      </c>
      <c r="O307" s="10" t="n">
        <v>0</v>
      </c>
      <c r="P307" s="10" t="n">
        <v>0</v>
      </c>
      <c r="Q307" s="10" t="n">
        <v>0</v>
      </c>
      <c r="R307" s="10" t="n">
        <v>0</v>
      </c>
      <c r="S307" s="10" t="n">
        <v>0</v>
      </c>
      <c r="T307" s="10" t="n">
        <v>0</v>
      </c>
      <c r="U307" s="10" t="n">
        <v>0</v>
      </c>
      <c r="V307" s="10" t="n">
        <v>0</v>
      </c>
      <c r="W307" s="10" t="n">
        <v>0</v>
      </c>
      <c r="X307" s="10" t="n">
        <v>0</v>
      </c>
      <c r="Y307" s="10" t="n">
        <v>0</v>
      </c>
      <c r="Z307" s="10" t="n">
        <v>0</v>
      </c>
      <c r="AA307" s="10" t="n">
        <v>0</v>
      </c>
      <c r="AB307" s="10" t="n">
        <v>0</v>
      </c>
      <c r="AC307" s="10" t="n">
        <v>0</v>
      </c>
      <c r="AD307" s="10" t="n">
        <v>0</v>
      </c>
      <c r="AE307" s="10" t="n">
        <v>0</v>
      </c>
      <c r="AF307" s="10" t="n">
        <v>0</v>
      </c>
      <c r="AG307" s="10" t="n">
        <v>0</v>
      </c>
      <c r="AH307" s="10" t="n">
        <v>0</v>
      </c>
      <c r="AI307" s="10" t="n">
        <v>0</v>
      </c>
      <c r="AJ307" s="10" t="n">
        <v>0</v>
      </c>
      <c r="AK307" s="10" t="n">
        <v>0</v>
      </c>
      <c r="AL307" s="10" t="n">
        <v>0</v>
      </c>
      <c r="AM307" s="10" t="n">
        <v>0</v>
      </c>
      <c r="AN307" s="10" t="n">
        <v>0</v>
      </c>
      <c r="AO307" s="10" t="n">
        <v>0</v>
      </c>
      <c r="AP307" s="10" t="n">
        <v>0</v>
      </c>
      <c r="AQ307" s="10" t="n">
        <v>0</v>
      </c>
      <c r="AR307" s="10" t="n">
        <v>0</v>
      </c>
      <c r="AS307" s="10" t="n">
        <v>0</v>
      </c>
    </row>
    <row r="308" customFormat="false" ht="15" hidden="false" customHeight="true" outlineLevel="0" collapsed="false">
      <c r="A308" s="4" t="s">
        <v>12</v>
      </c>
      <c r="B308" s="4" t="s">
        <v>14</v>
      </c>
      <c r="C308" s="4" t="s">
        <v>130</v>
      </c>
      <c r="D308" s="4" t="s">
        <v>76</v>
      </c>
      <c r="E308" s="4" t="s">
        <v>77</v>
      </c>
      <c r="F308" s="8" t="n">
        <f aca="false">SUM(F309)</f>
        <v>8.821429</v>
      </c>
      <c r="G308" s="8" t="n">
        <f aca="false">SUM(G309)</f>
        <v>12</v>
      </c>
      <c r="H308" s="8" t="n">
        <f aca="false">SUM(H309)</f>
        <v>0</v>
      </c>
      <c r="I308" s="8" t="n">
        <f aca="false">SUM(I309)</f>
        <v>0</v>
      </c>
      <c r="J308" s="8" t="n">
        <f aca="false">SUM(J309)</f>
        <v>0</v>
      </c>
      <c r="K308" s="8" t="n">
        <f aca="false">SUM(K309)</f>
        <v>0</v>
      </c>
      <c r="L308" s="8" t="n">
        <f aca="false">SUM(L309)</f>
        <v>19</v>
      </c>
      <c r="M308" s="8" t="n">
        <f aca="false">SUM(M309)</f>
        <v>0</v>
      </c>
      <c r="N308" s="8" t="n">
        <f aca="false">SUM(N309)</f>
        <v>0</v>
      </c>
      <c r="O308" s="8" t="n">
        <f aca="false">SUM(O309)</f>
        <v>0</v>
      </c>
      <c r="P308" s="8" t="n">
        <f aca="false">SUM(P309)</f>
        <v>0</v>
      </c>
      <c r="Q308" s="8" t="n">
        <f aca="false">SUM(Q309)</f>
        <v>1</v>
      </c>
      <c r="R308" s="8" t="n">
        <f aca="false">SUM(R309)</f>
        <v>0</v>
      </c>
      <c r="S308" s="8" t="n">
        <f aca="false">SUM(S309)</f>
        <v>1</v>
      </c>
      <c r="T308" s="8" t="n">
        <f aca="false">SUM(T309)</f>
        <v>0</v>
      </c>
      <c r="U308" s="8" t="n">
        <f aca="false">SUM(U309)</f>
        <v>0</v>
      </c>
      <c r="V308" s="8" t="n">
        <f aca="false">SUM(V309)</f>
        <v>0</v>
      </c>
      <c r="W308" s="8" t="n">
        <f aca="false">SUM(W309)</f>
        <v>0</v>
      </c>
      <c r="X308" s="8" t="n">
        <f aca="false">SUM(X309)</f>
        <v>0</v>
      </c>
      <c r="Y308" s="8" t="n">
        <f aca="false">SUM(Y309)</f>
        <v>0</v>
      </c>
      <c r="Z308" s="8" t="n">
        <f aca="false">SUM(Z309)</f>
        <v>0</v>
      </c>
      <c r="AA308" s="8" t="n">
        <f aca="false">SUM(AA309)</f>
        <v>0</v>
      </c>
      <c r="AB308" s="8" t="n">
        <f aca="false">SUM(AB309)</f>
        <v>0</v>
      </c>
      <c r="AC308" s="8" t="n">
        <f aca="false">SUM(AC309)</f>
        <v>0</v>
      </c>
      <c r="AD308" s="8" t="n">
        <f aca="false">SUM(AD309)</f>
        <v>0</v>
      </c>
      <c r="AE308" s="8" t="n">
        <f aca="false">SUM(AE309)</f>
        <v>0</v>
      </c>
      <c r="AF308" s="8" t="n">
        <f aca="false">SUM(AF309)</f>
        <v>0</v>
      </c>
      <c r="AG308" s="8" t="n">
        <f aca="false">SUM(AG309)</f>
        <v>0</v>
      </c>
      <c r="AH308" s="8" t="n">
        <f aca="false">SUM(AH309)</f>
        <v>0</v>
      </c>
      <c r="AI308" s="8" t="n">
        <f aca="false">SUM(AI309)</f>
        <v>0</v>
      </c>
      <c r="AJ308" s="8" t="n">
        <f aca="false">SUM(AJ309)</f>
        <v>0</v>
      </c>
      <c r="AK308" s="8" t="n">
        <f aca="false">SUM(AK309)</f>
        <v>0</v>
      </c>
      <c r="AL308" s="8" t="n">
        <f aca="false">SUM(AL309)</f>
        <v>0</v>
      </c>
      <c r="AM308" s="8" t="n">
        <f aca="false">SUM(AM309)</f>
        <v>0</v>
      </c>
      <c r="AN308" s="8" t="n">
        <f aca="false">SUM(AN309)</f>
        <v>0</v>
      </c>
      <c r="AO308" s="8" t="n">
        <f aca="false">SUM(AO309)</f>
        <v>0</v>
      </c>
      <c r="AP308" s="8" t="n">
        <f aca="false">SUM(AP309)</f>
        <v>0</v>
      </c>
      <c r="AQ308" s="8" t="n">
        <f aca="false">SUM(AQ309)</f>
        <v>0</v>
      </c>
      <c r="AR308" s="8" t="n">
        <f aca="false">SUM(AR309)</f>
        <v>0</v>
      </c>
      <c r="AS308" s="8" t="n">
        <f aca="false">SUM(AS309)</f>
        <v>0</v>
      </c>
    </row>
    <row r="309" customFormat="false" ht="15" hidden="true" customHeight="true" outlineLevel="1" collapsed="false">
      <c r="A309" s="1" t="s">
        <v>12</v>
      </c>
      <c r="B309" s="1" t="s">
        <v>14</v>
      </c>
      <c r="C309" s="1" t="s">
        <v>130</v>
      </c>
      <c r="D309" s="1" t="s">
        <v>141</v>
      </c>
      <c r="E309" s="1" t="s">
        <v>85</v>
      </c>
      <c r="F309" s="10" t="n">
        <v>8.821429</v>
      </c>
      <c r="G309" s="10" t="n">
        <v>12</v>
      </c>
      <c r="H309" s="10" t="n">
        <v>0</v>
      </c>
      <c r="I309" s="10" t="n">
        <v>0</v>
      </c>
      <c r="J309" s="10" t="n">
        <v>0</v>
      </c>
      <c r="K309" s="10" t="n">
        <v>0</v>
      </c>
      <c r="L309" s="10" t="n">
        <v>19</v>
      </c>
      <c r="M309" s="10" t="n">
        <v>0</v>
      </c>
      <c r="N309" s="10" t="n">
        <v>0</v>
      </c>
      <c r="O309" s="10" t="n">
        <v>0</v>
      </c>
      <c r="P309" s="10" t="n">
        <v>0</v>
      </c>
      <c r="Q309" s="10" t="n">
        <v>1</v>
      </c>
      <c r="R309" s="10" t="n">
        <v>0</v>
      </c>
      <c r="S309" s="10" t="n">
        <v>1</v>
      </c>
      <c r="T309" s="10" t="n">
        <v>0</v>
      </c>
      <c r="U309" s="10" t="n">
        <v>0</v>
      </c>
      <c r="V309" s="10" t="n">
        <v>0</v>
      </c>
      <c r="W309" s="10" t="n">
        <v>0</v>
      </c>
      <c r="X309" s="10" t="n">
        <v>0</v>
      </c>
      <c r="Y309" s="10" t="n">
        <v>0</v>
      </c>
      <c r="Z309" s="10" t="n">
        <v>0</v>
      </c>
      <c r="AA309" s="10" t="n">
        <v>0</v>
      </c>
      <c r="AB309" s="10" t="n">
        <v>0</v>
      </c>
      <c r="AC309" s="10" t="n">
        <v>0</v>
      </c>
      <c r="AD309" s="10" t="n">
        <v>0</v>
      </c>
      <c r="AE309" s="10" t="n">
        <v>0</v>
      </c>
      <c r="AF309" s="10" t="n">
        <v>0</v>
      </c>
      <c r="AG309" s="10" t="n">
        <v>0</v>
      </c>
      <c r="AH309" s="10" t="n">
        <v>0</v>
      </c>
      <c r="AI309" s="10" t="n">
        <v>0</v>
      </c>
      <c r="AJ309" s="10" t="n">
        <v>0</v>
      </c>
      <c r="AK309" s="10" t="n">
        <v>0</v>
      </c>
      <c r="AL309" s="10" t="n">
        <v>0</v>
      </c>
      <c r="AM309" s="10" t="n">
        <v>0</v>
      </c>
      <c r="AN309" s="10" t="n">
        <v>0</v>
      </c>
      <c r="AO309" s="10" t="n">
        <v>0</v>
      </c>
      <c r="AP309" s="10" t="n">
        <v>0</v>
      </c>
      <c r="AQ309" s="10" t="n">
        <v>0</v>
      </c>
      <c r="AR309" s="10" t="n">
        <v>0</v>
      </c>
      <c r="AS309" s="10" t="n">
        <v>0</v>
      </c>
    </row>
    <row r="310" customFormat="false" ht="15" hidden="false" customHeight="true" outlineLevel="0" collapsed="false">
      <c r="A310" s="4" t="s">
        <v>12</v>
      </c>
      <c r="B310" s="4" t="s">
        <v>14</v>
      </c>
      <c r="C310" s="4" t="s">
        <v>162</v>
      </c>
      <c r="D310" s="4" t="s">
        <v>76</v>
      </c>
      <c r="E310" s="4" t="s">
        <v>77</v>
      </c>
      <c r="F310" s="8" t="n">
        <f aca="false">SUM(F311)</f>
        <v>0</v>
      </c>
      <c r="G310" s="8" t="n">
        <f aca="false">SUM(G311)</f>
        <v>0</v>
      </c>
      <c r="H310" s="8" t="n">
        <f aca="false">SUM(H311)</f>
        <v>0</v>
      </c>
      <c r="I310" s="8" t="n">
        <f aca="false">SUM(I311)</f>
        <v>0</v>
      </c>
      <c r="J310" s="8" t="n">
        <f aca="false">SUM(J311)</f>
        <v>0</v>
      </c>
      <c r="K310" s="8" t="n">
        <f aca="false">SUM(K311)</f>
        <v>0</v>
      </c>
      <c r="L310" s="8" t="n">
        <f aca="false">SUM(L311)</f>
        <v>0</v>
      </c>
      <c r="M310" s="8" t="n">
        <f aca="false">SUM(M311)</f>
        <v>15</v>
      </c>
      <c r="N310" s="8" t="n">
        <f aca="false">SUM(N311)</f>
        <v>0</v>
      </c>
      <c r="O310" s="8" t="n">
        <f aca="false">SUM(O311)</f>
        <v>6.346154</v>
      </c>
      <c r="P310" s="8" t="n">
        <f aca="false">SUM(P311)</f>
        <v>11.346154</v>
      </c>
      <c r="Q310" s="8" t="n">
        <f aca="false">SUM(Q311)</f>
        <v>11.346154</v>
      </c>
      <c r="R310" s="8" t="n">
        <f aca="false">SUM(R311)</f>
        <v>1.346154</v>
      </c>
      <c r="S310" s="8" t="n">
        <f aca="false">SUM(S311)</f>
        <v>0</v>
      </c>
      <c r="T310" s="8" t="n">
        <f aca="false">SUM(T311)</f>
        <v>0</v>
      </c>
      <c r="U310" s="8" t="n">
        <f aca="false">SUM(U311)</f>
        <v>0</v>
      </c>
      <c r="V310" s="8" t="n">
        <f aca="false">SUM(V311)</f>
        <v>0</v>
      </c>
      <c r="W310" s="8" t="n">
        <f aca="false">SUM(W311)</f>
        <v>0</v>
      </c>
      <c r="X310" s="8" t="n">
        <f aca="false">SUM(X311)</f>
        <v>17.5</v>
      </c>
      <c r="Y310" s="8" t="n">
        <f aca="false">SUM(Y311)</f>
        <v>42.5</v>
      </c>
      <c r="Z310" s="8" t="n">
        <f aca="false">SUM(Z311)</f>
        <v>5</v>
      </c>
      <c r="AA310" s="8" t="n">
        <f aca="false">SUM(AA311)</f>
        <v>10</v>
      </c>
      <c r="AB310" s="8" t="n">
        <f aca="false">SUM(AB311)</f>
        <v>0</v>
      </c>
      <c r="AC310" s="8" t="n">
        <f aca="false">SUM(AC311)</f>
        <v>0</v>
      </c>
      <c r="AD310" s="8" t="n">
        <f aca="false">SUM(AD311)</f>
        <v>0</v>
      </c>
      <c r="AE310" s="8" t="n">
        <f aca="false">SUM(AE311)</f>
        <v>0</v>
      </c>
      <c r="AF310" s="8" t="n">
        <f aca="false">SUM(AF311)</f>
        <v>0</v>
      </c>
      <c r="AG310" s="8" t="n">
        <f aca="false">SUM(AG311)</f>
        <v>0</v>
      </c>
      <c r="AH310" s="8" t="n">
        <f aca="false">SUM(AH311)</f>
        <v>0</v>
      </c>
      <c r="AI310" s="8" t="n">
        <f aca="false">SUM(AI311)</f>
        <v>0</v>
      </c>
      <c r="AJ310" s="8" t="n">
        <f aca="false">SUM(AJ311)</f>
        <v>0</v>
      </c>
      <c r="AK310" s="8" t="n">
        <f aca="false">SUM(AK311)</f>
        <v>0</v>
      </c>
      <c r="AL310" s="8" t="n">
        <f aca="false">SUM(AL311)</f>
        <v>0</v>
      </c>
      <c r="AM310" s="8" t="n">
        <f aca="false">SUM(AM311)</f>
        <v>0</v>
      </c>
      <c r="AN310" s="8" t="n">
        <f aca="false">SUM(AN311)</f>
        <v>0</v>
      </c>
      <c r="AO310" s="8" t="n">
        <f aca="false">SUM(AO311)</f>
        <v>0</v>
      </c>
      <c r="AP310" s="8" t="n">
        <f aca="false">SUM(AP311)</f>
        <v>0</v>
      </c>
      <c r="AQ310" s="8" t="n">
        <f aca="false">SUM(AQ311)</f>
        <v>0</v>
      </c>
      <c r="AR310" s="8" t="n">
        <f aca="false">SUM(AR311)</f>
        <v>0</v>
      </c>
      <c r="AS310" s="8" t="n">
        <f aca="false">SUM(AS311)</f>
        <v>0</v>
      </c>
    </row>
    <row r="311" customFormat="false" ht="15" hidden="true" customHeight="true" outlineLevel="1" collapsed="false">
      <c r="A311" s="1" t="s">
        <v>12</v>
      </c>
      <c r="B311" s="1" t="s">
        <v>14</v>
      </c>
      <c r="C311" s="1" t="s">
        <v>162</v>
      </c>
      <c r="D311" s="1" t="s">
        <v>141</v>
      </c>
      <c r="E311" s="1" t="s">
        <v>103</v>
      </c>
      <c r="F311" s="10" t="n">
        <v>0</v>
      </c>
      <c r="G311" s="10" t="n">
        <v>0</v>
      </c>
      <c r="H311" s="10" t="n">
        <v>0</v>
      </c>
      <c r="I311" s="10" t="n">
        <v>0</v>
      </c>
      <c r="J311" s="10" t="n">
        <v>0</v>
      </c>
      <c r="K311" s="10" t="n">
        <v>0</v>
      </c>
      <c r="L311" s="10" t="n">
        <v>0</v>
      </c>
      <c r="M311" s="10" t="n">
        <v>15</v>
      </c>
      <c r="N311" s="10" t="n">
        <v>0</v>
      </c>
      <c r="O311" s="10" t="n">
        <v>6.346154</v>
      </c>
      <c r="P311" s="10" t="n">
        <v>11.346154</v>
      </c>
      <c r="Q311" s="10" t="n">
        <v>11.346154</v>
      </c>
      <c r="R311" s="10" t="n">
        <v>1.346154</v>
      </c>
      <c r="S311" s="10" t="n">
        <v>0</v>
      </c>
      <c r="T311" s="10" t="n">
        <v>0</v>
      </c>
      <c r="U311" s="10" t="n">
        <v>0</v>
      </c>
      <c r="V311" s="10" t="n">
        <v>0</v>
      </c>
      <c r="W311" s="10" t="n">
        <v>0</v>
      </c>
      <c r="X311" s="10" t="n">
        <v>17.5</v>
      </c>
      <c r="Y311" s="10" t="n">
        <v>42.5</v>
      </c>
      <c r="Z311" s="10" t="n">
        <v>5</v>
      </c>
      <c r="AA311" s="10" t="n">
        <v>10</v>
      </c>
      <c r="AB311" s="10" t="n">
        <v>0</v>
      </c>
      <c r="AC311" s="10" t="n">
        <v>0</v>
      </c>
      <c r="AD311" s="10" t="n">
        <v>0</v>
      </c>
      <c r="AE311" s="10" t="n">
        <v>0</v>
      </c>
      <c r="AF311" s="10" t="n">
        <v>0</v>
      </c>
      <c r="AG311" s="10" t="n">
        <v>0</v>
      </c>
      <c r="AH311" s="10" t="n">
        <v>0</v>
      </c>
      <c r="AI311" s="10" t="n">
        <v>0</v>
      </c>
      <c r="AJ311" s="10" t="n">
        <v>0</v>
      </c>
      <c r="AK311" s="10" t="n">
        <v>0</v>
      </c>
      <c r="AL311" s="10" t="n">
        <v>0</v>
      </c>
      <c r="AM311" s="10" t="n">
        <v>0</v>
      </c>
      <c r="AN311" s="10" t="n">
        <v>0</v>
      </c>
      <c r="AO311" s="10" t="n">
        <v>0</v>
      </c>
      <c r="AP311" s="10" t="n">
        <v>0</v>
      </c>
      <c r="AQ311" s="10" t="n">
        <v>0</v>
      </c>
      <c r="AR311" s="10" t="n">
        <v>0</v>
      </c>
      <c r="AS311" s="10" t="n">
        <v>0</v>
      </c>
    </row>
    <row r="312" customFormat="false" ht="15" hidden="false" customHeight="true" outlineLevel="0" collapsed="false">
      <c r="A312" s="4" t="s">
        <v>12</v>
      </c>
      <c r="B312" s="4" t="s">
        <v>14</v>
      </c>
      <c r="C312" s="4" t="s">
        <v>131</v>
      </c>
      <c r="D312" s="4" t="s">
        <v>76</v>
      </c>
      <c r="E312" s="4" t="s">
        <v>77</v>
      </c>
      <c r="F312" s="8" t="n">
        <f aca="false">SUM(F313)</f>
        <v>0</v>
      </c>
      <c r="G312" s="8" t="n">
        <f aca="false">SUM(G313)</f>
        <v>0</v>
      </c>
      <c r="H312" s="8" t="n">
        <f aca="false">SUM(H313)</f>
        <v>0</v>
      </c>
      <c r="I312" s="8" t="n">
        <f aca="false">SUM(I313)</f>
        <v>0</v>
      </c>
      <c r="J312" s="8" t="n">
        <f aca="false">SUM(J313)</f>
        <v>0</v>
      </c>
      <c r="K312" s="8" t="n">
        <f aca="false">SUM(K313)</f>
        <v>0</v>
      </c>
      <c r="L312" s="8" t="n">
        <f aca="false">SUM(L313)</f>
        <v>0</v>
      </c>
      <c r="M312" s="8" t="n">
        <f aca="false">SUM(M313)</f>
        <v>0</v>
      </c>
      <c r="N312" s="8" t="n">
        <f aca="false">SUM(N313)</f>
        <v>0</v>
      </c>
      <c r="O312" s="8" t="n">
        <f aca="false">SUM(O313)</f>
        <v>0</v>
      </c>
      <c r="P312" s="8" t="n">
        <f aca="false">SUM(P313)</f>
        <v>0</v>
      </c>
      <c r="Q312" s="8" t="n">
        <f aca="false">SUM(Q313)</f>
        <v>0</v>
      </c>
      <c r="R312" s="8" t="n">
        <f aca="false">SUM(R313)</f>
        <v>0</v>
      </c>
      <c r="S312" s="8" t="n">
        <f aca="false">SUM(S313)</f>
        <v>0</v>
      </c>
      <c r="T312" s="8" t="n">
        <f aca="false">SUM(T313)</f>
        <v>0</v>
      </c>
      <c r="U312" s="8" t="n">
        <f aca="false">SUM(U313)</f>
        <v>0</v>
      </c>
      <c r="V312" s="8" t="n">
        <f aca="false">SUM(V313)</f>
        <v>0</v>
      </c>
      <c r="W312" s="8" t="n">
        <f aca="false">SUM(W313)</f>
        <v>0</v>
      </c>
      <c r="X312" s="8" t="n">
        <f aca="false">SUM(X313)</f>
        <v>0</v>
      </c>
      <c r="Y312" s="8" t="n">
        <f aca="false">SUM(Y313)</f>
        <v>0</v>
      </c>
      <c r="Z312" s="8" t="n">
        <f aca="false">SUM(Z313)</f>
        <v>0</v>
      </c>
      <c r="AA312" s="8" t="n">
        <f aca="false">SUM(AA313)</f>
        <v>0</v>
      </c>
      <c r="AB312" s="8" t="n">
        <f aca="false">SUM(AB313)</f>
        <v>25</v>
      </c>
      <c r="AC312" s="8" t="n">
        <f aca="false">SUM(AC313)</f>
        <v>30</v>
      </c>
      <c r="AD312" s="8" t="n">
        <f aca="false">SUM(AD313)</f>
        <v>21</v>
      </c>
      <c r="AE312" s="8" t="n">
        <f aca="false">SUM(AE313)</f>
        <v>0</v>
      </c>
      <c r="AF312" s="8" t="n">
        <f aca="false">SUM(AF313)</f>
        <v>0</v>
      </c>
      <c r="AG312" s="8" t="n">
        <f aca="false">SUM(AG313)</f>
        <v>0</v>
      </c>
      <c r="AH312" s="8" t="n">
        <f aca="false">SUM(AH313)</f>
        <v>0</v>
      </c>
      <c r="AI312" s="8" t="n">
        <f aca="false">SUM(AI313)</f>
        <v>0</v>
      </c>
      <c r="AJ312" s="8" t="n">
        <f aca="false">SUM(AJ313)</f>
        <v>0</v>
      </c>
      <c r="AK312" s="8" t="n">
        <f aca="false">SUM(AK313)</f>
        <v>0</v>
      </c>
      <c r="AL312" s="8" t="n">
        <f aca="false">SUM(AL313)</f>
        <v>0</v>
      </c>
      <c r="AM312" s="8" t="n">
        <f aca="false">SUM(AM313)</f>
        <v>0</v>
      </c>
      <c r="AN312" s="8" t="n">
        <f aca="false">SUM(AN313)</f>
        <v>0</v>
      </c>
      <c r="AO312" s="8" t="n">
        <f aca="false">SUM(AO313)</f>
        <v>0</v>
      </c>
      <c r="AP312" s="8" t="n">
        <f aca="false">SUM(AP313)</f>
        <v>0</v>
      </c>
      <c r="AQ312" s="8" t="n">
        <f aca="false">SUM(AQ313)</f>
        <v>0</v>
      </c>
      <c r="AR312" s="8" t="n">
        <f aca="false">SUM(AR313)</f>
        <v>0</v>
      </c>
      <c r="AS312" s="8" t="n">
        <f aca="false">SUM(AS313)</f>
        <v>0</v>
      </c>
    </row>
    <row r="313" customFormat="false" ht="15" hidden="true" customHeight="true" outlineLevel="1" collapsed="false">
      <c r="A313" s="1" t="s">
        <v>12</v>
      </c>
      <c r="B313" s="1" t="s">
        <v>14</v>
      </c>
      <c r="C313" s="1" t="s">
        <v>131</v>
      </c>
      <c r="D313" s="1" t="s">
        <v>141</v>
      </c>
      <c r="E313" s="1" t="s">
        <v>100</v>
      </c>
      <c r="F313" s="10" t="n">
        <v>0</v>
      </c>
      <c r="G313" s="10" t="n">
        <v>0</v>
      </c>
      <c r="H313" s="10" t="n">
        <v>0</v>
      </c>
      <c r="I313" s="10" t="n">
        <v>0</v>
      </c>
      <c r="J313" s="10" t="n">
        <v>0</v>
      </c>
      <c r="K313" s="10" t="n">
        <v>0</v>
      </c>
      <c r="L313" s="10" t="n">
        <v>0</v>
      </c>
      <c r="M313" s="10" t="n">
        <v>0</v>
      </c>
      <c r="N313" s="10" t="n">
        <v>0</v>
      </c>
      <c r="O313" s="10" t="n">
        <v>0</v>
      </c>
      <c r="P313" s="10" t="n">
        <v>0</v>
      </c>
      <c r="Q313" s="10" t="n">
        <v>0</v>
      </c>
      <c r="R313" s="10" t="n">
        <v>0</v>
      </c>
      <c r="S313" s="10" t="n">
        <v>0</v>
      </c>
      <c r="T313" s="10" t="n">
        <v>0</v>
      </c>
      <c r="U313" s="10" t="n">
        <v>0</v>
      </c>
      <c r="V313" s="10" t="n">
        <v>0</v>
      </c>
      <c r="W313" s="10" t="n">
        <v>0</v>
      </c>
      <c r="X313" s="10" t="n">
        <v>0</v>
      </c>
      <c r="Y313" s="10" t="n">
        <v>0</v>
      </c>
      <c r="Z313" s="10" t="n">
        <v>0</v>
      </c>
      <c r="AA313" s="10" t="n">
        <v>0</v>
      </c>
      <c r="AB313" s="10" t="n">
        <v>25</v>
      </c>
      <c r="AC313" s="10" t="n">
        <v>30</v>
      </c>
      <c r="AD313" s="10" t="n">
        <v>21</v>
      </c>
      <c r="AE313" s="10" t="n">
        <v>0</v>
      </c>
      <c r="AF313" s="10" t="n">
        <v>0</v>
      </c>
      <c r="AG313" s="10" t="n">
        <v>0</v>
      </c>
      <c r="AH313" s="10" t="n">
        <v>0</v>
      </c>
      <c r="AI313" s="10" t="n">
        <v>0</v>
      </c>
      <c r="AJ313" s="10" t="n">
        <v>0</v>
      </c>
      <c r="AK313" s="10" t="n">
        <v>0</v>
      </c>
      <c r="AL313" s="10" t="n">
        <v>0</v>
      </c>
      <c r="AM313" s="10" t="n">
        <v>0</v>
      </c>
      <c r="AN313" s="10" t="n">
        <v>0</v>
      </c>
      <c r="AO313" s="10" t="n">
        <v>0</v>
      </c>
      <c r="AP313" s="10" t="n">
        <v>0</v>
      </c>
      <c r="AQ313" s="10" t="n">
        <v>0</v>
      </c>
      <c r="AR313" s="10" t="n">
        <v>0</v>
      </c>
      <c r="AS313" s="10" t="n">
        <v>0</v>
      </c>
    </row>
    <row r="314" customFormat="false" ht="15" hidden="false" customHeight="true" outlineLevel="0" collapsed="false">
      <c r="A314" s="4" t="s">
        <v>12</v>
      </c>
      <c r="B314" s="4" t="s">
        <v>14</v>
      </c>
      <c r="C314" s="4" t="s">
        <v>132</v>
      </c>
      <c r="D314" s="4" t="s">
        <v>76</v>
      </c>
      <c r="E314" s="4" t="s">
        <v>77</v>
      </c>
      <c r="F314" s="8" t="n">
        <f aca="false">SUM(F315)</f>
        <v>0</v>
      </c>
      <c r="G314" s="8" t="n">
        <f aca="false">SUM(G315)</f>
        <v>0</v>
      </c>
      <c r="H314" s="8" t="n">
        <f aca="false">SUM(H315)</f>
        <v>0</v>
      </c>
      <c r="I314" s="8" t="n">
        <f aca="false">SUM(I315)</f>
        <v>0</v>
      </c>
      <c r="J314" s="8" t="n">
        <f aca="false">SUM(J315)</f>
        <v>0</v>
      </c>
      <c r="K314" s="8" t="n">
        <f aca="false">SUM(K315)</f>
        <v>0</v>
      </c>
      <c r="L314" s="8" t="n">
        <f aca="false">SUM(L315)</f>
        <v>0</v>
      </c>
      <c r="M314" s="8" t="n">
        <f aca="false">SUM(M315)</f>
        <v>0</v>
      </c>
      <c r="N314" s="8" t="n">
        <f aca="false">SUM(N315)</f>
        <v>0</v>
      </c>
      <c r="O314" s="8" t="n">
        <f aca="false">SUM(O315)</f>
        <v>0</v>
      </c>
      <c r="P314" s="8" t="n">
        <f aca="false">SUM(P315)</f>
        <v>0</v>
      </c>
      <c r="Q314" s="8" t="n">
        <f aca="false">SUM(Q315)</f>
        <v>0</v>
      </c>
      <c r="R314" s="8" t="n">
        <f aca="false">SUM(R315)</f>
        <v>0</v>
      </c>
      <c r="S314" s="8" t="n">
        <f aca="false">SUM(S315)</f>
        <v>0</v>
      </c>
      <c r="T314" s="8" t="n">
        <f aca="false">SUM(T315)</f>
        <v>0</v>
      </c>
      <c r="U314" s="8" t="n">
        <f aca="false">SUM(U315)</f>
        <v>0</v>
      </c>
      <c r="V314" s="8" t="n">
        <f aca="false">SUM(V315)</f>
        <v>0</v>
      </c>
      <c r="W314" s="8" t="n">
        <f aca="false">SUM(W315)</f>
        <v>0</v>
      </c>
      <c r="X314" s="8" t="n">
        <f aca="false">SUM(X315)</f>
        <v>0</v>
      </c>
      <c r="Y314" s="8" t="n">
        <f aca="false">SUM(Y315)</f>
        <v>0</v>
      </c>
      <c r="Z314" s="8" t="n">
        <f aca="false">SUM(Z315)</f>
        <v>50</v>
      </c>
      <c r="AA314" s="8" t="n">
        <f aca="false">SUM(AA315)</f>
        <v>0</v>
      </c>
      <c r="AB314" s="8" t="n">
        <f aca="false">SUM(AB315)</f>
        <v>0</v>
      </c>
      <c r="AC314" s="8" t="n">
        <f aca="false">SUM(AC315)</f>
        <v>0</v>
      </c>
      <c r="AD314" s="8" t="n">
        <f aca="false">SUM(AD315)</f>
        <v>0</v>
      </c>
      <c r="AE314" s="8" t="n">
        <f aca="false">SUM(AE315)</f>
        <v>0</v>
      </c>
      <c r="AF314" s="8" t="n">
        <f aca="false">SUM(AF315)</f>
        <v>0</v>
      </c>
      <c r="AG314" s="8" t="n">
        <f aca="false">SUM(AG315)</f>
        <v>0</v>
      </c>
      <c r="AH314" s="8" t="n">
        <f aca="false">SUM(AH315)</f>
        <v>0</v>
      </c>
      <c r="AI314" s="8" t="n">
        <f aca="false">SUM(AI315)</f>
        <v>0</v>
      </c>
      <c r="AJ314" s="8" t="n">
        <f aca="false">SUM(AJ315)</f>
        <v>0</v>
      </c>
      <c r="AK314" s="8" t="n">
        <f aca="false">SUM(AK315)</f>
        <v>0</v>
      </c>
      <c r="AL314" s="8" t="n">
        <f aca="false">SUM(AL315)</f>
        <v>0</v>
      </c>
      <c r="AM314" s="8" t="n">
        <f aca="false">SUM(AM315)</f>
        <v>0</v>
      </c>
      <c r="AN314" s="8" t="n">
        <f aca="false">SUM(AN315)</f>
        <v>0</v>
      </c>
      <c r="AO314" s="8" t="n">
        <f aca="false">SUM(AO315)</f>
        <v>0</v>
      </c>
      <c r="AP314" s="8" t="n">
        <f aca="false">SUM(AP315)</f>
        <v>0</v>
      </c>
      <c r="AQ314" s="8" t="n">
        <f aca="false">SUM(AQ315)</f>
        <v>0</v>
      </c>
      <c r="AR314" s="8" t="n">
        <f aca="false">SUM(AR315)</f>
        <v>0</v>
      </c>
      <c r="AS314" s="8" t="n">
        <f aca="false">SUM(AS315)</f>
        <v>0</v>
      </c>
    </row>
    <row r="315" customFormat="false" ht="15" hidden="true" customHeight="true" outlineLevel="1" collapsed="false">
      <c r="A315" s="1" t="s">
        <v>12</v>
      </c>
      <c r="B315" s="1" t="s">
        <v>14</v>
      </c>
      <c r="C315" s="1" t="s">
        <v>132</v>
      </c>
      <c r="D315" s="1" t="s">
        <v>141</v>
      </c>
      <c r="E315" s="1" t="s">
        <v>103</v>
      </c>
      <c r="F315" s="10" t="n">
        <v>0</v>
      </c>
      <c r="G315" s="10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0</v>
      </c>
      <c r="S315" s="10" t="n">
        <v>0</v>
      </c>
      <c r="T315" s="10" t="n">
        <v>0</v>
      </c>
      <c r="U315" s="10" t="n">
        <v>0</v>
      </c>
      <c r="V315" s="10" t="n">
        <v>0</v>
      </c>
      <c r="W315" s="10" t="n">
        <v>0</v>
      </c>
      <c r="X315" s="10" t="n">
        <v>0</v>
      </c>
      <c r="Y315" s="10" t="n">
        <v>0</v>
      </c>
      <c r="Z315" s="10" t="n">
        <v>50</v>
      </c>
      <c r="AA315" s="10" t="n">
        <v>0</v>
      </c>
      <c r="AB315" s="10" t="n">
        <v>0</v>
      </c>
      <c r="AC315" s="10" t="n">
        <v>0</v>
      </c>
      <c r="AD315" s="10" t="n">
        <v>0</v>
      </c>
      <c r="AE315" s="10" t="n">
        <v>0</v>
      </c>
      <c r="AF315" s="10" t="n">
        <v>0</v>
      </c>
      <c r="AG315" s="10" t="n">
        <v>0</v>
      </c>
      <c r="AH315" s="10" t="n">
        <v>0</v>
      </c>
      <c r="AI315" s="10" t="n">
        <v>0</v>
      </c>
      <c r="AJ315" s="10" t="n">
        <v>0</v>
      </c>
      <c r="AK315" s="10" t="n">
        <v>0</v>
      </c>
      <c r="AL315" s="10" t="n">
        <v>0</v>
      </c>
      <c r="AM315" s="10" t="n">
        <v>0</v>
      </c>
      <c r="AN315" s="10" t="n">
        <v>0</v>
      </c>
      <c r="AO315" s="10" t="n">
        <v>0</v>
      </c>
      <c r="AP315" s="10" t="n">
        <v>0</v>
      </c>
      <c r="AQ315" s="10" t="n">
        <v>0</v>
      </c>
      <c r="AR315" s="10" t="n">
        <v>0</v>
      </c>
      <c r="AS315" s="10" t="n">
        <v>0</v>
      </c>
    </row>
    <row r="316" customFormat="false" ht="15" hidden="false" customHeight="true" outlineLevel="0" collapsed="false">
      <c r="A316" s="4" t="s">
        <v>12</v>
      </c>
      <c r="B316" s="4" t="s">
        <v>14</v>
      </c>
      <c r="C316" s="4" t="s">
        <v>163</v>
      </c>
      <c r="D316" s="4" t="s">
        <v>76</v>
      </c>
      <c r="E316" s="4" t="s">
        <v>77</v>
      </c>
      <c r="F316" s="8" t="n">
        <f aca="false">SUM(F317)</f>
        <v>9</v>
      </c>
      <c r="G316" s="8" t="n">
        <f aca="false">SUM(G317)</f>
        <v>0</v>
      </c>
      <c r="H316" s="8" t="n">
        <f aca="false">SUM(H317)</f>
        <v>0</v>
      </c>
      <c r="I316" s="8" t="n">
        <f aca="false">SUM(I317)</f>
        <v>0</v>
      </c>
      <c r="J316" s="8" t="n">
        <f aca="false">SUM(J317)</f>
        <v>0</v>
      </c>
      <c r="K316" s="8" t="n">
        <f aca="false">SUM(K317)</f>
        <v>0</v>
      </c>
      <c r="L316" s="8" t="n">
        <f aca="false">SUM(L317)</f>
        <v>0</v>
      </c>
      <c r="M316" s="8" t="n">
        <f aca="false">SUM(M317)</f>
        <v>0</v>
      </c>
      <c r="N316" s="8" t="n">
        <f aca="false">SUM(N317)</f>
        <v>0</v>
      </c>
      <c r="O316" s="8" t="n">
        <f aca="false">SUM(O317)</f>
        <v>0</v>
      </c>
      <c r="P316" s="8" t="n">
        <f aca="false">SUM(P317)</f>
        <v>3</v>
      </c>
      <c r="Q316" s="8" t="n">
        <f aca="false">SUM(Q317)</f>
        <v>5</v>
      </c>
      <c r="R316" s="8" t="n">
        <f aca="false">SUM(R317)</f>
        <v>0</v>
      </c>
      <c r="S316" s="8" t="n">
        <f aca="false">SUM(S317)</f>
        <v>0</v>
      </c>
      <c r="T316" s="8" t="n">
        <f aca="false">SUM(T317)</f>
        <v>0</v>
      </c>
      <c r="U316" s="8" t="n">
        <f aca="false">SUM(U317)</f>
        <v>0</v>
      </c>
      <c r="V316" s="8" t="n">
        <f aca="false">SUM(V317)</f>
        <v>0</v>
      </c>
      <c r="W316" s="8" t="n">
        <f aca="false">SUM(W317)</f>
        <v>0</v>
      </c>
      <c r="X316" s="8" t="n">
        <f aca="false">SUM(X317)</f>
        <v>0</v>
      </c>
      <c r="Y316" s="8" t="n">
        <f aca="false">SUM(Y317)</f>
        <v>0</v>
      </c>
      <c r="Z316" s="8" t="n">
        <f aca="false">SUM(Z317)</f>
        <v>0</v>
      </c>
      <c r="AA316" s="8" t="n">
        <f aca="false">SUM(AA317)</f>
        <v>0</v>
      </c>
      <c r="AB316" s="8" t="n">
        <f aca="false">SUM(AB317)</f>
        <v>0</v>
      </c>
      <c r="AC316" s="8" t="n">
        <f aca="false">SUM(AC317)</f>
        <v>0</v>
      </c>
      <c r="AD316" s="8" t="n">
        <f aca="false">SUM(AD317)</f>
        <v>0</v>
      </c>
      <c r="AE316" s="8" t="n">
        <f aca="false">SUM(AE317)</f>
        <v>0</v>
      </c>
      <c r="AF316" s="8" t="n">
        <f aca="false">SUM(AF317)</f>
        <v>0</v>
      </c>
      <c r="AG316" s="8" t="n">
        <f aca="false">SUM(AG317)</f>
        <v>0</v>
      </c>
      <c r="AH316" s="8" t="n">
        <f aca="false">SUM(AH317)</f>
        <v>0</v>
      </c>
      <c r="AI316" s="8" t="n">
        <f aca="false">SUM(AI317)</f>
        <v>0</v>
      </c>
      <c r="AJ316" s="8" t="n">
        <f aca="false">SUM(AJ317)</f>
        <v>0</v>
      </c>
      <c r="AK316" s="8" t="n">
        <f aca="false">SUM(AK317)</f>
        <v>0</v>
      </c>
      <c r="AL316" s="8" t="n">
        <f aca="false">SUM(AL317)</f>
        <v>0</v>
      </c>
      <c r="AM316" s="8" t="n">
        <f aca="false">SUM(AM317)</f>
        <v>0</v>
      </c>
      <c r="AN316" s="8" t="n">
        <f aca="false">SUM(AN317)</f>
        <v>0</v>
      </c>
      <c r="AO316" s="8" t="n">
        <f aca="false">SUM(AO317)</f>
        <v>0</v>
      </c>
      <c r="AP316" s="8" t="n">
        <f aca="false">SUM(AP317)</f>
        <v>0</v>
      </c>
      <c r="AQ316" s="8" t="n">
        <f aca="false">SUM(AQ317)</f>
        <v>0</v>
      </c>
      <c r="AR316" s="8" t="n">
        <f aca="false">SUM(AR317)</f>
        <v>0</v>
      </c>
      <c r="AS316" s="8" t="n">
        <f aca="false">SUM(AS317)</f>
        <v>0</v>
      </c>
    </row>
    <row r="317" customFormat="false" ht="15" hidden="true" customHeight="true" outlineLevel="1" collapsed="false">
      <c r="A317" s="1" t="s">
        <v>12</v>
      </c>
      <c r="B317" s="1" t="s">
        <v>14</v>
      </c>
      <c r="C317" s="1" t="s">
        <v>163</v>
      </c>
      <c r="D317" s="1" t="s">
        <v>141</v>
      </c>
      <c r="E317" s="1" t="s">
        <v>98</v>
      </c>
      <c r="F317" s="10" t="n">
        <v>9</v>
      </c>
      <c r="G317" s="10" t="n">
        <v>0</v>
      </c>
      <c r="H317" s="10" t="n">
        <v>0</v>
      </c>
      <c r="I317" s="10" t="n">
        <v>0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0" t="n">
        <v>0</v>
      </c>
      <c r="P317" s="10" t="n">
        <v>3</v>
      </c>
      <c r="Q317" s="10" t="n">
        <v>5</v>
      </c>
      <c r="R317" s="10" t="n">
        <v>0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0</v>
      </c>
      <c r="X317" s="10" t="n">
        <v>0</v>
      </c>
      <c r="Y317" s="10" t="n">
        <v>0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10" t="n">
        <v>0</v>
      </c>
      <c r="AG317" s="10" t="n">
        <v>0</v>
      </c>
      <c r="AH317" s="10" t="n">
        <v>0</v>
      </c>
      <c r="AI317" s="10" t="n">
        <v>0</v>
      </c>
      <c r="AJ317" s="10" t="n">
        <v>0</v>
      </c>
      <c r="AK317" s="10" t="n">
        <v>0</v>
      </c>
      <c r="AL317" s="10" t="n">
        <v>0</v>
      </c>
      <c r="AM317" s="10" t="n">
        <v>0</v>
      </c>
      <c r="AN317" s="10" t="n">
        <v>0</v>
      </c>
      <c r="AO317" s="10" t="n">
        <v>0</v>
      </c>
      <c r="AP317" s="10" t="n">
        <v>0</v>
      </c>
      <c r="AQ317" s="10" t="n">
        <v>0</v>
      </c>
      <c r="AR317" s="10" t="n">
        <v>0</v>
      </c>
      <c r="AS317" s="10" t="n">
        <v>0</v>
      </c>
    </row>
    <row r="318" customFormat="false" ht="15" hidden="false" customHeight="true" outlineLevel="0" collapsed="false">
      <c r="A318" s="4" t="s">
        <v>12</v>
      </c>
      <c r="B318" s="4" t="s">
        <v>14</v>
      </c>
      <c r="C318" s="4" t="s">
        <v>135</v>
      </c>
      <c r="D318" s="4" t="s">
        <v>76</v>
      </c>
      <c r="E318" s="4" t="s">
        <v>77</v>
      </c>
      <c r="F318" s="8" t="n">
        <f aca="false">SUM(F319)</f>
        <v>4</v>
      </c>
      <c r="G318" s="8" t="n">
        <f aca="false">SUM(G319)</f>
        <v>0</v>
      </c>
      <c r="H318" s="8" t="n">
        <f aca="false">SUM(H319)</f>
        <v>13</v>
      </c>
      <c r="I318" s="8" t="n">
        <f aca="false">SUM(I319)</f>
        <v>0</v>
      </c>
      <c r="J318" s="8" t="n">
        <f aca="false">SUM(J319)</f>
        <v>0</v>
      </c>
      <c r="K318" s="8" t="n">
        <f aca="false">SUM(K319)</f>
        <v>0</v>
      </c>
      <c r="L318" s="8" t="n">
        <f aca="false">SUM(L319)</f>
        <v>0</v>
      </c>
      <c r="M318" s="8" t="n">
        <f aca="false">SUM(M319)</f>
        <v>0</v>
      </c>
      <c r="N318" s="8" t="n">
        <f aca="false">SUM(N319)</f>
        <v>0</v>
      </c>
      <c r="O318" s="8" t="n">
        <f aca="false">SUM(O319)</f>
        <v>0</v>
      </c>
      <c r="P318" s="8" t="n">
        <f aca="false">SUM(P319)</f>
        <v>0</v>
      </c>
      <c r="Q318" s="8" t="n">
        <f aca="false">SUM(Q319)</f>
        <v>1</v>
      </c>
      <c r="R318" s="8" t="n">
        <f aca="false">SUM(R319)</f>
        <v>0</v>
      </c>
      <c r="S318" s="8" t="n">
        <f aca="false">SUM(S319)</f>
        <v>0</v>
      </c>
      <c r="T318" s="8" t="n">
        <f aca="false">SUM(T319)</f>
        <v>0</v>
      </c>
      <c r="U318" s="8" t="n">
        <f aca="false">SUM(U319)</f>
        <v>0</v>
      </c>
      <c r="V318" s="8" t="n">
        <f aca="false">SUM(V319)</f>
        <v>0</v>
      </c>
      <c r="W318" s="8" t="n">
        <f aca="false">SUM(W319)</f>
        <v>0</v>
      </c>
      <c r="X318" s="8" t="n">
        <f aca="false">SUM(X319)</f>
        <v>0</v>
      </c>
      <c r="Y318" s="8" t="n">
        <f aca="false">SUM(Y319)</f>
        <v>0</v>
      </c>
      <c r="Z318" s="8" t="n">
        <f aca="false">SUM(Z319)</f>
        <v>0</v>
      </c>
      <c r="AA318" s="8" t="n">
        <f aca="false">SUM(AA319)</f>
        <v>0</v>
      </c>
      <c r="AB318" s="8" t="n">
        <f aca="false">SUM(AB319)</f>
        <v>0</v>
      </c>
      <c r="AC318" s="8" t="n">
        <f aca="false">SUM(AC319)</f>
        <v>1.5</v>
      </c>
      <c r="AD318" s="8" t="n">
        <f aca="false">SUM(AD319)</f>
        <v>3.5</v>
      </c>
      <c r="AE318" s="8" t="n">
        <f aca="false">SUM(AE319)</f>
        <v>0</v>
      </c>
      <c r="AF318" s="8" t="n">
        <f aca="false">SUM(AF319)</f>
        <v>0</v>
      </c>
      <c r="AG318" s="8" t="n">
        <f aca="false">SUM(AG319)</f>
        <v>0</v>
      </c>
      <c r="AH318" s="8" t="n">
        <f aca="false">SUM(AH319)</f>
        <v>0</v>
      </c>
      <c r="AI318" s="8" t="n">
        <f aca="false">SUM(AI319)</f>
        <v>0</v>
      </c>
      <c r="AJ318" s="8" t="n">
        <f aca="false">SUM(AJ319)</f>
        <v>0</v>
      </c>
      <c r="AK318" s="8" t="n">
        <f aca="false">SUM(AK319)</f>
        <v>0</v>
      </c>
      <c r="AL318" s="8" t="n">
        <f aca="false">SUM(AL319)</f>
        <v>0</v>
      </c>
      <c r="AM318" s="8" t="n">
        <f aca="false">SUM(AM319)</f>
        <v>0</v>
      </c>
      <c r="AN318" s="8" t="n">
        <f aca="false">SUM(AN319)</f>
        <v>0</v>
      </c>
      <c r="AO318" s="8" t="n">
        <f aca="false">SUM(AO319)</f>
        <v>0</v>
      </c>
      <c r="AP318" s="8" t="n">
        <f aca="false">SUM(AP319)</f>
        <v>0</v>
      </c>
      <c r="AQ318" s="8" t="n">
        <f aca="false">SUM(AQ319)</f>
        <v>0</v>
      </c>
      <c r="AR318" s="8" t="n">
        <f aca="false">SUM(AR319)</f>
        <v>0</v>
      </c>
      <c r="AS318" s="8" t="n">
        <f aca="false">SUM(AS319)</f>
        <v>0</v>
      </c>
    </row>
    <row r="319" customFormat="false" ht="15" hidden="true" customHeight="true" outlineLevel="1" collapsed="false">
      <c r="A319" s="1" t="s">
        <v>12</v>
      </c>
      <c r="B319" s="1" t="s">
        <v>14</v>
      </c>
      <c r="C319" s="1" t="s">
        <v>135</v>
      </c>
      <c r="D319" s="1" t="s">
        <v>141</v>
      </c>
      <c r="E319" s="1" t="s">
        <v>43</v>
      </c>
      <c r="F319" s="10" t="n">
        <v>4</v>
      </c>
      <c r="G319" s="10" t="n">
        <v>0</v>
      </c>
      <c r="H319" s="10" t="n">
        <v>13</v>
      </c>
      <c r="I319" s="10" t="n">
        <v>0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0" t="n">
        <v>0</v>
      </c>
      <c r="P319" s="10" t="n">
        <v>0</v>
      </c>
      <c r="Q319" s="10" t="n">
        <v>1</v>
      </c>
      <c r="R319" s="10" t="n">
        <v>0</v>
      </c>
      <c r="S319" s="10" t="n">
        <v>0</v>
      </c>
      <c r="T319" s="10" t="n">
        <v>0</v>
      </c>
      <c r="U319" s="10" t="n">
        <v>0</v>
      </c>
      <c r="V319" s="10" t="n">
        <v>0</v>
      </c>
      <c r="W319" s="10" t="n">
        <v>0</v>
      </c>
      <c r="X319" s="10" t="n">
        <v>0</v>
      </c>
      <c r="Y319" s="10" t="n">
        <v>0</v>
      </c>
      <c r="Z319" s="10" t="n">
        <v>0</v>
      </c>
      <c r="AA319" s="10" t="n">
        <v>0</v>
      </c>
      <c r="AB319" s="10" t="n">
        <v>0</v>
      </c>
      <c r="AC319" s="10" t="n">
        <v>1.5</v>
      </c>
      <c r="AD319" s="10" t="n">
        <v>3.5</v>
      </c>
      <c r="AE319" s="10" t="n">
        <v>0</v>
      </c>
      <c r="AF319" s="10" t="n">
        <v>0</v>
      </c>
      <c r="AG319" s="10" t="n">
        <v>0</v>
      </c>
      <c r="AH319" s="10" t="n">
        <v>0</v>
      </c>
      <c r="AI319" s="10" t="n">
        <v>0</v>
      </c>
      <c r="AJ319" s="10" t="n">
        <v>0</v>
      </c>
      <c r="AK319" s="10" t="n">
        <v>0</v>
      </c>
      <c r="AL319" s="10" t="n">
        <v>0</v>
      </c>
      <c r="AM319" s="10" t="n">
        <v>0</v>
      </c>
      <c r="AN319" s="10" t="n">
        <v>0</v>
      </c>
      <c r="AO319" s="10" t="n">
        <v>0</v>
      </c>
      <c r="AP319" s="10" t="n">
        <v>0</v>
      </c>
      <c r="AQ319" s="10" t="n">
        <v>0</v>
      </c>
      <c r="AR319" s="10" t="n">
        <v>0</v>
      </c>
      <c r="AS319" s="10" t="n">
        <v>0</v>
      </c>
    </row>
    <row r="320" customFormat="false" ht="15" hidden="false" customHeight="true" outlineLevel="0" collapsed="false">
      <c r="A320" s="4" t="s">
        <v>12</v>
      </c>
      <c r="B320" s="4" t="s">
        <v>14</v>
      </c>
      <c r="C320" s="4" t="s">
        <v>164</v>
      </c>
      <c r="D320" s="4" t="s">
        <v>76</v>
      </c>
      <c r="E320" s="4" t="s">
        <v>77</v>
      </c>
      <c r="F320" s="8" t="n">
        <f aca="false">SUM(F321)</f>
        <v>4</v>
      </c>
      <c r="G320" s="8" t="n">
        <f aca="false">SUM(G321)</f>
        <v>0</v>
      </c>
      <c r="H320" s="8" t="n">
        <f aca="false">SUM(H321)</f>
        <v>0</v>
      </c>
      <c r="I320" s="8" t="n">
        <f aca="false">SUM(I321)</f>
        <v>0</v>
      </c>
      <c r="J320" s="8" t="n">
        <f aca="false">SUM(J321)</f>
        <v>0</v>
      </c>
      <c r="K320" s="8" t="n">
        <f aca="false">SUM(K321)</f>
        <v>0</v>
      </c>
      <c r="L320" s="8" t="n">
        <f aca="false">SUM(L321)</f>
        <v>0</v>
      </c>
      <c r="M320" s="8" t="n">
        <f aca="false">SUM(M321)</f>
        <v>0</v>
      </c>
      <c r="N320" s="8" t="n">
        <f aca="false">SUM(N321)</f>
        <v>0</v>
      </c>
      <c r="O320" s="8" t="n">
        <f aca="false">SUM(O321)</f>
        <v>0</v>
      </c>
      <c r="P320" s="8" t="n">
        <f aca="false">SUM(P321)</f>
        <v>0</v>
      </c>
      <c r="Q320" s="8" t="n">
        <f aca="false">SUM(Q321)</f>
        <v>0</v>
      </c>
      <c r="R320" s="8" t="n">
        <f aca="false">SUM(R321)</f>
        <v>0</v>
      </c>
      <c r="S320" s="8" t="n">
        <f aca="false">SUM(S321)</f>
        <v>0</v>
      </c>
      <c r="T320" s="8" t="n">
        <f aca="false">SUM(T321)</f>
        <v>0</v>
      </c>
      <c r="U320" s="8" t="n">
        <f aca="false">SUM(U321)</f>
        <v>0</v>
      </c>
      <c r="V320" s="8" t="n">
        <f aca="false">SUM(V321)</f>
        <v>0</v>
      </c>
      <c r="W320" s="8" t="n">
        <f aca="false">SUM(W321)</f>
        <v>0</v>
      </c>
      <c r="X320" s="8" t="n">
        <f aca="false">SUM(X321)</f>
        <v>0</v>
      </c>
      <c r="Y320" s="8" t="n">
        <f aca="false">SUM(Y321)</f>
        <v>0</v>
      </c>
      <c r="Z320" s="8" t="n">
        <f aca="false">SUM(Z321)</f>
        <v>0</v>
      </c>
      <c r="AA320" s="8" t="n">
        <f aca="false">SUM(AA321)</f>
        <v>0</v>
      </c>
      <c r="AB320" s="8" t="n">
        <f aca="false">SUM(AB321)</f>
        <v>0</v>
      </c>
      <c r="AC320" s="8" t="n">
        <f aca="false">SUM(AC321)</f>
        <v>0</v>
      </c>
      <c r="AD320" s="8" t="n">
        <f aca="false">SUM(AD321)</f>
        <v>0</v>
      </c>
      <c r="AE320" s="8" t="n">
        <f aca="false">SUM(AE321)</f>
        <v>0</v>
      </c>
      <c r="AF320" s="8" t="n">
        <f aca="false">SUM(AF321)</f>
        <v>0</v>
      </c>
      <c r="AG320" s="8" t="n">
        <f aca="false">SUM(AG321)</f>
        <v>0</v>
      </c>
      <c r="AH320" s="8" t="n">
        <f aca="false">SUM(AH321)</f>
        <v>0</v>
      </c>
      <c r="AI320" s="8" t="n">
        <f aca="false">SUM(AI321)</f>
        <v>0</v>
      </c>
      <c r="AJ320" s="8" t="n">
        <f aca="false">SUM(AJ321)</f>
        <v>0</v>
      </c>
      <c r="AK320" s="8" t="n">
        <f aca="false">SUM(AK321)</f>
        <v>0</v>
      </c>
      <c r="AL320" s="8" t="n">
        <f aca="false">SUM(AL321)</f>
        <v>0</v>
      </c>
      <c r="AM320" s="8" t="n">
        <f aca="false">SUM(AM321)</f>
        <v>0</v>
      </c>
      <c r="AN320" s="8" t="n">
        <f aca="false">SUM(AN321)</f>
        <v>0</v>
      </c>
      <c r="AO320" s="8" t="n">
        <f aca="false">SUM(AO321)</f>
        <v>0</v>
      </c>
      <c r="AP320" s="8" t="n">
        <f aca="false">SUM(AP321)</f>
        <v>0</v>
      </c>
      <c r="AQ320" s="8" t="n">
        <f aca="false">SUM(AQ321)</f>
        <v>0</v>
      </c>
      <c r="AR320" s="8" t="n">
        <f aca="false">SUM(AR321)</f>
        <v>0</v>
      </c>
      <c r="AS320" s="8" t="n">
        <f aca="false">SUM(AS321)</f>
        <v>0</v>
      </c>
    </row>
    <row r="321" customFormat="false" ht="15" hidden="true" customHeight="true" outlineLevel="1" collapsed="false">
      <c r="A321" s="1" t="s">
        <v>12</v>
      </c>
      <c r="B321" s="1" t="s">
        <v>14</v>
      </c>
      <c r="C321" s="1" t="s">
        <v>164</v>
      </c>
      <c r="D321" s="1" t="s">
        <v>141</v>
      </c>
      <c r="E321" s="1" t="s">
        <v>112</v>
      </c>
      <c r="F321" s="10" t="n">
        <v>4</v>
      </c>
      <c r="G321" s="10" t="n">
        <v>0</v>
      </c>
      <c r="H321" s="10" t="n">
        <v>0</v>
      </c>
      <c r="I321" s="10" t="n">
        <v>0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0" t="n">
        <v>0</v>
      </c>
      <c r="P321" s="10" t="n">
        <v>0</v>
      </c>
      <c r="Q321" s="10" t="n">
        <v>0</v>
      </c>
      <c r="R321" s="10" t="n">
        <v>0</v>
      </c>
      <c r="S321" s="10" t="n">
        <v>0</v>
      </c>
      <c r="T321" s="10" t="n">
        <v>0</v>
      </c>
      <c r="U321" s="10" t="n">
        <v>0</v>
      </c>
      <c r="V321" s="10" t="n">
        <v>0</v>
      </c>
      <c r="W321" s="10" t="n">
        <v>0</v>
      </c>
      <c r="X321" s="10" t="n">
        <v>0</v>
      </c>
      <c r="Y321" s="10" t="n">
        <v>0</v>
      </c>
      <c r="Z321" s="10" t="n">
        <v>0</v>
      </c>
      <c r="AA321" s="10" t="n">
        <v>0</v>
      </c>
      <c r="AB321" s="10" t="n">
        <v>0</v>
      </c>
      <c r="AC321" s="10" t="n">
        <v>0</v>
      </c>
      <c r="AD321" s="10" t="n">
        <v>0</v>
      </c>
      <c r="AE321" s="10" t="n">
        <v>0</v>
      </c>
      <c r="AF321" s="10" t="n">
        <v>0</v>
      </c>
      <c r="AG321" s="10" t="n">
        <v>0</v>
      </c>
      <c r="AH321" s="10" t="n">
        <v>0</v>
      </c>
      <c r="AI321" s="10" t="n">
        <v>0</v>
      </c>
      <c r="AJ321" s="10" t="n">
        <v>0</v>
      </c>
      <c r="AK321" s="10" t="n">
        <v>0</v>
      </c>
      <c r="AL321" s="10" t="n">
        <v>0</v>
      </c>
      <c r="AM321" s="10" t="n">
        <v>0</v>
      </c>
      <c r="AN321" s="10" t="n">
        <v>0</v>
      </c>
      <c r="AO321" s="10" t="n">
        <v>0</v>
      </c>
      <c r="AP321" s="10" t="n">
        <v>0</v>
      </c>
      <c r="AQ321" s="10" t="n">
        <v>0</v>
      </c>
      <c r="AR321" s="10" t="n">
        <v>0</v>
      </c>
      <c r="AS321" s="10" t="n">
        <v>0</v>
      </c>
    </row>
    <row r="322" customFormat="false" ht="15" hidden="false" customHeight="true" outlineLevel="0" collapsed="false">
      <c r="A322" s="4" t="s">
        <v>12</v>
      </c>
      <c r="B322" s="4" t="s">
        <v>14</v>
      </c>
      <c r="C322" s="4" t="s">
        <v>165</v>
      </c>
      <c r="D322" s="4" t="s">
        <v>76</v>
      </c>
      <c r="E322" s="4" t="s">
        <v>77</v>
      </c>
      <c r="F322" s="8" t="n">
        <f aca="false">SUM(F323)</f>
        <v>0</v>
      </c>
      <c r="G322" s="8" t="n">
        <f aca="false">SUM(G323)</f>
        <v>0</v>
      </c>
      <c r="H322" s="8" t="n">
        <f aca="false">SUM(H323)</f>
        <v>0</v>
      </c>
      <c r="I322" s="8" t="n">
        <f aca="false">SUM(I323)</f>
        <v>0</v>
      </c>
      <c r="J322" s="8" t="n">
        <f aca="false">SUM(J323)</f>
        <v>0</v>
      </c>
      <c r="K322" s="8" t="n">
        <f aca="false">SUM(K323)</f>
        <v>0</v>
      </c>
      <c r="L322" s="8" t="n">
        <f aca="false">SUM(L323)</f>
        <v>0</v>
      </c>
      <c r="M322" s="8" t="n">
        <f aca="false">SUM(M323)</f>
        <v>0</v>
      </c>
      <c r="N322" s="8" t="n">
        <f aca="false">SUM(N323)</f>
        <v>0</v>
      </c>
      <c r="O322" s="8" t="n">
        <f aca="false">SUM(O323)</f>
        <v>0</v>
      </c>
      <c r="P322" s="8" t="n">
        <f aca="false">SUM(P323)</f>
        <v>0</v>
      </c>
      <c r="Q322" s="8" t="n">
        <f aca="false">SUM(Q323)</f>
        <v>0</v>
      </c>
      <c r="R322" s="8" t="n">
        <f aca="false">SUM(R323)</f>
        <v>0</v>
      </c>
      <c r="S322" s="8" t="n">
        <f aca="false">SUM(S323)</f>
        <v>0</v>
      </c>
      <c r="T322" s="8" t="n">
        <f aca="false">SUM(T323)</f>
        <v>0</v>
      </c>
      <c r="U322" s="8" t="n">
        <f aca="false">SUM(U323)</f>
        <v>0</v>
      </c>
      <c r="V322" s="8" t="n">
        <f aca="false">SUM(V323)</f>
        <v>0</v>
      </c>
      <c r="W322" s="8" t="n">
        <f aca="false">SUM(W323)</f>
        <v>0</v>
      </c>
      <c r="X322" s="8" t="n">
        <f aca="false">SUM(X323)</f>
        <v>0</v>
      </c>
      <c r="Y322" s="8" t="n">
        <f aca="false">SUM(Y323)</f>
        <v>0</v>
      </c>
      <c r="Z322" s="8" t="n">
        <f aca="false">SUM(Z323)</f>
        <v>0</v>
      </c>
      <c r="AA322" s="8" t="n">
        <f aca="false">SUM(AA323)</f>
        <v>10</v>
      </c>
      <c r="AB322" s="8" t="n">
        <f aca="false">SUM(AB323)</f>
        <v>0</v>
      </c>
      <c r="AC322" s="8" t="n">
        <f aca="false">SUM(AC323)</f>
        <v>0</v>
      </c>
      <c r="AD322" s="8" t="n">
        <f aca="false">SUM(AD323)</f>
        <v>0</v>
      </c>
      <c r="AE322" s="8" t="n">
        <f aca="false">SUM(AE323)</f>
        <v>0</v>
      </c>
      <c r="AF322" s="8" t="n">
        <f aca="false">SUM(AF323)</f>
        <v>0</v>
      </c>
      <c r="AG322" s="8" t="n">
        <f aca="false">SUM(AG323)</f>
        <v>0</v>
      </c>
      <c r="AH322" s="8" t="n">
        <f aca="false">SUM(AH323)</f>
        <v>0</v>
      </c>
      <c r="AI322" s="8" t="n">
        <f aca="false">SUM(AI323)</f>
        <v>0</v>
      </c>
      <c r="AJ322" s="8" t="n">
        <f aca="false">SUM(AJ323)</f>
        <v>0</v>
      </c>
      <c r="AK322" s="8" t="n">
        <f aca="false">SUM(AK323)</f>
        <v>0</v>
      </c>
      <c r="AL322" s="8" t="n">
        <f aca="false">SUM(AL323)</f>
        <v>0</v>
      </c>
      <c r="AM322" s="8" t="n">
        <f aca="false">SUM(AM323)</f>
        <v>0</v>
      </c>
      <c r="AN322" s="8" t="n">
        <f aca="false">SUM(AN323)</f>
        <v>0</v>
      </c>
      <c r="AO322" s="8" t="n">
        <f aca="false">SUM(AO323)</f>
        <v>0</v>
      </c>
      <c r="AP322" s="8" t="n">
        <f aca="false">SUM(AP323)</f>
        <v>0</v>
      </c>
      <c r="AQ322" s="8" t="n">
        <f aca="false">SUM(AQ323)</f>
        <v>0</v>
      </c>
      <c r="AR322" s="8" t="n">
        <f aca="false">SUM(AR323)</f>
        <v>0</v>
      </c>
      <c r="AS322" s="8" t="n">
        <f aca="false">SUM(AS323)</f>
        <v>0</v>
      </c>
    </row>
    <row r="323" customFormat="false" ht="15" hidden="true" customHeight="true" outlineLevel="1" collapsed="false">
      <c r="A323" s="1" t="s">
        <v>12</v>
      </c>
      <c r="B323" s="1" t="s">
        <v>14</v>
      </c>
      <c r="C323" s="1" t="s">
        <v>165</v>
      </c>
      <c r="D323" s="1" t="s">
        <v>141</v>
      </c>
      <c r="E323" s="1" t="s">
        <v>122</v>
      </c>
      <c r="F323" s="10" t="n">
        <v>0</v>
      </c>
      <c r="G323" s="10" t="n">
        <v>0</v>
      </c>
      <c r="H323" s="10" t="n">
        <v>0</v>
      </c>
      <c r="I323" s="10" t="n">
        <v>0</v>
      </c>
      <c r="J323" s="10" t="n">
        <v>0</v>
      </c>
      <c r="K323" s="10" t="n">
        <v>0</v>
      </c>
      <c r="L323" s="10" t="n">
        <v>0</v>
      </c>
      <c r="M323" s="10" t="n">
        <v>0</v>
      </c>
      <c r="N323" s="10" t="n">
        <v>0</v>
      </c>
      <c r="O323" s="10" t="n">
        <v>0</v>
      </c>
      <c r="P323" s="10" t="n">
        <v>0</v>
      </c>
      <c r="Q323" s="10" t="n">
        <v>0</v>
      </c>
      <c r="R323" s="10" t="n">
        <v>0</v>
      </c>
      <c r="S323" s="10" t="n">
        <v>0</v>
      </c>
      <c r="T323" s="10" t="n">
        <v>0</v>
      </c>
      <c r="U323" s="10" t="n">
        <v>0</v>
      </c>
      <c r="V323" s="10" t="n">
        <v>0</v>
      </c>
      <c r="W323" s="10" t="n">
        <v>0</v>
      </c>
      <c r="X323" s="10" t="n">
        <v>0</v>
      </c>
      <c r="Y323" s="10" t="n">
        <v>0</v>
      </c>
      <c r="Z323" s="10" t="n">
        <v>0</v>
      </c>
      <c r="AA323" s="10" t="n">
        <v>10</v>
      </c>
      <c r="AB323" s="10" t="n">
        <v>0</v>
      </c>
      <c r="AC323" s="10" t="n">
        <v>0</v>
      </c>
      <c r="AD323" s="10" t="n">
        <v>0</v>
      </c>
      <c r="AE323" s="10" t="n">
        <v>0</v>
      </c>
      <c r="AF323" s="10" t="n">
        <v>0</v>
      </c>
      <c r="AG323" s="10" t="n">
        <v>0</v>
      </c>
      <c r="AH323" s="10" t="n">
        <v>0</v>
      </c>
      <c r="AI323" s="10" t="n">
        <v>0</v>
      </c>
      <c r="AJ323" s="10" t="n">
        <v>0</v>
      </c>
      <c r="AK323" s="10" t="n">
        <v>0</v>
      </c>
      <c r="AL323" s="10" t="n">
        <v>0</v>
      </c>
      <c r="AM323" s="10" t="n">
        <v>0</v>
      </c>
      <c r="AN323" s="10" t="n">
        <v>0</v>
      </c>
      <c r="AO323" s="10" t="n">
        <v>0</v>
      </c>
      <c r="AP323" s="10" t="n">
        <v>0</v>
      </c>
      <c r="AQ323" s="10" t="n">
        <v>0</v>
      </c>
      <c r="AR323" s="10" t="n">
        <v>0</v>
      </c>
      <c r="AS323" s="10" t="n">
        <v>0</v>
      </c>
    </row>
    <row r="324" customFormat="false" ht="15" hidden="false" customHeight="true" outlineLevel="0" collapsed="false">
      <c r="A324" s="4" t="s">
        <v>12</v>
      </c>
      <c r="B324" s="4" t="s">
        <v>14</v>
      </c>
      <c r="C324" s="4" t="s">
        <v>104</v>
      </c>
      <c r="D324" s="4" t="s">
        <v>76</v>
      </c>
      <c r="E324" s="4" t="s">
        <v>77</v>
      </c>
      <c r="F324" s="8" t="n">
        <f aca="false">SUM(F325)</f>
        <v>0</v>
      </c>
      <c r="G324" s="8" t="n">
        <f aca="false">SUM(G325)</f>
        <v>0</v>
      </c>
      <c r="H324" s="8" t="n">
        <f aca="false">SUM(H325)</f>
        <v>0</v>
      </c>
      <c r="I324" s="8" t="n">
        <f aca="false">SUM(I325)</f>
        <v>0</v>
      </c>
      <c r="J324" s="8" t="n">
        <f aca="false">SUM(J325)</f>
        <v>0</v>
      </c>
      <c r="K324" s="8" t="n">
        <f aca="false">SUM(K325)</f>
        <v>0</v>
      </c>
      <c r="L324" s="8" t="n">
        <f aca="false">SUM(L325)</f>
        <v>0</v>
      </c>
      <c r="M324" s="8" t="n">
        <f aca="false">SUM(M325)</f>
        <v>0</v>
      </c>
      <c r="N324" s="8" t="n">
        <f aca="false">SUM(N325)</f>
        <v>0</v>
      </c>
      <c r="O324" s="8" t="n">
        <f aca="false">SUM(O325)</f>
        <v>0</v>
      </c>
      <c r="P324" s="8" t="n">
        <f aca="false">SUM(P325)</f>
        <v>0</v>
      </c>
      <c r="Q324" s="8" t="n">
        <f aca="false">SUM(Q325)</f>
        <v>0</v>
      </c>
      <c r="R324" s="8" t="n">
        <f aca="false">SUM(R325)</f>
        <v>0</v>
      </c>
      <c r="S324" s="8" t="n">
        <f aca="false">SUM(S325)</f>
        <v>0</v>
      </c>
      <c r="T324" s="8" t="n">
        <f aca="false">SUM(T325)</f>
        <v>0</v>
      </c>
      <c r="U324" s="8" t="n">
        <f aca="false">SUM(U325)</f>
        <v>0</v>
      </c>
      <c r="V324" s="8" t="n">
        <f aca="false">SUM(V325)</f>
        <v>0</v>
      </c>
      <c r="W324" s="8" t="n">
        <f aca="false">SUM(W325)</f>
        <v>0</v>
      </c>
      <c r="X324" s="8" t="n">
        <f aca="false">SUM(X325)</f>
        <v>0</v>
      </c>
      <c r="Y324" s="8" t="n">
        <f aca="false">SUM(Y325)</f>
        <v>0</v>
      </c>
      <c r="Z324" s="8" t="n">
        <f aca="false">SUM(Z325)</f>
        <v>0</v>
      </c>
      <c r="AA324" s="8" t="n">
        <f aca="false">SUM(AA325)</f>
        <v>32</v>
      </c>
      <c r="AB324" s="8" t="n">
        <f aca="false">SUM(AB325)</f>
        <v>0</v>
      </c>
      <c r="AC324" s="8" t="n">
        <f aca="false">SUM(AC325)</f>
        <v>0</v>
      </c>
      <c r="AD324" s="8" t="n">
        <f aca="false">SUM(AD325)</f>
        <v>10.5</v>
      </c>
      <c r="AE324" s="8" t="n">
        <f aca="false">SUM(AE325)</f>
        <v>0</v>
      </c>
      <c r="AF324" s="8" t="n">
        <f aca="false">SUM(AF325)</f>
        <v>0</v>
      </c>
      <c r="AG324" s="8" t="n">
        <f aca="false">SUM(AG325)</f>
        <v>0</v>
      </c>
      <c r="AH324" s="8" t="n">
        <f aca="false">SUM(AH325)</f>
        <v>0</v>
      </c>
      <c r="AI324" s="8" t="n">
        <f aca="false">SUM(AI325)</f>
        <v>0</v>
      </c>
      <c r="AJ324" s="8" t="n">
        <f aca="false">SUM(AJ325)</f>
        <v>0</v>
      </c>
      <c r="AK324" s="8" t="n">
        <f aca="false">SUM(AK325)</f>
        <v>0</v>
      </c>
      <c r="AL324" s="8" t="n">
        <f aca="false">SUM(AL325)</f>
        <v>0</v>
      </c>
      <c r="AM324" s="8" t="n">
        <f aca="false">SUM(AM325)</f>
        <v>0</v>
      </c>
      <c r="AN324" s="8" t="n">
        <f aca="false">SUM(AN325)</f>
        <v>0</v>
      </c>
      <c r="AO324" s="8" t="n">
        <f aca="false">SUM(AO325)</f>
        <v>0</v>
      </c>
      <c r="AP324" s="8" t="n">
        <f aca="false">SUM(AP325)</f>
        <v>0</v>
      </c>
      <c r="AQ324" s="8" t="n">
        <f aca="false">SUM(AQ325)</f>
        <v>0</v>
      </c>
      <c r="AR324" s="8" t="n">
        <f aca="false">SUM(AR325)</f>
        <v>0</v>
      </c>
      <c r="AS324" s="8" t="n">
        <f aca="false">SUM(AS325)</f>
        <v>0</v>
      </c>
    </row>
    <row r="325" customFormat="false" ht="15" hidden="true" customHeight="true" outlineLevel="1" collapsed="false">
      <c r="A325" s="1" t="s">
        <v>12</v>
      </c>
      <c r="B325" s="1" t="s">
        <v>14</v>
      </c>
      <c r="C325" s="1" t="s">
        <v>104</v>
      </c>
      <c r="D325" s="1" t="s">
        <v>141</v>
      </c>
      <c r="E325" s="1" t="s">
        <v>105</v>
      </c>
      <c r="F325" s="10" t="n">
        <v>0</v>
      </c>
      <c r="G325" s="10" t="n">
        <v>0</v>
      </c>
      <c r="H325" s="10" t="n">
        <v>0</v>
      </c>
      <c r="I325" s="10" t="n">
        <v>0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0" t="n">
        <v>0</v>
      </c>
      <c r="P325" s="10" t="n">
        <v>0</v>
      </c>
      <c r="Q325" s="10" t="n">
        <v>0</v>
      </c>
      <c r="R325" s="10" t="n">
        <v>0</v>
      </c>
      <c r="S325" s="10" t="n">
        <v>0</v>
      </c>
      <c r="T325" s="10" t="n">
        <v>0</v>
      </c>
      <c r="U325" s="10" t="n">
        <v>0</v>
      </c>
      <c r="V325" s="10" t="n">
        <v>0</v>
      </c>
      <c r="W325" s="10" t="n">
        <v>0</v>
      </c>
      <c r="X325" s="10" t="n">
        <v>0</v>
      </c>
      <c r="Y325" s="10" t="n">
        <v>0</v>
      </c>
      <c r="Z325" s="10" t="n">
        <v>0</v>
      </c>
      <c r="AA325" s="10" t="n">
        <v>32</v>
      </c>
      <c r="AB325" s="10" t="n">
        <v>0</v>
      </c>
      <c r="AC325" s="10" t="n">
        <v>0</v>
      </c>
      <c r="AD325" s="10" t="n">
        <v>10.5</v>
      </c>
      <c r="AE325" s="10" t="n">
        <v>0</v>
      </c>
      <c r="AF325" s="10" t="n">
        <v>0</v>
      </c>
      <c r="AG325" s="10" t="n">
        <v>0</v>
      </c>
      <c r="AH325" s="10" t="n">
        <v>0</v>
      </c>
      <c r="AI325" s="10" t="n">
        <v>0</v>
      </c>
      <c r="AJ325" s="10" t="n">
        <v>0</v>
      </c>
      <c r="AK325" s="10" t="n">
        <v>0</v>
      </c>
      <c r="AL325" s="10" t="n">
        <v>0</v>
      </c>
      <c r="AM325" s="10" t="n">
        <v>0</v>
      </c>
      <c r="AN325" s="10" t="n">
        <v>0</v>
      </c>
      <c r="AO325" s="10" t="n">
        <v>0</v>
      </c>
      <c r="AP325" s="10" t="n">
        <v>0</v>
      </c>
      <c r="AQ325" s="10" t="n">
        <v>0</v>
      </c>
      <c r="AR325" s="10" t="n">
        <v>0</v>
      </c>
      <c r="AS325" s="10" t="n">
        <v>0</v>
      </c>
    </row>
    <row r="326" customFormat="false" ht="15" hidden="false" customHeight="true" outlineLevel="0" collapsed="false">
      <c r="A326" s="4" t="s">
        <v>12</v>
      </c>
      <c r="B326" s="4" t="s">
        <v>14</v>
      </c>
      <c r="C326" s="4" t="s">
        <v>139</v>
      </c>
      <c r="D326" s="4" t="s">
        <v>76</v>
      </c>
      <c r="E326" s="4" t="s">
        <v>77</v>
      </c>
      <c r="F326" s="8" t="n">
        <f aca="false">SUM(F327)</f>
        <v>0</v>
      </c>
      <c r="G326" s="8" t="n">
        <f aca="false">SUM(G327)</f>
        <v>0</v>
      </c>
      <c r="H326" s="8" t="n">
        <f aca="false">SUM(H327)</f>
        <v>0</v>
      </c>
      <c r="I326" s="8" t="n">
        <f aca="false">SUM(I327)</f>
        <v>0</v>
      </c>
      <c r="J326" s="8" t="n">
        <f aca="false">SUM(J327)</f>
        <v>0</v>
      </c>
      <c r="K326" s="8" t="n">
        <f aca="false">SUM(K327)</f>
        <v>0</v>
      </c>
      <c r="L326" s="8" t="n">
        <f aca="false">SUM(L327)</f>
        <v>0</v>
      </c>
      <c r="M326" s="8" t="n">
        <f aca="false">SUM(M327)</f>
        <v>0</v>
      </c>
      <c r="N326" s="8" t="n">
        <f aca="false">SUM(N327)</f>
        <v>0</v>
      </c>
      <c r="O326" s="8" t="n">
        <f aca="false">SUM(O327)</f>
        <v>0</v>
      </c>
      <c r="P326" s="8" t="n">
        <f aca="false">SUM(P327)</f>
        <v>0</v>
      </c>
      <c r="Q326" s="8" t="n">
        <f aca="false">SUM(Q327)</f>
        <v>0</v>
      </c>
      <c r="R326" s="8" t="n">
        <f aca="false">SUM(R327)</f>
        <v>0</v>
      </c>
      <c r="S326" s="8" t="n">
        <f aca="false">SUM(S327)</f>
        <v>0</v>
      </c>
      <c r="T326" s="8" t="n">
        <f aca="false">SUM(T327)</f>
        <v>0</v>
      </c>
      <c r="U326" s="8" t="n">
        <f aca="false">SUM(U327)</f>
        <v>0</v>
      </c>
      <c r="V326" s="8" t="n">
        <f aca="false">SUM(V327)</f>
        <v>0</v>
      </c>
      <c r="W326" s="8" t="n">
        <f aca="false">SUM(W327)</f>
        <v>0</v>
      </c>
      <c r="X326" s="8" t="n">
        <f aca="false">SUM(X327)</f>
        <v>0</v>
      </c>
      <c r="Y326" s="8" t="n">
        <f aca="false">SUM(Y327)</f>
        <v>12.5</v>
      </c>
      <c r="Z326" s="8" t="n">
        <f aca="false">SUM(Z327)</f>
        <v>0</v>
      </c>
      <c r="AA326" s="8" t="n">
        <f aca="false">SUM(AA327)</f>
        <v>0</v>
      </c>
      <c r="AB326" s="8" t="n">
        <f aca="false">SUM(AB327)</f>
        <v>0</v>
      </c>
      <c r="AC326" s="8" t="n">
        <f aca="false">SUM(AC327)</f>
        <v>3.5</v>
      </c>
      <c r="AD326" s="8" t="n">
        <f aca="false">SUM(AD327)</f>
        <v>0</v>
      </c>
      <c r="AE326" s="8" t="n">
        <f aca="false">SUM(AE327)</f>
        <v>0</v>
      </c>
      <c r="AF326" s="8" t="n">
        <f aca="false">SUM(AF327)</f>
        <v>0</v>
      </c>
      <c r="AG326" s="8" t="n">
        <f aca="false">SUM(AG327)</f>
        <v>0</v>
      </c>
      <c r="AH326" s="8" t="n">
        <f aca="false">SUM(AH327)</f>
        <v>0</v>
      </c>
      <c r="AI326" s="8" t="n">
        <f aca="false">SUM(AI327)</f>
        <v>0</v>
      </c>
      <c r="AJ326" s="8" t="n">
        <f aca="false">SUM(AJ327)</f>
        <v>0</v>
      </c>
      <c r="AK326" s="8" t="n">
        <f aca="false">SUM(AK327)</f>
        <v>0</v>
      </c>
      <c r="AL326" s="8" t="n">
        <f aca="false">SUM(AL327)</f>
        <v>0</v>
      </c>
      <c r="AM326" s="8" t="n">
        <f aca="false">SUM(AM327)</f>
        <v>0</v>
      </c>
      <c r="AN326" s="8" t="n">
        <f aca="false">SUM(AN327)</f>
        <v>0</v>
      </c>
      <c r="AO326" s="8" t="n">
        <f aca="false">SUM(AO327)</f>
        <v>0</v>
      </c>
      <c r="AP326" s="8" t="n">
        <f aca="false">SUM(AP327)</f>
        <v>0</v>
      </c>
      <c r="AQ326" s="8" t="n">
        <f aca="false">SUM(AQ327)</f>
        <v>0</v>
      </c>
      <c r="AR326" s="8" t="n">
        <f aca="false">SUM(AR327)</f>
        <v>0</v>
      </c>
      <c r="AS326" s="8" t="n">
        <f aca="false">SUM(AS327)</f>
        <v>0</v>
      </c>
    </row>
    <row r="327" customFormat="false" ht="15" hidden="true" customHeight="true" outlineLevel="1" collapsed="false">
      <c r="A327" s="1" t="s">
        <v>12</v>
      </c>
      <c r="B327" s="1" t="s">
        <v>14</v>
      </c>
      <c r="C327" s="1" t="s">
        <v>139</v>
      </c>
      <c r="D327" s="1" t="s">
        <v>141</v>
      </c>
      <c r="E327" s="1" t="s">
        <v>99</v>
      </c>
      <c r="F327" s="10" t="n">
        <v>0</v>
      </c>
      <c r="G327" s="10" t="n">
        <v>0</v>
      </c>
      <c r="H327" s="10" t="n">
        <v>0</v>
      </c>
      <c r="I327" s="10" t="n">
        <v>0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  <c r="S327" s="10" t="n">
        <v>0</v>
      </c>
      <c r="T327" s="10" t="n">
        <v>0</v>
      </c>
      <c r="U327" s="10" t="n">
        <v>0</v>
      </c>
      <c r="V327" s="10" t="n">
        <v>0</v>
      </c>
      <c r="W327" s="10" t="n">
        <v>0</v>
      </c>
      <c r="X327" s="10" t="n">
        <v>0</v>
      </c>
      <c r="Y327" s="10" t="n">
        <v>12.5</v>
      </c>
      <c r="Z327" s="10" t="n">
        <v>0</v>
      </c>
      <c r="AA327" s="10" t="n">
        <v>0</v>
      </c>
      <c r="AB327" s="10" t="n">
        <v>0</v>
      </c>
      <c r="AC327" s="10" t="n">
        <v>3.5</v>
      </c>
      <c r="AD327" s="10" t="n">
        <v>0</v>
      </c>
      <c r="AE327" s="10" t="n">
        <v>0</v>
      </c>
      <c r="AF327" s="10" t="n">
        <v>0</v>
      </c>
      <c r="AG327" s="10" t="n">
        <v>0</v>
      </c>
      <c r="AH327" s="10" t="n">
        <v>0</v>
      </c>
      <c r="AI327" s="10" t="n">
        <v>0</v>
      </c>
      <c r="AJ327" s="10" t="n">
        <v>0</v>
      </c>
      <c r="AK327" s="10" t="n">
        <v>0</v>
      </c>
      <c r="AL327" s="10" t="n">
        <v>0</v>
      </c>
      <c r="AM327" s="10" t="n">
        <v>0</v>
      </c>
      <c r="AN327" s="10" t="n">
        <v>0</v>
      </c>
      <c r="AO327" s="10" t="n">
        <v>0</v>
      </c>
      <c r="AP327" s="10" t="n">
        <v>0</v>
      </c>
      <c r="AQ327" s="10" t="n">
        <v>0</v>
      </c>
      <c r="AR327" s="10" t="n">
        <v>0</v>
      </c>
      <c r="AS327" s="10" t="n">
        <v>0</v>
      </c>
    </row>
  </sheetData>
  <autoFilter ref="A1:AS1"/>
  <conditionalFormatting sqref="F2">
    <cfRule type="cellIs" priority="2" operator="greaterThan" aboveAverage="0" equalAverage="0" bottom="0" percent="0" rank="0" text="" dxfId="2">
      <formula>40</formula>
    </cfRule>
    <cfRule type="cellIs" priority="3" operator="greaterThan" aboveAverage="0" equalAverage="0" bottom="0" percent="0" rank="0" text="" dxfId="3">
      <formula>45</formula>
    </cfRule>
  </conditionalFormatting>
  <conditionalFormatting sqref="G2">
    <cfRule type="cellIs" priority="4" operator="greaterThan" aboveAverage="0" equalAverage="0" bottom="0" percent="0" rank="0" text="" dxfId="2">
      <formula>40</formula>
    </cfRule>
    <cfRule type="cellIs" priority="5" operator="greaterThan" aboveAverage="0" equalAverage="0" bottom="0" percent="0" rank="0" text="" dxfId="3">
      <formula>45</formula>
    </cfRule>
  </conditionalFormatting>
  <conditionalFormatting sqref="H2">
    <cfRule type="cellIs" priority="6" operator="greaterThan" aboveAverage="0" equalAverage="0" bottom="0" percent="0" rank="0" text="" dxfId="2">
      <formula>40</formula>
    </cfRule>
    <cfRule type="cellIs" priority="7" operator="greaterThan" aboveAverage="0" equalAverage="0" bottom="0" percent="0" rank="0" text="" dxfId="3">
      <formula>45</formula>
    </cfRule>
  </conditionalFormatting>
  <conditionalFormatting sqref="I2">
    <cfRule type="cellIs" priority="8" operator="greaterThan" aboveAverage="0" equalAverage="0" bottom="0" percent="0" rank="0" text="" dxfId="2">
      <formula>40</formula>
    </cfRule>
    <cfRule type="cellIs" priority="9" operator="greaterThan" aboveAverage="0" equalAverage="0" bottom="0" percent="0" rank="0" text="" dxfId="3">
      <formula>45</formula>
    </cfRule>
  </conditionalFormatting>
  <conditionalFormatting sqref="J2">
    <cfRule type="cellIs" priority="10" operator="greaterThan" aboveAverage="0" equalAverage="0" bottom="0" percent="0" rank="0" text="" dxfId="2">
      <formula>40</formula>
    </cfRule>
    <cfRule type="cellIs" priority="11" operator="greaterThan" aboveAverage="0" equalAverage="0" bottom="0" percent="0" rank="0" text="" dxfId="3">
      <formula>45</formula>
    </cfRule>
  </conditionalFormatting>
  <conditionalFormatting sqref="K2">
    <cfRule type="cellIs" priority="12" operator="greaterThan" aboveAverage="0" equalAverage="0" bottom="0" percent="0" rank="0" text="" dxfId="2">
      <formula>40</formula>
    </cfRule>
    <cfRule type="cellIs" priority="13" operator="greaterThan" aboveAverage="0" equalAverage="0" bottom="0" percent="0" rank="0" text="" dxfId="3">
      <formula>45</formula>
    </cfRule>
  </conditionalFormatting>
  <conditionalFormatting sqref="L2">
    <cfRule type="cellIs" priority="14" operator="greaterThan" aboveAverage="0" equalAverage="0" bottom="0" percent="0" rank="0" text="" dxfId="2">
      <formula>40</formula>
    </cfRule>
    <cfRule type="cellIs" priority="15" operator="greaterThan" aboveAverage="0" equalAverage="0" bottom="0" percent="0" rank="0" text="" dxfId="3">
      <formula>45</formula>
    </cfRule>
  </conditionalFormatting>
  <conditionalFormatting sqref="M2">
    <cfRule type="cellIs" priority="16" operator="greaterThan" aboveAverage="0" equalAverage="0" bottom="0" percent="0" rank="0" text="" dxfId="2">
      <formula>40</formula>
    </cfRule>
    <cfRule type="cellIs" priority="17" operator="greaterThan" aboveAverage="0" equalAverage="0" bottom="0" percent="0" rank="0" text="" dxfId="3">
      <formula>45</formula>
    </cfRule>
  </conditionalFormatting>
  <conditionalFormatting sqref="N2">
    <cfRule type="cellIs" priority="18" operator="greaterThan" aboveAverage="0" equalAverage="0" bottom="0" percent="0" rank="0" text="" dxfId="2">
      <formula>40</formula>
    </cfRule>
    <cfRule type="cellIs" priority="19" operator="greaterThan" aboveAverage="0" equalAverage="0" bottom="0" percent="0" rank="0" text="" dxfId="3">
      <formula>45</formula>
    </cfRule>
  </conditionalFormatting>
  <conditionalFormatting sqref="O2">
    <cfRule type="cellIs" priority="20" operator="greaterThan" aboveAverage="0" equalAverage="0" bottom="0" percent="0" rank="0" text="" dxfId="2">
      <formula>40</formula>
    </cfRule>
    <cfRule type="cellIs" priority="21" operator="greaterThan" aboveAverage="0" equalAverage="0" bottom="0" percent="0" rank="0" text="" dxfId="3">
      <formula>45</formula>
    </cfRule>
  </conditionalFormatting>
  <conditionalFormatting sqref="P2">
    <cfRule type="cellIs" priority="22" operator="greaterThan" aboveAverage="0" equalAverage="0" bottom="0" percent="0" rank="0" text="" dxfId="2">
      <formula>40</formula>
    </cfRule>
    <cfRule type="cellIs" priority="23" operator="greaterThan" aboveAverage="0" equalAverage="0" bottom="0" percent="0" rank="0" text="" dxfId="3">
      <formula>45</formula>
    </cfRule>
  </conditionalFormatting>
  <conditionalFormatting sqref="Q2">
    <cfRule type="cellIs" priority="24" operator="greaterThan" aboveAverage="0" equalAverage="0" bottom="0" percent="0" rank="0" text="" dxfId="2">
      <formula>40</formula>
    </cfRule>
    <cfRule type="cellIs" priority="25" operator="greaterThan" aboveAverage="0" equalAverage="0" bottom="0" percent="0" rank="0" text="" dxfId="3">
      <formula>45</formula>
    </cfRule>
  </conditionalFormatting>
  <conditionalFormatting sqref="R2">
    <cfRule type="cellIs" priority="26" operator="greaterThan" aboveAverage="0" equalAverage="0" bottom="0" percent="0" rank="0" text="" dxfId="2">
      <formula>40</formula>
    </cfRule>
    <cfRule type="cellIs" priority="27" operator="greaterThan" aboveAverage="0" equalAverage="0" bottom="0" percent="0" rank="0" text="" dxfId="3">
      <formula>45</formula>
    </cfRule>
  </conditionalFormatting>
  <conditionalFormatting sqref="S2">
    <cfRule type="cellIs" priority="28" operator="greaterThan" aboveAverage="0" equalAverage="0" bottom="0" percent="0" rank="0" text="" dxfId="2">
      <formula>40</formula>
    </cfRule>
    <cfRule type="cellIs" priority="29" operator="greaterThan" aboveAverage="0" equalAverage="0" bottom="0" percent="0" rank="0" text="" dxfId="3">
      <formula>45</formula>
    </cfRule>
  </conditionalFormatting>
  <conditionalFormatting sqref="T2">
    <cfRule type="cellIs" priority="30" operator="greaterThan" aboveAverage="0" equalAverage="0" bottom="0" percent="0" rank="0" text="" dxfId="2">
      <formula>40</formula>
    </cfRule>
    <cfRule type="cellIs" priority="31" operator="greaterThan" aboveAverage="0" equalAverage="0" bottom="0" percent="0" rank="0" text="" dxfId="3">
      <formula>45</formula>
    </cfRule>
  </conditionalFormatting>
  <conditionalFormatting sqref="U2">
    <cfRule type="cellIs" priority="32" operator="greaterThan" aboveAverage="0" equalAverage="0" bottom="0" percent="0" rank="0" text="" dxfId="2">
      <formula>40</formula>
    </cfRule>
    <cfRule type="cellIs" priority="33" operator="greaterThan" aboveAverage="0" equalAverage="0" bottom="0" percent="0" rank="0" text="" dxfId="3">
      <formula>45</formula>
    </cfRule>
  </conditionalFormatting>
  <conditionalFormatting sqref="V2">
    <cfRule type="cellIs" priority="34" operator="greaterThan" aboveAverage="0" equalAverage="0" bottom="0" percent="0" rank="0" text="" dxfId="2">
      <formula>40</formula>
    </cfRule>
    <cfRule type="cellIs" priority="35" operator="greaterThan" aboveAverage="0" equalAverage="0" bottom="0" percent="0" rank="0" text="" dxfId="3">
      <formula>45</formula>
    </cfRule>
  </conditionalFormatting>
  <conditionalFormatting sqref="W2">
    <cfRule type="cellIs" priority="36" operator="greaterThan" aboveAverage="0" equalAverage="0" bottom="0" percent="0" rank="0" text="" dxfId="2">
      <formula>40</formula>
    </cfRule>
    <cfRule type="cellIs" priority="37" operator="greaterThan" aboveAverage="0" equalAverage="0" bottom="0" percent="0" rank="0" text="" dxfId="3">
      <formula>45</formula>
    </cfRule>
  </conditionalFormatting>
  <conditionalFormatting sqref="X2">
    <cfRule type="cellIs" priority="38" operator="greaterThan" aboveAverage="0" equalAverage="0" bottom="0" percent="0" rank="0" text="" dxfId="2">
      <formula>55</formula>
    </cfRule>
    <cfRule type="cellIs" priority="39" operator="greaterThan" aboveAverage="0" equalAverage="0" bottom="0" percent="0" rank="0" text="" dxfId="3">
      <formula>65</formula>
    </cfRule>
  </conditionalFormatting>
  <conditionalFormatting sqref="Y2">
    <cfRule type="cellIs" priority="40" operator="greaterThan" aboveAverage="0" equalAverage="0" bottom="0" percent="0" rank="0" text="" dxfId="2">
      <formula>55</formula>
    </cfRule>
    <cfRule type="cellIs" priority="41" operator="greaterThan" aboveAverage="0" equalAverage="0" bottom="0" percent="0" rank="0" text="" dxfId="3">
      <formula>65</formula>
    </cfRule>
  </conditionalFormatting>
  <conditionalFormatting sqref="Z2">
    <cfRule type="cellIs" priority="42" operator="greaterThan" aboveAverage="0" equalAverage="0" bottom="0" percent="0" rank="0" text="" dxfId="2">
      <formula>55</formula>
    </cfRule>
    <cfRule type="cellIs" priority="43" operator="greaterThan" aboveAverage="0" equalAverage="0" bottom="0" percent="0" rank="0" text="" dxfId="3">
      <formula>65</formula>
    </cfRule>
  </conditionalFormatting>
  <conditionalFormatting sqref="AA2">
    <cfRule type="cellIs" priority="44" operator="greaterThan" aboveAverage="0" equalAverage="0" bottom="0" percent="0" rank="0" text="" dxfId="2">
      <formula>55</formula>
    </cfRule>
    <cfRule type="cellIs" priority="45" operator="greaterThan" aboveAverage="0" equalAverage="0" bottom="0" percent="0" rank="0" text="" dxfId="3">
      <formula>65</formula>
    </cfRule>
  </conditionalFormatting>
  <conditionalFormatting sqref="AB2">
    <cfRule type="cellIs" priority="46" operator="greaterThan" aboveAverage="0" equalAverage="0" bottom="0" percent="0" rank="0" text="" dxfId="2">
      <formula>55</formula>
    </cfRule>
    <cfRule type="cellIs" priority="47" operator="greaterThan" aboveAverage="0" equalAverage="0" bottom="0" percent="0" rank="0" text="" dxfId="3">
      <formula>65</formula>
    </cfRule>
  </conditionalFormatting>
  <conditionalFormatting sqref="AC2">
    <cfRule type="cellIs" priority="48" operator="greaterThan" aboveAverage="0" equalAverage="0" bottom="0" percent="0" rank="0" text="" dxfId="2">
      <formula>55</formula>
    </cfRule>
    <cfRule type="cellIs" priority="49" operator="greaterThan" aboveAverage="0" equalAverage="0" bottom="0" percent="0" rank="0" text="" dxfId="3">
      <formula>65</formula>
    </cfRule>
  </conditionalFormatting>
  <conditionalFormatting sqref="AD2">
    <cfRule type="cellIs" priority="50" operator="greaterThan" aboveAverage="0" equalAverage="0" bottom="0" percent="0" rank="0" text="" dxfId="2">
      <formula>55</formula>
    </cfRule>
    <cfRule type="cellIs" priority="51" operator="greaterThan" aboveAverage="0" equalAverage="0" bottom="0" percent="0" rank="0" text="" dxfId="3">
      <formula>65</formula>
    </cfRule>
  </conditionalFormatting>
  <conditionalFormatting sqref="AE2">
    <cfRule type="cellIs" priority="52" operator="greaterThan" aboveAverage="0" equalAverage="0" bottom="0" percent="0" rank="0" text="" dxfId="2">
      <formula>55</formula>
    </cfRule>
    <cfRule type="cellIs" priority="53" operator="greaterThan" aboveAverage="0" equalAverage="0" bottom="0" percent="0" rank="0" text="" dxfId="3">
      <formula>65</formula>
    </cfRule>
  </conditionalFormatting>
  <conditionalFormatting sqref="AF2">
    <cfRule type="cellIs" priority="54" operator="greaterThan" aboveAverage="0" equalAverage="0" bottom="0" percent="0" rank="0" text="" dxfId="2">
      <formula>40</formula>
    </cfRule>
    <cfRule type="cellIs" priority="55" operator="greaterThan" aboveAverage="0" equalAverage="0" bottom="0" percent="0" rank="0" text="" dxfId="3">
      <formula>45</formula>
    </cfRule>
  </conditionalFormatting>
  <conditionalFormatting sqref="AG2">
    <cfRule type="cellIs" priority="56" operator="greaterThan" aboveAverage="0" equalAverage="0" bottom="0" percent="0" rank="0" text="" dxfId="2">
      <formula>40</formula>
    </cfRule>
    <cfRule type="cellIs" priority="57" operator="greaterThan" aboveAverage="0" equalAverage="0" bottom="0" percent="0" rank="0" text="" dxfId="3">
      <formula>45</formula>
    </cfRule>
  </conditionalFormatting>
  <conditionalFormatting sqref="AH2">
    <cfRule type="cellIs" priority="58" operator="greaterThan" aboveAverage="0" equalAverage="0" bottom="0" percent="0" rank="0" text="" dxfId="2">
      <formula>40</formula>
    </cfRule>
    <cfRule type="cellIs" priority="59" operator="greaterThan" aboveAverage="0" equalAverage="0" bottom="0" percent="0" rank="0" text="" dxfId="3">
      <formula>45</formula>
    </cfRule>
  </conditionalFormatting>
  <conditionalFormatting sqref="AI2">
    <cfRule type="cellIs" priority="60" operator="greaterThan" aboveAverage="0" equalAverage="0" bottom="0" percent="0" rank="0" text="" dxfId="2">
      <formula>40</formula>
    </cfRule>
    <cfRule type="cellIs" priority="61" operator="greaterThan" aboveAverage="0" equalAverage="0" bottom="0" percent="0" rank="0" text="" dxfId="3">
      <formula>45</formula>
    </cfRule>
  </conditionalFormatting>
  <conditionalFormatting sqref="AJ2">
    <cfRule type="cellIs" priority="62" operator="greaterThan" aboveAverage="0" equalAverage="0" bottom="0" percent="0" rank="0" text="" dxfId="2">
      <formula>40</formula>
    </cfRule>
    <cfRule type="cellIs" priority="63" operator="greaterThan" aboveAverage="0" equalAverage="0" bottom="0" percent="0" rank="0" text="" dxfId="3">
      <formula>45</formula>
    </cfRule>
  </conditionalFormatting>
  <conditionalFormatting sqref="AK2">
    <cfRule type="cellIs" priority="64" operator="greaterThan" aboveAverage="0" equalAverage="0" bottom="0" percent="0" rank="0" text="" dxfId="2">
      <formula>40</formula>
    </cfRule>
    <cfRule type="cellIs" priority="65" operator="greaterThan" aboveAverage="0" equalAverage="0" bottom="0" percent="0" rank="0" text="" dxfId="3">
      <formula>45</formula>
    </cfRule>
  </conditionalFormatting>
  <conditionalFormatting sqref="AL2">
    <cfRule type="cellIs" priority="66" operator="greaterThan" aboveAverage="0" equalAverage="0" bottom="0" percent="0" rank="0" text="" dxfId="2">
      <formula>40</formula>
    </cfRule>
    <cfRule type="cellIs" priority="67" operator="greaterThan" aboveAverage="0" equalAverage="0" bottom="0" percent="0" rank="0" text="" dxfId="3">
      <formula>45</formula>
    </cfRule>
  </conditionalFormatting>
  <conditionalFormatting sqref="AM2">
    <cfRule type="cellIs" priority="68" operator="greaterThan" aboveAverage="0" equalAverage="0" bottom="0" percent="0" rank="0" text="" dxfId="2">
      <formula>40</formula>
    </cfRule>
    <cfRule type="cellIs" priority="69" operator="greaterThan" aboveAverage="0" equalAverage="0" bottom="0" percent="0" rank="0" text="" dxfId="3">
      <formula>45</formula>
    </cfRule>
  </conditionalFormatting>
  <conditionalFormatting sqref="AN2">
    <cfRule type="cellIs" priority="70" operator="greaterThan" aboveAverage="0" equalAverage="0" bottom="0" percent="0" rank="0" text="" dxfId="2">
      <formula>40</formula>
    </cfRule>
    <cfRule type="cellIs" priority="71" operator="greaterThan" aboveAverage="0" equalAverage="0" bottom="0" percent="0" rank="0" text="" dxfId="3">
      <formula>45</formula>
    </cfRule>
  </conditionalFormatting>
  <conditionalFormatting sqref="AO2">
    <cfRule type="cellIs" priority="72" operator="greaterThan" aboveAverage="0" equalAverage="0" bottom="0" percent="0" rank="0" text="" dxfId="2">
      <formula>40</formula>
    </cfRule>
    <cfRule type="cellIs" priority="73" operator="greaterThan" aboveAverage="0" equalAverage="0" bottom="0" percent="0" rank="0" text="" dxfId="3">
      <formula>45</formula>
    </cfRule>
  </conditionalFormatting>
  <conditionalFormatting sqref="AP2">
    <cfRule type="cellIs" priority="74" operator="greaterThan" aboveAverage="0" equalAverage="0" bottom="0" percent="0" rank="0" text="" dxfId="2">
      <formula>40</formula>
    </cfRule>
    <cfRule type="cellIs" priority="75" operator="greaterThan" aboveAverage="0" equalAverage="0" bottom="0" percent="0" rank="0" text="" dxfId="3">
      <formula>45</formula>
    </cfRule>
  </conditionalFormatting>
  <conditionalFormatting sqref="AQ2">
    <cfRule type="cellIs" priority="76" operator="greaterThan" aboveAverage="0" equalAverage="0" bottom="0" percent="0" rank="0" text="" dxfId="2">
      <formula>40</formula>
    </cfRule>
    <cfRule type="cellIs" priority="77" operator="greaterThan" aboveAverage="0" equalAverage="0" bottom="0" percent="0" rank="0" text="" dxfId="3">
      <formula>45</formula>
    </cfRule>
  </conditionalFormatting>
  <conditionalFormatting sqref="AR2">
    <cfRule type="cellIs" priority="78" operator="greaterThan" aboveAverage="0" equalAverage="0" bottom="0" percent="0" rank="0" text="" dxfId="2">
      <formula>40</formula>
    </cfRule>
    <cfRule type="cellIs" priority="79" operator="greaterThan" aboveAverage="0" equalAverage="0" bottom="0" percent="0" rank="0" text="" dxfId="3">
      <formula>45</formula>
    </cfRule>
  </conditionalFormatting>
  <conditionalFormatting sqref="AS2">
    <cfRule type="cellIs" priority="80" operator="greaterThan" aboveAverage="0" equalAverage="0" bottom="0" percent="0" rank="0" text="" dxfId="2">
      <formula>40</formula>
    </cfRule>
    <cfRule type="cellIs" priority="81" operator="greaterThan" aboveAverage="0" equalAverage="0" bottom="0" percent="0" rank="0" text="" dxfId="3">
      <formula>45</formula>
    </cfRule>
  </conditionalFormatting>
  <conditionalFormatting sqref="F4">
    <cfRule type="cellIs" priority="82" operator="greaterThan" aboveAverage="0" equalAverage="0" bottom="0" percent="0" rank="0" text="" dxfId="2">
      <formula>40</formula>
    </cfRule>
    <cfRule type="cellIs" priority="83" operator="greaterThan" aboveAverage="0" equalAverage="0" bottom="0" percent="0" rank="0" text="" dxfId="3">
      <formula>45</formula>
    </cfRule>
  </conditionalFormatting>
  <conditionalFormatting sqref="G4">
    <cfRule type="cellIs" priority="84" operator="greaterThan" aboveAverage="0" equalAverage="0" bottom="0" percent="0" rank="0" text="" dxfId="2">
      <formula>40</formula>
    </cfRule>
    <cfRule type="cellIs" priority="85" operator="greaterThan" aboveAverage="0" equalAverage="0" bottom="0" percent="0" rank="0" text="" dxfId="3">
      <formula>45</formula>
    </cfRule>
  </conditionalFormatting>
  <conditionalFormatting sqref="H4">
    <cfRule type="cellIs" priority="86" operator="greaterThan" aboveAverage="0" equalAverage="0" bottom="0" percent="0" rank="0" text="" dxfId="2">
      <formula>40</formula>
    </cfRule>
    <cfRule type="cellIs" priority="87" operator="greaterThan" aboveAverage="0" equalAverage="0" bottom="0" percent="0" rank="0" text="" dxfId="3">
      <formula>45</formula>
    </cfRule>
  </conditionalFormatting>
  <conditionalFormatting sqref="I4">
    <cfRule type="cellIs" priority="88" operator="greaterThan" aboveAverage="0" equalAverage="0" bottom="0" percent="0" rank="0" text="" dxfId="2">
      <formula>40</formula>
    </cfRule>
    <cfRule type="cellIs" priority="89" operator="greaterThan" aboveAverage="0" equalAverage="0" bottom="0" percent="0" rank="0" text="" dxfId="3">
      <formula>45</formula>
    </cfRule>
  </conditionalFormatting>
  <conditionalFormatting sqref="J4">
    <cfRule type="cellIs" priority="90" operator="greaterThan" aboveAverage="0" equalAverage="0" bottom="0" percent="0" rank="0" text="" dxfId="2">
      <formula>40</formula>
    </cfRule>
    <cfRule type="cellIs" priority="91" operator="greaterThan" aboveAverage="0" equalAverage="0" bottom="0" percent="0" rank="0" text="" dxfId="3">
      <formula>45</formula>
    </cfRule>
  </conditionalFormatting>
  <conditionalFormatting sqref="K4">
    <cfRule type="cellIs" priority="92" operator="greaterThan" aboveAverage="0" equalAverage="0" bottom="0" percent="0" rank="0" text="" dxfId="2">
      <formula>40</formula>
    </cfRule>
    <cfRule type="cellIs" priority="93" operator="greaterThan" aboveAverage="0" equalAverage="0" bottom="0" percent="0" rank="0" text="" dxfId="3">
      <formula>45</formula>
    </cfRule>
  </conditionalFormatting>
  <conditionalFormatting sqref="L4">
    <cfRule type="cellIs" priority="94" operator="greaterThan" aboveAverage="0" equalAverage="0" bottom="0" percent="0" rank="0" text="" dxfId="2">
      <formula>40</formula>
    </cfRule>
    <cfRule type="cellIs" priority="95" operator="greaterThan" aboveAverage="0" equalAverage="0" bottom="0" percent="0" rank="0" text="" dxfId="3">
      <formula>45</formula>
    </cfRule>
  </conditionalFormatting>
  <conditionalFormatting sqref="M4">
    <cfRule type="cellIs" priority="96" operator="greaterThan" aboveAverage="0" equalAverage="0" bottom="0" percent="0" rank="0" text="" dxfId="2">
      <formula>40</formula>
    </cfRule>
    <cfRule type="cellIs" priority="97" operator="greaterThan" aboveAverage="0" equalAverage="0" bottom="0" percent="0" rank="0" text="" dxfId="3">
      <formula>45</formula>
    </cfRule>
  </conditionalFormatting>
  <conditionalFormatting sqref="N4">
    <cfRule type="cellIs" priority="98" operator="greaterThan" aboveAverage="0" equalAverage="0" bottom="0" percent="0" rank="0" text="" dxfId="2">
      <formula>40</formula>
    </cfRule>
    <cfRule type="cellIs" priority="99" operator="greaterThan" aboveAverage="0" equalAverage="0" bottom="0" percent="0" rank="0" text="" dxfId="3">
      <formula>45</formula>
    </cfRule>
  </conditionalFormatting>
  <conditionalFormatting sqref="O4">
    <cfRule type="cellIs" priority="100" operator="greaterThan" aboveAverage="0" equalAverage="0" bottom="0" percent="0" rank="0" text="" dxfId="2">
      <formula>40</formula>
    </cfRule>
    <cfRule type="cellIs" priority="101" operator="greaterThan" aboveAverage="0" equalAverage="0" bottom="0" percent="0" rank="0" text="" dxfId="3">
      <formula>45</formula>
    </cfRule>
  </conditionalFormatting>
  <conditionalFormatting sqref="P4">
    <cfRule type="cellIs" priority="102" operator="greaterThan" aboveAverage="0" equalAverage="0" bottom="0" percent="0" rank="0" text="" dxfId="2">
      <formula>40</formula>
    </cfRule>
    <cfRule type="cellIs" priority="103" operator="greaterThan" aboveAverage="0" equalAverage="0" bottom="0" percent="0" rank="0" text="" dxfId="3">
      <formula>45</formula>
    </cfRule>
  </conditionalFormatting>
  <conditionalFormatting sqref="Q4">
    <cfRule type="cellIs" priority="104" operator="greaterThan" aboveAverage="0" equalAverage="0" bottom="0" percent="0" rank="0" text="" dxfId="2">
      <formula>40</formula>
    </cfRule>
    <cfRule type="cellIs" priority="105" operator="greaterThan" aboveAverage="0" equalAverage="0" bottom="0" percent="0" rank="0" text="" dxfId="3">
      <formula>45</formula>
    </cfRule>
  </conditionalFormatting>
  <conditionalFormatting sqref="R4">
    <cfRule type="cellIs" priority="106" operator="greaterThan" aboveAverage="0" equalAverage="0" bottom="0" percent="0" rank="0" text="" dxfId="2">
      <formula>40</formula>
    </cfRule>
    <cfRule type="cellIs" priority="107" operator="greaterThan" aboveAverage="0" equalAverage="0" bottom="0" percent="0" rank="0" text="" dxfId="3">
      <formula>45</formula>
    </cfRule>
  </conditionalFormatting>
  <conditionalFormatting sqref="S4">
    <cfRule type="cellIs" priority="108" operator="greaterThan" aboveAverage="0" equalAverage="0" bottom="0" percent="0" rank="0" text="" dxfId="2">
      <formula>40</formula>
    </cfRule>
    <cfRule type="cellIs" priority="109" operator="greaterThan" aboveAverage="0" equalAverage="0" bottom="0" percent="0" rank="0" text="" dxfId="3">
      <formula>45</formula>
    </cfRule>
  </conditionalFormatting>
  <conditionalFormatting sqref="T4">
    <cfRule type="cellIs" priority="110" operator="greaterThan" aboveAverage="0" equalAverage="0" bottom="0" percent="0" rank="0" text="" dxfId="2">
      <formula>40</formula>
    </cfRule>
    <cfRule type="cellIs" priority="111" operator="greaterThan" aboveAverage="0" equalAverage="0" bottom="0" percent="0" rank="0" text="" dxfId="3">
      <formula>45</formula>
    </cfRule>
  </conditionalFormatting>
  <conditionalFormatting sqref="U4">
    <cfRule type="cellIs" priority="112" operator="greaterThan" aboveAverage="0" equalAverage="0" bottom="0" percent="0" rank="0" text="" dxfId="2">
      <formula>40</formula>
    </cfRule>
    <cfRule type="cellIs" priority="113" operator="greaterThan" aboveAverage="0" equalAverage="0" bottom="0" percent="0" rank="0" text="" dxfId="3">
      <formula>45</formula>
    </cfRule>
  </conditionalFormatting>
  <conditionalFormatting sqref="V4">
    <cfRule type="cellIs" priority="114" operator="greaterThan" aboveAverage="0" equalAverage="0" bottom="0" percent="0" rank="0" text="" dxfId="2">
      <formula>40</formula>
    </cfRule>
    <cfRule type="cellIs" priority="115" operator="greaterThan" aboveAverage="0" equalAverage="0" bottom="0" percent="0" rank="0" text="" dxfId="3">
      <formula>45</formula>
    </cfRule>
  </conditionalFormatting>
  <conditionalFormatting sqref="W4">
    <cfRule type="cellIs" priority="116" operator="greaterThan" aboveAverage="0" equalAverage="0" bottom="0" percent="0" rank="0" text="" dxfId="2">
      <formula>40</formula>
    </cfRule>
    <cfRule type="cellIs" priority="117" operator="greaterThan" aboveAverage="0" equalAverage="0" bottom="0" percent="0" rank="0" text="" dxfId="3">
      <formula>45</formula>
    </cfRule>
  </conditionalFormatting>
  <conditionalFormatting sqref="X4">
    <cfRule type="cellIs" priority="118" operator="greaterThan" aboveAverage="0" equalAverage="0" bottom="0" percent="0" rank="0" text="" dxfId="2">
      <formula>55</formula>
    </cfRule>
    <cfRule type="cellIs" priority="119" operator="greaterThan" aboveAverage="0" equalAverage="0" bottom="0" percent="0" rank="0" text="" dxfId="3">
      <formula>65</formula>
    </cfRule>
  </conditionalFormatting>
  <conditionalFormatting sqref="Y4">
    <cfRule type="cellIs" priority="120" operator="greaterThan" aboveAverage="0" equalAverage="0" bottom="0" percent="0" rank="0" text="" dxfId="2">
      <formula>55</formula>
    </cfRule>
    <cfRule type="cellIs" priority="121" operator="greaterThan" aboveAverage="0" equalAverage="0" bottom="0" percent="0" rank="0" text="" dxfId="3">
      <formula>65</formula>
    </cfRule>
  </conditionalFormatting>
  <conditionalFormatting sqref="Z4">
    <cfRule type="cellIs" priority="122" operator="greaterThan" aboveAverage="0" equalAverage="0" bottom="0" percent="0" rank="0" text="" dxfId="2">
      <formula>55</formula>
    </cfRule>
    <cfRule type="cellIs" priority="123" operator="greaterThan" aboveAverage="0" equalAverage="0" bottom="0" percent="0" rank="0" text="" dxfId="3">
      <formula>65</formula>
    </cfRule>
  </conditionalFormatting>
  <conditionalFormatting sqref="AA4">
    <cfRule type="cellIs" priority="124" operator="greaterThan" aboveAverage="0" equalAverage="0" bottom="0" percent="0" rank="0" text="" dxfId="2">
      <formula>55</formula>
    </cfRule>
    <cfRule type="cellIs" priority="125" operator="greaterThan" aboveAverage="0" equalAverage="0" bottom="0" percent="0" rank="0" text="" dxfId="3">
      <formula>65</formula>
    </cfRule>
  </conditionalFormatting>
  <conditionalFormatting sqref="AB4">
    <cfRule type="cellIs" priority="126" operator="greaterThan" aboveAverage="0" equalAverage="0" bottom="0" percent="0" rank="0" text="" dxfId="2">
      <formula>55</formula>
    </cfRule>
    <cfRule type="cellIs" priority="127" operator="greaterThan" aboveAverage="0" equalAverage="0" bottom="0" percent="0" rank="0" text="" dxfId="3">
      <formula>65</formula>
    </cfRule>
  </conditionalFormatting>
  <conditionalFormatting sqref="AC4">
    <cfRule type="cellIs" priority="128" operator="greaterThan" aboveAverage="0" equalAverage="0" bottom="0" percent="0" rank="0" text="" dxfId="2">
      <formula>55</formula>
    </cfRule>
    <cfRule type="cellIs" priority="129" operator="greaterThan" aboveAverage="0" equalAverage="0" bottom="0" percent="0" rank="0" text="" dxfId="3">
      <formula>65</formula>
    </cfRule>
  </conditionalFormatting>
  <conditionalFormatting sqref="AD4">
    <cfRule type="cellIs" priority="130" operator="greaterThan" aboveAverage="0" equalAverage="0" bottom="0" percent="0" rank="0" text="" dxfId="2">
      <formula>55</formula>
    </cfRule>
    <cfRule type="cellIs" priority="131" operator="greaterThan" aboveAverage="0" equalAverage="0" bottom="0" percent="0" rank="0" text="" dxfId="3">
      <formula>65</formula>
    </cfRule>
  </conditionalFormatting>
  <conditionalFormatting sqref="AE4">
    <cfRule type="cellIs" priority="132" operator="greaterThan" aboveAverage="0" equalAverage="0" bottom="0" percent="0" rank="0" text="" dxfId="2">
      <formula>55</formula>
    </cfRule>
    <cfRule type="cellIs" priority="133" operator="greaterThan" aboveAverage="0" equalAverage="0" bottom="0" percent="0" rank="0" text="" dxfId="3">
      <formula>65</formula>
    </cfRule>
  </conditionalFormatting>
  <conditionalFormatting sqref="AF4">
    <cfRule type="cellIs" priority="134" operator="greaterThan" aboveAverage="0" equalAverage="0" bottom="0" percent="0" rank="0" text="" dxfId="2">
      <formula>40</formula>
    </cfRule>
    <cfRule type="cellIs" priority="135" operator="greaterThan" aboveAverage="0" equalAverage="0" bottom="0" percent="0" rank="0" text="" dxfId="3">
      <formula>45</formula>
    </cfRule>
  </conditionalFormatting>
  <conditionalFormatting sqref="AG4">
    <cfRule type="cellIs" priority="136" operator="greaterThan" aboveAverage="0" equalAverage="0" bottom="0" percent="0" rank="0" text="" dxfId="2">
      <formula>40</formula>
    </cfRule>
    <cfRule type="cellIs" priority="137" operator="greaterThan" aboveAverage="0" equalAverage="0" bottom="0" percent="0" rank="0" text="" dxfId="3">
      <formula>45</formula>
    </cfRule>
  </conditionalFormatting>
  <conditionalFormatting sqref="AH4">
    <cfRule type="cellIs" priority="138" operator="greaterThan" aboveAverage="0" equalAverage="0" bottom="0" percent="0" rank="0" text="" dxfId="2">
      <formula>40</formula>
    </cfRule>
    <cfRule type="cellIs" priority="139" operator="greaterThan" aboveAverage="0" equalAverage="0" bottom="0" percent="0" rank="0" text="" dxfId="3">
      <formula>45</formula>
    </cfRule>
  </conditionalFormatting>
  <conditionalFormatting sqref="AI4">
    <cfRule type="cellIs" priority="140" operator="greaterThan" aboveAverage="0" equalAverage="0" bottom="0" percent="0" rank="0" text="" dxfId="2">
      <formula>40</formula>
    </cfRule>
    <cfRule type="cellIs" priority="141" operator="greaterThan" aboveAverage="0" equalAverage="0" bottom="0" percent="0" rank="0" text="" dxfId="3">
      <formula>45</formula>
    </cfRule>
  </conditionalFormatting>
  <conditionalFormatting sqref="AJ4">
    <cfRule type="cellIs" priority="142" operator="greaterThan" aboveAverage="0" equalAverage="0" bottom="0" percent="0" rank="0" text="" dxfId="2">
      <formula>40</formula>
    </cfRule>
    <cfRule type="cellIs" priority="143" operator="greaterThan" aboveAverage="0" equalAverage="0" bottom="0" percent="0" rank="0" text="" dxfId="3">
      <formula>45</formula>
    </cfRule>
  </conditionalFormatting>
  <conditionalFormatting sqref="AK4">
    <cfRule type="cellIs" priority="144" operator="greaterThan" aboveAverage="0" equalAverage="0" bottom="0" percent="0" rank="0" text="" dxfId="2">
      <formula>40</formula>
    </cfRule>
    <cfRule type="cellIs" priority="145" operator="greaterThan" aboveAverage="0" equalAverage="0" bottom="0" percent="0" rank="0" text="" dxfId="3">
      <formula>45</formula>
    </cfRule>
  </conditionalFormatting>
  <conditionalFormatting sqref="AL4">
    <cfRule type="cellIs" priority="146" operator="greaterThan" aboveAverage="0" equalAverage="0" bottom="0" percent="0" rank="0" text="" dxfId="2">
      <formula>40</formula>
    </cfRule>
    <cfRule type="cellIs" priority="147" operator="greaterThan" aboveAverage="0" equalAverage="0" bottom="0" percent="0" rank="0" text="" dxfId="3">
      <formula>45</formula>
    </cfRule>
  </conditionalFormatting>
  <conditionalFormatting sqref="AM4">
    <cfRule type="cellIs" priority="148" operator="greaterThan" aboveAverage="0" equalAverage="0" bottom="0" percent="0" rank="0" text="" dxfId="2">
      <formula>40</formula>
    </cfRule>
    <cfRule type="cellIs" priority="149" operator="greaterThan" aboveAverage="0" equalAverage="0" bottom="0" percent="0" rank="0" text="" dxfId="3">
      <formula>45</formula>
    </cfRule>
  </conditionalFormatting>
  <conditionalFormatting sqref="AN4">
    <cfRule type="cellIs" priority="150" operator="greaterThan" aboveAverage="0" equalAverage="0" bottom="0" percent="0" rank="0" text="" dxfId="2">
      <formula>40</formula>
    </cfRule>
    <cfRule type="cellIs" priority="151" operator="greaterThan" aboveAverage="0" equalAverage="0" bottom="0" percent="0" rank="0" text="" dxfId="3">
      <formula>45</formula>
    </cfRule>
  </conditionalFormatting>
  <conditionalFormatting sqref="AO4">
    <cfRule type="cellIs" priority="152" operator="greaterThan" aboveAverage="0" equalAverage="0" bottom="0" percent="0" rank="0" text="" dxfId="2">
      <formula>40</formula>
    </cfRule>
    <cfRule type="cellIs" priority="153" operator="greaterThan" aboveAverage="0" equalAverage="0" bottom="0" percent="0" rank="0" text="" dxfId="3">
      <formula>45</formula>
    </cfRule>
  </conditionalFormatting>
  <conditionalFormatting sqref="AP4">
    <cfRule type="cellIs" priority="154" operator="greaterThan" aboveAverage="0" equalAverage="0" bottom="0" percent="0" rank="0" text="" dxfId="2">
      <formula>40</formula>
    </cfRule>
    <cfRule type="cellIs" priority="155" operator="greaterThan" aboveAverage="0" equalAverage="0" bottom="0" percent="0" rank="0" text="" dxfId="3">
      <formula>45</formula>
    </cfRule>
  </conditionalFormatting>
  <conditionalFormatting sqref="AQ4">
    <cfRule type="cellIs" priority="156" operator="greaterThan" aboveAverage="0" equalAverage="0" bottom="0" percent="0" rank="0" text="" dxfId="2">
      <formula>40</formula>
    </cfRule>
    <cfRule type="cellIs" priority="157" operator="greaterThan" aboveAverage="0" equalAverage="0" bottom="0" percent="0" rank="0" text="" dxfId="3">
      <formula>45</formula>
    </cfRule>
  </conditionalFormatting>
  <conditionalFormatting sqref="AR4">
    <cfRule type="cellIs" priority="158" operator="greaterThan" aboveAverage="0" equalAverage="0" bottom="0" percent="0" rank="0" text="" dxfId="2">
      <formula>40</formula>
    </cfRule>
    <cfRule type="cellIs" priority="159" operator="greaterThan" aboveAverage="0" equalAverage="0" bottom="0" percent="0" rank="0" text="" dxfId="3">
      <formula>45</formula>
    </cfRule>
  </conditionalFormatting>
  <conditionalFormatting sqref="AS4">
    <cfRule type="cellIs" priority="160" operator="greaterThan" aboveAverage="0" equalAverage="0" bottom="0" percent="0" rank="0" text="" dxfId="2">
      <formula>40</formula>
    </cfRule>
    <cfRule type="cellIs" priority="161" operator="greaterThan" aboveAverage="0" equalAverage="0" bottom="0" percent="0" rank="0" text="" dxfId="3">
      <formula>45</formula>
    </cfRule>
  </conditionalFormatting>
  <conditionalFormatting sqref="F13">
    <cfRule type="cellIs" priority="162" operator="greaterThan" aboveAverage="0" equalAverage="0" bottom="0" percent="0" rank="0" text="" dxfId="2">
      <formula>40</formula>
    </cfRule>
    <cfRule type="cellIs" priority="163" operator="greaterThan" aboveAverage="0" equalAverage="0" bottom="0" percent="0" rank="0" text="" dxfId="3">
      <formula>45</formula>
    </cfRule>
  </conditionalFormatting>
  <conditionalFormatting sqref="G13">
    <cfRule type="cellIs" priority="164" operator="greaterThan" aboveAverage="0" equalAverage="0" bottom="0" percent="0" rank="0" text="" dxfId="2">
      <formula>40</formula>
    </cfRule>
    <cfRule type="cellIs" priority="165" operator="greaterThan" aboveAverage="0" equalAverage="0" bottom="0" percent="0" rank="0" text="" dxfId="3">
      <formula>45</formula>
    </cfRule>
  </conditionalFormatting>
  <conditionalFormatting sqref="H13">
    <cfRule type="cellIs" priority="166" operator="greaterThan" aboveAverage="0" equalAverage="0" bottom="0" percent="0" rank="0" text="" dxfId="2">
      <formula>40</formula>
    </cfRule>
    <cfRule type="cellIs" priority="167" operator="greaterThan" aboveAverage="0" equalAverage="0" bottom="0" percent="0" rank="0" text="" dxfId="3">
      <formula>45</formula>
    </cfRule>
  </conditionalFormatting>
  <conditionalFormatting sqref="I13">
    <cfRule type="cellIs" priority="168" operator="greaterThan" aboveAverage="0" equalAverage="0" bottom="0" percent="0" rank="0" text="" dxfId="2">
      <formula>40</formula>
    </cfRule>
    <cfRule type="cellIs" priority="169" operator="greaterThan" aboveAverage="0" equalAverage="0" bottom="0" percent="0" rank="0" text="" dxfId="3">
      <formula>45</formula>
    </cfRule>
  </conditionalFormatting>
  <conditionalFormatting sqref="J13">
    <cfRule type="cellIs" priority="170" operator="greaterThan" aboveAverage="0" equalAverage="0" bottom="0" percent="0" rank="0" text="" dxfId="2">
      <formula>40</formula>
    </cfRule>
    <cfRule type="cellIs" priority="171" operator="greaterThan" aboveAverage="0" equalAverage="0" bottom="0" percent="0" rank="0" text="" dxfId="3">
      <formula>45</formula>
    </cfRule>
  </conditionalFormatting>
  <conditionalFormatting sqref="K13">
    <cfRule type="cellIs" priority="172" operator="greaterThan" aboveAverage="0" equalAverage="0" bottom="0" percent="0" rank="0" text="" dxfId="2">
      <formula>40</formula>
    </cfRule>
    <cfRule type="cellIs" priority="173" operator="greaterThan" aboveAverage="0" equalAverage="0" bottom="0" percent="0" rank="0" text="" dxfId="3">
      <formula>45</formula>
    </cfRule>
  </conditionalFormatting>
  <conditionalFormatting sqref="L13">
    <cfRule type="cellIs" priority="174" operator="greaterThan" aboveAverage="0" equalAverage="0" bottom="0" percent="0" rank="0" text="" dxfId="2">
      <formula>40</formula>
    </cfRule>
    <cfRule type="cellIs" priority="175" operator="greaterThan" aboveAverage="0" equalAverage="0" bottom="0" percent="0" rank="0" text="" dxfId="3">
      <formula>45</formula>
    </cfRule>
  </conditionalFormatting>
  <conditionalFormatting sqref="M13">
    <cfRule type="cellIs" priority="176" operator="greaterThan" aboveAverage="0" equalAverage="0" bottom="0" percent="0" rank="0" text="" dxfId="2">
      <formula>40</formula>
    </cfRule>
    <cfRule type="cellIs" priority="177" operator="greaterThan" aboveAverage="0" equalAverage="0" bottom="0" percent="0" rank="0" text="" dxfId="3">
      <formula>45</formula>
    </cfRule>
  </conditionalFormatting>
  <conditionalFormatting sqref="N13">
    <cfRule type="cellIs" priority="178" operator="greaterThan" aboveAverage="0" equalAverage="0" bottom="0" percent="0" rank="0" text="" dxfId="2">
      <formula>40</formula>
    </cfRule>
    <cfRule type="cellIs" priority="179" operator="greaterThan" aboveAverage="0" equalAverage="0" bottom="0" percent="0" rank="0" text="" dxfId="3">
      <formula>45</formula>
    </cfRule>
  </conditionalFormatting>
  <conditionalFormatting sqref="O13">
    <cfRule type="cellIs" priority="180" operator="greaterThan" aboveAverage="0" equalAverage="0" bottom="0" percent="0" rank="0" text="" dxfId="2">
      <formula>40</formula>
    </cfRule>
    <cfRule type="cellIs" priority="181" operator="greaterThan" aboveAverage="0" equalAverage="0" bottom="0" percent="0" rank="0" text="" dxfId="3">
      <formula>45</formula>
    </cfRule>
  </conditionalFormatting>
  <conditionalFormatting sqref="P13">
    <cfRule type="cellIs" priority="182" operator="greaterThan" aboveAverage="0" equalAverage="0" bottom="0" percent="0" rank="0" text="" dxfId="2">
      <formula>40</formula>
    </cfRule>
    <cfRule type="cellIs" priority="183" operator="greaterThan" aboveAverage="0" equalAverage="0" bottom="0" percent="0" rank="0" text="" dxfId="3">
      <formula>45</formula>
    </cfRule>
  </conditionalFormatting>
  <conditionalFormatting sqref="Q13">
    <cfRule type="cellIs" priority="184" operator="greaterThan" aboveAverage="0" equalAverage="0" bottom="0" percent="0" rank="0" text="" dxfId="2">
      <formula>40</formula>
    </cfRule>
    <cfRule type="cellIs" priority="185" operator="greaterThan" aboveAverage="0" equalAverage="0" bottom="0" percent="0" rank="0" text="" dxfId="3">
      <formula>45</formula>
    </cfRule>
  </conditionalFormatting>
  <conditionalFormatting sqref="R13">
    <cfRule type="cellIs" priority="186" operator="greaterThan" aboveAverage="0" equalAverage="0" bottom="0" percent="0" rank="0" text="" dxfId="2">
      <formula>40</formula>
    </cfRule>
    <cfRule type="cellIs" priority="187" operator="greaterThan" aboveAverage="0" equalAverage="0" bottom="0" percent="0" rank="0" text="" dxfId="3">
      <formula>45</formula>
    </cfRule>
  </conditionalFormatting>
  <conditionalFormatting sqref="S13">
    <cfRule type="cellIs" priority="188" operator="greaterThan" aboveAverage="0" equalAverage="0" bottom="0" percent="0" rank="0" text="" dxfId="2">
      <formula>40</formula>
    </cfRule>
    <cfRule type="cellIs" priority="189" operator="greaterThan" aboveAverage="0" equalAverage="0" bottom="0" percent="0" rank="0" text="" dxfId="3">
      <formula>45</formula>
    </cfRule>
  </conditionalFormatting>
  <conditionalFormatting sqref="T13">
    <cfRule type="cellIs" priority="190" operator="greaterThan" aboveAverage="0" equalAverage="0" bottom="0" percent="0" rank="0" text="" dxfId="2">
      <formula>40</formula>
    </cfRule>
    <cfRule type="cellIs" priority="191" operator="greaterThan" aboveAverage="0" equalAverage="0" bottom="0" percent="0" rank="0" text="" dxfId="3">
      <formula>45</formula>
    </cfRule>
  </conditionalFormatting>
  <conditionalFormatting sqref="U13">
    <cfRule type="cellIs" priority="192" operator="greaterThan" aboveAverage="0" equalAverage="0" bottom="0" percent="0" rank="0" text="" dxfId="2">
      <formula>40</formula>
    </cfRule>
    <cfRule type="cellIs" priority="193" operator="greaterThan" aboveAverage="0" equalAverage="0" bottom="0" percent="0" rank="0" text="" dxfId="3">
      <formula>45</formula>
    </cfRule>
  </conditionalFormatting>
  <conditionalFormatting sqref="V13">
    <cfRule type="cellIs" priority="194" operator="greaterThan" aboveAverage="0" equalAverage="0" bottom="0" percent="0" rank="0" text="" dxfId="2">
      <formula>40</formula>
    </cfRule>
    <cfRule type="cellIs" priority="195" operator="greaterThan" aboveAverage="0" equalAverage="0" bottom="0" percent="0" rank="0" text="" dxfId="3">
      <formula>45</formula>
    </cfRule>
  </conditionalFormatting>
  <conditionalFormatting sqref="W13">
    <cfRule type="cellIs" priority="196" operator="greaterThan" aboveAverage="0" equalAverage="0" bottom="0" percent="0" rank="0" text="" dxfId="2">
      <formula>40</formula>
    </cfRule>
    <cfRule type="cellIs" priority="197" operator="greaterThan" aboveAverage="0" equalAverage="0" bottom="0" percent="0" rank="0" text="" dxfId="3">
      <formula>45</formula>
    </cfRule>
  </conditionalFormatting>
  <conditionalFormatting sqref="X13">
    <cfRule type="cellIs" priority="198" operator="greaterThan" aboveAverage="0" equalAverage="0" bottom="0" percent="0" rank="0" text="" dxfId="2">
      <formula>55</formula>
    </cfRule>
    <cfRule type="cellIs" priority="199" operator="greaterThan" aboveAverage="0" equalAverage="0" bottom="0" percent="0" rank="0" text="" dxfId="3">
      <formula>65</formula>
    </cfRule>
  </conditionalFormatting>
  <conditionalFormatting sqref="Y13">
    <cfRule type="cellIs" priority="200" operator="greaterThan" aboveAverage="0" equalAverage="0" bottom="0" percent="0" rank="0" text="" dxfId="2">
      <formula>55</formula>
    </cfRule>
    <cfRule type="cellIs" priority="201" operator="greaterThan" aboveAverage="0" equalAverage="0" bottom="0" percent="0" rank="0" text="" dxfId="3">
      <formula>65</formula>
    </cfRule>
  </conditionalFormatting>
  <conditionalFormatting sqref="Z13">
    <cfRule type="cellIs" priority="202" operator="greaterThan" aboveAverage="0" equalAverage="0" bottom="0" percent="0" rank="0" text="" dxfId="2">
      <formula>55</formula>
    </cfRule>
    <cfRule type="cellIs" priority="203" operator="greaterThan" aboveAverage="0" equalAverage="0" bottom="0" percent="0" rank="0" text="" dxfId="3">
      <formula>65</formula>
    </cfRule>
  </conditionalFormatting>
  <conditionalFormatting sqref="AA13">
    <cfRule type="cellIs" priority="204" operator="greaterThan" aboveAverage="0" equalAverage="0" bottom="0" percent="0" rank="0" text="" dxfId="2">
      <formula>55</formula>
    </cfRule>
    <cfRule type="cellIs" priority="205" operator="greaterThan" aboveAverage="0" equalAverage="0" bottom="0" percent="0" rank="0" text="" dxfId="3">
      <formula>65</formula>
    </cfRule>
  </conditionalFormatting>
  <conditionalFormatting sqref="AB13">
    <cfRule type="cellIs" priority="206" operator="greaterThan" aboveAverage="0" equalAverage="0" bottom="0" percent="0" rank="0" text="" dxfId="2">
      <formula>55</formula>
    </cfRule>
    <cfRule type="cellIs" priority="207" operator="greaterThan" aboveAverage="0" equalAverage="0" bottom="0" percent="0" rank="0" text="" dxfId="3">
      <formula>65</formula>
    </cfRule>
  </conditionalFormatting>
  <conditionalFormatting sqref="AC13">
    <cfRule type="cellIs" priority="208" operator="greaterThan" aboveAverage="0" equalAverage="0" bottom="0" percent="0" rank="0" text="" dxfId="2">
      <formula>55</formula>
    </cfRule>
    <cfRule type="cellIs" priority="209" operator="greaterThan" aboveAverage="0" equalAverage="0" bottom="0" percent="0" rank="0" text="" dxfId="3">
      <formula>65</formula>
    </cfRule>
  </conditionalFormatting>
  <conditionalFormatting sqref="AD13">
    <cfRule type="cellIs" priority="210" operator="greaterThan" aboveAverage="0" equalAverage="0" bottom="0" percent="0" rank="0" text="" dxfId="2">
      <formula>55</formula>
    </cfRule>
    <cfRule type="cellIs" priority="211" operator="greaterThan" aboveAverage="0" equalAverage="0" bottom="0" percent="0" rank="0" text="" dxfId="3">
      <formula>65</formula>
    </cfRule>
  </conditionalFormatting>
  <conditionalFormatting sqref="AE13">
    <cfRule type="cellIs" priority="212" operator="greaterThan" aboveAverage="0" equalAverage="0" bottom="0" percent="0" rank="0" text="" dxfId="2">
      <formula>55</formula>
    </cfRule>
    <cfRule type="cellIs" priority="213" operator="greaterThan" aboveAverage="0" equalAverage="0" bottom="0" percent="0" rank="0" text="" dxfId="3">
      <formula>65</formula>
    </cfRule>
  </conditionalFormatting>
  <conditionalFormatting sqref="AF13">
    <cfRule type="cellIs" priority="214" operator="greaterThan" aboveAverage="0" equalAverage="0" bottom="0" percent="0" rank="0" text="" dxfId="2">
      <formula>40</formula>
    </cfRule>
    <cfRule type="cellIs" priority="215" operator="greaterThan" aboveAverage="0" equalAverage="0" bottom="0" percent="0" rank="0" text="" dxfId="3">
      <formula>45</formula>
    </cfRule>
  </conditionalFormatting>
  <conditionalFormatting sqref="AG13">
    <cfRule type="cellIs" priority="216" operator="greaterThan" aboveAverage="0" equalAverage="0" bottom="0" percent="0" rank="0" text="" dxfId="2">
      <formula>40</formula>
    </cfRule>
    <cfRule type="cellIs" priority="217" operator="greaterThan" aboveAverage="0" equalAverage="0" bottom="0" percent="0" rank="0" text="" dxfId="3">
      <formula>45</formula>
    </cfRule>
  </conditionalFormatting>
  <conditionalFormatting sqref="AH13">
    <cfRule type="cellIs" priority="218" operator="greaterThan" aboveAverage="0" equalAverage="0" bottom="0" percent="0" rank="0" text="" dxfId="2">
      <formula>40</formula>
    </cfRule>
    <cfRule type="cellIs" priority="219" operator="greaterThan" aboveAverage="0" equalAverage="0" bottom="0" percent="0" rank="0" text="" dxfId="3">
      <formula>45</formula>
    </cfRule>
  </conditionalFormatting>
  <conditionalFormatting sqref="AI13">
    <cfRule type="cellIs" priority="220" operator="greaterThan" aboveAverage="0" equalAverage="0" bottom="0" percent="0" rank="0" text="" dxfId="2">
      <formula>40</formula>
    </cfRule>
    <cfRule type="cellIs" priority="221" operator="greaterThan" aboveAverage="0" equalAverage="0" bottom="0" percent="0" rank="0" text="" dxfId="3">
      <formula>45</formula>
    </cfRule>
  </conditionalFormatting>
  <conditionalFormatting sqref="AJ13">
    <cfRule type="cellIs" priority="222" operator="greaterThan" aboveAverage="0" equalAverage="0" bottom="0" percent="0" rank="0" text="" dxfId="2">
      <formula>40</formula>
    </cfRule>
    <cfRule type="cellIs" priority="223" operator="greaterThan" aboveAverage="0" equalAverage="0" bottom="0" percent="0" rank="0" text="" dxfId="3">
      <formula>45</formula>
    </cfRule>
  </conditionalFormatting>
  <conditionalFormatting sqref="AK13">
    <cfRule type="cellIs" priority="224" operator="greaterThan" aboveAverage="0" equalAverage="0" bottom="0" percent="0" rank="0" text="" dxfId="2">
      <formula>40</formula>
    </cfRule>
    <cfRule type="cellIs" priority="225" operator="greaterThan" aboveAverage="0" equalAverage="0" bottom="0" percent="0" rank="0" text="" dxfId="3">
      <formula>45</formula>
    </cfRule>
  </conditionalFormatting>
  <conditionalFormatting sqref="AL13">
    <cfRule type="cellIs" priority="226" operator="greaterThan" aboveAverage="0" equalAverage="0" bottom="0" percent="0" rank="0" text="" dxfId="2">
      <formula>40</formula>
    </cfRule>
    <cfRule type="cellIs" priority="227" operator="greaterThan" aboveAverage="0" equalAverage="0" bottom="0" percent="0" rank="0" text="" dxfId="3">
      <formula>45</formula>
    </cfRule>
  </conditionalFormatting>
  <conditionalFormatting sqref="AM13">
    <cfRule type="cellIs" priority="228" operator="greaterThan" aboveAverage="0" equalAverage="0" bottom="0" percent="0" rank="0" text="" dxfId="2">
      <formula>40</formula>
    </cfRule>
    <cfRule type="cellIs" priority="229" operator="greaterThan" aboveAverage="0" equalAverage="0" bottom="0" percent="0" rank="0" text="" dxfId="3">
      <formula>45</formula>
    </cfRule>
  </conditionalFormatting>
  <conditionalFormatting sqref="AN13">
    <cfRule type="cellIs" priority="230" operator="greaterThan" aboveAverage="0" equalAverage="0" bottom="0" percent="0" rank="0" text="" dxfId="2">
      <formula>40</formula>
    </cfRule>
    <cfRule type="cellIs" priority="231" operator="greaterThan" aboveAverage="0" equalAverage="0" bottom="0" percent="0" rank="0" text="" dxfId="3">
      <formula>45</formula>
    </cfRule>
  </conditionalFormatting>
  <conditionalFormatting sqref="AO13">
    <cfRule type="cellIs" priority="232" operator="greaterThan" aboveAverage="0" equalAverage="0" bottom="0" percent="0" rank="0" text="" dxfId="2">
      <formula>40</formula>
    </cfRule>
    <cfRule type="cellIs" priority="233" operator="greaterThan" aboveAverage="0" equalAverage="0" bottom="0" percent="0" rank="0" text="" dxfId="3">
      <formula>45</formula>
    </cfRule>
  </conditionalFormatting>
  <conditionalFormatting sqref="AP13">
    <cfRule type="cellIs" priority="234" operator="greaterThan" aboveAverage="0" equalAverage="0" bottom="0" percent="0" rank="0" text="" dxfId="2">
      <formula>40</formula>
    </cfRule>
    <cfRule type="cellIs" priority="235" operator="greaterThan" aboveAverage="0" equalAverage="0" bottom="0" percent="0" rank="0" text="" dxfId="3">
      <formula>45</formula>
    </cfRule>
  </conditionalFormatting>
  <conditionalFormatting sqref="AQ13">
    <cfRule type="cellIs" priority="236" operator="greaterThan" aboveAverage="0" equalAverage="0" bottom="0" percent="0" rank="0" text="" dxfId="2">
      <formula>40</formula>
    </cfRule>
    <cfRule type="cellIs" priority="237" operator="greaterThan" aboveAverage="0" equalAverage="0" bottom="0" percent="0" rank="0" text="" dxfId="3">
      <formula>45</formula>
    </cfRule>
  </conditionalFormatting>
  <conditionalFormatting sqref="AR13">
    <cfRule type="cellIs" priority="238" operator="greaterThan" aboveAverage="0" equalAverage="0" bottom="0" percent="0" rank="0" text="" dxfId="2">
      <formula>40</formula>
    </cfRule>
    <cfRule type="cellIs" priority="239" operator="greaterThan" aboveAverage="0" equalAverage="0" bottom="0" percent="0" rank="0" text="" dxfId="3">
      <formula>45</formula>
    </cfRule>
  </conditionalFormatting>
  <conditionalFormatting sqref="AS13">
    <cfRule type="cellIs" priority="240" operator="greaterThan" aboveAverage="0" equalAverage="0" bottom="0" percent="0" rank="0" text="" dxfId="2">
      <formula>40</formula>
    </cfRule>
    <cfRule type="cellIs" priority="241" operator="greaterThan" aboveAverage="0" equalAverage="0" bottom="0" percent="0" rank="0" text="" dxfId="3">
      <formula>45</formula>
    </cfRule>
  </conditionalFormatting>
  <conditionalFormatting sqref="F23">
    <cfRule type="cellIs" priority="242" operator="greaterThan" aboveAverage="0" equalAverage="0" bottom="0" percent="0" rank="0" text="" dxfId="2">
      <formula>40</formula>
    </cfRule>
    <cfRule type="cellIs" priority="243" operator="greaterThan" aboveAverage="0" equalAverage="0" bottom="0" percent="0" rank="0" text="" dxfId="3">
      <formula>45</formula>
    </cfRule>
  </conditionalFormatting>
  <conditionalFormatting sqref="G23">
    <cfRule type="cellIs" priority="244" operator="greaterThan" aboveAverage="0" equalAverage="0" bottom="0" percent="0" rank="0" text="" dxfId="2">
      <formula>40</formula>
    </cfRule>
    <cfRule type="cellIs" priority="245" operator="greaterThan" aboveAverage="0" equalAverage="0" bottom="0" percent="0" rank="0" text="" dxfId="3">
      <formula>45</formula>
    </cfRule>
  </conditionalFormatting>
  <conditionalFormatting sqref="H23">
    <cfRule type="cellIs" priority="246" operator="greaterThan" aboveAverage="0" equalAverage="0" bottom="0" percent="0" rank="0" text="" dxfId="2">
      <formula>40</formula>
    </cfRule>
    <cfRule type="cellIs" priority="247" operator="greaterThan" aboveAverage="0" equalAverage="0" bottom="0" percent="0" rank="0" text="" dxfId="3">
      <formula>45</formula>
    </cfRule>
  </conditionalFormatting>
  <conditionalFormatting sqref="I23">
    <cfRule type="cellIs" priority="248" operator="greaterThan" aboveAverage="0" equalAverage="0" bottom="0" percent="0" rank="0" text="" dxfId="2">
      <formula>40</formula>
    </cfRule>
    <cfRule type="cellIs" priority="249" operator="greaterThan" aboveAverage="0" equalAverage="0" bottom="0" percent="0" rank="0" text="" dxfId="3">
      <formula>45</formula>
    </cfRule>
  </conditionalFormatting>
  <conditionalFormatting sqref="J23">
    <cfRule type="cellIs" priority="250" operator="greaterThan" aboveAverage="0" equalAverage="0" bottom="0" percent="0" rank="0" text="" dxfId="2">
      <formula>40</formula>
    </cfRule>
    <cfRule type="cellIs" priority="251" operator="greaterThan" aboveAverage="0" equalAverage="0" bottom="0" percent="0" rank="0" text="" dxfId="3">
      <formula>45</formula>
    </cfRule>
  </conditionalFormatting>
  <conditionalFormatting sqref="K23">
    <cfRule type="cellIs" priority="252" operator="greaterThan" aboveAverage="0" equalAverage="0" bottom="0" percent="0" rank="0" text="" dxfId="2">
      <formula>40</formula>
    </cfRule>
    <cfRule type="cellIs" priority="253" operator="greaterThan" aboveAverage="0" equalAverage="0" bottom="0" percent="0" rank="0" text="" dxfId="3">
      <formula>45</formula>
    </cfRule>
  </conditionalFormatting>
  <conditionalFormatting sqref="L23">
    <cfRule type="cellIs" priority="254" operator="greaterThan" aboveAverage="0" equalAverage="0" bottom="0" percent="0" rank="0" text="" dxfId="2">
      <formula>40</formula>
    </cfRule>
    <cfRule type="cellIs" priority="255" operator="greaterThan" aboveAverage="0" equalAverage="0" bottom="0" percent="0" rank="0" text="" dxfId="3">
      <formula>45</formula>
    </cfRule>
  </conditionalFormatting>
  <conditionalFormatting sqref="M23">
    <cfRule type="cellIs" priority="256" operator="greaterThan" aboveAverage="0" equalAverage="0" bottom="0" percent="0" rank="0" text="" dxfId="2">
      <formula>40</formula>
    </cfRule>
    <cfRule type="cellIs" priority="257" operator="greaterThan" aboveAverage="0" equalAverage="0" bottom="0" percent="0" rank="0" text="" dxfId="3">
      <formula>45</formula>
    </cfRule>
  </conditionalFormatting>
  <conditionalFormatting sqref="N23">
    <cfRule type="cellIs" priority="258" operator="greaterThan" aboveAverage="0" equalAverage="0" bottom="0" percent="0" rank="0" text="" dxfId="2">
      <formula>40</formula>
    </cfRule>
    <cfRule type="cellIs" priority="259" operator="greaterThan" aboveAverage="0" equalAverage="0" bottom="0" percent="0" rank="0" text="" dxfId="3">
      <formula>45</formula>
    </cfRule>
  </conditionalFormatting>
  <conditionalFormatting sqref="O23">
    <cfRule type="cellIs" priority="260" operator="greaterThan" aboveAverage="0" equalAverage="0" bottom="0" percent="0" rank="0" text="" dxfId="2">
      <formula>40</formula>
    </cfRule>
    <cfRule type="cellIs" priority="261" operator="greaterThan" aboveAverage="0" equalAverage="0" bottom="0" percent="0" rank="0" text="" dxfId="3">
      <formula>45</formula>
    </cfRule>
  </conditionalFormatting>
  <conditionalFormatting sqref="P23">
    <cfRule type="cellIs" priority="262" operator="greaterThan" aboveAverage="0" equalAverage="0" bottom="0" percent="0" rank="0" text="" dxfId="2">
      <formula>40</formula>
    </cfRule>
    <cfRule type="cellIs" priority="263" operator="greaterThan" aboveAverage="0" equalAverage="0" bottom="0" percent="0" rank="0" text="" dxfId="3">
      <formula>45</formula>
    </cfRule>
  </conditionalFormatting>
  <conditionalFormatting sqref="Q23">
    <cfRule type="cellIs" priority="264" operator="greaterThan" aboveAverage="0" equalAverage="0" bottom="0" percent="0" rank="0" text="" dxfId="2">
      <formula>40</formula>
    </cfRule>
    <cfRule type="cellIs" priority="265" operator="greaterThan" aboveAverage="0" equalAverage="0" bottom="0" percent="0" rank="0" text="" dxfId="3">
      <formula>45</formula>
    </cfRule>
  </conditionalFormatting>
  <conditionalFormatting sqref="R23">
    <cfRule type="cellIs" priority="266" operator="greaterThan" aboveAverage="0" equalAverage="0" bottom="0" percent="0" rank="0" text="" dxfId="2">
      <formula>40</formula>
    </cfRule>
    <cfRule type="cellIs" priority="267" operator="greaterThan" aboveAverage="0" equalAverage="0" bottom="0" percent="0" rank="0" text="" dxfId="3">
      <formula>45</formula>
    </cfRule>
  </conditionalFormatting>
  <conditionalFormatting sqref="S23">
    <cfRule type="cellIs" priority="268" operator="greaterThan" aboveAverage="0" equalAverage="0" bottom="0" percent="0" rank="0" text="" dxfId="2">
      <formula>40</formula>
    </cfRule>
    <cfRule type="cellIs" priority="269" operator="greaterThan" aboveAverage="0" equalAverage="0" bottom="0" percent="0" rank="0" text="" dxfId="3">
      <formula>45</formula>
    </cfRule>
  </conditionalFormatting>
  <conditionalFormatting sqref="T23">
    <cfRule type="cellIs" priority="270" operator="greaterThan" aboveAverage="0" equalAverage="0" bottom="0" percent="0" rank="0" text="" dxfId="2">
      <formula>40</formula>
    </cfRule>
    <cfRule type="cellIs" priority="271" operator="greaterThan" aboveAverage="0" equalAverage="0" bottom="0" percent="0" rank="0" text="" dxfId="3">
      <formula>45</formula>
    </cfRule>
  </conditionalFormatting>
  <conditionalFormatting sqref="U23">
    <cfRule type="cellIs" priority="272" operator="greaterThan" aboveAverage="0" equalAverage="0" bottom="0" percent="0" rank="0" text="" dxfId="2">
      <formula>40</formula>
    </cfRule>
    <cfRule type="cellIs" priority="273" operator="greaterThan" aboveAverage="0" equalAverage="0" bottom="0" percent="0" rank="0" text="" dxfId="3">
      <formula>45</formula>
    </cfRule>
  </conditionalFormatting>
  <conditionalFormatting sqref="V23">
    <cfRule type="cellIs" priority="274" operator="greaterThan" aboveAverage="0" equalAverage="0" bottom="0" percent="0" rank="0" text="" dxfId="2">
      <formula>40</formula>
    </cfRule>
    <cfRule type="cellIs" priority="275" operator="greaterThan" aboveAverage="0" equalAverage="0" bottom="0" percent="0" rank="0" text="" dxfId="3">
      <formula>45</formula>
    </cfRule>
  </conditionalFormatting>
  <conditionalFormatting sqref="W23">
    <cfRule type="cellIs" priority="276" operator="greaterThan" aboveAverage="0" equalAverage="0" bottom="0" percent="0" rank="0" text="" dxfId="2">
      <formula>40</formula>
    </cfRule>
    <cfRule type="cellIs" priority="277" operator="greaterThan" aboveAverage="0" equalAverage="0" bottom="0" percent="0" rank="0" text="" dxfId="3">
      <formula>45</formula>
    </cfRule>
  </conditionalFormatting>
  <conditionalFormatting sqref="X23">
    <cfRule type="cellIs" priority="278" operator="greaterThan" aboveAverage="0" equalAverage="0" bottom="0" percent="0" rank="0" text="" dxfId="2">
      <formula>55</formula>
    </cfRule>
    <cfRule type="cellIs" priority="279" operator="greaterThan" aboveAverage="0" equalAverage="0" bottom="0" percent="0" rank="0" text="" dxfId="3">
      <formula>65</formula>
    </cfRule>
  </conditionalFormatting>
  <conditionalFormatting sqref="Y23">
    <cfRule type="cellIs" priority="280" operator="greaterThan" aboveAverage="0" equalAverage="0" bottom="0" percent="0" rank="0" text="" dxfId="2">
      <formula>55</formula>
    </cfRule>
    <cfRule type="cellIs" priority="281" operator="greaterThan" aboveAverage="0" equalAverage="0" bottom="0" percent="0" rank="0" text="" dxfId="3">
      <formula>65</formula>
    </cfRule>
  </conditionalFormatting>
  <conditionalFormatting sqref="Z23">
    <cfRule type="cellIs" priority="282" operator="greaterThan" aboveAverage="0" equalAverage="0" bottom="0" percent="0" rank="0" text="" dxfId="2">
      <formula>55</formula>
    </cfRule>
    <cfRule type="cellIs" priority="283" operator="greaterThan" aboveAverage="0" equalAverage="0" bottom="0" percent="0" rank="0" text="" dxfId="3">
      <formula>65</formula>
    </cfRule>
  </conditionalFormatting>
  <conditionalFormatting sqref="AA23">
    <cfRule type="cellIs" priority="284" operator="greaterThan" aboveAverage="0" equalAverage="0" bottom="0" percent="0" rank="0" text="" dxfId="2">
      <formula>55</formula>
    </cfRule>
    <cfRule type="cellIs" priority="285" operator="greaterThan" aboveAverage="0" equalAverage="0" bottom="0" percent="0" rank="0" text="" dxfId="3">
      <formula>65</formula>
    </cfRule>
  </conditionalFormatting>
  <conditionalFormatting sqref="AB23">
    <cfRule type="cellIs" priority="286" operator="greaterThan" aboveAverage="0" equalAverage="0" bottom="0" percent="0" rank="0" text="" dxfId="2">
      <formula>55</formula>
    </cfRule>
    <cfRule type="cellIs" priority="287" operator="greaterThan" aboveAverage="0" equalAverage="0" bottom="0" percent="0" rank="0" text="" dxfId="3">
      <formula>65</formula>
    </cfRule>
  </conditionalFormatting>
  <conditionalFormatting sqref="AC23">
    <cfRule type="cellIs" priority="288" operator="greaterThan" aboveAverage="0" equalAverage="0" bottom="0" percent="0" rank="0" text="" dxfId="2">
      <formula>55</formula>
    </cfRule>
    <cfRule type="cellIs" priority="289" operator="greaterThan" aboveAverage="0" equalAverage="0" bottom="0" percent="0" rank="0" text="" dxfId="3">
      <formula>65</formula>
    </cfRule>
  </conditionalFormatting>
  <conditionalFormatting sqref="AD23">
    <cfRule type="cellIs" priority="290" operator="greaterThan" aboveAverage="0" equalAverage="0" bottom="0" percent="0" rank="0" text="" dxfId="2">
      <formula>55</formula>
    </cfRule>
    <cfRule type="cellIs" priority="291" operator="greaterThan" aboveAverage="0" equalAverage="0" bottom="0" percent="0" rank="0" text="" dxfId="3">
      <formula>65</formula>
    </cfRule>
  </conditionalFormatting>
  <conditionalFormatting sqref="AE23">
    <cfRule type="cellIs" priority="292" operator="greaterThan" aboveAverage="0" equalAverage="0" bottom="0" percent="0" rank="0" text="" dxfId="2">
      <formula>55</formula>
    </cfRule>
    <cfRule type="cellIs" priority="293" operator="greaterThan" aboveAverage="0" equalAverage="0" bottom="0" percent="0" rank="0" text="" dxfId="3">
      <formula>65</formula>
    </cfRule>
  </conditionalFormatting>
  <conditionalFormatting sqref="AF23">
    <cfRule type="cellIs" priority="294" operator="greaterThan" aboveAverage="0" equalAverage="0" bottom="0" percent="0" rank="0" text="" dxfId="2">
      <formula>40</formula>
    </cfRule>
    <cfRule type="cellIs" priority="295" operator="greaterThan" aboveAverage="0" equalAverage="0" bottom="0" percent="0" rank="0" text="" dxfId="3">
      <formula>45</formula>
    </cfRule>
  </conditionalFormatting>
  <conditionalFormatting sqref="AG23">
    <cfRule type="cellIs" priority="296" operator="greaterThan" aboveAverage="0" equalAverage="0" bottom="0" percent="0" rank="0" text="" dxfId="2">
      <formula>40</formula>
    </cfRule>
    <cfRule type="cellIs" priority="297" operator="greaterThan" aboveAverage="0" equalAverage="0" bottom="0" percent="0" rank="0" text="" dxfId="3">
      <formula>45</formula>
    </cfRule>
  </conditionalFormatting>
  <conditionalFormatting sqref="AH23">
    <cfRule type="cellIs" priority="298" operator="greaterThan" aboveAverage="0" equalAverage="0" bottom="0" percent="0" rank="0" text="" dxfId="2">
      <formula>40</formula>
    </cfRule>
    <cfRule type="cellIs" priority="299" operator="greaterThan" aboveAverage="0" equalAverage="0" bottom="0" percent="0" rank="0" text="" dxfId="3">
      <formula>45</formula>
    </cfRule>
  </conditionalFormatting>
  <conditionalFormatting sqref="AI23">
    <cfRule type="cellIs" priority="300" operator="greaterThan" aboveAverage="0" equalAverage="0" bottom="0" percent="0" rank="0" text="" dxfId="2">
      <formula>40</formula>
    </cfRule>
    <cfRule type="cellIs" priority="301" operator="greaterThan" aboveAverage="0" equalAverage="0" bottom="0" percent="0" rank="0" text="" dxfId="3">
      <formula>45</formula>
    </cfRule>
  </conditionalFormatting>
  <conditionalFormatting sqref="AJ23">
    <cfRule type="cellIs" priority="302" operator="greaterThan" aboveAverage="0" equalAverage="0" bottom="0" percent="0" rank="0" text="" dxfId="2">
      <formula>40</formula>
    </cfRule>
    <cfRule type="cellIs" priority="303" operator="greaterThan" aboveAverage="0" equalAverage="0" bottom="0" percent="0" rank="0" text="" dxfId="3">
      <formula>45</formula>
    </cfRule>
  </conditionalFormatting>
  <conditionalFormatting sqref="AK23">
    <cfRule type="cellIs" priority="304" operator="greaterThan" aboveAverage="0" equalAverage="0" bottom="0" percent="0" rank="0" text="" dxfId="2">
      <formula>40</formula>
    </cfRule>
    <cfRule type="cellIs" priority="305" operator="greaterThan" aboveAverage="0" equalAverage="0" bottom="0" percent="0" rank="0" text="" dxfId="3">
      <formula>45</formula>
    </cfRule>
  </conditionalFormatting>
  <conditionalFormatting sqref="AL23">
    <cfRule type="cellIs" priority="306" operator="greaterThan" aboveAverage="0" equalAverage="0" bottom="0" percent="0" rank="0" text="" dxfId="2">
      <formula>40</formula>
    </cfRule>
    <cfRule type="cellIs" priority="307" operator="greaterThan" aboveAverage="0" equalAverage="0" bottom="0" percent="0" rank="0" text="" dxfId="3">
      <formula>45</formula>
    </cfRule>
  </conditionalFormatting>
  <conditionalFormatting sqref="AM23">
    <cfRule type="cellIs" priority="308" operator="greaterThan" aboveAverage="0" equalAverage="0" bottom="0" percent="0" rank="0" text="" dxfId="2">
      <formula>40</formula>
    </cfRule>
    <cfRule type="cellIs" priority="309" operator="greaterThan" aboveAverage="0" equalAverage="0" bottom="0" percent="0" rank="0" text="" dxfId="3">
      <formula>45</formula>
    </cfRule>
  </conditionalFormatting>
  <conditionalFormatting sqref="AN23">
    <cfRule type="cellIs" priority="310" operator="greaterThan" aboveAverage="0" equalAverage="0" bottom="0" percent="0" rank="0" text="" dxfId="2">
      <formula>40</formula>
    </cfRule>
    <cfRule type="cellIs" priority="311" operator="greaterThan" aboveAverage="0" equalAverage="0" bottom="0" percent="0" rank="0" text="" dxfId="3">
      <formula>45</formula>
    </cfRule>
  </conditionalFormatting>
  <conditionalFormatting sqref="AO23">
    <cfRule type="cellIs" priority="312" operator="greaterThan" aboveAverage="0" equalAverage="0" bottom="0" percent="0" rank="0" text="" dxfId="2">
      <formula>40</formula>
    </cfRule>
    <cfRule type="cellIs" priority="313" operator="greaterThan" aboveAverage="0" equalAverage="0" bottom="0" percent="0" rank="0" text="" dxfId="3">
      <formula>45</formula>
    </cfRule>
  </conditionalFormatting>
  <conditionalFormatting sqref="AP23">
    <cfRule type="cellIs" priority="314" operator="greaterThan" aboveAverage="0" equalAverage="0" bottom="0" percent="0" rank="0" text="" dxfId="2">
      <formula>40</formula>
    </cfRule>
    <cfRule type="cellIs" priority="315" operator="greaterThan" aboveAverage="0" equalAverage="0" bottom="0" percent="0" rank="0" text="" dxfId="3">
      <formula>45</formula>
    </cfRule>
  </conditionalFormatting>
  <conditionalFormatting sqref="AQ23">
    <cfRule type="cellIs" priority="316" operator="greaterThan" aboveAverage="0" equalAverage="0" bottom="0" percent="0" rank="0" text="" dxfId="2">
      <formula>40</formula>
    </cfRule>
    <cfRule type="cellIs" priority="317" operator="greaterThan" aboveAverage="0" equalAverage="0" bottom="0" percent="0" rank="0" text="" dxfId="3">
      <formula>45</formula>
    </cfRule>
  </conditionalFormatting>
  <conditionalFormatting sqref="AR23">
    <cfRule type="cellIs" priority="318" operator="greaterThan" aboveAverage="0" equalAverage="0" bottom="0" percent="0" rank="0" text="" dxfId="2">
      <formula>40</formula>
    </cfRule>
    <cfRule type="cellIs" priority="319" operator="greaterThan" aboveAverage="0" equalAverage="0" bottom="0" percent="0" rank="0" text="" dxfId="3">
      <formula>45</formula>
    </cfRule>
  </conditionalFormatting>
  <conditionalFormatting sqref="AS23">
    <cfRule type="cellIs" priority="320" operator="greaterThan" aboveAverage="0" equalAverage="0" bottom="0" percent="0" rank="0" text="" dxfId="2">
      <formula>40</formula>
    </cfRule>
    <cfRule type="cellIs" priority="321" operator="greaterThan" aboveAverage="0" equalAverage="0" bottom="0" percent="0" rank="0" text="" dxfId="3">
      <formula>45</formula>
    </cfRule>
  </conditionalFormatting>
  <conditionalFormatting sqref="F33">
    <cfRule type="cellIs" priority="322" operator="greaterThan" aboveAverage="0" equalAverage="0" bottom="0" percent="0" rank="0" text="" dxfId="2">
      <formula>40</formula>
    </cfRule>
    <cfRule type="cellIs" priority="323" operator="greaterThan" aboveAverage="0" equalAverage="0" bottom="0" percent="0" rank="0" text="" dxfId="3">
      <formula>45</formula>
    </cfRule>
  </conditionalFormatting>
  <conditionalFormatting sqref="G33">
    <cfRule type="cellIs" priority="324" operator="greaterThan" aboveAverage="0" equalAverage="0" bottom="0" percent="0" rank="0" text="" dxfId="2">
      <formula>40</formula>
    </cfRule>
    <cfRule type="cellIs" priority="325" operator="greaterThan" aboveAverage="0" equalAverage="0" bottom="0" percent="0" rank="0" text="" dxfId="3">
      <formula>45</formula>
    </cfRule>
  </conditionalFormatting>
  <conditionalFormatting sqref="H33">
    <cfRule type="cellIs" priority="326" operator="greaterThan" aboveAverage="0" equalAverage="0" bottom="0" percent="0" rank="0" text="" dxfId="2">
      <formula>40</formula>
    </cfRule>
    <cfRule type="cellIs" priority="327" operator="greaterThan" aboveAverage="0" equalAverage="0" bottom="0" percent="0" rank="0" text="" dxfId="3">
      <formula>45</formula>
    </cfRule>
  </conditionalFormatting>
  <conditionalFormatting sqref="I33">
    <cfRule type="cellIs" priority="328" operator="greaterThan" aboveAverage="0" equalAverage="0" bottom="0" percent="0" rank="0" text="" dxfId="2">
      <formula>40</formula>
    </cfRule>
    <cfRule type="cellIs" priority="329" operator="greaterThan" aboveAverage="0" equalAverage="0" bottom="0" percent="0" rank="0" text="" dxfId="3">
      <formula>45</formula>
    </cfRule>
  </conditionalFormatting>
  <conditionalFormatting sqref="J33">
    <cfRule type="cellIs" priority="330" operator="greaterThan" aboveAverage="0" equalAverage="0" bottom="0" percent="0" rank="0" text="" dxfId="2">
      <formula>40</formula>
    </cfRule>
    <cfRule type="cellIs" priority="331" operator="greaterThan" aboveAverage="0" equalAverage="0" bottom="0" percent="0" rank="0" text="" dxfId="3">
      <formula>45</formula>
    </cfRule>
  </conditionalFormatting>
  <conditionalFormatting sqref="K33">
    <cfRule type="cellIs" priority="332" operator="greaterThan" aboveAverage="0" equalAverage="0" bottom="0" percent="0" rank="0" text="" dxfId="2">
      <formula>40</formula>
    </cfRule>
    <cfRule type="cellIs" priority="333" operator="greaterThan" aboveAverage="0" equalAverage="0" bottom="0" percent="0" rank="0" text="" dxfId="3">
      <formula>45</formula>
    </cfRule>
  </conditionalFormatting>
  <conditionalFormatting sqref="L33">
    <cfRule type="cellIs" priority="334" operator="greaterThan" aboveAverage="0" equalAverage="0" bottom="0" percent="0" rank="0" text="" dxfId="2">
      <formula>40</formula>
    </cfRule>
    <cfRule type="cellIs" priority="335" operator="greaterThan" aboveAverage="0" equalAverage="0" bottom="0" percent="0" rank="0" text="" dxfId="3">
      <formula>45</formula>
    </cfRule>
  </conditionalFormatting>
  <conditionalFormatting sqref="M33">
    <cfRule type="cellIs" priority="336" operator="greaterThan" aboveAverage="0" equalAverage="0" bottom="0" percent="0" rank="0" text="" dxfId="2">
      <formula>40</formula>
    </cfRule>
    <cfRule type="cellIs" priority="337" operator="greaterThan" aboveAverage="0" equalAverage="0" bottom="0" percent="0" rank="0" text="" dxfId="3">
      <formula>45</formula>
    </cfRule>
  </conditionalFormatting>
  <conditionalFormatting sqref="N33">
    <cfRule type="cellIs" priority="338" operator="greaterThan" aboveAverage="0" equalAverage="0" bottom="0" percent="0" rank="0" text="" dxfId="2">
      <formula>40</formula>
    </cfRule>
    <cfRule type="cellIs" priority="339" operator="greaterThan" aboveAverage="0" equalAverage="0" bottom="0" percent="0" rank="0" text="" dxfId="3">
      <formula>45</formula>
    </cfRule>
  </conditionalFormatting>
  <conditionalFormatting sqref="O33">
    <cfRule type="cellIs" priority="340" operator="greaterThan" aboveAverage="0" equalAverage="0" bottom="0" percent="0" rank="0" text="" dxfId="2">
      <formula>40</formula>
    </cfRule>
    <cfRule type="cellIs" priority="341" operator="greaterThan" aboveAverage="0" equalAverage="0" bottom="0" percent="0" rank="0" text="" dxfId="3">
      <formula>45</formula>
    </cfRule>
  </conditionalFormatting>
  <conditionalFormatting sqref="P33">
    <cfRule type="cellIs" priority="342" operator="greaterThan" aboveAverage="0" equalAverage="0" bottom="0" percent="0" rank="0" text="" dxfId="2">
      <formula>40</formula>
    </cfRule>
    <cfRule type="cellIs" priority="343" operator="greaterThan" aboveAverage="0" equalAverage="0" bottom="0" percent="0" rank="0" text="" dxfId="3">
      <formula>45</formula>
    </cfRule>
  </conditionalFormatting>
  <conditionalFormatting sqref="Q33">
    <cfRule type="cellIs" priority="344" operator="greaterThan" aboveAverage="0" equalAverage="0" bottom="0" percent="0" rank="0" text="" dxfId="2">
      <formula>40</formula>
    </cfRule>
    <cfRule type="cellIs" priority="345" operator="greaterThan" aboveAverage="0" equalAverage="0" bottom="0" percent="0" rank="0" text="" dxfId="3">
      <formula>45</formula>
    </cfRule>
  </conditionalFormatting>
  <conditionalFormatting sqref="R33">
    <cfRule type="cellIs" priority="346" operator="greaterThan" aboveAverage="0" equalAverage="0" bottom="0" percent="0" rank="0" text="" dxfId="2">
      <formula>40</formula>
    </cfRule>
    <cfRule type="cellIs" priority="347" operator="greaterThan" aboveAverage="0" equalAverage="0" bottom="0" percent="0" rank="0" text="" dxfId="3">
      <formula>45</formula>
    </cfRule>
  </conditionalFormatting>
  <conditionalFormatting sqref="S33">
    <cfRule type="cellIs" priority="348" operator="greaterThan" aboveAverage="0" equalAverage="0" bottom="0" percent="0" rank="0" text="" dxfId="2">
      <formula>40</formula>
    </cfRule>
    <cfRule type="cellIs" priority="349" operator="greaterThan" aboveAverage="0" equalAverage="0" bottom="0" percent="0" rank="0" text="" dxfId="3">
      <formula>45</formula>
    </cfRule>
  </conditionalFormatting>
  <conditionalFormatting sqref="T33">
    <cfRule type="cellIs" priority="350" operator="greaterThan" aboveAverage="0" equalAverage="0" bottom="0" percent="0" rank="0" text="" dxfId="2">
      <formula>40</formula>
    </cfRule>
    <cfRule type="cellIs" priority="351" operator="greaterThan" aboveAverage="0" equalAverage="0" bottom="0" percent="0" rank="0" text="" dxfId="3">
      <formula>45</formula>
    </cfRule>
  </conditionalFormatting>
  <conditionalFormatting sqref="U33">
    <cfRule type="cellIs" priority="352" operator="greaterThan" aboveAverage="0" equalAverage="0" bottom="0" percent="0" rank="0" text="" dxfId="2">
      <formula>40</formula>
    </cfRule>
    <cfRule type="cellIs" priority="353" operator="greaterThan" aboveAverage="0" equalAverage="0" bottom="0" percent="0" rank="0" text="" dxfId="3">
      <formula>45</formula>
    </cfRule>
  </conditionalFormatting>
  <conditionalFormatting sqref="V33">
    <cfRule type="cellIs" priority="354" operator="greaterThan" aboveAverage="0" equalAverage="0" bottom="0" percent="0" rank="0" text="" dxfId="2">
      <formula>40</formula>
    </cfRule>
    <cfRule type="cellIs" priority="355" operator="greaterThan" aboveAverage="0" equalAverage="0" bottom="0" percent="0" rank="0" text="" dxfId="3">
      <formula>45</formula>
    </cfRule>
  </conditionalFormatting>
  <conditionalFormatting sqref="W33">
    <cfRule type="cellIs" priority="356" operator="greaterThan" aboveAverage="0" equalAverage="0" bottom="0" percent="0" rank="0" text="" dxfId="2">
      <formula>40</formula>
    </cfRule>
    <cfRule type="cellIs" priority="357" operator="greaterThan" aboveAverage="0" equalAverage="0" bottom="0" percent="0" rank="0" text="" dxfId="3">
      <formula>45</formula>
    </cfRule>
  </conditionalFormatting>
  <conditionalFormatting sqref="X33">
    <cfRule type="cellIs" priority="358" operator="greaterThan" aboveAverage="0" equalAverage="0" bottom="0" percent="0" rank="0" text="" dxfId="2">
      <formula>55</formula>
    </cfRule>
    <cfRule type="cellIs" priority="359" operator="greaterThan" aboveAverage="0" equalAverage="0" bottom="0" percent="0" rank="0" text="" dxfId="3">
      <formula>65</formula>
    </cfRule>
  </conditionalFormatting>
  <conditionalFormatting sqref="Y33">
    <cfRule type="cellIs" priority="360" operator="greaterThan" aboveAverage="0" equalAverage="0" bottom="0" percent="0" rank="0" text="" dxfId="2">
      <formula>55</formula>
    </cfRule>
    <cfRule type="cellIs" priority="361" operator="greaterThan" aboveAverage="0" equalAverage="0" bottom="0" percent="0" rank="0" text="" dxfId="3">
      <formula>65</formula>
    </cfRule>
  </conditionalFormatting>
  <conditionalFormatting sqref="Z33">
    <cfRule type="cellIs" priority="362" operator="greaterThan" aboveAverage="0" equalAverage="0" bottom="0" percent="0" rank="0" text="" dxfId="2">
      <formula>55</formula>
    </cfRule>
    <cfRule type="cellIs" priority="363" operator="greaterThan" aboveAverage="0" equalAverage="0" bottom="0" percent="0" rank="0" text="" dxfId="3">
      <formula>65</formula>
    </cfRule>
  </conditionalFormatting>
  <conditionalFormatting sqref="AA33">
    <cfRule type="cellIs" priority="364" operator="greaterThan" aboveAverage="0" equalAverage="0" bottom="0" percent="0" rank="0" text="" dxfId="2">
      <formula>55</formula>
    </cfRule>
    <cfRule type="cellIs" priority="365" operator="greaterThan" aboveAverage="0" equalAverage="0" bottom="0" percent="0" rank="0" text="" dxfId="3">
      <formula>65</formula>
    </cfRule>
  </conditionalFormatting>
  <conditionalFormatting sqref="AB33">
    <cfRule type="cellIs" priority="366" operator="greaterThan" aboveAverage="0" equalAverage="0" bottom="0" percent="0" rank="0" text="" dxfId="2">
      <formula>55</formula>
    </cfRule>
    <cfRule type="cellIs" priority="367" operator="greaterThan" aboveAverage="0" equalAverage="0" bottom="0" percent="0" rank="0" text="" dxfId="3">
      <formula>65</formula>
    </cfRule>
  </conditionalFormatting>
  <conditionalFormatting sqref="AC33">
    <cfRule type="cellIs" priority="368" operator="greaterThan" aboveAverage="0" equalAverage="0" bottom="0" percent="0" rank="0" text="" dxfId="2">
      <formula>55</formula>
    </cfRule>
    <cfRule type="cellIs" priority="369" operator="greaterThan" aboveAverage="0" equalAverage="0" bottom="0" percent="0" rank="0" text="" dxfId="3">
      <formula>65</formula>
    </cfRule>
  </conditionalFormatting>
  <conditionalFormatting sqref="AD33">
    <cfRule type="cellIs" priority="370" operator="greaterThan" aboveAverage="0" equalAverage="0" bottom="0" percent="0" rank="0" text="" dxfId="2">
      <formula>55</formula>
    </cfRule>
    <cfRule type="cellIs" priority="371" operator="greaterThan" aboveAverage="0" equalAverage="0" bottom="0" percent="0" rank="0" text="" dxfId="3">
      <formula>65</formula>
    </cfRule>
  </conditionalFormatting>
  <conditionalFormatting sqref="AE33">
    <cfRule type="cellIs" priority="372" operator="greaterThan" aboveAverage="0" equalAverage="0" bottom="0" percent="0" rank="0" text="" dxfId="2">
      <formula>55</formula>
    </cfRule>
    <cfRule type="cellIs" priority="373" operator="greaterThan" aboveAverage="0" equalAverage="0" bottom="0" percent="0" rank="0" text="" dxfId="3">
      <formula>65</formula>
    </cfRule>
  </conditionalFormatting>
  <conditionalFormatting sqref="AF33">
    <cfRule type="cellIs" priority="374" operator="greaterThan" aboveAverage="0" equalAverage="0" bottom="0" percent="0" rank="0" text="" dxfId="2">
      <formula>40</formula>
    </cfRule>
    <cfRule type="cellIs" priority="375" operator="greaterThan" aboveAverage="0" equalAverage="0" bottom="0" percent="0" rank="0" text="" dxfId="3">
      <formula>45</formula>
    </cfRule>
  </conditionalFormatting>
  <conditionalFormatting sqref="AG33">
    <cfRule type="cellIs" priority="376" operator="greaterThan" aboveAverage="0" equalAverage="0" bottom="0" percent="0" rank="0" text="" dxfId="2">
      <formula>40</formula>
    </cfRule>
    <cfRule type="cellIs" priority="377" operator="greaterThan" aboveAverage="0" equalAverage="0" bottom="0" percent="0" rank="0" text="" dxfId="3">
      <formula>45</formula>
    </cfRule>
  </conditionalFormatting>
  <conditionalFormatting sqref="AH33">
    <cfRule type="cellIs" priority="378" operator="greaterThan" aboveAverage="0" equalAverage="0" bottom="0" percent="0" rank="0" text="" dxfId="2">
      <formula>40</formula>
    </cfRule>
    <cfRule type="cellIs" priority="379" operator="greaterThan" aboveAverage="0" equalAverage="0" bottom="0" percent="0" rank="0" text="" dxfId="3">
      <formula>45</formula>
    </cfRule>
  </conditionalFormatting>
  <conditionalFormatting sqref="AI33">
    <cfRule type="cellIs" priority="380" operator="greaterThan" aboveAverage="0" equalAverage="0" bottom="0" percent="0" rank="0" text="" dxfId="2">
      <formula>40</formula>
    </cfRule>
    <cfRule type="cellIs" priority="381" operator="greaterThan" aboveAverage="0" equalAverage="0" bottom="0" percent="0" rank="0" text="" dxfId="3">
      <formula>45</formula>
    </cfRule>
  </conditionalFormatting>
  <conditionalFormatting sqref="AJ33">
    <cfRule type="cellIs" priority="382" operator="greaterThan" aboveAverage="0" equalAverage="0" bottom="0" percent="0" rank="0" text="" dxfId="2">
      <formula>40</formula>
    </cfRule>
    <cfRule type="cellIs" priority="383" operator="greaterThan" aboveAverage="0" equalAverage="0" bottom="0" percent="0" rank="0" text="" dxfId="3">
      <formula>45</formula>
    </cfRule>
  </conditionalFormatting>
  <conditionalFormatting sqref="AK33">
    <cfRule type="cellIs" priority="384" operator="greaterThan" aboveAverage="0" equalAverage="0" bottom="0" percent="0" rank="0" text="" dxfId="2">
      <formula>40</formula>
    </cfRule>
    <cfRule type="cellIs" priority="385" operator="greaterThan" aboveAverage="0" equalAverage="0" bottom="0" percent="0" rank="0" text="" dxfId="3">
      <formula>45</formula>
    </cfRule>
  </conditionalFormatting>
  <conditionalFormatting sqref="AL33">
    <cfRule type="cellIs" priority="386" operator="greaterThan" aboveAverage="0" equalAverage="0" bottom="0" percent="0" rank="0" text="" dxfId="2">
      <formula>40</formula>
    </cfRule>
    <cfRule type="cellIs" priority="387" operator="greaterThan" aboveAverage="0" equalAverage="0" bottom="0" percent="0" rank="0" text="" dxfId="3">
      <formula>45</formula>
    </cfRule>
  </conditionalFormatting>
  <conditionalFormatting sqref="AM33">
    <cfRule type="cellIs" priority="388" operator="greaterThan" aboveAverage="0" equalAverage="0" bottom="0" percent="0" rank="0" text="" dxfId="2">
      <formula>40</formula>
    </cfRule>
    <cfRule type="cellIs" priority="389" operator="greaterThan" aboveAverage="0" equalAverage="0" bottom="0" percent="0" rank="0" text="" dxfId="3">
      <formula>45</formula>
    </cfRule>
  </conditionalFormatting>
  <conditionalFormatting sqref="AN33">
    <cfRule type="cellIs" priority="390" operator="greaterThan" aboveAverage="0" equalAverage="0" bottom="0" percent="0" rank="0" text="" dxfId="2">
      <formula>40</formula>
    </cfRule>
    <cfRule type="cellIs" priority="391" operator="greaterThan" aboveAverage="0" equalAverage="0" bottom="0" percent="0" rank="0" text="" dxfId="3">
      <formula>45</formula>
    </cfRule>
  </conditionalFormatting>
  <conditionalFormatting sqref="AO33">
    <cfRule type="cellIs" priority="392" operator="greaterThan" aboveAverage="0" equalAverage="0" bottom="0" percent="0" rank="0" text="" dxfId="2">
      <formula>40</formula>
    </cfRule>
    <cfRule type="cellIs" priority="393" operator="greaterThan" aboveAverage="0" equalAverage="0" bottom="0" percent="0" rank="0" text="" dxfId="3">
      <formula>45</formula>
    </cfRule>
  </conditionalFormatting>
  <conditionalFormatting sqref="AP33">
    <cfRule type="cellIs" priority="394" operator="greaterThan" aboveAverage="0" equalAverage="0" bottom="0" percent="0" rank="0" text="" dxfId="2">
      <formula>40</formula>
    </cfRule>
    <cfRule type="cellIs" priority="395" operator="greaterThan" aboveAverage="0" equalAverage="0" bottom="0" percent="0" rank="0" text="" dxfId="3">
      <formula>45</formula>
    </cfRule>
  </conditionalFormatting>
  <conditionalFormatting sqref="AQ33">
    <cfRule type="cellIs" priority="396" operator="greaterThan" aboveAverage="0" equalAverage="0" bottom="0" percent="0" rank="0" text="" dxfId="2">
      <formula>40</formula>
    </cfRule>
    <cfRule type="cellIs" priority="397" operator="greaterThan" aboveAverage="0" equalAverage="0" bottom="0" percent="0" rank="0" text="" dxfId="3">
      <formula>45</formula>
    </cfRule>
  </conditionalFormatting>
  <conditionalFormatting sqref="AR33">
    <cfRule type="cellIs" priority="398" operator="greaterThan" aboveAverage="0" equalAverage="0" bottom="0" percent="0" rank="0" text="" dxfId="2">
      <formula>40</formula>
    </cfRule>
    <cfRule type="cellIs" priority="399" operator="greaterThan" aboveAverage="0" equalAverage="0" bottom="0" percent="0" rank="0" text="" dxfId="3">
      <formula>45</formula>
    </cfRule>
  </conditionalFormatting>
  <conditionalFormatting sqref="AS33">
    <cfRule type="cellIs" priority="400" operator="greaterThan" aboveAverage="0" equalAverage="0" bottom="0" percent="0" rank="0" text="" dxfId="2">
      <formula>40</formula>
    </cfRule>
    <cfRule type="cellIs" priority="401" operator="greaterThan" aboveAverage="0" equalAverage="0" bottom="0" percent="0" rank="0" text="" dxfId="3">
      <formula>45</formula>
    </cfRule>
  </conditionalFormatting>
  <conditionalFormatting sqref="F48">
    <cfRule type="cellIs" priority="402" operator="greaterThan" aboveAverage="0" equalAverage="0" bottom="0" percent="0" rank="0" text="" dxfId="2">
      <formula>40</formula>
    </cfRule>
    <cfRule type="cellIs" priority="403" operator="greaterThan" aboveAverage="0" equalAverage="0" bottom="0" percent="0" rank="0" text="" dxfId="3">
      <formula>45</formula>
    </cfRule>
  </conditionalFormatting>
  <conditionalFormatting sqref="G48">
    <cfRule type="cellIs" priority="404" operator="greaterThan" aboveAverage="0" equalAverage="0" bottom="0" percent="0" rank="0" text="" dxfId="2">
      <formula>40</formula>
    </cfRule>
    <cfRule type="cellIs" priority="405" operator="greaterThan" aboveAverage="0" equalAverage="0" bottom="0" percent="0" rank="0" text="" dxfId="3">
      <formula>45</formula>
    </cfRule>
  </conditionalFormatting>
  <conditionalFormatting sqref="H48">
    <cfRule type="cellIs" priority="406" operator="greaterThan" aboveAverage="0" equalAverage="0" bottom="0" percent="0" rank="0" text="" dxfId="2">
      <formula>40</formula>
    </cfRule>
    <cfRule type="cellIs" priority="407" operator="greaterThan" aboveAverage="0" equalAverage="0" bottom="0" percent="0" rank="0" text="" dxfId="3">
      <formula>45</formula>
    </cfRule>
  </conditionalFormatting>
  <conditionalFormatting sqref="I48">
    <cfRule type="cellIs" priority="408" operator="greaterThan" aboveAverage="0" equalAverage="0" bottom="0" percent="0" rank="0" text="" dxfId="2">
      <formula>40</formula>
    </cfRule>
    <cfRule type="cellIs" priority="409" operator="greaterThan" aboveAverage="0" equalAverage="0" bottom="0" percent="0" rank="0" text="" dxfId="3">
      <formula>45</formula>
    </cfRule>
  </conditionalFormatting>
  <conditionalFormatting sqref="J48">
    <cfRule type="cellIs" priority="410" operator="greaterThan" aboveAverage="0" equalAverage="0" bottom="0" percent="0" rank="0" text="" dxfId="2">
      <formula>40</formula>
    </cfRule>
    <cfRule type="cellIs" priority="411" operator="greaterThan" aboveAverage="0" equalAverage="0" bottom="0" percent="0" rank="0" text="" dxfId="3">
      <formula>45</formula>
    </cfRule>
  </conditionalFormatting>
  <conditionalFormatting sqref="K48">
    <cfRule type="cellIs" priority="412" operator="greaterThan" aboveAverage="0" equalAverage="0" bottom="0" percent="0" rank="0" text="" dxfId="2">
      <formula>40</formula>
    </cfRule>
    <cfRule type="cellIs" priority="413" operator="greaterThan" aboveAverage="0" equalAverage="0" bottom="0" percent="0" rank="0" text="" dxfId="3">
      <formula>45</formula>
    </cfRule>
  </conditionalFormatting>
  <conditionalFormatting sqref="L48">
    <cfRule type="cellIs" priority="414" operator="greaterThan" aboveAverage="0" equalAverage="0" bottom="0" percent="0" rank="0" text="" dxfId="2">
      <formula>40</formula>
    </cfRule>
    <cfRule type="cellIs" priority="415" operator="greaterThan" aboveAverage="0" equalAverage="0" bottom="0" percent="0" rank="0" text="" dxfId="3">
      <formula>45</formula>
    </cfRule>
  </conditionalFormatting>
  <conditionalFormatting sqref="M48">
    <cfRule type="cellIs" priority="416" operator="greaterThan" aboveAverage="0" equalAverage="0" bottom="0" percent="0" rank="0" text="" dxfId="2">
      <formula>40</formula>
    </cfRule>
    <cfRule type="cellIs" priority="417" operator="greaterThan" aboveAverage="0" equalAverage="0" bottom="0" percent="0" rank="0" text="" dxfId="3">
      <formula>45</formula>
    </cfRule>
  </conditionalFormatting>
  <conditionalFormatting sqref="N48">
    <cfRule type="cellIs" priority="418" operator="greaterThan" aboveAverage="0" equalAverage="0" bottom="0" percent="0" rank="0" text="" dxfId="2">
      <formula>40</formula>
    </cfRule>
    <cfRule type="cellIs" priority="419" operator="greaterThan" aboveAverage="0" equalAverage="0" bottom="0" percent="0" rank="0" text="" dxfId="3">
      <formula>45</formula>
    </cfRule>
  </conditionalFormatting>
  <conditionalFormatting sqref="O48">
    <cfRule type="cellIs" priority="420" operator="greaterThan" aboveAverage="0" equalAverage="0" bottom="0" percent="0" rank="0" text="" dxfId="2">
      <formula>40</formula>
    </cfRule>
    <cfRule type="cellIs" priority="421" operator="greaterThan" aboveAverage="0" equalAverage="0" bottom="0" percent="0" rank="0" text="" dxfId="3">
      <formula>45</formula>
    </cfRule>
  </conditionalFormatting>
  <conditionalFormatting sqref="P48">
    <cfRule type="cellIs" priority="422" operator="greaterThan" aboveAverage="0" equalAverage="0" bottom="0" percent="0" rank="0" text="" dxfId="2">
      <formula>40</formula>
    </cfRule>
    <cfRule type="cellIs" priority="423" operator="greaterThan" aboveAverage="0" equalAverage="0" bottom="0" percent="0" rank="0" text="" dxfId="3">
      <formula>45</formula>
    </cfRule>
  </conditionalFormatting>
  <conditionalFormatting sqref="Q48">
    <cfRule type="cellIs" priority="424" operator="greaterThan" aboveAverage="0" equalAverage="0" bottom="0" percent="0" rank="0" text="" dxfId="2">
      <formula>40</formula>
    </cfRule>
    <cfRule type="cellIs" priority="425" operator="greaterThan" aboveAverage="0" equalAverage="0" bottom="0" percent="0" rank="0" text="" dxfId="3">
      <formula>45</formula>
    </cfRule>
  </conditionalFormatting>
  <conditionalFormatting sqref="R48">
    <cfRule type="cellIs" priority="426" operator="greaterThan" aboveAverage="0" equalAverage="0" bottom="0" percent="0" rank="0" text="" dxfId="2">
      <formula>40</formula>
    </cfRule>
    <cfRule type="cellIs" priority="427" operator="greaterThan" aboveAverage="0" equalAverage="0" bottom="0" percent="0" rank="0" text="" dxfId="3">
      <formula>45</formula>
    </cfRule>
  </conditionalFormatting>
  <conditionalFormatting sqref="S48">
    <cfRule type="cellIs" priority="428" operator="greaterThan" aboveAverage="0" equalAverage="0" bottom="0" percent="0" rank="0" text="" dxfId="2">
      <formula>40</formula>
    </cfRule>
    <cfRule type="cellIs" priority="429" operator="greaterThan" aboveAverage="0" equalAverage="0" bottom="0" percent="0" rank="0" text="" dxfId="3">
      <formula>45</formula>
    </cfRule>
  </conditionalFormatting>
  <conditionalFormatting sqref="T48">
    <cfRule type="cellIs" priority="430" operator="greaterThan" aboveAverage="0" equalAverage="0" bottom="0" percent="0" rank="0" text="" dxfId="2">
      <formula>40</formula>
    </cfRule>
    <cfRule type="cellIs" priority="431" operator="greaterThan" aboveAverage="0" equalAverage="0" bottom="0" percent="0" rank="0" text="" dxfId="3">
      <formula>45</formula>
    </cfRule>
  </conditionalFormatting>
  <conditionalFormatting sqref="U48">
    <cfRule type="cellIs" priority="432" operator="greaterThan" aboveAverage="0" equalAverage="0" bottom="0" percent="0" rank="0" text="" dxfId="2">
      <formula>40</formula>
    </cfRule>
    <cfRule type="cellIs" priority="433" operator="greaterThan" aboveAverage="0" equalAverage="0" bottom="0" percent="0" rank="0" text="" dxfId="3">
      <formula>45</formula>
    </cfRule>
  </conditionalFormatting>
  <conditionalFormatting sqref="V48">
    <cfRule type="cellIs" priority="434" operator="greaterThan" aboveAverage="0" equalAverage="0" bottom="0" percent="0" rank="0" text="" dxfId="2">
      <formula>40</formula>
    </cfRule>
    <cfRule type="cellIs" priority="435" operator="greaterThan" aboveAverage="0" equalAverage="0" bottom="0" percent="0" rank="0" text="" dxfId="3">
      <formula>45</formula>
    </cfRule>
  </conditionalFormatting>
  <conditionalFormatting sqref="W48">
    <cfRule type="cellIs" priority="436" operator="greaterThan" aboveAverage="0" equalAverage="0" bottom="0" percent="0" rank="0" text="" dxfId="2">
      <formula>40</formula>
    </cfRule>
    <cfRule type="cellIs" priority="437" operator="greaterThan" aboveAverage="0" equalAverage="0" bottom="0" percent="0" rank="0" text="" dxfId="3">
      <formula>45</formula>
    </cfRule>
  </conditionalFormatting>
  <conditionalFormatting sqref="X48">
    <cfRule type="cellIs" priority="438" operator="greaterThan" aboveAverage="0" equalAverage="0" bottom="0" percent="0" rank="0" text="" dxfId="2">
      <formula>55</formula>
    </cfRule>
    <cfRule type="cellIs" priority="439" operator="greaterThan" aboveAverage="0" equalAverage="0" bottom="0" percent="0" rank="0" text="" dxfId="3">
      <formula>65</formula>
    </cfRule>
  </conditionalFormatting>
  <conditionalFormatting sqref="Y48">
    <cfRule type="cellIs" priority="440" operator="greaterThan" aboveAverage="0" equalAverage="0" bottom="0" percent="0" rank="0" text="" dxfId="2">
      <formula>55</formula>
    </cfRule>
    <cfRule type="cellIs" priority="441" operator="greaterThan" aboveAverage="0" equalAverage="0" bottom="0" percent="0" rank="0" text="" dxfId="3">
      <formula>65</formula>
    </cfRule>
  </conditionalFormatting>
  <conditionalFormatting sqref="Z48">
    <cfRule type="cellIs" priority="442" operator="greaterThan" aboveAverage="0" equalAverage="0" bottom="0" percent="0" rank="0" text="" dxfId="2">
      <formula>55</formula>
    </cfRule>
    <cfRule type="cellIs" priority="443" operator="greaterThan" aboveAverage="0" equalAverage="0" bottom="0" percent="0" rank="0" text="" dxfId="3">
      <formula>65</formula>
    </cfRule>
  </conditionalFormatting>
  <conditionalFormatting sqref="AA48">
    <cfRule type="cellIs" priority="444" operator="greaterThan" aboveAverage="0" equalAverage="0" bottom="0" percent="0" rank="0" text="" dxfId="2">
      <formula>55</formula>
    </cfRule>
    <cfRule type="cellIs" priority="445" operator="greaterThan" aboveAverage="0" equalAverage="0" bottom="0" percent="0" rank="0" text="" dxfId="3">
      <formula>65</formula>
    </cfRule>
  </conditionalFormatting>
  <conditionalFormatting sqref="AB48">
    <cfRule type="cellIs" priority="446" operator="greaterThan" aboveAverage="0" equalAverage="0" bottom="0" percent="0" rank="0" text="" dxfId="2">
      <formula>55</formula>
    </cfRule>
    <cfRule type="cellIs" priority="447" operator="greaterThan" aboveAverage="0" equalAverage="0" bottom="0" percent="0" rank="0" text="" dxfId="3">
      <formula>65</formula>
    </cfRule>
  </conditionalFormatting>
  <conditionalFormatting sqref="AC48">
    <cfRule type="cellIs" priority="448" operator="greaterThan" aboveAverage="0" equalAverage="0" bottom="0" percent="0" rank="0" text="" dxfId="2">
      <formula>55</formula>
    </cfRule>
    <cfRule type="cellIs" priority="449" operator="greaterThan" aboveAverage="0" equalAverage="0" bottom="0" percent="0" rank="0" text="" dxfId="3">
      <formula>65</formula>
    </cfRule>
  </conditionalFormatting>
  <conditionalFormatting sqref="AD48">
    <cfRule type="cellIs" priority="450" operator="greaterThan" aboveAverage="0" equalAverage="0" bottom="0" percent="0" rank="0" text="" dxfId="2">
      <formula>55</formula>
    </cfRule>
    <cfRule type="cellIs" priority="451" operator="greaterThan" aboveAverage="0" equalAverage="0" bottom="0" percent="0" rank="0" text="" dxfId="3">
      <formula>65</formula>
    </cfRule>
  </conditionalFormatting>
  <conditionalFormatting sqref="AE48">
    <cfRule type="cellIs" priority="452" operator="greaterThan" aboveAverage="0" equalAverage="0" bottom="0" percent="0" rank="0" text="" dxfId="2">
      <formula>55</formula>
    </cfRule>
    <cfRule type="cellIs" priority="453" operator="greaterThan" aboveAverage="0" equalAverage="0" bottom="0" percent="0" rank="0" text="" dxfId="3">
      <formula>65</formula>
    </cfRule>
  </conditionalFormatting>
  <conditionalFormatting sqref="AF48">
    <cfRule type="cellIs" priority="454" operator="greaterThan" aboveAverage="0" equalAverage="0" bottom="0" percent="0" rank="0" text="" dxfId="2">
      <formula>40</formula>
    </cfRule>
    <cfRule type="cellIs" priority="455" operator="greaterThan" aboveAverage="0" equalAverage="0" bottom="0" percent="0" rank="0" text="" dxfId="3">
      <formula>45</formula>
    </cfRule>
  </conditionalFormatting>
  <conditionalFormatting sqref="AG48">
    <cfRule type="cellIs" priority="456" operator="greaterThan" aboveAverage="0" equalAverage="0" bottom="0" percent="0" rank="0" text="" dxfId="2">
      <formula>40</formula>
    </cfRule>
    <cfRule type="cellIs" priority="457" operator="greaterThan" aboveAverage="0" equalAverage="0" bottom="0" percent="0" rank="0" text="" dxfId="3">
      <formula>45</formula>
    </cfRule>
  </conditionalFormatting>
  <conditionalFormatting sqref="AH48">
    <cfRule type="cellIs" priority="458" operator="greaterThan" aboveAverage="0" equalAverage="0" bottom="0" percent="0" rank="0" text="" dxfId="2">
      <formula>40</formula>
    </cfRule>
    <cfRule type="cellIs" priority="459" operator="greaterThan" aboveAverage="0" equalAverage="0" bottom="0" percent="0" rank="0" text="" dxfId="3">
      <formula>45</formula>
    </cfRule>
  </conditionalFormatting>
  <conditionalFormatting sqref="AI48">
    <cfRule type="cellIs" priority="460" operator="greaterThan" aboveAverage="0" equalAverage="0" bottom="0" percent="0" rank="0" text="" dxfId="2">
      <formula>40</formula>
    </cfRule>
    <cfRule type="cellIs" priority="461" operator="greaterThan" aboveAverage="0" equalAverage="0" bottom="0" percent="0" rank="0" text="" dxfId="3">
      <formula>45</formula>
    </cfRule>
  </conditionalFormatting>
  <conditionalFormatting sqref="AJ48">
    <cfRule type="cellIs" priority="462" operator="greaterThan" aboveAverage="0" equalAverage="0" bottom="0" percent="0" rank="0" text="" dxfId="2">
      <formula>40</formula>
    </cfRule>
    <cfRule type="cellIs" priority="463" operator="greaterThan" aboveAverage="0" equalAverage="0" bottom="0" percent="0" rank="0" text="" dxfId="3">
      <formula>45</formula>
    </cfRule>
  </conditionalFormatting>
  <conditionalFormatting sqref="AK48">
    <cfRule type="cellIs" priority="464" operator="greaterThan" aboveAverage="0" equalAverage="0" bottom="0" percent="0" rank="0" text="" dxfId="2">
      <formula>40</formula>
    </cfRule>
    <cfRule type="cellIs" priority="465" operator="greaterThan" aboveAverage="0" equalAverage="0" bottom="0" percent="0" rank="0" text="" dxfId="3">
      <formula>45</formula>
    </cfRule>
  </conditionalFormatting>
  <conditionalFormatting sqref="AL48">
    <cfRule type="cellIs" priority="466" operator="greaterThan" aboveAverage="0" equalAverage="0" bottom="0" percent="0" rank="0" text="" dxfId="2">
      <formula>40</formula>
    </cfRule>
    <cfRule type="cellIs" priority="467" operator="greaterThan" aboveAverage="0" equalAverage="0" bottom="0" percent="0" rank="0" text="" dxfId="3">
      <formula>45</formula>
    </cfRule>
  </conditionalFormatting>
  <conditionalFormatting sqref="AM48">
    <cfRule type="cellIs" priority="468" operator="greaterThan" aboveAverage="0" equalAverage="0" bottom="0" percent="0" rank="0" text="" dxfId="2">
      <formula>40</formula>
    </cfRule>
    <cfRule type="cellIs" priority="469" operator="greaterThan" aboveAverage="0" equalAverage="0" bottom="0" percent="0" rank="0" text="" dxfId="3">
      <formula>45</formula>
    </cfRule>
  </conditionalFormatting>
  <conditionalFormatting sqref="AN48">
    <cfRule type="cellIs" priority="470" operator="greaterThan" aboveAverage="0" equalAverage="0" bottom="0" percent="0" rank="0" text="" dxfId="2">
      <formula>40</formula>
    </cfRule>
    <cfRule type="cellIs" priority="471" operator="greaterThan" aboveAverage="0" equalAverage="0" bottom="0" percent="0" rank="0" text="" dxfId="3">
      <formula>45</formula>
    </cfRule>
  </conditionalFormatting>
  <conditionalFormatting sqref="AO48">
    <cfRule type="cellIs" priority="472" operator="greaterThan" aboveAverage="0" equalAverage="0" bottom="0" percent="0" rank="0" text="" dxfId="2">
      <formula>40</formula>
    </cfRule>
    <cfRule type="cellIs" priority="473" operator="greaterThan" aboveAverage="0" equalAverage="0" bottom="0" percent="0" rank="0" text="" dxfId="3">
      <formula>45</formula>
    </cfRule>
  </conditionalFormatting>
  <conditionalFormatting sqref="AP48">
    <cfRule type="cellIs" priority="474" operator="greaterThan" aboveAverage="0" equalAverage="0" bottom="0" percent="0" rank="0" text="" dxfId="2">
      <formula>40</formula>
    </cfRule>
    <cfRule type="cellIs" priority="475" operator="greaterThan" aboveAverage="0" equalAverage="0" bottom="0" percent="0" rank="0" text="" dxfId="3">
      <formula>45</formula>
    </cfRule>
  </conditionalFormatting>
  <conditionalFormatting sqref="AQ48">
    <cfRule type="cellIs" priority="476" operator="greaterThan" aboveAverage="0" equalAverage="0" bottom="0" percent="0" rank="0" text="" dxfId="2">
      <formula>40</formula>
    </cfRule>
    <cfRule type="cellIs" priority="477" operator="greaterThan" aboveAverage="0" equalAverage="0" bottom="0" percent="0" rank="0" text="" dxfId="3">
      <formula>45</formula>
    </cfRule>
  </conditionalFormatting>
  <conditionalFormatting sqref="AR48">
    <cfRule type="cellIs" priority="478" operator="greaterThan" aboveAverage="0" equalAverage="0" bottom="0" percent="0" rank="0" text="" dxfId="2">
      <formula>40</formula>
    </cfRule>
    <cfRule type="cellIs" priority="479" operator="greaterThan" aboveAverage="0" equalAverage="0" bottom="0" percent="0" rank="0" text="" dxfId="3">
      <formula>45</formula>
    </cfRule>
  </conditionalFormatting>
  <conditionalFormatting sqref="AS48">
    <cfRule type="cellIs" priority="480" operator="greaterThan" aboveAverage="0" equalAverage="0" bottom="0" percent="0" rank="0" text="" dxfId="2">
      <formula>40</formula>
    </cfRule>
    <cfRule type="cellIs" priority="481" operator="greaterThan" aboveAverage="0" equalAverage="0" bottom="0" percent="0" rank="0" text="" dxfId="3">
      <formula>45</formula>
    </cfRule>
  </conditionalFormatting>
  <conditionalFormatting sqref="F52">
    <cfRule type="cellIs" priority="482" operator="greaterThan" aboveAverage="0" equalAverage="0" bottom="0" percent="0" rank="0" text="" dxfId="2">
      <formula>40</formula>
    </cfRule>
    <cfRule type="cellIs" priority="483" operator="greaterThan" aboveAverage="0" equalAverage="0" bottom="0" percent="0" rank="0" text="" dxfId="3">
      <formula>45</formula>
    </cfRule>
  </conditionalFormatting>
  <conditionalFormatting sqref="G52">
    <cfRule type="cellIs" priority="484" operator="greaterThan" aboveAverage="0" equalAverage="0" bottom="0" percent="0" rank="0" text="" dxfId="2">
      <formula>40</formula>
    </cfRule>
    <cfRule type="cellIs" priority="485" operator="greaterThan" aboveAverage="0" equalAverage="0" bottom="0" percent="0" rank="0" text="" dxfId="3">
      <formula>45</formula>
    </cfRule>
  </conditionalFormatting>
  <conditionalFormatting sqref="H52">
    <cfRule type="cellIs" priority="486" operator="greaterThan" aboveAverage="0" equalAverage="0" bottom="0" percent="0" rank="0" text="" dxfId="2">
      <formula>40</formula>
    </cfRule>
    <cfRule type="cellIs" priority="487" operator="greaterThan" aboveAverage="0" equalAverage="0" bottom="0" percent="0" rank="0" text="" dxfId="3">
      <formula>45</formula>
    </cfRule>
  </conditionalFormatting>
  <conditionalFormatting sqref="I52">
    <cfRule type="cellIs" priority="488" operator="greaterThan" aboveAverage="0" equalAverage="0" bottom="0" percent="0" rank="0" text="" dxfId="2">
      <formula>40</formula>
    </cfRule>
    <cfRule type="cellIs" priority="489" operator="greaterThan" aboveAverage="0" equalAverage="0" bottom="0" percent="0" rank="0" text="" dxfId="3">
      <formula>45</formula>
    </cfRule>
  </conditionalFormatting>
  <conditionalFormatting sqref="J52">
    <cfRule type="cellIs" priority="490" operator="greaterThan" aboveAverage="0" equalAverage="0" bottom="0" percent="0" rank="0" text="" dxfId="2">
      <formula>40</formula>
    </cfRule>
    <cfRule type="cellIs" priority="491" operator="greaterThan" aboveAverage="0" equalAverage="0" bottom="0" percent="0" rank="0" text="" dxfId="3">
      <formula>45</formula>
    </cfRule>
  </conditionalFormatting>
  <conditionalFormatting sqref="K52">
    <cfRule type="cellIs" priority="492" operator="greaterThan" aboveAverage="0" equalAverage="0" bottom="0" percent="0" rank="0" text="" dxfId="2">
      <formula>40</formula>
    </cfRule>
    <cfRule type="cellIs" priority="493" operator="greaterThan" aboveAverage="0" equalAverage="0" bottom="0" percent="0" rank="0" text="" dxfId="3">
      <formula>45</formula>
    </cfRule>
  </conditionalFormatting>
  <conditionalFormatting sqref="L52">
    <cfRule type="cellIs" priority="494" operator="greaterThan" aboveAverage="0" equalAverage="0" bottom="0" percent="0" rank="0" text="" dxfId="2">
      <formula>40</formula>
    </cfRule>
    <cfRule type="cellIs" priority="495" operator="greaterThan" aboveAverage="0" equalAverage="0" bottom="0" percent="0" rank="0" text="" dxfId="3">
      <formula>45</formula>
    </cfRule>
  </conditionalFormatting>
  <conditionalFormatting sqref="M52">
    <cfRule type="cellIs" priority="496" operator="greaterThan" aboveAverage="0" equalAverage="0" bottom="0" percent="0" rank="0" text="" dxfId="2">
      <formula>40</formula>
    </cfRule>
    <cfRule type="cellIs" priority="497" operator="greaterThan" aboveAverage="0" equalAverage="0" bottom="0" percent="0" rank="0" text="" dxfId="3">
      <formula>45</formula>
    </cfRule>
  </conditionalFormatting>
  <conditionalFormatting sqref="N52">
    <cfRule type="cellIs" priority="498" operator="greaterThan" aboveAverage="0" equalAverage="0" bottom="0" percent="0" rank="0" text="" dxfId="2">
      <formula>40</formula>
    </cfRule>
    <cfRule type="cellIs" priority="499" operator="greaterThan" aboveAverage="0" equalAverage="0" bottom="0" percent="0" rank="0" text="" dxfId="3">
      <formula>45</formula>
    </cfRule>
  </conditionalFormatting>
  <conditionalFormatting sqref="O52">
    <cfRule type="cellIs" priority="500" operator="greaterThan" aboveAverage="0" equalAverage="0" bottom="0" percent="0" rank="0" text="" dxfId="2">
      <formula>40</formula>
    </cfRule>
    <cfRule type="cellIs" priority="501" operator="greaterThan" aboveAverage="0" equalAverage="0" bottom="0" percent="0" rank="0" text="" dxfId="3">
      <formula>45</formula>
    </cfRule>
  </conditionalFormatting>
  <conditionalFormatting sqref="P52">
    <cfRule type="cellIs" priority="502" operator="greaterThan" aboveAverage="0" equalAverage="0" bottom="0" percent="0" rank="0" text="" dxfId="2">
      <formula>40</formula>
    </cfRule>
    <cfRule type="cellIs" priority="503" operator="greaterThan" aboveAverage="0" equalAverage="0" bottom="0" percent="0" rank="0" text="" dxfId="3">
      <formula>45</formula>
    </cfRule>
  </conditionalFormatting>
  <conditionalFormatting sqref="Q52">
    <cfRule type="cellIs" priority="504" operator="greaterThan" aboveAverage="0" equalAverage="0" bottom="0" percent="0" rank="0" text="" dxfId="2">
      <formula>40</formula>
    </cfRule>
    <cfRule type="cellIs" priority="505" operator="greaterThan" aboveAverage="0" equalAverage="0" bottom="0" percent="0" rank="0" text="" dxfId="3">
      <formula>45</formula>
    </cfRule>
  </conditionalFormatting>
  <conditionalFormatting sqref="R52">
    <cfRule type="cellIs" priority="506" operator="greaterThan" aboveAverage="0" equalAverage="0" bottom="0" percent="0" rank="0" text="" dxfId="2">
      <formula>40</formula>
    </cfRule>
    <cfRule type="cellIs" priority="507" operator="greaterThan" aboveAverage="0" equalAverage="0" bottom="0" percent="0" rank="0" text="" dxfId="3">
      <formula>45</formula>
    </cfRule>
  </conditionalFormatting>
  <conditionalFormatting sqref="S52">
    <cfRule type="cellIs" priority="508" operator="greaterThan" aboveAverage="0" equalAverage="0" bottom="0" percent="0" rank="0" text="" dxfId="2">
      <formula>40</formula>
    </cfRule>
    <cfRule type="cellIs" priority="509" operator="greaterThan" aboveAverage="0" equalAverage="0" bottom="0" percent="0" rank="0" text="" dxfId="3">
      <formula>45</formula>
    </cfRule>
  </conditionalFormatting>
  <conditionalFormatting sqref="T52">
    <cfRule type="cellIs" priority="510" operator="greaterThan" aboveAverage="0" equalAverage="0" bottom="0" percent="0" rank="0" text="" dxfId="2">
      <formula>40</formula>
    </cfRule>
    <cfRule type="cellIs" priority="511" operator="greaterThan" aboveAverage="0" equalAverage="0" bottom="0" percent="0" rank="0" text="" dxfId="3">
      <formula>45</formula>
    </cfRule>
  </conditionalFormatting>
  <conditionalFormatting sqref="U52">
    <cfRule type="cellIs" priority="512" operator="greaterThan" aboveAverage="0" equalAverage="0" bottom="0" percent="0" rank="0" text="" dxfId="2">
      <formula>40</formula>
    </cfRule>
    <cfRule type="cellIs" priority="513" operator="greaterThan" aboveAverage="0" equalAverage="0" bottom="0" percent="0" rank="0" text="" dxfId="3">
      <formula>45</formula>
    </cfRule>
  </conditionalFormatting>
  <conditionalFormatting sqref="V52">
    <cfRule type="cellIs" priority="514" operator="greaterThan" aboveAverage="0" equalAverage="0" bottom="0" percent="0" rank="0" text="" dxfId="2">
      <formula>40</formula>
    </cfRule>
    <cfRule type="cellIs" priority="515" operator="greaterThan" aboveAverage="0" equalAverage="0" bottom="0" percent="0" rank="0" text="" dxfId="3">
      <formula>45</formula>
    </cfRule>
  </conditionalFormatting>
  <conditionalFormatting sqref="W52">
    <cfRule type="cellIs" priority="516" operator="greaterThan" aboveAverage="0" equalAverage="0" bottom="0" percent="0" rank="0" text="" dxfId="2">
      <formula>40</formula>
    </cfRule>
    <cfRule type="cellIs" priority="517" operator="greaterThan" aboveAverage="0" equalAverage="0" bottom="0" percent="0" rank="0" text="" dxfId="3">
      <formula>45</formula>
    </cfRule>
  </conditionalFormatting>
  <conditionalFormatting sqref="X52">
    <cfRule type="cellIs" priority="518" operator="greaterThan" aboveAverage="0" equalAverage="0" bottom="0" percent="0" rank="0" text="" dxfId="2">
      <formula>55</formula>
    </cfRule>
    <cfRule type="cellIs" priority="519" operator="greaterThan" aboveAverage="0" equalAverage="0" bottom="0" percent="0" rank="0" text="" dxfId="3">
      <formula>65</formula>
    </cfRule>
  </conditionalFormatting>
  <conditionalFormatting sqref="Y52">
    <cfRule type="cellIs" priority="520" operator="greaterThan" aboveAverage="0" equalAverage="0" bottom="0" percent="0" rank="0" text="" dxfId="2">
      <formula>55</formula>
    </cfRule>
    <cfRule type="cellIs" priority="521" operator="greaterThan" aboveAverage="0" equalAverage="0" bottom="0" percent="0" rank="0" text="" dxfId="3">
      <formula>65</formula>
    </cfRule>
  </conditionalFormatting>
  <conditionalFormatting sqref="Z52">
    <cfRule type="cellIs" priority="522" operator="greaterThan" aboveAverage="0" equalAverage="0" bottom="0" percent="0" rank="0" text="" dxfId="2">
      <formula>55</formula>
    </cfRule>
    <cfRule type="cellIs" priority="523" operator="greaterThan" aboveAverage="0" equalAverage="0" bottom="0" percent="0" rank="0" text="" dxfId="3">
      <formula>65</formula>
    </cfRule>
  </conditionalFormatting>
  <conditionalFormatting sqref="AA52">
    <cfRule type="cellIs" priority="524" operator="greaterThan" aboveAverage="0" equalAverage="0" bottom="0" percent="0" rank="0" text="" dxfId="2">
      <formula>55</formula>
    </cfRule>
    <cfRule type="cellIs" priority="525" operator="greaterThan" aboveAverage="0" equalAverage="0" bottom="0" percent="0" rank="0" text="" dxfId="3">
      <formula>65</formula>
    </cfRule>
  </conditionalFormatting>
  <conditionalFormatting sqref="AB52">
    <cfRule type="cellIs" priority="526" operator="greaterThan" aboveAverage="0" equalAverage="0" bottom="0" percent="0" rank="0" text="" dxfId="2">
      <formula>55</formula>
    </cfRule>
    <cfRule type="cellIs" priority="527" operator="greaterThan" aboveAverage="0" equalAverage="0" bottom="0" percent="0" rank="0" text="" dxfId="3">
      <formula>65</formula>
    </cfRule>
  </conditionalFormatting>
  <conditionalFormatting sqref="AC52">
    <cfRule type="cellIs" priority="528" operator="greaterThan" aboveAverage="0" equalAverage="0" bottom="0" percent="0" rank="0" text="" dxfId="2">
      <formula>55</formula>
    </cfRule>
    <cfRule type="cellIs" priority="529" operator="greaterThan" aboveAverage="0" equalAverage="0" bottom="0" percent="0" rank="0" text="" dxfId="3">
      <formula>65</formula>
    </cfRule>
  </conditionalFormatting>
  <conditionalFormatting sqref="AD52">
    <cfRule type="cellIs" priority="530" operator="greaterThan" aboveAverage="0" equalAverage="0" bottom="0" percent="0" rank="0" text="" dxfId="2">
      <formula>55</formula>
    </cfRule>
    <cfRule type="cellIs" priority="531" operator="greaterThan" aboveAverage="0" equalAverage="0" bottom="0" percent="0" rank="0" text="" dxfId="3">
      <formula>65</formula>
    </cfRule>
  </conditionalFormatting>
  <conditionalFormatting sqref="AE52">
    <cfRule type="cellIs" priority="532" operator="greaterThan" aboveAverage="0" equalAverage="0" bottom="0" percent="0" rank="0" text="" dxfId="2">
      <formula>55</formula>
    </cfRule>
    <cfRule type="cellIs" priority="533" operator="greaterThan" aboveAverage="0" equalAverage="0" bottom="0" percent="0" rank="0" text="" dxfId="3">
      <formula>65</formula>
    </cfRule>
  </conditionalFormatting>
  <conditionalFormatting sqref="AF52">
    <cfRule type="cellIs" priority="534" operator="greaterThan" aboveAverage="0" equalAverage="0" bottom="0" percent="0" rank="0" text="" dxfId="2">
      <formula>40</formula>
    </cfRule>
    <cfRule type="cellIs" priority="535" operator="greaterThan" aboveAverage="0" equalAverage="0" bottom="0" percent="0" rank="0" text="" dxfId="3">
      <formula>45</formula>
    </cfRule>
  </conditionalFormatting>
  <conditionalFormatting sqref="AG52">
    <cfRule type="cellIs" priority="536" operator="greaterThan" aboveAverage="0" equalAverage="0" bottom="0" percent="0" rank="0" text="" dxfId="2">
      <formula>40</formula>
    </cfRule>
    <cfRule type="cellIs" priority="537" operator="greaterThan" aboveAverage="0" equalAverage="0" bottom="0" percent="0" rank="0" text="" dxfId="3">
      <formula>45</formula>
    </cfRule>
  </conditionalFormatting>
  <conditionalFormatting sqref="AH52">
    <cfRule type="cellIs" priority="538" operator="greaterThan" aboveAverage="0" equalAverage="0" bottom="0" percent="0" rank="0" text="" dxfId="2">
      <formula>40</formula>
    </cfRule>
    <cfRule type="cellIs" priority="539" operator="greaterThan" aboveAverage="0" equalAverage="0" bottom="0" percent="0" rank="0" text="" dxfId="3">
      <formula>45</formula>
    </cfRule>
  </conditionalFormatting>
  <conditionalFormatting sqref="AI52">
    <cfRule type="cellIs" priority="540" operator="greaterThan" aboveAverage="0" equalAverage="0" bottom="0" percent="0" rank="0" text="" dxfId="2">
      <formula>40</formula>
    </cfRule>
    <cfRule type="cellIs" priority="541" operator="greaterThan" aboveAverage="0" equalAverage="0" bottom="0" percent="0" rank="0" text="" dxfId="3">
      <formula>45</formula>
    </cfRule>
  </conditionalFormatting>
  <conditionalFormatting sqref="AJ52">
    <cfRule type="cellIs" priority="542" operator="greaterThan" aboveAverage="0" equalAverage="0" bottom="0" percent="0" rank="0" text="" dxfId="2">
      <formula>40</formula>
    </cfRule>
    <cfRule type="cellIs" priority="543" operator="greaterThan" aboveAverage="0" equalAverage="0" bottom="0" percent="0" rank="0" text="" dxfId="3">
      <formula>45</formula>
    </cfRule>
  </conditionalFormatting>
  <conditionalFormatting sqref="AK52">
    <cfRule type="cellIs" priority="544" operator="greaterThan" aboveAverage="0" equalAverage="0" bottom="0" percent="0" rank="0" text="" dxfId="2">
      <formula>40</formula>
    </cfRule>
    <cfRule type="cellIs" priority="545" operator="greaterThan" aboveAverage="0" equalAverage="0" bottom="0" percent="0" rank="0" text="" dxfId="3">
      <formula>45</formula>
    </cfRule>
  </conditionalFormatting>
  <conditionalFormatting sqref="AL52">
    <cfRule type="cellIs" priority="546" operator="greaterThan" aboveAverage="0" equalAverage="0" bottom="0" percent="0" rank="0" text="" dxfId="2">
      <formula>40</formula>
    </cfRule>
    <cfRule type="cellIs" priority="547" operator="greaterThan" aboveAverage="0" equalAverage="0" bottom="0" percent="0" rank="0" text="" dxfId="3">
      <formula>45</formula>
    </cfRule>
  </conditionalFormatting>
  <conditionalFormatting sqref="AM52">
    <cfRule type="cellIs" priority="548" operator="greaterThan" aboveAverage="0" equalAverage="0" bottom="0" percent="0" rank="0" text="" dxfId="2">
      <formula>40</formula>
    </cfRule>
    <cfRule type="cellIs" priority="549" operator="greaterThan" aboveAverage="0" equalAverage="0" bottom="0" percent="0" rank="0" text="" dxfId="3">
      <formula>45</formula>
    </cfRule>
  </conditionalFormatting>
  <conditionalFormatting sqref="AN52">
    <cfRule type="cellIs" priority="550" operator="greaterThan" aboveAverage="0" equalAverage="0" bottom="0" percent="0" rank="0" text="" dxfId="2">
      <formula>40</formula>
    </cfRule>
    <cfRule type="cellIs" priority="551" operator="greaterThan" aboveAverage="0" equalAverage="0" bottom="0" percent="0" rank="0" text="" dxfId="3">
      <formula>45</formula>
    </cfRule>
  </conditionalFormatting>
  <conditionalFormatting sqref="AO52">
    <cfRule type="cellIs" priority="552" operator="greaterThan" aboveAverage="0" equalAverage="0" bottom="0" percent="0" rank="0" text="" dxfId="2">
      <formula>40</formula>
    </cfRule>
    <cfRule type="cellIs" priority="553" operator="greaterThan" aboveAverage="0" equalAverage="0" bottom="0" percent="0" rank="0" text="" dxfId="3">
      <formula>45</formula>
    </cfRule>
  </conditionalFormatting>
  <conditionalFormatting sqref="AP52">
    <cfRule type="cellIs" priority="554" operator="greaterThan" aboveAverage="0" equalAverage="0" bottom="0" percent="0" rank="0" text="" dxfId="2">
      <formula>40</formula>
    </cfRule>
    <cfRule type="cellIs" priority="555" operator="greaterThan" aboveAverage="0" equalAverage="0" bottom="0" percent="0" rank="0" text="" dxfId="3">
      <formula>45</formula>
    </cfRule>
  </conditionalFormatting>
  <conditionalFormatting sqref="AQ52">
    <cfRule type="cellIs" priority="556" operator="greaterThan" aboveAverage="0" equalAverage="0" bottom="0" percent="0" rank="0" text="" dxfId="2">
      <formula>40</formula>
    </cfRule>
    <cfRule type="cellIs" priority="557" operator="greaterThan" aboveAverage="0" equalAverage="0" bottom="0" percent="0" rank="0" text="" dxfId="3">
      <formula>45</formula>
    </cfRule>
  </conditionalFormatting>
  <conditionalFormatting sqref="AR52">
    <cfRule type="cellIs" priority="558" operator="greaterThan" aboveAverage="0" equalAverage="0" bottom="0" percent="0" rank="0" text="" dxfId="2">
      <formula>40</formula>
    </cfRule>
    <cfRule type="cellIs" priority="559" operator="greaterThan" aboveAverage="0" equalAverage="0" bottom="0" percent="0" rank="0" text="" dxfId="3">
      <formula>45</formula>
    </cfRule>
  </conditionalFormatting>
  <conditionalFormatting sqref="AS52">
    <cfRule type="cellIs" priority="560" operator="greaterThan" aboveAverage="0" equalAverage="0" bottom="0" percent="0" rank="0" text="" dxfId="2">
      <formula>40</formula>
    </cfRule>
    <cfRule type="cellIs" priority="561" operator="greaterThan" aboveAverage="0" equalAverage="0" bottom="0" percent="0" rank="0" text="" dxfId="3">
      <formula>45</formula>
    </cfRule>
  </conditionalFormatting>
  <conditionalFormatting sqref="F61">
    <cfRule type="cellIs" priority="562" operator="greaterThan" aboveAverage="0" equalAverage="0" bottom="0" percent="0" rank="0" text="" dxfId="2">
      <formula>40</formula>
    </cfRule>
    <cfRule type="cellIs" priority="563" operator="greaterThan" aboveAverage="0" equalAverage="0" bottom="0" percent="0" rank="0" text="" dxfId="3">
      <formula>45</formula>
    </cfRule>
  </conditionalFormatting>
  <conditionalFormatting sqref="G61">
    <cfRule type="cellIs" priority="564" operator="greaterThan" aboveAverage="0" equalAverage="0" bottom="0" percent="0" rank="0" text="" dxfId="2">
      <formula>40</formula>
    </cfRule>
    <cfRule type="cellIs" priority="565" operator="greaterThan" aboveAverage="0" equalAverage="0" bottom="0" percent="0" rank="0" text="" dxfId="3">
      <formula>45</formula>
    </cfRule>
  </conditionalFormatting>
  <conditionalFormatting sqref="H61">
    <cfRule type="cellIs" priority="566" operator="greaterThan" aboveAverage="0" equalAverage="0" bottom="0" percent="0" rank="0" text="" dxfId="2">
      <formula>40</formula>
    </cfRule>
    <cfRule type="cellIs" priority="567" operator="greaterThan" aboveAverage="0" equalAverage="0" bottom="0" percent="0" rank="0" text="" dxfId="3">
      <formula>45</formula>
    </cfRule>
  </conditionalFormatting>
  <conditionalFormatting sqref="I61">
    <cfRule type="cellIs" priority="568" operator="greaterThan" aboveAverage="0" equalAverage="0" bottom="0" percent="0" rank="0" text="" dxfId="2">
      <formula>40</formula>
    </cfRule>
    <cfRule type="cellIs" priority="569" operator="greaterThan" aboveAverage="0" equalAverage="0" bottom="0" percent="0" rank="0" text="" dxfId="3">
      <formula>45</formula>
    </cfRule>
  </conditionalFormatting>
  <conditionalFormatting sqref="J61">
    <cfRule type="cellIs" priority="570" operator="greaterThan" aboveAverage="0" equalAverage="0" bottom="0" percent="0" rank="0" text="" dxfId="2">
      <formula>40</formula>
    </cfRule>
    <cfRule type="cellIs" priority="571" operator="greaterThan" aboveAverage="0" equalAverage="0" bottom="0" percent="0" rank="0" text="" dxfId="3">
      <formula>45</formula>
    </cfRule>
  </conditionalFormatting>
  <conditionalFormatting sqref="K61">
    <cfRule type="cellIs" priority="572" operator="greaterThan" aboveAverage="0" equalAverage="0" bottom="0" percent="0" rank="0" text="" dxfId="2">
      <formula>40</formula>
    </cfRule>
    <cfRule type="cellIs" priority="573" operator="greaterThan" aboveAverage="0" equalAverage="0" bottom="0" percent="0" rank="0" text="" dxfId="3">
      <formula>45</formula>
    </cfRule>
  </conditionalFormatting>
  <conditionalFormatting sqref="L61">
    <cfRule type="cellIs" priority="574" operator="greaterThan" aboveAverage="0" equalAverage="0" bottom="0" percent="0" rank="0" text="" dxfId="2">
      <formula>40</formula>
    </cfRule>
    <cfRule type="cellIs" priority="575" operator="greaterThan" aboveAverage="0" equalAverage="0" bottom="0" percent="0" rank="0" text="" dxfId="3">
      <formula>45</formula>
    </cfRule>
  </conditionalFormatting>
  <conditionalFormatting sqref="M61">
    <cfRule type="cellIs" priority="576" operator="greaterThan" aboveAverage="0" equalAverage="0" bottom="0" percent="0" rank="0" text="" dxfId="2">
      <formula>40</formula>
    </cfRule>
    <cfRule type="cellIs" priority="577" operator="greaterThan" aboveAverage="0" equalAverage="0" bottom="0" percent="0" rank="0" text="" dxfId="3">
      <formula>45</formula>
    </cfRule>
  </conditionalFormatting>
  <conditionalFormatting sqref="N61">
    <cfRule type="cellIs" priority="578" operator="greaterThan" aboveAverage="0" equalAverage="0" bottom="0" percent="0" rank="0" text="" dxfId="2">
      <formula>40</formula>
    </cfRule>
    <cfRule type="cellIs" priority="579" operator="greaterThan" aboveAverage="0" equalAverage="0" bottom="0" percent="0" rank="0" text="" dxfId="3">
      <formula>45</formula>
    </cfRule>
  </conditionalFormatting>
  <conditionalFormatting sqref="O61">
    <cfRule type="cellIs" priority="580" operator="greaterThan" aboveAverage="0" equalAverage="0" bottom="0" percent="0" rank="0" text="" dxfId="2">
      <formula>40</formula>
    </cfRule>
    <cfRule type="cellIs" priority="581" operator="greaterThan" aboveAverage="0" equalAverage="0" bottom="0" percent="0" rank="0" text="" dxfId="3">
      <formula>45</formula>
    </cfRule>
  </conditionalFormatting>
  <conditionalFormatting sqref="P61">
    <cfRule type="cellIs" priority="582" operator="greaterThan" aboveAverage="0" equalAverage="0" bottom="0" percent="0" rank="0" text="" dxfId="2">
      <formula>40</formula>
    </cfRule>
    <cfRule type="cellIs" priority="583" operator="greaterThan" aboveAverage="0" equalAverage="0" bottom="0" percent="0" rank="0" text="" dxfId="3">
      <formula>45</formula>
    </cfRule>
  </conditionalFormatting>
  <conditionalFormatting sqref="Q61">
    <cfRule type="cellIs" priority="584" operator="greaterThan" aboveAverage="0" equalAverage="0" bottom="0" percent="0" rank="0" text="" dxfId="2">
      <formula>40</formula>
    </cfRule>
    <cfRule type="cellIs" priority="585" operator="greaterThan" aboveAverage="0" equalAverage="0" bottom="0" percent="0" rank="0" text="" dxfId="3">
      <formula>45</formula>
    </cfRule>
  </conditionalFormatting>
  <conditionalFormatting sqref="R61">
    <cfRule type="cellIs" priority="586" operator="greaterThan" aboveAverage="0" equalAverage="0" bottom="0" percent="0" rank="0" text="" dxfId="2">
      <formula>40</formula>
    </cfRule>
    <cfRule type="cellIs" priority="587" operator="greaterThan" aboveAverage="0" equalAverage="0" bottom="0" percent="0" rank="0" text="" dxfId="3">
      <formula>45</formula>
    </cfRule>
  </conditionalFormatting>
  <conditionalFormatting sqref="S61">
    <cfRule type="cellIs" priority="588" operator="greaterThan" aboveAverage="0" equalAverage="0" bottom="0" percent="0" rank="0" text="" dxfId="2">
      <formula>40</formula>
    </cfRule>
    <cfRule type="cellIs" priority="589" operator="greaterThan" aboveAverage="0" equalAverage="0" bottom="0" percent="0" rank="0" text="" dxfId="3">
      <formula>45</formula>
    </cfRule>
  </conditionalFormatting>
  <conditionalFormatting sqref="T61">
    <cfRule type="cellIs" priority="590" operator="greaterThan" aboveAverage="0" equalAverage="0" bottom="0" percent="0" rank="0" text="" dxfId="2">
      <formula>40</formula>
    </cfRule>
    <cfRule type="cellIs" priority="591" operator="greaterThan" aboveAverage="0" equalAverage="0" bottom="0" percent="0" rank="0" text="" dxfId="3">
      <formula>45</formula>
    </cfRule>
  </conditionalFormatting>
  <conditionalFormatting sqref="U61">
    <cfRule type="cellIs" priority="592" operator="greaterThan" aboveAverage="0" equalAverage="0" bottom="0" percent="0" rank="0" text="" dxfId="2">
      <formula>40</formula>
    </cfRule>
    <cfRule type="cellIs" priority="593" operator="greaterThan" aboveAverage="0" equalAverage="0" bottom="0" percent="0" rank="0" text="" dxfId="3">
      <formula>45</formula>
    </cfRule>
  </conditionalFormatting>
  <conditionalFormatting sqref="V61">
    <cfRule type="cellIs" priority="594" operator="greaterThan" aboveAverage="0" equalAverage="0" bottom="0" percent="0" rank="0" text="" dxfId="2">
      <formula>40</formula>
    </cfRule>
    <cfRule type="cellIs" priority="595" operator="greaterThan" aboveAverage="0" equalAverage="0" bottom="0" percent="0" rank="0" text="" dxfId="3">
      <formula>45</formula>
    </cfRule>
  </conditionalFormatting>
  <conditionalFormatting sqref="W61">
    <cfRule type="cellIs" priority="596" operator="greaterThan" aboveAverage="0" equalAverage="0" bottom="0" percent="0" rank="0" text="" dxfId="2">
      <formula>40</formula>
    </cfRule>
    <cfRule type="cellIs" priority="597" operator="greaterThan" aboveAverage="0" equalAverage="0" bottom="0" percent="0" rank="0" text="" dxfId="3">
      <formula>45</formula>
    </cfRule>
  </conditionalFormatting>
  <conditionalFormatting sqref="X61">
    <cfRule type="cellIs" priority="598" operator="greaterThan" aboveAverage="0" equalAverage="0" bottom="0" percent="0" rank="0" text="" dxfId="2">
      <formula>55</formula>
    </cfRule>
    <cfRule type="cellIs" priority="599" operator="greaterThan" aboveAverage="0" equalAverage="0" bottom="0" percent="0" rank="0" text="" dxfId="3">
      <formula>65</formula>
    </cfRule>
  </conditionalFormatting>
  <conditionalFormatting sqref="Y61">
    <cfRule type="cellIs" priority="600" operator="greaterThan" aboveAverage="0" equalAverage="0" bottom="0" percent="0" rank="0" text="" dxfId="2">
      <formula>55</formula>
    </cfRule>
    <cfRule type="cellIs" priority="601" operator="greaterThan" aboveAverage="0" equalAverage="0" bottom="0" percent="0" rank="0" text="" dxfId="3">
      <formula>65</formula>
    </cfRule>
  </conditionalFormatting>
  <conditionalFormatting sqref="Z61">
    <cfRule type="cellIs" priority="602" operator="greaterThan" aboveAverage="0" equalAverage="0" bottom="0" percent="0" rank="0" text="" dxfId="2">
      <formula>55</formula>
    </cfRule>
    <cfRule type="cellIs" priority="603" operator="greaterThan" aboveAverage="0" equalAverage="0" bottom="0" percent="0" rank="0" text="" dxfId="3">
      <formula>65</formula>
    </cfRule>
  </conditionalFormatting>
  <conditionalFormatting sqref="AA61">
    <cfRule type="cellIs" priority="604" operator="greaterThan" aboveAverage="0" equalAverage="0" bottom="0" percent="0" rank="0" text="" dxfId="2">
      <formula>55</formula>
    </cfRule>
    <cfRule type="cellIs" priority="605" operator="greaterThan" aboveAverage="0" equalAverage="0" bottom="0" percent="0" rank="0" text="" dxfId="3">
      <formula>65</formula>
    </cfRule>
  </conditionalFormatting>
  <conditionalFormatting sqref="AB61">
    <cfRule type="cellIs" priority="606" operator="greaterThan" aboveAverage="0" equalAverage="0" bottom="0" percent="0" rank="0" text="" dxfId="2">
      <formula>55</formula>
    </cfRule>
    <cfRule type="cellIs" priority="607" operator="greaterThan" aboveAverage="0" equalAverage="0" bottom="0" percent="0" rank="0" text="" dxfId="3">
      <formula>65</formula>
    </cfRule>
  </conditionalFormatting>
  <conditionalFormatting sqref="AC61">
    <cfRule type="cellIs" priority="608" operator="greaterThan" aboveAverage="0" equalAverage="0" bottom="0" percent="0" rank="0" text="" dxfId="2">
      <formula>55</formula>
    </cfRule>
    <cfRule type="cellIs" priority="609" operator="greaterThan" aboveAverage="0" equalAverage="0" bottom="0" percent="0" rank="0" text="" dxfId="3">
      <formula>65</formula>
    </cfRule>
  </conditionalFormatting>
  <conditionalFormatting sqref="AD61">
    <cfRule type="cellIs" priority="610" operator="greaterThan" aboveAverage="0" equalAverage="0" bottom="0" percent="0" rank="0" text="" dxfId="2">
      <formula>55</formula>
    </cfRule>
    <cfRule type="cellIs" priority="611" operator="greaterThan" aboveAverage="0" equalAverage="0" bottom="0" percent="0" rank="0" text="" dxfId="3">
      <formula>65</formula>
    </cfRule>
  </conditionalFormatting>
  <conditionalFormatting sqref="AE61">
    <cfRule type="cellIs" priority="612" operator="greaterThan" aboveAverage="0" equalAverage="0" bottom="0" percent="0" rank="0" text="" dxfId="2">
      <formula>55</formula>
    </cfRule>
    <cfRule type="cellIs" priority="613" operator="greaterThan" aboveAverage="0" equalAverage="0" bottom="0" percent="0" rank="0" text="" dxfId="3">
      <formula>65</formula>
    </cfRule>
  </conditionalFormatting>
  <conditionalFormatting sqref="AF61">
    <cfRule type="cellIs" priority="614" operator="greaterThan" aboveAverage="0" equalAverage="0" bottom="0" percent="0" rank="0" text="" dxfId="2">
      <formula>40</formula>
    </cfRule>
    <cfRule type="cellIs" priority="615" operator="greaterThan" aboveAverage="0" equalAverage="0" bottom="0" percent="0" rank="0" text="" dxfId="3">
      <formula>45</formula>
    </cfRule>
  </conditionalFormatting>
  <conditionalFormatting sqref="AG61">
    <cfRule type="cellIs" priority="616" operator="greaterThan" aboveAverage="0" equalAverage="0" bottom="0" percent="0" rank="0" text="" dxfId="2">
      <formula>40</formula>
    </cfRule>
    <cfRule type="cellIs" priority="617" operator="greaterThan" aboveAverage="0" equalAverage="0" bottom="0" percent="0" rank="0" text="" dxfId="3">
      <formula>45</formula>
    </cfRule>
  </conditionalFormatting>
  <conditionalFormatting sqref="AH61">
    <cfRule type="cellIs" priority="618" operator="greaterThan" aboveAverage="0" equalAverage="0" bottom="0" percent="0" rank="0" text="" dxfId="2">
      <formula>40</formula>
    </cfRule>
    <cfRule type="cellIs" priority="619" operator="greaterThan" aboveAverage="0" equalAverage="0" bottom="0" percent="0" rank="0" text="" dxfId="3">
      <formula>45</formula>
    </cfRule>
  </conditionalFormatting>
  <conditionalFormatting sqref="AI61">
    <cfRule type="cellIs" priority="620" operator="greaterThan" aboveAverage="0" equalAverage="0" bottom="0" percent="0" rank="0" text="" dxfId="2">
      <formula>40</formula>
    </cfRule>
    <cfRule type="cellIs" priority="621" operator="greaterThan" aboveAverage="0" equalAverage="0" bottom="0" percent="0" rank="0" text="" dxfId="3">
      <formula>45</formula>
    </cfRule>
  </conditionalFormatting>
  <conditionalFormatting sqref="AJ61">
    <cfRule type="cellIs" priority="622" operator="greaterThan" aboveAverage="0" equalAverage="0" bottom="0" percent="0" rank="0" text="" dxfId="2">
      <formula>40</formula>
    </cfRule>
    <cfRule type="cellIs" priority="623" operator="greaterThan" aboveAverage="0" equalAverage="0" bottom="0" percent="0" rank="0" text="" dxfId="3">
      <formula>45</formula>
    </cfRule>
  </conditionalFormatting>
  <conditionalFormatting sqref="AK61">
    <cfRule type="cellIs" priority="624" operator="greaterThan" aboveAverage="0" equalAverage="0" bottom="0" percent="0" rank="0" text="" dxfId="2">
      <formula>40</formula>
    </cfRule>
    <cfRule type="cellIs" priority="625" operator="greaterThan" aboveAverage="0" equalAverage="0" bottom="0" percent="0" rank="0" text="" dxfId="3">
      <formula>45</formula>
    </cfRule>
  </conditionalFormatting>
  <conditionalFormatting sqref="AL61">
    <cfRule type="cellIs" priority="626" operator="greaterThan" aboveAverage="0" equalAverage="0" bottom="0" percent="0" rank="0" text="" dxfId="2">
      <formula>40</formula>
    </cfRule>
    <cfRule type="cellIs" priority="627" operator="greaterThan" aboveAverage="0" equalAverage="0" bottom="0" percent="0" rank="0" text="" dxfId="3">
      <formula>45</formula>
    </cfRule>
  </conditionalFormatting>
  <conditionalFormatting sqref="AM61">
    <cfRule type="cellIs" priority="628" operator="greaterThan" aboveAverage="0" equalAverage="0" bottom="0" percent="0" rank="0" text="" dxfId="2">
      <formula>40</formula>
    </cfRule>
    <cfRule type="cellIs" priority="629" operator="greaterThan" aboveAverage="0" equalAverage="0" bottom="0" percent="0" rank="0" text="" dxfId="3">
      <formula>45</formula>
    </cfRule>
  </conditionalFormatting>
  <conditionalFormatting sqref="AN61">
    <cfRule type="cellIs" priority="630" operator="greaterThan" aboveAverage="0" equalAverage="0" bottom="0" percent="0" rank="0" text="" dxfId="2">
      <formula>40</formula>
    </cfRule>
    <cfRule type="cellIs" priority="631" operator="greaterThan" aboveAverage="0" equalAverage="0" bottom="0" percent="0" rank="0" text="" dxfId="3">
      <formula>45</formula>
    </cfRule>
  </conditionalFormatting>
  <conditionalFormatting sqref="AO61">
    <cfRule type="cellIs" priority="632" operator="greaterThan" aboveAverage="0" equalAverage="0" bottom="0" percent="0" rank="0" text="" dxfId="2">
      <formula>40</formula>
    </cfRule>
    <cfRule type="cellIs" priority="633" operator="greaterThan" aboveAverage="0" equalAverage="0" bottom="0" percent="0" rank="0" text="" dxfId="3">
      <formula>45</formula>
    </cfRule>
  </conditionalFormatting>
  <conditionalFormatting sqref="AP61">
    <cfRule type="cellIs" priority="634" operator="greaterThan" aboveAverage="0" equalAverage="0" bottom="0" percent="0" rank="0" text="" dxfId="2">
      <formula>40</formula>
    </cfRule>
    <cfRule type="cellIs" priority="635" operator="greaterThan" aboveAverage="0" equalAverage="0" bottom="0" percent="0" rank="0" text="" dxfId="3">
      <formula>45</formula>
    </cfRule>
  </conditionalFormatting>
  <conditionalFormatting sqref="AQ61">
    <cfRule type="cellIs" priority="636" operator="greaterThan" aboveAverage="0" equalAverage="0" bottom="0" percent="0" rank="0" text="" dxfId="2">
      <formula>40</formula>
    </cfRule>
    <cfRule type="cellIs" priority="637" operator="greaterThan" aboveAverage="0" equalAverage="0" bottom="0" percent="0" rank="0" text="" dxfId="3">
      <formula>45</formula>
    </cfRule>
  </conditionalFormatting>
  <conditionalFormatting sqref="AR61">
    <cfRule type="cellIs" priority="638" operator="greaterThan" aboveAverage="0" equalAverage="0" bottom="0" percent="0" rank="0" text="" dxfId="2">
      <formula>40</formula>
    </cfRule>
    <cfRule type="cellIs" priority="639" operator="greaterThan" aboveAverage="0" equalAverage="0" bottom="0" percent="0" rank="0" text="" dxfId="3">
      <formula>45</formula>
    </cfRule>
  </conditionalFormatting>
  <conditionalFormatting sqref="AS61">
    <cfRule type="cellIs" priority="640" operator="greaterThan" aboveAverage="0" equalAverage="0" bottom="0" percent="0" rank="0" text="" dxfId="2">
      <formula>40</formula>
    </cfRule>
    <cfRule type="cellIs" priority="641" operator="greaterThan" aboveAverage="0" equalAverage="0" bottom="0" percent="0" rank="0" text="" dxfId="3">
      <formula>45</formula>
    </cfRule>
  </conditionalFormatting>
  <conditionalFormatting sqref="F74">
    <cfRule type="cellIs" priority="642" operator="greaterThan" aboveAverage="0" equalAverage="0" bottom="0" percent="0" rank="0" text="" dxfId="2">
      <formula>40</formula>
    </cfRule>
    <cfRule type="cellIs" priority="643" operator="greaterThan" aboveAverage="0" equalAverage="0" bottom="0" percent="0" rank="0" text="" dxfId="3">
      <formula>45</formula>
    </cfRule>
  </conditionalFormatting>
  <conditionalFormatting sqref="G74">
    <cfRule type="cellIs" priority="644" operator="greaterThan" aboveAverage="0" equalAverage="0" bottom="0" percent="0" rank="0" text="" dxfId="2">
      <formula>40</formula>
    </cfRule>
    <cfRule type="cellIs" priority="645" operator="greaterThan" aboveAverage="0" equalAverage="0" bottom="0" percent="0" rank="0" text="" dxfId="3">
      <formula>45</formula>
    </cfRule>
  </conditionalFormatting>
  <conditionalFormatting sqref="H74">
    <cfRule type="cellIs" priority="646" operator="greaterThan" aboveAverage="0" equalAverage="0" bottom="0" percent="0" rank="0" text="" dxfId="2">
      <formula>40</formula>
    </cfRule>
    <cfRule type="cellIs" priority="647" operator="greaterThan" aboveAverage="0" equalAverage="0" bottom="0" percent="0" rank="0" text="" dxfId="3">
      <formula>45</formula>
    </cfRule>
  </conditionalFormatting>
  <conditionalFormatting sqref="I74">
    <cfRule type="cellIs" priority="648" operator="greaterThan" aboveAverage="0" equalAverage="0" bottom="0" percent="0" rank="0" text="" dxfId="2">
      <formula>40</formula>
    </cfRule>
    <cfRule type="cellIs" priority="649" operator="greaterThan" aboveAverage="0" equalAverage="0" bottom="0" percent="0" rank="0" text="" dxfId="3">
      <formula>45</formula>
    </cfRule>
  </conditionalFormatting>
  <conditionalFormatting sqref="J74">
    <cfRule type="cellIs" priority="650" operator="greaterThan" aboveAverage="0" equalAverage="0" bottom="0" percent="0" rank="0" text="" dxfId="2">
      <formula>40</formula>
    </cfRule>
    <cfRule type="cellIs" priority="651" operator="greaterThan" aboveAverage="0" equalAverage="0" bottom="0" percent="0" rank="0" text="" dxfId="3">
      <formula>45</formula>
    </cfRule>
  </conditionalFormatting>
  <conditionalFormatting sqref="K74">
    <cfRule type="cellIs" priority="652" operator="greaterThan" aboveAverage="0" equalAverage="0" bottom="0" percent="0" rank="0" text="" dxfId="2">
      <formula>40</formula>
    </cfRule>
    <cfRule type="cellIs" priority="653" operator="greaterThan" aboveAverage="0" equalAverage="0" bottom="0" percent="0" rank="0" text="" dxfId="3">
      <formula>45</formula>
    </cfRule>
  </conditionalFormatting>
  <conditionalFormatting sqref="L74">
    <cfRule type="cellIs" priority="654" operator="greaterThan" aboveAverage="0" equalAverage="0" bottom="0" percent="0" rank="0" text="" dxfId="2">
      <formula>40</formula>
    </cfRule>
    <cfRule type="cellIs" priority="655" operator="greaterThan" aboveAverage="0" equalAverage="0" bottom="0" percent="0" rank="0" text="" dxfId="3">
      <formula>45</formula>
    </cfRule>
  </conditionalFormatting>
  <conditionalFormatting sqref="M74">
    <cfRule type="cellIs" priority="656" operator="greaterThan" aboveAverage="0" equalAverage="0" bottom="0" percent="0" rank="0" text="" dxfId="2">
      <formula>40</formula>
    </cfRule>
    <cfRule type="cellIs" priority="657" operator="greaterThan" aboveAverage="0" equalAverage="0" bottom="0" percent="0" rank="0" text="" dxfId="3">
      <formula>45</formula>
    </cfRule>
  </conditionalFormatting>
  <conditionalFormatting sqref="N74">
    <cfRule type="cellIs" priority="658" operator="greaterThan" aboveAverage="0" equalAverage="0" bottom="0" percent="0" rank="0" text="" dxfId="2">
      <formula>40</formula>
    </cfRule>
    <cfRule type="cellIs" priority="659" operator="greaterThan" aboveAverage="0" equalAverage="0" bottom="0" percent="0" rank="0" text="" dxfId="3">
      <formula>45</formula>
    </cfRule>
  </conditionalFormatting>
  <conditionalFormatting sqref="O74">
    <cfRule type="cellIs" priority="660" operator="greaterThan" aboveAverage="0" equalAverage="0" bottom="0" percent="0" rank="0" text="" dxfId="2">
      <formula>40</formula>
    </cfRule>
    <cfRule type="cellIs" priority="661" operator="greaterThan" aboveAverage="0" equalAverage="0" bottom="0" percent="0" rank="0" text="" dxfId="3">
      <formula>45</formula>
    </cfRule>
  </conditionalFormatting>
  <conditionalFormatting sqref="P74">
    <cfRule type="cellIs" priority="662" operator="greaterThan" aboveAverage="0" equalAverage="0" bottom="0" percent="0" rank="0" text="" dxfId="2">
      <formula>40</formula>
    </cfRule>
    <cfRule type="cellIs" priority="663" operator="greaterThan" aboveAverage="0" equalAverage="0" bottom="0" percent="0" rank="0" text="" dxfId="3">
      <formula>45</formula>
    </cfRule>
  </conditionalFormatting>
  <conditionalFormatting sqref="Q74">
    <cfRule type="cellIs" priority="664" operator="greaterThan" aboveAverage="0" equalAverage="0" bottom="0" percent="0" rank="0" text="" dxfId="2">
      <formula>40</formula>
    </cfRule>
    <cfRule type="cellIs" priority="665" operator="greaterThan" aboveAverage="0" equalAverage="0" bottom="0" percent="0" rank="0" text="" dxfId="3">
      <formula>45</formula>
    </cfRule>
  </conditionalFormatting>
  <conditionalFormatting sqref="R74">
    <cfRule type="cellIs" priority="666" operator="greaterThan" aboveAverage="0" equalAverage="0" bottom="0" percent="0" rank="0" text="" dxfId="2">
      <formula>40</formula>
    </cfRule>
    <cfRule type="cellIs" priority="667" operator="greaterThan" aboveAverage="0" equalAverage="0" bottom="0" percent="0" rank="0" text="" dxfId="3">
      <formula>45</formula>
    </cfRule>
  </conditionalFormatting>
  <conditionalFormatting sqref="S74">
    <cfRule type="cellIs" priority="668" operator="greaterThan" aboveAverage="0" equalAverage="0" bottom="0" percent="0" rank="0" text="" dxfId="2">
      <formula>40</formula>
    </cfRule>
    <cfRule type="cellIs" priority="669" operator="greaterThan" aboveAverage="0" equalAverage="0" bottom="0" percent="0" rank="0" text="" dxfId="3">
      <formula>45</formula>
    </cfRule>
  </conditionalFormatting>
  <conditionalFormatting sqref="T74">
    <cfRule type="cellIs" priority="670" operator="greaterThan" aboveAverage="0" equalAverage="0" bottom="0" percent="0" rank="0" text="" dxfId="2">
      <formula>40</formula>
    </cfRule>
    <cfRule type="cellIs" priority="671" operator="greaterThan" aboveAverage="0" equalAverage="0" bottom="0" percent="0" rank="0" text="" dxfId="3">
      <formula>45</formula>
    </cfRule>
  </conditionalFormatting>
  <conditionalFormatting sqref="U74">
    <cfRule type="cellIs" priority="672" operator="greaterThan" aboveAverage="0" equalAverage="0" bottom="0" percent="0" rank="0" text="" dxfId="2">
      <formula>40</formula>
    </cfRule>
    <cfRule type="cellIs" priority="673" operator="greaterThan" aboveAverage="0" equalAverage="0" bottom="0" percent="0" rank="0" text="" dxfId="3">
      <formula>45</formula>
    </cfRule>
  </conditionalFormatting>
  <conditionalFormatting sqref="V74">
    <cfRule type="cellIs" priority="674" operator="greaterThan" aboveAverage="0" equalAverage="0" bottom="0" percent="0" rank="0" text="" dxfId="2">
      <formula>40</formula>
    </cfRule>
    <cfRule type="cellIs" priority="675" operator="greaterThan" aboveAverage="0" equalAverage="0" bottom="0" percent="0" rank="0" text="" dxfId="3">
      <formula>45</formula>
    </cfRule>
  </conditionalFormatting>
  <conditionalFormatting sqref="W74">
    <cfRule type="cellIs" priority="676" operator="greaterThan" aboveAverage="0" equalAverage="0" bottom="0" percent="0" rank="0" text="" dxfId="2">
      <formula>40</formula>
    </cfRule>
    <cfRule type="cellIs" priority="677" operator="greaterThan" aboveAverage="0" equalAverage="0" bottom="0" percent="0" rank="0" text="" dxfId="3">
      <formula>45</formula>
    </cfRule>
  </conditionalFormatting>
  <conditionalFormatting sqref="X74">
    <cfRule type="cellIs" priority="678" operator="greaterThan" aboveAverage="0" equalAverage="0" bottom="0" percent="0" rank="0" text="" dxfId="2">
      <formula>55</formula>
    </cfRule>
    <cfRule type="cellIs" priority="679" operator="greaterThan" aboveAverage="0" equalAverage="0" bottom="0" percent="0" rank="0" text="" dxfId="3">
      <formula>65</formula>
    </cfRule>
  </conditionalFormatting>
  <conditionalFormatting sqref="Y74">
    <cfRule type="cellIs" priority="680" operator="greaterThan" aboveAverage="0" equalAverage="0" bottom="0" percent="0" rank="0" text="" dxfId="2">
      <formula>55</formula>
    </cfRule>
    <cfRule type="cellIs" priority="681" operator="greaterThan" aboveAverage="0" equalAverage="0" bottom="0" percent="0" rank="0" text="" dxfId="3">
      <formula>65</formula>
    </cfRule>
  </conditionalFormatting>
  <conditionalFormatting sqref="Z74">
    <cfRule type="cellIs" priority="682" operator="greaterThan" aboveAverage="0" equalAverage="0" bottom="0" percent="0" rank="0" text="" dxfId="2">
      <formula>55</formula>
    </cfRule>
    <cfRule type="cellIs" priority="683" operator="greaterThan" aboveAverage="0" equalAverage="0" bottom="0" percent="0" rank="0" text="" dxfId="3">
      <formula>65</formula>
    </cfRule>
  </conditionalFormatting>
  <conditionalFormatting sqref="AA74">
    <cfRule type="cellIs" priority="684" operator="greaterThan" aboveAverage="0" equalAverage="0" bottom="0" percent="0" rank="0" text="" dxfId="2">
      <formula>55</formula>
    </cfRule>
    <cfRule type="cellIs" priority="685" operator="greaterThan" aboveAverage="0" equalAverage="0" bottom="0" percent="0" rank="0" text="" dxfId="3">
      <formula>65</formula>
    </cfRule>
  </conditionalFormatting>
  <conditionalFormatting sqref="AB74">
    <cfRule type="cellIs" priority="686" operator="greaterThan" aboveAverage="0" equalAverage="0" bottom="0" percent="0" rank="0" text="" dxfId="2">
      <formula>55</formula>
    </cfRule>
    <cfRule type="cellIs" priority="687" operator="greaterThan" aboveAverage="0" equalAverage="0" bottom="0" percent="0" rank="0" text="" dxfId="3">
      <formula>65</formula>
    </cfRule>
  </conditionalFormatting>
  <conditionalFormatting sqref="AC74">
    <cfRule type="cellIs" priority="688" operator="greaterThan" aboveAverage="0" equalAverage="0" bottom="0" percent="0" rank="0" text="" dxfId="2">
      <formula>55</formula>
    </cfRule>
    <cfRule type="cellIs" priority="689" operator="greaterThan" aboveAverage="0" equalAverage="0" bottom="0" percent="0" rank="0" text="" dxfId="3">
      <formula>65</formula>
    </cfRule>
  </conditionalFormatting>
  <conditionalFormatting sqref="AD74">
    <cfRule type="cellIs" priority="690" operator="greaterThan" aboveAverage="0" equalAverage="0" bottom="0" percent="0" rank="0" text="" dxfId="2">
      <formula>55</formula>
    </cfRule>
    <cfRule type="cellIs" priority="691" operator="greaterThan" aboveAverage="0" equalAverage="0" bottom="0" percent="0" rank="0" text="" dxfId="3">
      <formula>65</formula>
    </cfRule>
  </conditionalFormatting>
  <conditionalFormatting sqref="AE74">
    <cfRule type="cellIs" priority="692" operator="greaterThan" aboveAverage="0" equalAverage="0" bottom="0" percent="0" rank="0" text="" dxfId="2">
      <formula>55</formula>
    </cfRule>
    <cfRule type="cellIs" priority="693" operator="greaterThan" aboveAverage="0" equalAverage="0" bottom="0" percent="0" rank="0" text="" dxfId="3">
      <formula>65</formula>
    </cfRule>
  </conditionalFormatting>
  <conditionalFormatting sqref="AF74">
    <cfRule type="cellIs" priority="694" operator="greaterThan" aboveAverage="0" equalAverage="0" bottom="0" percent="0" rank="0" text="" dxfId="2">
      <formula>40</formula>
    </cfRule>
    <cfRule type="cellIs" priority="695" operator="greaterThan" aboveAverage="0" equalAverage="0" bottom="0" percent="0" rank="0" text="" dxfId="3">
      <formula>45</formula>
    </cfRule>
  </conditionalFormatting>
  <conditionalFormatting sqref="AG74">
    <cfRule type="cellIs" priority="696" operator="greaterThan" aboveAverage="0" equalAverage="0" bottom="0" percent="0" rank="0" text="" dxfId="2">
      <formula>40</formula>
    </cfRule>
    <cfRule type="cellIs" priority="697" operator="greaterThan" aboveAverage="0" equalAverage="0" bottom="0" percent="0" rank="0" text="" dxfId="3">
      <formula>45</formula>
    </cfRule>
  </conditionalFormatting>
  <conditionalFormatting sqref="AH74">
    <cfRule type="cellIs" priority="698" operator="greaterThan" aboveAverage="0" equalAverage="0" bottom="0" percent="0" rank="0" text="" dxfId="2">
      <formula>40</formula>
    </cfRule>
    <cfRule type="cellIs" priority="699" operator="greaterThan" aboveAverage="0" equalAverage="0" bottom="0" percent="0" rank="0" text="" dxfId="3">
      <formula>45</formula>
    </cfRule>
  </conditionalFormatting>
  <conditionalFormatting sqref="AI74">
    <cfRule type="cellIs" priority="700" operator="greaterThan" aboveAverage="0" equalAverage="0" bottom="0" percent="0" rank="0" text="" dxfId="2">
      <formula>40</formula>
    </cfRule>
    <cfRule type="cellIs" priority="701" operator="greaterThan" aboveAverage="0" equalAverage="0" bottom="0" percent="0" rank="0" text="" dxfId="3">
      <formula>45</formula>
    </cfRule>
  </conditionalFormatting>
  <conditionalFormatting sqref="AJ74">
    <cfRule type="cellIs" priority="702" operator="greaterThan" aboveAverage="0" equalAverage="0" bottom="0" percent="0" rank="0" text="" dxfId="2">
      <formula>40</formula>
    </cfRule>
    <cfRule type="cellIs" priority="703" operator="greaterThan" aboveAverage="0" equalAverage="0" bottom="0" percent="0" rank="0" text="" dxfId="3">
      <formula>45</formula>
    </cfRule>
  </conditionalFormatting>
  <conditionalFormatting sqref="AK74">
    <cfRule type="cellIs" priority="704" operator="greaterThan" aboveAverage="0" equalAverage="0" bottom="0" percent="0" rank="0" text="" dxfId="2">
      <formula>40</formula>
    </cfRule>
    <cfRule type="cellIs" priority="705" operator="greaterThan" aboveAverage="0" equalAverage="0" bottom="0" percent="0" rank="0" text="" dxfId="3">
      <formula>45</formula>
    </cfRule>
  </conditionalFormatting>
  <conditionalFormatting sqref="AL74">
    <cfRule type="cellIs" priority="706" operator="greaterThan" aboveAverage="0" equalAverage="0" bottom="0" percent="0" rank="0" text="" dxfId="2">
      <formula>40</formula>
    </cfRule>
    <cfRule type="cellIs" priority="707" operator="greaterThan" aboveAverage="0" equalAverage="0" bottom="0" percent="0" rank="0" text="" dxfId="3">
      <formula>45</formula>
    </cfRule>
  </conditionalFormatting>
  <conditionalFormatting sqref="AM74">
    <cfRule type="cellIs" priority="708" operator="greaterThan" aboveAverage="0" equalAverage="0" bottom="0" percent="0" rank="0" text="" dxfId="2">
      <formula>40</formula>
    </cfRule>
    <cfRule type="cellIs" priority="709" operator="greaterThan" aboveAverage="0" equalAverage="0" bottom="0" percent="0" rank="0" text="" dxfId="3">
      <formula>45</formula>
    </cfRule>
  </conditionalFormatting>
  <conditionalFormatting sqref="AN74">
    <cfRule type="cellIs" priority="710" operator="greaterThan" aboveAverage="0" equalAverage="0" bottom="0" percent="0" rank="0" text="" dxfId="2">
      <formula>40</formula>
    </cfRule>
    <cfRule type="cellIs" priority="711" operator="greaterThan" aboveAverage="0" equalAverage="0" bottom="0" percent="0" rank="0" text="" dxfId="3">
      <formula>45</formula>
    </cfRule>
  </conditionalFormatting>
  <conditionalFormatting sqref="AO74">
    <cfRule type="cellIs" priority="712" operator="greaterThan" aboveAverage="0" equalAverage="0" bottom="0" percent="0" rank="0" text="" dxfId="2">
      <formula>40</formula>
    </cfRule>
    <cfRule type="cellIs" priority="713" operator="greaterThan" aboveAverage="0" equalAverage="0" bottom="0" percent="0" rank="0" text="" dxfId="3">
      <formula>45</formula>
    </cfRule>
  </conditionalFormatting>
  <conditionalFormatting sqref="AP74">
    <cfRule type="cellIs" priority="714" operator="greaterThan" aboveAverage="0" equalAverage="0" bottom="0" percent="0" rank="0" text="" dxfId="2">
      <formula>40</formula>
    </cfRule>
    <cfRule type="cellIs" priority="715" operator="greaterThan" aboveAverage="0" equalAverage="0" bottom="0" percent="0" rank="0" text="" dxfId="3">
      <formula>45</formula>
    </cfRule>
  </conditionalFormatting>
  <conditionalFormatting sqref="AQ74">
    <cfRule type="cellIs" priority="716" operator="greaterThan" aboveAverage="0" equalAverage="0" bottom="0" percent="0" rank="0" text="" dxfId="2">
      <formula>40</formula>
    </cfRule>
    <cfRule type="cellIs" priority="717" operator="greaterThan" aboveAverage="0" equalAverage="0" bottom="0" percent="0" rank="0" text="" dxfId="3">
      <formula>45</formula>
    </cfRule>
  </conditionalFormatting>
  <conditionalFormatting sqref="AR74">
    <cfRule type="cellIs" priority="718" operator="greaterThan" aboveAverage="0" equalAverage="0" bottom="0" percent="0" rank="0" text="" dxfId="2">
      <formula>40</formula>
    </cfRule>
    <cfRule type="cellIs" priority="719" operator="greaterThan" aboveAverage="0" equalAverage="0" bottom="0" percent="0" rank="0" text="" dxfId="3">
      <formula>45</formula>
    </cfRule>
  </conditionalFormatting>
  <conditionalFormatting sqref="AS74">
    <cfRule type="cellIs" priority="720" operator="greaterThan" aboveAverage="0" equalAverage="0" bottom="0" percent="0" rank="0" text="" dxfId="2">
      <formula>40</formula>
    </cfRule>
    <cfRule type="cellIs" priority="721" operator="greaterThan" aboveAverage="0" equalAverage="0" bottom="0" percent="0" rank="0" text="" dxfId="3">
      <formula>45</formula>
    </cfRule>
  </conditionalFormatting>
  <conditionalFormatting sqref="F76">
    <cfRule type="cellIs" priority="722" operator="greaterThan" aboveAverage="0" equalAverage="0" bottom="0" percent="0" rank="0" text="" dxfId="2">
      <formula>40</formula>
    </cfRule>
    <cfRule type="cellIs" priority="723" operator="greaterThan" aboveAverage="0" equalAverage="0" bottom="0" percent="0" rank="0" text="" dxfId="3">
      <formula>45</formula>
    </cfRule>
  </conditionalFormatting>
  <conditionalFormatting sqref="G76">
    <cfRule type="cellIs" priority="724" operator="greaterThan" aboveAverage="0" equalAverage="0" bottom="0" percent="0" rank="0" text="" dxfId="2">
      <formula>40</formula>
    </cfRule>
    <cfRule type="cellIs" priority="725" operator="greaterThan" aboveAverage="0" equalAverage="0" bottom="0" percent="0" rank="0" text="" dxfId="3">
      <formula>45</formula>
    </cfRule>
  </conditionalFormatting>
  <conditionalFormatting sqref="H76">
    <cfRule type="cellIs" priority="726" operator="greaterThan" aboveAverage="0" equalAverage="0" bottom="0" percent="0" rank="0" text="" dxfId="2">
      <formula>40</formula>
    </cfRule>
    <cfRule type="cellIs" priority="727" operator="greaterThan" aboveAverage="0" equalAverage="0" bottom="0" percent="0" rank="0" text="" dxfId="3">
      <formula>45</formula>
    </cfRule>
  </conditionalFormatting>
  <conditionalFormatting sqref="I76">
    <cfRule type="cellIs" priority="728" operator="greaterThan" aboveAverage="0" equalAverage="0" bottom="0" percent="0" rank="0" text="" dxfId="2">
      <formula>40</formula>
    </cfRule>
    <cfRule type="cellIs" priority="729" operator="greaterThan" aboveAverage="0" equalAverage="0" bottom="0" percent="0" rank="0" text="" dxfId="3">
      <formula>45</formula>
    </cfRule>
  </conditionalFormatting>
  <conditionalFormatting sqref="J76">
    <cfRule type="cellIs" priority="730" operator="greaterThan" aboveAverage="0" equalAverage="0" bottom="0" percent="0" rank="0" text="" dxfId="2">
      <formula>40</formula>
    </cfRule>
    <cfRule type="cellIs" priority="731" operator="greaterThan" aboveAverage="0" equalAverage="0" bottom="0" percent="0" rank="0" text="" dxfId="3">
      <formula>45</formula>
    </cfRule>
  </conditionalFormatting>
  <conditionalFormatting sqref="K76">
    <cfRule type="cellIs" priority="732" operator="greaterThan" aboveAverage="0" equalAverage="0" bottom="0" percent="0" rank="0" text="" dxfId="2">
      <formula>40</formula>
    </cfRule>
    <cfRule type="cellIs" priority="733" operator="greaterThan" aboveAverage="0" equalAverage="0" bottom="0" percent="0" rank="0" text="" dxfId="3">
      <formula>45</formula>
    </cfRule>
  </conditionalFormatting>
  <conditionalFormatting sqref="L76">
    <cfRule type="cellIs" priority="734" operator="greaterThan" aboveAverage="0" equalAverage="0" bottom="0" percent="0" rank="0" text="" dxfId="2">
      <formula>40</formula>
    </cfRule>
    <cfRule type="cellIs" priority="735" operator="greaterThan" aboveAverage="0" equalAverage="0" bottom="0" percent="0" rank="0" text="" dxfId="3">
      <formula>45</formula>
    </cfRule>
  </conditionalFormatting>
  <conditionalFormatting sqref="M76">
    <cfRule type="cellIs" priority="736" operator="greaterThan" aboveAverage="0" equalAverage="0" bottom="0" percent="0" rank="0" text="" dxfId="2">
      <formula>40</formula>
    </cfRule>
    <cfRule type="cellIs" priority="737" operator="greaterThan" aboveAverage="0" equalAverage="0" bottom="0" percent="0" rank="0" text="" dxfId="3">
      <formula>45</formula>
    </cfRule>
  </conditionalFormatting>
  <conditionalFormatting sqref="N76">
    <cfRule type="cellIs" priority="738" operator="greaterThan" aboveAverage="0" equalAverage="0" bottom="0" percent="0" rank="0" text="" dxfId="2">
      <formula>40</formula>
    </cfRule>
    <cfRule type="cellIs" priority="739" operator="greaterThan" aboveAverage="0" equalAverage="0" bottom="0" percent="0" rank="0" text="" dxfId="3">
      <formula>45</formula>
    </cfRule>
  </conditionalFormatting>
  <conditionalFormatting sqref="O76">
    <cfRule type="cellIs" priority="740" operator="greaterThan" aboveAverage="0" equalAverage="0" bottom="0" percent="0" rank="0" text="" dxfId="2">
      <formula>40</formula>
    </cfRule>
    <cfRule type="cellIs" priority="741" operator="greaterThan" aboveAverage="0" equalAverage="0" bottom="0" percent="0" rank="0" text="" dxfId="3">
      <formula>45</formula>
    </cfRule>
  </conditionalFormatting>
  <conditionalFormatting sqref="P76">
    <cfRule type="cellIs" priority="742" operator="greaterThan" aboveAverage="0" equalAverage="0" bottom="0" percent="0" rank="0" text="" dxfId="2">
      <formula>40</formula>
    </cfRule>
    <cfRule type="cellIs" priority="743" operator="greaterThan" aboveAverage="0" equalAverage="0" bottom="0" percent="0" rank="0" text="" dxfId="3">
      <formula>45</formula>
    </cfRule>
  </conditionalFormatting>
  <conditionalFormatting sqref="Q76">
    <cfRule type="cellIs" priority="744" operator="greaterThan" aboveAverage="0" equalAverage="0" bottom="0" percent="0" rank="0" text="" dxfId="2">
      <formula>40</formula>
    </cfRule>
    <cfRule type="cellIs" priority="745" operator="greaterThan" aboveAverage="0" equalAverage="0" bottom="0" percent="0" rank="0" text="" dxfId="3">
      <formula>45</formula>
    </cfRule>
  </conditionalFormatting>
  <conditionalFormatting sqref="R76">
    <cfRule type="cellIs" priority="746" operator="greaterThan" aboveAverage="0" equalAverage="0" bottom="0" percent="0" rank="0" text="" dxfId="2">
      <formula>40</formula>
    </cfRule>
    <cfRule type="cellIs" priority="747" operator="greaterThan" aboveAverage="0" equalAverage="0" bottom="0" percent="0" rank="0" text="" dxfId="3">
      <formula>45</formula>
    </cfRule>
  </conditionalFormatting>
  <conditionalFormatting sqref="S76">
    <cfRule type="cellIs" priority="748" operator="greaterThan" aboveAverage="0" equalAverage="0" bottom="0" percent="0" rank="0" text="" dxfId="2">
      <formula>40</formula>
    </cfRule>
    <cfRule type="cellIs" priority="749" operator="greaterThan" aboveAverage="0" equalAverage="0" bottom="0" percent="0" rank="0" text="" dxfId="3">
      <formula>45</formula>
    </cfRule>
  </conditionalFormatting>
  <conditionalFormatting sqref="T76">
    <cfRule type="cellIs" priority="750" operator="greaterThan" aboveAverage="0" equalAverage="0" bottom="0" percent="0" rank="0" text="" dxfId="2">
      <formula>40</formula>
    </cfRule>
    <cfRule type="cellIs" priority="751" operator="greaterThan" aboveAverage="0" equalAverage="0" bottom="0" percent="0" rank="0" text="" dxfId="3">
      <formula>45</formula>
    </cfRule>
  </conditionalFormatting>
  <conditionalFormatting sqref="U76">
    <cfRule type="cellIs" priority="752" operator="greaterThan" aboveAverage="0" equalAverage="0" bottom="0" percent="0" rank="0" text="" dxfId="2">
      <formula>40</formula>
    </cfRule>
    <cfRule type="cellIs" priority="753" operator="greaterThan" aboveAverage="0" equalAverage="0" bottom="0" percent="0" rank="0" text="" dxfId="3">
      <formula>45</formula>
    </cfRule>
  </conditionalFormatting>
  <conditionalFormatting sqref="V76">
    <cfRule type="cellIs" priority="754" operator="greaterThan" aboveAverage="0" equalAverage="0" bottom="0" percent="0" rank="0" text="" dxfId="2">
      <formula>40</formula>
    </cfRule>
    <cfRule type="cellIs" priority="755" operator="greaterThan" aboveAverage="0" equalAverage="0" bottom="0" percent="0" rank="0" text="" dxfId="3">
      <formula>45</formula>
    </cfRule>
  </conditionalFormatting>
  <conditionalFormatting sqref="W76">
    <cfRule type="cellIs" priority="756" operator="greaterThan" aboveAverage="0" equalAverage="0" bottom="0" percent="0" rank="0" text="" dxfId="2">
      <formula>40</formula>
    </cfRule>
    <cfRule type="cellIs" priority="757" operator="greaterThan" aboveAverage="0" equalAverage="0" bottom="0" percent="0" rank="0" text="" dxfId="3">
      <formula>45</formula>
    </cfRule>
  </conditionalFormatting>
  <conditionalFormatting sqref="X76">
    <cfRule type="cellIs" priority="758" operator="greaterThan" aboveAverage="0" equalAverage="0" bottom="0" percent="0" rank="0" text="" dxfId="2">
      <formula>55</formula>
    </cfRule>
    <cfRule type="cellIs" priority="759" operator="greaterThan" aboveAverage="0" equalAverage="0" bottom="0" percent="0" rank="0" text="" dxfId="3">
      <formula>65</formula>
    </cfRule>
  </conditionalFormatting>
  <conditionalFormatting sqref="Y76">
    <cfRule type="cellIs" priority="760" operator="greaterThan" aboveAverage="0" equalAverage="0" bottom="0" percent="0" rank="0" text="" dxfId="2">
      <formula>55</formula>
    </cfRule>
    <cfRule type="cellIs" priority="761" operator="greaterThan" aboveAverage="0" equalAverage="0" bottom="0" percent="0" rank="0" text="" dxfId="3">
      <formula>65</formula>
    </cfRule>
  </conditionalFormatting>
  <conditionalFormatting sqref="Z76">
    <cfRule type="cellIs" priority="762" operator="greaterThan" aboveAverage="0" equalAverage="0" bottom="0" percent="0" rank="0" text="" dxfId="2">
      <formula>55</formula>
    </cfRule>
    <cfRule type="cellIs" priority="763" operator="greaterThan" aboveAverage="0" equalAverage="0" bottom="0" percent="0" rank="0" text="" dxfId="3">
      <formula>65</formula>
    </cfRule>
  </conditionalFormatting>
  <conditionalFormatting sqref="AA76">
    <cfRule type="cellIs" priority="764" operator="greaterThan" aboveAverage="0" equalAverage="0" bottom="0" percent="0" rank="0" text="" dxfId="2">
      <formula>55</formula>
    </cfRule>
    <cfRule type="cellIs" priority="765" operator="greaterThan" aboveAverage="0" equalAverage="0" bottom="0" percent="0" rank="0" text="" dxfId="3">
      <formula>65</formula>
    </cfRule>
  </conditionalFormatting>
  <conditionalFormatting sqref="AB76">
    <cfRule type="cellIs" priority="766" operator="greaterThan" aboveAverage="0" equalAverage="0" bottom="0" percent="0" rank="0" text="" dxfId="2">
      <formula>55</formula>
    </cfRule>
    <cfRule type="cellIs" priority="767" operator="greaterThan" aboveAverage="0" equalAverage="0" bottom="0" percent="0" rank="0" text="" dxfId="3">
      <formula>65</formula>
    </cfRule>
  </conditionalFormatting>
  <conditionalFormatting sqref="AC76">
    <cfRule type="cellIs" priority="768" operator="greaterThan" aboveAverage="0" equalAverage="0" bottom="0" percent="0" rank="0" text="" dxfId="2">
      <formula>55</formula>
    </cfRule>
    <cfRule type="cellIs" priority="769" operator="greaterThan" aboveAverage="0" equalAverage="0" bottom="0" percent="0" rank="0" text="" dxfId="3">
      <formula>65</formula>
    </cfRule>
  </conditionalFormatting>
  <conditionalFormatting sqref="AD76">
    <cfRule type="cellIs" priority="770" operator="greaterThan" aboveAverage="0" equalAverage="0" bottom="0" percent="0" rank="0" text="" dxfId="2">
      <formula>55</formula>
    </cfRule>
    <cfRule type="cellIs" priority="771" operator="greaterThan" aboveAverage="0" equalAverage="0" bottom="0" percent="0" rank="0" text="" dxfId="3">
      <formula>65</formula>
    </cfRule>
  </conditionalFormatting>
  <conditionalFormatting sqref="AE76">
    <cfRule type="cellIs" priority="772" operator="greaterThan" aboveAverage="0" equalAverage="0" bottom="0" percent="0" rank="0" text="" dxfId="2">
      <formula>55</formula>
    </cfRule>
    <cfRule type="cellIs" priority="773" operator="greaterThan" aboveAverage="0" equalAverage="0" bottom="0" percent="0" rank="0" text="" dxfId="3">
      <formula>65</formula>
    </cfRule>
  </conditionalFormatting>
  <conditionalFormatting sqref="AF76">
    <cfRule type="cellIs" priority="774" operator="greaterThan" aboveAverage="0" equalAverage="0" bottom="0" percent="0" rank="0" text="" dxfId="2">
      <formula>40</formula>
    </cfRule>
    <cfRule type="cellIs" priority="775" operator="greaterThan" aboveAverage="0" equalAverage="0" bottom="0" percent="0" rank="0" text="" dxfId="3">
      <formula>45</formula>
    </cfRule>
  </conditionalFormatting>
  <conditionalFormatting sqref="AG76">
    <cfRule type="cellIs" priority="776" operator="greaterThan" aboveAverage="0" equalAverage="0" bottom="0" percent="0" rank="0" text="" dxfId="2">
      <formula>40</formula>
    </cfRule>
    <cfRule type="cellIs" priority="777" operator="greaterThan" aboveAverage="0" equalAverage="0" bottom="0" percent="0" rank="0" text="" dxfId="3">
      <formula>45</formula>
    </cfRule>
  </conditionalFormatting>
  <conditionalFormatting sqref="AH76">
    <cfRule type="cellIs" priority="778" operator="greaterThan" aboveAverage="0" equalAverage="0" bottom="0" percent="0" rank="0" text="" dxfId="2">
      <formula>40</formula>
    </cfRule>
    <cfRule type="cellIs" priority="779" operator="greaterThan" aboveAverage="0" equalAverage="0" bottom="0" percent="0" rank="0" text="" dxfId="3">
      <formula>45</formula>
    </cfRule>
  </conditionalFormatting>
  <conditionalFormatting sqref="AI76">
    <cfRule type="cellIs" priority="780" operator="greaterThan" aboveAverage="0" equalAverage="0" bottom="0" percent="0" rank="0" text="" dxfId="2">
      <formula>40</formula>
    </cfRule>
    <cfRule type="cellIs" priority="781" operator="greaterThan" aboveAverage="0" equalAverage="0" bottom="0" percent="0" rank="0" text="" dxfId="3">
      <formula>45</formula>
    </cfRule>
  </conditionalFormatting>
  <conditionalFormatting sqref="AJ76">
    <cfRule type="cellIs" priority="782" operator="greaterThan" aboveAverage="0" equalAverage="0" bottom="0" percent="0" rank="0" text="" dxfId="2">
      <formula>40</formula>
    </cfRule>
    <cfRule type="cellIs" priority="783" operator="greaterThan" aboveAverage="0" equalAverage="0" bottom="0" percent="0" rank="0" text="" dxfId="3">
      <formula>45</formula>
    </cfRule>
  </conditionalFormatting>
  <conditionalFormatting sqref="AK76">
    <cfRule type="cellIs" priority="784" operator="greaterThan" aboveAverage="0" equalAverage="0" bottom="0" percent="0" rank="0" text="" dxfId="2">
      <formula>40</formula>
    </cfRule>
    <cfRule type="cellIs" priority="785" operator="greaterThan" aboveAverage="0" equalAverage="0" bottom="0" percent="0" rank="0" text="" dxfId="3">
      <formula>45</formula>
    </cfRule>
  </conditionalFormatting>
  <conditionalFormatting sqref="AL76">
    <cfRule type="cellIs" priority="786" operator="greaterThan" aboveAverage="0" equalAverage="0" bottom="0" percent="0" rank="0" text="" dxfId="2">
      <formula>40</formula>
    </cfRule>
    <cfRule type="cellIs" priority="787" operator="greaterThan" aboveAverage="0" equalAverage="0" bottom="0" percent="0" rank="0" text="" dxfId="3">
      <formula>45</formula>
    </cfRule>
  </conditionalFormatting>
  <conditionalFormatting sqref="AM76">
    <cfRule type="cellIs" priority="788" operator="greaterThan" aboveAverage="0" equalAverage="0" bottom="0" percent="0" rank="0" text="" dxfId="2">
      <formula>40</formula>
    </cfRule>
    <cfRule type="cellIs" priority="789" operator="greaterThan" aboveAverage="0" equalAverage="0" bottom="0" percent="0" rank="0" text="" dxfId="3">
      <formula>45</formula>
    </cfRule>
  </conditionalFormatting>
  <conditionalFormatting sqref="AN76">
    <cfRule type="cellIs" priority="790" operator="greaterThan" aboveAverage="0" equalAverage="0" bottom="0" percent="0" rank="0" text="" dxfId="2">
      <formula>40</formula>
    </cfRule>
    <cfRule type="cellIs" priority="791" operator="greaterThan" aboveAverage="0" equalAverage="0" bottom="0" percent="0" rank="0" text="" dxfId="3">
      <formula>45</formula>
    </cfRule>
  </conditionalFormatting>
  <conditionalFormatting sqref="AO76">
    <cfRule type="cellIs" priority="792" operator="greaterThan" aboveAverage="0" equalAverage="0" bottom="0" percent="0" rank="0" text="" dxfId="2">
      <formula>40</formula>
    </cfRule>
    <cfRule type="cellIs" priority="793" operator="greaterThan" aboveAverage="0" equalAverage="0" bottom="0" percent="0" rank="0" text="" dxfId="3">
      <formula>45</formula>
    </cfRule>
  </conditionalFormatting>
  <conditionalFormatting sqref="AP76">
    <cfRule type="cellIs" priority="794" operator="greaterThan" aboveAverage="0" equalAverage="0" bottom="0" percent="0" rank="0" text="" dxfId="2">
      <formula>40</formula>
    </cfRule>
    <cfRule type="cellIs" priority="795" operator="greaterThan" aboveAverage="0" equalAverage="0" bottom="0" percent="0" rank="0" text="" dxfId="3">
      <formula>45</formula>
    </cfRule>
  </conditionalFormatting>
  <conditionalFormatting sqref="AQ76">
    <cfRule type="cellIs" priority="796" operator="greaterThan" aboveAverage="0" equalAverage="0" bottom="0" percent="0" rank="0" text="" dxfId="2">
      <formula>40</formula>
    </cfRule>
    <cfRule type="cellIs" priority="797" operator="greaterThan" aboveAverage="0" equalAverage="0" bottom="0" percent="0" rank="0" text="" dxfId="3">
      <formula>45</formula>
    </cfRule>
  </conditionalFormatting>
  <conditionalFormatting sqref="AR76">
    <cfRule type="cellIs" priority="798" operator="greaterThan" aboveAverage="0" equalAverage="0" bottom="0" percent="0" rank="0" text="" dxfId="2">
      <formula>40</formula>
    </cfRule>
    <cfRule type="cellIs" priority="799" operator="greaterThan" aboveAverage="0" equalAverage="0" bottom="0" percent="0" rank="0" text="" dxfId="3">
      <formula>45</formula>
    </cfRule>
  </conditionalFormatting>
  <conditionalFormatting sqref="AS76">
    <cfRule type="cellIs" priority="800" operator="greaterThan" aboveAverage="0" equalAverage="0" bottom="0" percent="0" rank="0" text="" dxfId="2">
      <formula>40</formula>
    </cfRule>
    <cfRule type="cellIs" priority="801" operator="greaterThan" aboveAverage="0" equalAverage="0" bottom="0" percent="0" rank="0" text="" dxfId="3">
      <formula>45</formula>
    </cfRule>
  </conditionalFormatting>
  <conditionalFormatting sqref="F86">
    <cfRule type="cellIs" priority="802" operator="greaterThan" aboveAverage="0" equalAverage="0" bottom="0" percent="0" rank="0" text="" dxfId="2">
      <formula>40</formula>
    </cfRule>
    <cfRule type="cellIs" priority="803" operator="greaterThan" aboveAverage="0" equalAverage="0" bottom="0" percent="0" rank="0" text="" dxfId="3">
      <formula>45</formula>
    </cfRule>
  </conditionalFormatting>
  <conditionalFormatting sqref="G86">
    <cfRule type="cellIs" priority="804" operator="greaterThan" aboveAverage="0" equalAverage="0" bottom="0" percent="0" rank="0" text="" dxfId="2">
      <formula>40</formula>
    </cfRule>
    <cfRule type="cellIs" priority="805" operator="greaterThan" aboveAverage="0" equalAverage="0" bottom="0" percent="0" rank="0" text="" dxfId="3">
      <formula>45</formula>
    </cfRule>
  </conditionalFormatting>
  <conditionalFormatting sqref="H86">
    <cfRule type="cellIs" priority="806" operator="greaterThan" aboveAverage="0" equalAverage="0" bottom="0" percent="0" rank="0" text="" dxfId="2">
      <formula>40</formula>
    </cfRule>
    <cfRule type="cellIs" priority="807" operator="greaterThan" aboveAverage="0" equalAverage="0" bottom="0" percent="0" rank="0" text="" dxfId="3">
      <formula>45</formula>
    </cfRule>
  </conditionalFormatting>
  <conditionalFormatting sqref="I86">
    <cfRule type="cellIs" priority="808" operator="greaterThan" aboveAverage="0" equalAverage="0" bottom="0" percent="0" rank="0" text="" dxfId="2">
      <formula>40</formula>
    </cfRule>
    <cfRule type="cellIs" priority="809" operator="greaterThan" aboveAverage="0" equalAverage="0" bottom="0" percent="0" rank="0" text="" dxfId="3">
      <formula>45</formula>
    </cfRule>
  </conditionalFormatting>
  <conditionalFormatting sqref="J86">
    <cfRule type="cellIs" priority="810" operator="greaterThan" aboveAverage="0" equalAverage="0" bottom="0" percent="0" rank="0" text="" dxfId="2">
      <formula>40</formula>
    </cfRule>
    <cfRule type="cellIs" priority="811" operator="greaterThan" aboveAverage="0" equalAverage="0" bottom="0" percent="0" rank="0" text="" dxfId="3">
      <formula>45</formula>
    </cfRule>
  </conditionalFormatting>
  <conditionalFormatting sqref="K86">
    <cfRule type="cellIs" priority="812" operator="greaterThan" aboveAverage="0" equalAverage="0" bottom="0" percent="0" rank="0" text="" dxfId="2">
      <formula>40</formula>
    </cfRule>
    <cfRule type="cellIs" priority="813" operator="greaterThan" aboveAverage="0" equalAverage="0" bottom="0" percent="0" rank="0" text="" dxfId="3">
      <formula>45</formula>
    </cfRule>
  </conditionalFormatting>
  <conditionalFormatting sqref="L86">
    <cfRule type="cellIs" priority="814" operator="greaterThan" aboveAverage="0" equalAverage="0" bottom="0" percent="0" rank="0" text="" dxfId="2">
      <formula>40</formula>
    </cfRule>
    <cfRule type="cellIs" priority="815" operator="greaterThan" aboveAverage="0" equalAverage="0" bottom="0" percent="0" rank="0" text="" dxfId="3">
      <formula>45</formula>
    </cfRule>
  </conditionalFormatting>
  <conditionalFormatting sqref="M86">
    <cfRule type="cellIs" priority="816" operator="greaterThan" aboveAverage="0" equalAverage="0" bottom="0" percent="0" rank="0" text="" dxfId="2">
      <formula>40</formula>
    </cfRule>
    <cfRule type="cellIs" priority="817" operator="greaterThan" aboveAverage="0" equalAverage="0" bottom="0" percent="0" rank="0" text="" dxfId="3">
      <formula>45</formula>
    </cfRule>
  </conditionalFormatting>
  <conditionalFormatting sqref="N86">
    <cfRule type="cellIs" priority="818" operator="greaterThan" aboveAverage="0" equalAverage="0" bottom="0" percent="0" rank="0" text="" dxfId="2">
      <formula>40</formula>
    </cfRule>
    <cfRule type="cellIs" priority="819" operator="greaterThan" aboveAverage="0" equalAverage="0" bottom="0" percent="0" rank="0" text="" dxfId="3">
      <formula>45</formula>
    </cfRule>
  </conditionalFormatting>
  <conditionalFormatting sqref="O86">
    <cfRule type="cellIs" priority="820" operator="greaterThan" aboveAverage="0" equalAverage="0" bottom="0" percent="0" rank="0" text="" dxfId="2">
      <formula>40</formula>
    </cfRule>
    <cfRule type="cellIs" priority="821" operator="greaterThan" aboveAverage="0" equalAverage="0" bottom="0" percent="0" rank="0" text="" dxfId="3">
      <formula>45</formula>
    </cfRule>
  </conditionalFormatting>
  <conditionalFormatting sqref="P86">
    <cfRule type="cellIs" priority="822" operator="greaterThan" aboveAverage="0" equalAverage="0" bottom="0" percent="0" rank="0" text="" dxfId="2">
      <formula>40</formula>
    </cfRule>
    <cfRule type="cellIs" priority="823" operator="greaterThan" aboveAverage="0" equalAverage="0" bottom="0" percent="0" rank="0" text="" dxfId="3">
      <formula>45</formula>
    </cfRule>
  </conditionalFormatting>
  <conditionalFormatting sqref="Q86">
    <cfRule type="cellIs" priority="824" operator="greaterThan" aboveAverage="0" equalAverage="0" bottom="0" percent="0" rank="0" text="" dxfId="2">
      <formula>40</formula>
    </cfRule>
    <cfRule type="cellIs" priority="825" operator="greaterThan" aboveAverage="0" equalAverage="0" bottom="0" percent="0" rank="0" text="" dxfId="3">
      <formula>45</formula>
    </cfRule>
  </conditionalFormatting>
  <conditionalFormatting sqref="R86">
    <cfRule type="cellIs" priority="826" operator="greaterThan" aboveAverage="0" equalAverage="0" bottom="0" percent="0" rank="0" text="" dxfId="2">
      <formula>40</formula>
    </cfRule>
    <cfRule type="cellIs" priority="827" operator="greaterThan" aboveAverage="0" equalAverage="0" bottom="0" percent="0" rank="0" text="" dxfId="3">
      <formula>45</formula>
    </cfRule>
  </conditionalFormatting>
  <conditionalFormatting sqref="S86">
    <cfRule type="cellIs" priority="828" operator="greaterThan" aboveAverage="0" equalAverage="0" bottom="0" percent="0" rank="0" text="" dxfId="2">
      <formula>40</formula>
    </cfRule>
    <cfRule type="cellIs" priority="829" operator="greaterThan" aboveAverage="0" equalAverage="0" bottom="0" percent="0" rank="0" text="" dxfId="3">
      <formula>45</formula>
    </cfRule>
  </conditionalFormatting>
  <conditionalFormatting sqref="T86">
    <cfRule type="cellIs" priority="830" operator="greaterThan" aboveAverage="0" equalAverage="0" bottom="0" percent="0" rank="0" text="" dxfId="2">
      <formula>40</formula>
    </cfRule>
    <cfRule type="cellIs" priority="831" operator="greaterThan" aboveAverage="0" equalAverage="0" bottom="0" percent="0" rank="0" text="" dxfId="3">
      <formula>45</formula>
    </cfRule>
  </conditionalFormatting>
  <conditionalFormatting sqref="U86">
    <cfRule type="cellIs" priority="832" operator="greaterThan" aboveAverage="0" equalAverage="0" bottom="0" percent="0" rank="0" text="" dxfId="2">
      <formula>40</formula>
    </cfRule>
    <cfRule type="cellIs" priority="833" operator="greaterThan" aboveAverage="0" equalAverage="0" bottom="0" percent="0" rank="0" text="" dxfId="3">
      <formula>45</formula>
    </cfRule>
  </conditionalFormatting>
  <conditionalFormatting sqref="V86">
    <cfRule type="cellIs" priority="834" operator="greaterThan" aboveAverage="0" equalAverage="0" bottom="0" percent="0" rank="0" text="" dxfId="2">
      <formula>40</formula>
    </cfRule>
    <cfRule type="cellIs" priority="835" operator="greaterThan" aboveAverage="0" equalAverage="0" bottom="0" percent="0" rank="0" text="" dxfId="3">
      <formula>45</formula>
    </cfRule>
  </conditionalFormatting>
  <conditionalFormatting sqref="W86">
    <cfRule type="cellIs" priority="836" operator="greaterThan" aboveAverage="0" equalAverage="0" bottom="0" percent="0" rank="0" text="" dxfId="2">
      <formula>40</formula>
    </cfRule>
    <cfRule type="cellIs" priority="837" operator="greaterThan" aboveAverage="0" equalAverage="0" bottom="0" percent="0" rank="0" text="" dxfId="3">
      <formula>45</formula>
    </cfRule>
  </conditionalFormatting>
  <conditionalFormatting sqref="X86">
    <cfRule type="cellIs" priority="838" operator="greaterThan" aboveAverage="0" equalAverage="0" bottom="0" percent="0" rank="0" text="" dxfId="2">
      <formula>55</formula>
    </cfRule>
    <cfRule type="cellIs" priority="839" operator="greaterThan" aboveAverage="0" equalAverage="0" bottom="0" percent="0" rank="0" text="" dxfId="3">
      <formula>65</formula>
    </cfRule>
  </conditionalFormatting>
  <conditionalFormatting sqref="Y86">
    <cfRule type="cellIs" priority="840" operator="greaterThan" aboveAverage="0" equalAverage="0" bottom="0" percent="0" rank="0" text="" dxfId="2">
      <formula>55</formula>
    </cfRule>
    <cfRule type="cellIs" priority="841" operator="greaterThan" aboveAverage="0" equalAverage="0" bottom="0" percent="0" rank="0" text="" dxfId="3">
      <formula>65</formula>
    </cfRule>
  </conditionalFormatting>
  <conditionalFormatting sqref="Z86">
    <cfRule type="cellIs" priority="842" operator="greaterThan" aboveAverage="0" equalAverage="0" bottom="0" percent="0" rank="0" text="" dxfId="2">
      <formula>55</formula>
    </cfRule>
    <cfRule type="cellIs" priority="843" operator="greaterThan" aboveAverage="0" equalAverage="0" bottom="0" percent="0" rank="0" text="" dxfId="3">
      <formula>65</formula>
    </cfRule>
  </conditionalFormatting>
  <conditionalFormatting sqref="AA86">
    <cfRule type="cellIs" priority="844" operator="greaterThan" aboveAverage="0" equalAverage="0" bottom="0" percent="0" rank="0" text="" dxfId="2">
      <formula>55</formula>
    </cfRule>
    <cfRule type="cellIs" priority="845" operator="greaterThan" aboveAverage="0" equalAverage="0" bottom="0" percent="0" rank="0" text="" dxfId="3">
      <formula>65</formula>
    </cfRule>
  </conditionalFormatting>
  <conditionalFormatting sqref="AB86">
    <cfRule type="cellIs" priority="846" operator="greaterThan" aboveAverage="0" equalAverage="0" bottom="0" percent="0" rank="0" text="" dxfId="2">
      <formula>55</formula>
    </cfRule>
    <cfRule type="cellIs" priority="847" operator="greaterThan" aboveAverage="0" equalAverage="0" bottom="0" percent="0" rank="0" text="" dxfId="3">
      <formula>65</formula>
    </cfRule>
  </conditionalFormatting>
  <conditionalFormatting sqref="AC86">
    <cfRule type="cellIs" priority="848" operator="greaterThan" aboveAverage="0" equalAverage="0" bottom="0" percent="0" rank="0" text="" dxfId="2">
      <formula>55</formula>
    </cfRule>
    <cfRule type="cellIs" priority="849" operator="greaterThan" aboveAverage="0" equalAverage="0" bottom="0" percent="0" rank="0" text="" dxfId="3">
      <formula>65</formula>
    </cfRule>
  </conditionalFormatting>
  <conditionalFormatting sqref="AD86">
    <cfRule type="cellIs" priority="850" operator="greaterThan" aboveAverage="0" equalAverage="0" bottom="0" percent="0" rank="0" text="" dxfId="2">
      <formula>55</formula>
    </cfRule>
    <cfRule type="cellIs" priority="851" operator="greaterThan" aboveAverage="0" equalAverage="0" bottom="0" percent="0" rank="0" text="" dxfId="3">
      <formula>65</formula>
    </cfRule>
  </conditionalFormatting>
  <conditionalFormatting sqref="AE86">
    <cfRule type="cellIs" priority="852" operator="greaterThan" aboveAverage="0" equalAverage="0" bottom="0" percent="0" rank="0" text="" dxfId="2">
      <formula>55</formula>
    </cfRule>
    <cfRule type="cellIs" priority="853" operator="greaterThan" aboveAverage="0" equalAverage="0" bottom="0" percent="0" rank="0" text="" dxfId="3">
      <formula>65</formula>
    </cfRule>
  </conditionalFormatting>
  <conditionalFormatting sqref="AF86">
    <cfRule type="cellIs" priority="854" operator="greaterThan" aboveAverage="0" equalAverage="0" bottom="0" percent="0" rank="0" text="" dxfId="2">
      <formula>40</formula>
    </cfRule>
    <cfRule type="cellIs" priority="855" operator="greaterThan" aboveAverage="0" equalAverage="0" bottom="0" percent="0" rank="0" text="" dxfId="3">
      <formula>45</formula>
    </cfRule>
  </conditionalFormatting>
  <conditionalFormatting sqref="AG86">
    <cfRule type="cellIs" priority="856" operator="greaterThan" aboveAverage="0" equalAverage="0" bottom="0" percent="0" rank="0" text="" dxfId="2">
      <formula>40</formula>
    </cfRule>
    <cfRule type="cellIs" priority="857" operator="greaterThan" aboveAverage="0" equalAverage="0" bottom="0" percent="0" rank="0" text="" dxfId="3">
      <formula>45</formula>
    </cfRule>
  </conditionalFormatting>
  <conditionalFormatting sqref="AH86">
    <cfRule type="cellIs" priority="858" operator="greaterThan" aboveAverage="0" equalAverage="0" bottom="0" percent="0" rank="0" text="" dxfId="2">
      <formula>40</formula>
    </cfRule>
    <cfRule type="cellIs" priority="859" operator="greaterThan" aboveAverage="0" equalAverage="0" bottom="0" percent="0" rank="0" text="" dxfId="3">
      <formula>45</formula>
    </cfRule>
  </conditionalFormatting>
  <conditionalFormatting sqref="AI86">
    <cfRule type="cellIs" priority="860" operator="greaterThan" aboveAverage="0" equalAverage="0" bottom="0" percent="0" rank="0" text="" dxfId="2">
      <formula>40</formula>
    </cfRule>
    <cfRule type="cellIs" priority="861" operator="greaterThan" aboveAverage="0" equalAverage="0" bottom="0" percent="0" rank="0" text="" dxfId="3">
      <formula>45</formula>
    </cfRule>
  </conditionalFormatting>
  <conditionalFormatting sqref="AJ86">
    <cfRule type="cellIs" priority="862" operator="greaterThan" aboveAverage="0" equalAverage="0" bottom="0" percent="0" rank="0" text="" dxfId="2">
      <formula>40</formula>
    </cfRule>
    <cfRule type="cellIs" priority="863" operator="greaterThan" aboveAverage="0" equalAverage="0" bottom="0" percent="0" rank="0" text="" dxfId="3">
      <formula>45</formula>
    </cfRule>
  </conditionalFormatting>
  <conditionalFormatting sqref="AK86">
    <cfRule type="cellIs" priority="864" operator="greaterThan" aboveAverage="0" equalAverage="0" bottom="0" percent="0" rank="0" text="" dxfId="2">
      <formula>40</formula>
    </cfRule>
    <cfRule type="cellIs" priority="865" operator="greaterThan" aboveAverage="0" equalAverage="0" bottom="0" percent="0" rank="0" text="" dxfId="3">
      <formula>45</formula>
    </cfRule>
  </conditionalFormatting>
  <conditionalFormatting sqref="AL86">
    <cfRule type="cellIs" priority="866" operator="greaterThan" aboveAverage="0" equalAverage="0" bottom="0" percent="0" rank="0" text="" dxfId="2">
      <formula>40</formula>
    </cfRule>
    <cfRule type="cellIs" priority="867" operator="greaterThan" aboveAverage="0" equalAverage="0" bottom="0" percent="0" rank="0" text="" dxfId="3">
      <formula>45</formula>
    </cfRule>
  </conditionalFormatting>
  <conditionalFormatting sqref="AM86">
    <cfRule type="cellIs" priority="868" operator="greaterThan" aboveAverage="0" equalAverage="0" bottom="0" percent="0" rank="0" text="" dxfId="2">
      <formula>40</formula>
    </cfRule>
    <cfRule type="cellIs" priority="869" operator="greaterThan" aboveAverage="0" equalAverage="0" bottom="0" percent="0" rank="0" text="" dxfId="3">
      <formula>45</formula>
    </cfRule>
  </conditionalFormatting>
  <conditionalFormatting sqref="AN86">
    <cfRule type="cellIs" priority="870" operator="greaterThan" aboveAverage="0" equalAverage="0" bottom="0" percent="0" rank="0" text="" dxfId="2">
      <formula>40</formula>
    </cfRule>
    <cfRule type="cellIs" priority="871" operator="greaterThan" aboveAverage="0" equalAverage="0" bottom="0" percent="0" rank="0" text="" dxfId="3">
      <formula>45</formula>
    </cfRule>
  </conditionalFormatting>
  <conditionalFormatting sqref="AO86">
    <cfRule type="cellIs" priority="872" operator="greaterThan" aboveAverage="0" equalAverage="0" bottom="0" percent="0" rank="0" text="" dxfId="2">
      <formula>40</formula>
    </cfRule>
    <cfRule type="cellIs" priority="873" operator="greaterThan" aboveAverage="0" equalAverage="0" bottom="0" percent="0" rank="0" text="" dxfId="3">
      <formula>45</formula>
    </cfRule>
  </conditionalFormatting>
  <conditionalFormatting sqref="AP86">
    <cfRule type="cellIs" priority="874" operator="greaterThan" aboveAverage="0" equalAverage="0" bottom="0" percent="0" rank="0" text="" dxfId="2">
      <formula>40</formula>
    </cfRule>
    <cfRule type="cellIs" priority="875" operator="greaterThan" aboveAverage="0" equalAverage="0" bottom="0" percent="0" rank="0" text="" dxfId="3">
      <formula>45</formula>
    </cfRule>
  </conditionalFormatting>
  <conditionalFormatting sqref="AQ86">
    <cfRule type="cellIs" priority="876" operator="greaterThan" aboveAverage="0" equalAverage="0" bottom="0" percent="0" rank="0" text="" dxfId="2">
      <formula>40</formula>
    </cfRule>
    <cfRule type="cellIs" priority="877" operator="greaterThan" aboveAverage="0" equalAverage="0" bottom="0" percent="0" rank="0" text="" dxfId="3">
      <formula>45</formula>
    </cfRule>
  </conditionalFormatting>
  <conditionalFormatting sqref="AR86">
    <cfRule type="cellIs" priority="878" operator="greaterThan" aboveAverage="0" equalAverage="0" bottom="0" percent="0" rank="0" text="" dxfId="2">
      <formula>40</formula>
    </cfRule>
    <cfRule type="cellIs" priority="879" operator="greaterThan" aboveAverage="0" equalAverage="0" bottom="0" percent="0" rank="0" text="" dxfId="3">
      <formula>45</formula>
    </cfRule>
  </conditionalFormatting>
  <conditionalFormatting sqref="AS86">
    <cfRule type="cellIs" priority="880" operator="greaterThan" aboveAverage="0" equalAverage="0" bottom="0" percent="0" rank="0" text="" dxfId="2">
      <formula>40</formula>
    </cfRule>
    <cfRule type="cellIs" priority="881" operator="greaterThan" aboveAverage="0" equalAverage="0" bottom="0" percent="0" rank="0" text="" dxfId="3">
      <formula>45</formula>
    </cfRule>
  </conditionalFormatting>
  <conditionalFormatting sqref="F96">
    <cfRule type="cellIs" priority="882" operator="greaterThan" aboveAverage="0" equalAverage="0" bottom="0" percent="0" rank="0" text="" dxfId="2">
      <formula>40</formula>
    </cfRule>
    <cfRule type="cellIs" priority="883" operator="greaterThan" aboveAverage="0" equalAverage="0" bottom="0" percent="0" rank="0" text="" dxfId="3">
      <formula>45</formula>
    </cfRule>
  </conditionalFormatting>
  <conditionalFormatting sqref="G96">
    <cfRule type="cellIs" priority="884" operator="greaterThan" aboveAverage="0" equalAverage="0" bottom="0" percent="0" rank="0" text="" dxfId="2">
      <formula>40</formula>
    </cfRule>
    <cfRule type="cellIs" priority="885" operator="greaterThan" aboveAverage="0" equalAverage="0" bottom="0" percent="0" rank="0" text="" dxfId="3">
      <formula>45</formula>
    </cfRule>
  </conditionalFormatting>
  <conditionalFormatting sqref="H96">
    <cfRule type="cellIs" priority="886" operator="greaterThan" aboveAverage="0" equalAverage="0" bottom="0" percent="0" rank="0" text="" dxfId="2">
      <formula>40</formula>
    </cfRule>
    <cfRule type="cellIs" priority="887" operator="greaterThan" aboveAverage="0" equalAverage="0" bottom="0" percent="0" rank="0" text="" dxfId="3">
      <formula>45</formula>
    </cfRule>
  </conditionalFormatting>
  <conditionalFormatting sqref="I96">
    <cfRule type="cellIs" priority="888" operator="greaterThan" aboveAverage="0" equalAverage="0" bottom="0" percent="0" rank="0" text="" dxfId="2">
      <formula>40</formula>
    </cfRule>
    <cfRule type="cellIs" priority="889" operator="greaterThan" aboveAverage="0" equalAverage="0" bottom="0" percent="0" rank="0" text="" dxfId="3">
      <formula>45</formula>
    </cfRule>
  </conditionalFormatting>
  <conditionalFormatting sqref="J96">
    <cfRule type="cellIs" priority="890" operator="greaterThan" aboveAverage="0" equalAverage="0" bottom="0" percent="0" rank="0" text="" dxfId="2">
      <formula>40</formula>
    </cfRule>
    <cfRule type="cellIs" priority="891" operator="greaterThan" aboveAverage="0" equalAverage="0" bottom="0" percent="0" rank="0" text="" dxfId="3">
      <formula>45</formula>
    </cfRule>
  </conditionalFormatting>
  <conditionalFormatting sqref="K96">
    <cfRule type="cellIs" priority="892" operator="greaterThan" aboveAverage="0" equalAverage="0" bottom="0" percent="0" rank="0" text="" dxfId="2">
      <formula>40</formula>
    </cfRule>
    <cfRule type="cellIs" priority="893" operator="greaterThan" aboveAverage="0" equalAverage="0" bottom="0" percent="0" rank="0" text="" dxfId="3">
      <formula>45</formula>
    </cfRule>
  </conditionalFormatting>
  <conditionalFormatting sqref="L96">
    <cfRule type="cellIs" priority="894" operator="greaterThan" aboveAverage="0" equalAverage="0" bottom="0" percent="0" rank="0" text="" dxfId="2">
      <formula>40</formula>
    </cfRule>
    <cfRule type="cellIs" priority="895" operator="greaterThan" aboveAverage="0" equalAverage="0" bottom="0" percent="0" rank="0" text="" dxfId="3">
      <formula>45</formula>
    </cfRule>
  </conditionalFormatting>
  <conditionalFormatting sqref="M96">
    <cfRule type="cellIs" priority="896" operator="greaterThan" aboveAverage="0" equalAverage="0" bottom="0" percent="0" rank="0" text="" dxfId="2">
      <formula>40</formula>
    </cfRule>
    <cfRule type="cellIs" priority="897" operator="greaterThan" aboveAverage="0" equalAverage="0" bottom="0" percent="0" rank="0" text="" dxfId="3">
      <formula>45</formula>
    </cfRule>
  </conditionalFormatting>
  <conditionalFormatting sqref="N96">
    <cfRule type="cellIs" priority="898" operator="greaterThan" aboveAverage="0" equalAverage="0" bottom="0" percent="0" rank="0" text="" dxfId="2">
      <formula>40</formula>
    </cfRule>
    <cfRule type="cellIs" priority="899" operator="greaterThan" aboveAverage="0" equalAverage="0" bottom="0" percent="0" rank="0" text="" dxfId="3">
      <formula>45</formula>
    </cfRule>
  </conditionalFormatting>
  <conditionalFormatting sqref="O96">
    <cfRule type="cellIs" priority="900" operator="greaterThan" aboveAverage="0" equalAverage="0" bottom="0" percent="0" rank="0" text="" dxfId="2">
      <formula>40</formula>
    </cfRule>
    <cfRule type="cellIs" priority="901" operator="greaterThan" aboveAverage="0" equalAverage="0" bottom="0" percent="0" rank="0" text="" dxfId="3">
      <formula>45</formula>
    </cfRule>
  </conditionalFormatting>
  <conditionalFormatting sqref="P96">
    <cfRule type="cellIs" priority="902" operator="greaterThan" aboveAverage="0" equalAverage="0" bottom="0" percent="0" rank="0" text="" dxfId="2">
      <formula>40</formula>
    </cfRule>
    <cfRule type="cellIs" priority="903" operator="greaterThan" aboveAverage="0" equalAverage="0" bottom="0" percent="0" rank="0" text="" dxfId="3">
      <formula>45</formula>
    </cfRule>
  </conditionalFormatting>
  <conditionalFormatting sqref="Q96">
    <cfRule type="cellIs" priority="904" operator="greaterThan" aboveAverage="0" equalAverage="0" bottom="0" percent="0" rank="0" text="" dxfId="2">
      <formula>40</formula>
    </cfRule>
    <cfRule type="cellIs" priority="905" operator="greaterThan" aboveAverage="0" equalAverage="0" bottom="0" percent="0" rank="0" text="" dxfId="3">
      <formula>45</formula>
    </cfRule>
  </conditionalFormatting>
  <conditionalFormatting sqref="R96">
    <cfRule type="cellIs" priority="906" operator="greaterThan" aboveAverage="0" equalAverage="0" bottom="0" percent="0" rank="0" text="" dxfId="2">
      <formula>40</formula>
    </cfRule>
    <cfRule type="cellIs" priority="907" operator="greaterThan" aboveAverage="0" equalAverage="0" bottom="0" percent="0" rank="0" text="" dxfId="3">
      <formula>45</formula>
    </cfRule>
  </conditionalFormatting>
  <conditionalFormatting sqref="S96">
    <cfRule type="cellIs" priority="908" operator="greaterThan" aboveAverage="0" equalAverage="0" bottom="0" percent="0" rank="0" text="" dxfId="2">
      <formula>40</formula>
    </cfRule>
    <cfRule type="cellIs" priority="909" operator="greaterThan" aboveAverage="0" equalAverage="0" bottom="0" percent="0" rank="0" text="" dxfId="3">
      <formula>45</formula>
    </cfRule>
  </conditionalFormatting>
  <conditionalFormatting sqref="T96">
    <cfRule type="cellIs" priority="910" operator="greaterThan" aboveAverage="0" equalAverage="0" bottom="0" percent="0" rank="0" text="" dxfId="2">
      <formula>40</formula>
    </cfRule>
    <cfRule type="cellIs" priority="911" operator="greaterThan" aboveAverage="0" equalAverage="0" bottom="0" percent="0" rank="0" text="" dxfId="3">
      <formula>45</formula>
    </cfRule>
  </conditionalFormatting>
  <conditionalFormatting sqref="U96">
    <cfRule type="cellIs" priority="912" operator="greaterThan" aboveAverage="0" equalAverage="0" bottom="0" percent="0" rank="0" text="" dxfId="2">
      <formula>40</formula>
    </cfRule>
    <cfRule type="cellIs" priority="913" operator="greaterThan" aboveAverage="0" equalAverage="0" bottom="0" percent="0" rank="0" text="" dxfId="3">
      <formula>45</formula>
    </cfRule>
  </conditionalFormatting>
  <conditionalFormatting sqref="V96">
    <cfRule type="cellIs" priority="914" operator="greaterThan" aboveAverage="0" equalAverage="0" bottom="0" percent="0" rank="0" text="" dxfId="2">
      <formula>40</formula>
    </cfRule>
    <cfRule type="cellIs" priority="915" operator="greaterThan" aboveAverage="0" equalAverage="0" bottom="0" percent="0" rank="0" text="" dxfId="3">
      <formula>45</formula>
    </cfRule>
  </conditionalFormatting>
  <conditionalFormatting sqref="W96">
    <cfRule type="cellIs" priority="916" operator="greaterThan" aboveAverage="0" equalAverage="0" bottom="0" percent="0" rank="0" text="" dxfId="2">
      <formula>40</formula>
    </cfRule>
    <cfRule type="cellIs" priority="917" operator="greaterThan" aboveAverage="0" equalAverage="0" bottom="0" percent="0" rank="0" text="" dxfId="3">
      <formula>45</formula>
    </cfRule>
  </conditionalFormatting>
  <conditionalFormatting sqref="X96">
    <cfRule type="cellIs" priority="918" operator="greaterThan" aboveAverage="0" equalAverage="0" bottom="0" percent="0" rank="0" text="" dxfId="2">
      <formula>55</formula>
    </cfRule>
    <cfRule type="cellIs" priority="919" operator="greaterThan" aboveAverage="0" equalAverage="0" bottom="0" percent="0" rank="0" text="" dxfId="3">
      <formula>65</formula>
    </cfRule>
  </conditionalFormatting>
  <conditionalFormatting sqref="Y96">
    <cfRule type="cellIs" priority="920" operator="greaterThan" aboveAverage="0" equalAverage="0" bottom="0" percent="0" rank="0" text="" dxfId="2">
      <formula>55</formula>
    </cfRule>
    <cfRule type="cellIs" priority="921" operator="greaterThan" aboveAverage="0" equalAverage="0" bottom="0" percent="0" rank="0" text="" dxfId="3">
      <formula>65</formula>
    </cfRule>
  </conditionalFormatting>
  <conditionalFormatting sqref="Z96">
    <cfRule type="cellIs" priority="922" operator="greaterThan" aboveAverage="0" equalAverage="0" bottom="0" percent="0" rank="0" text="" dxfId="2">
      <formula>55</formula>
    </cfRule>
    <cfRule type="cellIs" priority="923" operator="greaterThan" aboveAverage="0" equalAverage="0" bottom="0" percent="0" rank="0" text="" dxfId="3">
      <formula>65</formula>
    </cfRule>
  </conditionalFormatting>
  <conditionalFormatting sqref="AA96">
    <cfRule type="cellIs" priority="924" operator="greaterThan" aboveAverage="0" equalAverage="0" bottom="0" percent="0" rank="0" text="" dxfId="2">
      <formula>55</formula>
    </cfRule>
    <cfRule type="cellIs" priority="925" operator="greaterThan" aboveAverage="0" equalAverage="0" bottom="0" percent="0" rank="0" text="" dxfId="3">
      <formula>65</formula>
    </cfRule>
  </conditionalFormatting>
  <conditionalFormatting sqref="AB96">
    <cfRule type="cellIs" priority="926" operator="greaterThan" aboveAverage="0" equalAverage="0" bottom="0" percent="0" rank="0" text="" dxfId="2">
      <formula>55</formula>
    </cfRule>
    <cfRule type="cellIs" priority="927" operator="greaterThan" aboveAverage="0" equalAverage="0" bottom="0" percent="0" rank="0" text="" dxfId="3">
      <formula>65</formula>
    </cfRule>
  </conditionalFormatting>
  <conditionalFormatting sqref="AC96">
    <cfRule type="cellIs" priority="928" operator="greaterThan" aboveAverage="0" equalAverage="0" bottom="0" percent="0" rank="0" text="" dxfId="2">
      <formula>55</formula>
    </cfRule>
    <cfRule type="cellIs" priority="929" operator="greaterThan" aboveAverage="0" equalAverage="0" bottom="0" percent="0" rank="0" text="" dxfId="3">
      <formula>65</formula>
    </cfRule>
  </conditionalFormatting>
  <conditionalFormatting sqref="AD96">
    <cfRule type="cellIs" priority="930" operator="greaterThan" aboveAverage="0" equalAverage="0" bottom="0" percent="0" rank="0" text="" dxfId="2">
      <formula>55</formula>
    </cfRule>
    <cfRule type="cellIs" priority="931" operator="greaterThan" aboveAverage="0" equalAverage="0" bottom="0" percent="0" rank="0" text="" dxfId="3">
      <formula>65</formula>
    </cfRule>
  </conditionalFormatting>
  <conditionalFormatting sqref="AE96">
    <cfRule type="cellIs" priority="932" operator="greaterThan" aboveAverage="0" equalAverage="0" bottom="0" percent="0" rank="0" text="" dxfId="2">
      <formula>55</formula>
    </cfRule>
    <cfRule type="cellIs" priority="933" operator="greaterThan" aboveAverage="0" equalAverage="0" bottom="0" percent="0" rank="0" text="" dxfId="3">
      <formula>65</formula>
    </cfRule>
  </conditionalFormatting>
  <conditionalFormatting sqref="AF96">
    <cfRule type="cellIs" priority="934" operator="greaterThan" aboveAverage="0" equalAverage="0" bottom="0" percent="0" rank="0" text="" dxfId="2">
      <formula>40</formula>
    </cfRule>
    <cfRule type="cellIs" priority="935" operator="greaterThan" aboveAverage="0" equalAverage="0" bottom="0" percent="0" rank="0" text="" dxfId="3">
      <formula>45</formula>
    </cfRule>
  </conditionalFormatting>
  <conditionalFormatting sqref="AG96">
    <cfRule type="cellIs" priority="936" operator="greaterThan" aboveAverage="0" equalAverage="0" bottom="0" percent="0" rank="0" text="" dxfId="2">
      <formula>40</formula>
    </cfRule>
    <cfRule type="cellIs" priority="937" operator="greaterThan" aboveAverage="0" equalAverage="0" bottom="0" percent="0" rank="0" text="" dxfId="3">
      <formula>45</formula>
    </cfRule>
  </conditionalFormatting>
  <conditionalFormatting sqref="AH96">
    <cfRule type="cellIs" priority="938" operator="greaterThan" aboveAverage="0" equalAverage="0" bottom="0" percent="0" rank="0" text="" dxfId="2">
      <formula>40</formula>
    </cfRule>
    <cfRule type="cellIs" priority="939" operator="greaterThan" aboveAverage="0" equalAverage="0" bottom="0" percent="0" rank="0" text="" dxfId="3">
      <formula>45</formula>
    </cfRule>
  </conditionalFormatting>
  <conditionalFormatting sqref="AI96">
    <cfRule type="cellIs" priority="940" operator="greaterThan" aboveAverage="0" equalAverage="0" bottom="0" percent="0" rank="0" text="" dxfId="2">
      <formula>40</formula>
    </cfRule>
    <cfRule type="cellIs" priority="941" operator="greaterThan" aboveAverage="0" equalAverage="0" bottom="0" percent="0" rank="0" text="" dxfId="3">
      <formula>45</formula>
    </cfRule>
  </conditionalFormatting>
  <conditionalFormatting sqref="AJ96">
    <cfRule type="cellIs" priority="942" operator="greaterThan" aboveAverage="0" equalAverage="0" bottom="0" percent="0" rank="0" text="" dxfId="2">
      <formula>40</formula>
    </cfRule>
    <cfRule type="cellIs" priority="943" operator="greaterThan" aboveAverage="0" equalAverage="0" bottom="0" percent="0" rank="0" text="" dxfId="3">
      <formula>45</formula>
    </cfRule>
  </conditionalFormatting>
  <conditionalFormatting sqref="AK96">
    <cfRule type="cellIs" priority="944" operator="greaterThan" aboveAverage="0" equalAverage="0" bottom="0" percent="0" rank="0" text="" dxfId="2">
      <formula>40</formula>
    </cfRule>
    <cfRule type="cellIs" priority="945" operator="greaterThan" aboveAverage="0" equalAverage="0" bottom="0" percent="0" rank="0" text="" dxfId="3">
      <formula>45</formula>
    </cfRule>
  </conditionalFormatting>
  <conditionalFormatting sqref="AL96">
    <cfRule type="cellIs" priority="946" operator="greaterThan" aboveAverage="0" equalAverage="0" bottom="0" percent="0" rank="0" text="" dxfId="2">
      <formula>40</formula>
    </cfRule>
    <cfRule type="cellIs" priority="947" operator="greaterThan" aboveAverage="0" equalAverage="0" bottom="0" percent="0" rank="0" text="" dxfId="3">
      <formula>45</formula>
    </cfRule>
  </conditionalFormatting>
  <conditionalFormatting sqref="AM96">
    <cfRule type="cellIs" priority="948" operator="greaterThan" aboveAverage="0" equalAverage="0" bottom="0" percent="0" rank="0" text="" dxfId="2">
      <formula>40</formula>
    </cfRule>
    <cfRule type="cellIs" priority="949" operator="greaterThan" aboveAverage="0" equalAverage="0" bottom="0" percent="0" rank="0" text="" dxfId="3">
      <formula>45</formula>
    </cfRule>
  </conditionalFormatting>
  <conditionalFormatting sqref="AN96">
    <cfRule type="cellIs" priority="950" operator="greaterThan" aboveAverage="0" equalAverage="0" bottom="0" percent="0" rank="0" text="" dxfId="2">
      <formula>40</formula>
    </cfRule>
    <cfRule type="cellIs" priority="951" operator="greaterThan" aboveAverage="0" equalAverage="0" bottom="0" percent="0" rank="0" text="" dxfId="3">
      <formula>45</formula>
    </cfRule>
  </conditionalFormatting>
  <conditionalFormatting sqref="AO96">
    <cfRule type="cellIs" priority="952" operator="greaterThan" aboveAverage="0" equalAverage="0" bottom="0" percent="0" rank="0" text="" dxfId="2">
      <formula>40</formula>
    </cfRule>
    <cfRule type="cellIs" priority="953" operator="greaterThan" aboveAverage="0" equalAverage="0" bottom="0" percent="0" rank="0" text="" dxfId="3">
      <formula>45</formula>
    </cfRule>
  </conditionalFormatting>
  <conditionalFormatting sqref="AP96">
    <cfRule type="cellIs" priority="954" operator="greaterThan" aboveAverage="0" equalAverage="0" bottom="0" percent="0" rank="0" text="" dxfId="2">
      <formula>40</formula>
    </cfRule>
    <cfRule type="cellIs" priority="955" operator="greaterThan" aboveAverage="0" equalAverage="0" bottom="0" percent="0" rank="0" text="" dxfId="3">
      <formula>45</formula>
    </cfRule>
  </conditionalFormatting>
  <conditionalFormatting sqref="AQ96">
    <cfRule type="cellIs" priority="956" operator="greaterThan" aboveAverage="0" equalAverage="0" bottom="0" percent="0" rank="0" text="" dxfId="2">
      <formula>40</formula>
    </cfRule>
    <cfRule type="cellIs" priority="957" operator="greaterThan" aboveAverage="0" equalAverage="0" bottom="0" percent="0" rank="0" text="" dxfId="3">
      <formula>45</formula>
    </cfRule>
  </conditionalFormatting>
  <conditionalFormatting sqref="AR96">
    <cfRule type="cellIs" priority="958" operator="greaterThan" aboveAverage="0" equalAverage="0" bottom="0" percent="0" rank="0" text="" dxfId="2">
      <formula>40</formula>
    </cfRule>
    <cfRule type="cellIs" priority="959" operator="greaterThan" aboveAverage="0" equalAverage="0" bottom="0" percent="0" rank="0" text="" dxfId="3">
      <formula>45</formula>
    </cfRule>
  </conditionalFormatting>
  <conditionalFormatting sqref="AS96">
    <cfRule type="cellIs" priority="960" operator="greaterThan" aboveAverage="0" equalAverage="0" bottom="0" percent="0" rank="0" text="" dxfId="2">
      <formula>40</formula>
    </cfRule>
    <cfRule type="cellIs" priority="961" operator="greaterThan" aboveAverage="0" equalAverage="0" bottom="0" percent="0" rank="0" text="" dxfId="3">
      <formula>45</formula>
    </cfRule>
  </conditionalFormatting>
  <conditionalFormatting sqref="F101">
    <cfRule type="cellIs" priority="962" operator="greaterThan" aboveAverage="0" equalAverage="0" bottom="0" percent="0" rank="0" text="" dxfId="2">
      <formula>40</formula>
    </cfRule>
    <cfRule type="cellIs" priority="963" operator="greaterThan" aboveAverage="0" equalAverage="0" bottom="0" percent="0" rank="0" text="" dxfId="3">
      <formula>45</formula>
    </cfRule>
  </conditionalFormatting>
  <conditionalFormatting sqref="G101">
    <cfRule type="cellIs" priority="964" operator="greaterThan" aboveAverage="0" equalAverage="0" bottom="0" percent="0" rank="0" text="" dxfId="2">
      <formula>40</formula>
    </cfRule>
    <cfRule type="cellIs" priority="965" operator="greaterThan" aboveAverage="0" equalAverage="0" bottom="0" percent="0" rank="0" text="" dxfId="3">
      <formula>45</formula>
    </cfRule>
  </conditionalFormatting>
  <conditionalFormatting sqref="H101">
    <cfRule type="cellIs" priority="966" operator="greaterThan" aboveAverage="0" equalAverage="0" bottom="0" percent="0" rank="0" text="" dxfId="2">
      <formula>40</formula>
    </cfRule>
    <cfRule type="cellIs" priority="967" operator="greaterThan" aboveAverage="0" equalAverage="0" bottom="0" percent="0" rank="0" text="" dxfId="3">
      <formula>45</formula>
    </cfRule>
  </conditionalFormatting>
  <conditionalFormatting sqref="I101">
    <cfRule type="cellIs" priority="968" operator="greaterThan" aboveAverage="0" equalAverage="0" bottom="0" percent="0" rank="0" text="" dxfId="2">
      <formula>40</formula>
    </cfRule>
    <cfRule type="cellIs" priority="969" operator="greaterThan" aboveAverage="0" equalAverage="0" bottom="0" percent="0" rank="0" text="" dxfId="3">
      <formula>45</formula>
    </cfRule>
  </conditionalFormatting>
  <conditionalFormatting sqref="J101">
    <cfRule type="cellIs" priority="970" operator="greaterThan" aboveAverage="0" equalAverage="0" bottom="0" percent="0" rank="0" text="" dxfId="2">
      <formula>40</formula>
    </cfRule>
    <cfRule type="cellIs" priority="971" operator="greaterThan" aboveAverage="0" equalAverage="0" bottom="0" percent="0" rank="0" text="" dxfId="3">
      <formula>45</formula>
    </cfRule>
  </conditionalFormatting>
  <conditionalFormatting sqref="K101">
    <cfRule type="cellIs" priority="972" operator="greaterThan" aboveAverage="0" equalAverage="0" bottom="0" percent="0" rank="0" text="" dxfId="2">
      <formula>40</formula>
    </cfRule>
    <cfRule type="cellIs" priority="973" operator="greaterThan" aboveAverage="0" equalAverage="0" bottom="0" percent="0" rank="0" text="" dxfId="3">
      <formula>45</formula>
    </cfRule>
  </conditionalFormatting>
  <conditionalFormatting sqref="L101">
    <cfRule type="cellIs" priority="974" operator="greaterThan" aboveAverage="0" equalAverage="0" bottom="0" percent="0" rank="0" text="" dxfId="2">
      <formula>40</formula>
    </cfRule>
    <cfRule type="cellIs" priority="975" operator="greaterThan" aboveAverage="0" equalAverage="0" bottom="0" percent="0" rank="0" text="" dxfId="3">
      <formula>45</formula>
    </cfRule>
  </conditionalFormatting>
  <conditionalFormatting sqref="M101">
    <cfRule type="cellIs" priority="976" operator="greaterThan" aboveAverage="0" equalAverage="0" bottom="0" percent="0" rank="0" text="" dxfId="2">
      <formula>40</formula>
    </cfRule>
    <cfRule type="cellIs" priority="977" operator="greaterThan" aboveAverage="0" equalAverage="0" bottom="0" percent="0" rank="0" text="" dxfId="3">
      <formula>45</formula>
    </cfRule>
  </conditionalFormatting>
  <conditionalFormatting sqref="N101">
    <cfRule type="cellIs" priority="978" operator="greaterThan" aboveAverage="0" equalAverage="0" bottom="0" percent="0" rank="0" text="" dxfId="2">
      <formula>40</formula>
    </cfRule>
    <cfRule type="cellIs" priority="979" operator="greaterThan" aboveAverage="0" equalAverage="0" bottom="0" percent="0" rank="0" text="" dxfId="3">
      <formula>45</formula>
    </cfRule>
  </conditionalFormatting>
  <conditionalFormatting sqref="O101">
    <cfRule type="cellIs" priority="980" operator="greaterThan" aboveAverage="0" equalAverage="0" bottom="0" percent="0" rank="0" text="" dxfId="2">
      <formula>40</formula>
    </cfRule>
    <cfRule type="cellIs" priority="981" operator="greaterThan" aboveAverage="0" equalAverage="0" bottom="0" percent="0" rank="0" text="" dxfId="3">
      <formula>45</formula>
    </cfRule>
  </conditionalFormatting>
  <conditionalFormatting sqref="P101">
    <cfRule type="cellIs" priority="982" operator="greaterThan" aboveAverage="0" equalAverage="0" bottom="0" percent="0" rank="0" text="" dxfId="2">
      <formula>40</formula>
    </cfRule>
    <cfRule type="cellIs" priority="983" operator="greaterThan" aboveAverage="0" equalAverage="0" bottom="0" percent="0" rank="0" text="" dxfId="3">
      <formula>45</formula>
    </cfRule>
  </conditionalFormatting>
  <conditionalFormatting sqref="Q101">
    <cfRule type="cellIs" priority="984" operator="greaterThan" aboveAverage="0" equalAverage="0" bottom="0" percent="0" rank="0" text="" dxfId="2">
      <formula>40</formula>
    </cfRule>
    <cfRule type="cellIs" priority="985" operator="greaterThan" aboveAverage="0" equalAverage="0" bottom="0" percent="0" rank="0" text="" dxfId="3">
      <formula>45</formula>
    </cfRule>
  </conditionalFormatting>
  <conditionalFormatting sqref="R101">
    <cfRule type="cellIs" priority="986" operator="greaterThan" aboveAverage="0" equalAverage="0" bottom="0" percent="0" rank="0" text="" dxfId="2">
      <formula>40</formula>
    </cfRule>
    <cfRule type="cellIs" priority="987" operator="greaterThan" aboveAverage="0" equalAverage="0" bottom="0" percent="0" rank="0" text="" dxfId="3">
      <formula>45</formula>
    </cfRule>
  </conditionalFormatting>
  <conditionalFormatting sqref="S101">
    <cfRule type="cellIs" priority="988" operator="greaterThan" aboveAverage="0" equalAverage="0" bottom="0" percent="0" rank="0" text="" dxfId="2">
      <formula>40</formula>
    </cfRule>
    <cfRule type="cellIs" priority="989" operator="greaterThan" aboveAverage="0" equalAverage="0" bottom="0" percent="0" rank="0" text="" dxfId="3">
      <formula>45</formula>
    </cfRule>
  </conditionalFormatting>
  <conditionalFormatting sqref="T101">
    <cfRule type="cellIs" priority="990" operator="greaterThan" aboveAverage="0" equalAverage="0" bottom="0" percent="0" rank="0" text="" dxfId="2">
      <formula>40</formula>
    </cfRule>
    <cfRule type="cellIs" priority="991" operator="greaterThan" aboveAverage="0" equalAverage="0" bottom="0" percent="0" rank="0" text="" dxfId="3">
      <formula>45</formula>
    </cfRule>
  </conditionalFormatting>
  <conditionalFormatting sqref="U101">
    <cfRule type="cellIs" priority="992" operator="greaterThan" aboveAverage="0" equalAverage="0" bottom="0" percent="0" rank="0" text="" dxfId="2">
      <formula>40</formula>
    </cfRule>
    <cfRule type="cellIs" priority="993" operator="greaterThan" aboveAverage="0" equalAverage="0" bottom="0" percent="0" rank="0" text="" dxfId="3">
      <formula>45</formula>
    </cfRule>
  </conditionalFormatting>
  <conditionalFormatting sqref="V101">
    <cfRule type="cellIs" priority="994" operator="greaterThan" aboveAverage="0" equalAverage="0" bottom="0" percent="0" rank="0" text="" dxfId="2">
      <formula>40</formula>
    </cfRule>
    <cfRule type="cellIs" priority="995" operator="greaterThan" aboveAverage="0" equalAverage="0" bottom="0" percent="0" rank="0" text="" dxfId="3">
      <formula>45</formula>
    </cfRule>
  </conditionalFormatting>
  <conditionalFormatting sqref="W101">
    <cfRule type="cellIs" priority="996" operator="greaterThan" aboveAverage="0" equalAverage="0" bottom="0" percent="0" rank="0" text="" dxfId="2">
      <formula>40</formula>
    </cfRule>
    <cfRule type="cellIs" priority="997" operator="greaterThan" aboveAverage="0" equalAverage="0" bottom="0" percent="0" rank="0" text="" dxfId="3">
      <formula>45</formula>
    </cfRule>
  </conditionalFormatting>
  <conditionalFormatting sqref="X101">
    <cfRule type="cellIs" priority="998" operator="greaterThan" aboveAverage="0" equalAverage="0" bottom="0" percent="0" rank="0" text="" dxfId="2">
      <formula>55</formula>
    </cfRule>
    <cfRule type="cellIs" priority="999" operator="greaterThan" aboveAverage="0" equalAverage="0" bottom="0" percent="0" rank="0" text="" dxfId="3">
      <formula>65</formula>
    </cfRule>
  </conditionalFormatting>
  <conditionalFormatting sqref="Y101">
    <cfRule type="cellIs" priority="1000" operator="greaterThan" aboveAverage="0" equalAverage="0" bottom="0" percent="0" rank="0" text="" dxfId="2">
      <formula>55</formula>
    </cfRule>
    <cfRule type="cellIs" priority="1001" operator="greaterThan" aboveAverage="0" equalAverage="0" bottom="0" percent="0" rank="0" text="" dxfId="3">
      <formula>65</formula>
    </cfRule>
  </conditionalFormatting>
  <conditionalFormatting sqref="Z101">
    <cfRule type="cellIs" priority="1002" operator="greaterThan" aboveAverage="0" equalAverage="0" bottom="0" percent="0" rank="0" text="" dxfId="2">
      <formula>55</formula>
    </cfRule>
    <cfRule type="cellIs" priority="1003" operator="greaterThan" aboveAverage="0" equalAverage="0" bottom="0" percent="0" rank="0" text="" dxfId="3">
      <formula>65</formula>
    </cfRule>
  </conditionalFormatting>
  <conditionalFormatting sqref="AA101">
    <cfRule type="cellIs" priority="1004" operator="greaterThan" aboveAverage="0" equalAverage="0" bottom="0" percent="0" rank="0" text="" dxfId="2">
      <formula>55</formula>
    </cfRule>
    <cfRule type="cellIs" priority="1005" operator="greaterThan" aboveAverage="0" equalAverage="0" bottom="0" percent="0" rank="0" text="" dxfId="3">
      <formula>65</formula>
    </cfRule>
  </conditionalFormatting>
  <conditionalFormatting sqref="AB101">
    <cfRule type="cellIs" priority="1006" operator="greaterThan" aboveAverage="0" equalAverage="0" bottom="0" percent="0" rank="0" text="" dxfId="2">
      <formula>55</formula>
    </cfRule>
    <cfRule type="cellIs" priority="1007" operator="greaterThan" aboveAverage="0" equalAverage="0" bottom="0" percent="0" rank="0" text="" dxfId="3">
      <formula>65</formula>
    </cfRule>
  </conditionalFormatting>
  <conditionalFormatting sqref="AC101">
    <cfRule type="cellIs" priority="1008" operator="greaterThan" aboveAverage="0" equalAverage="0" bottom="0" percent="0" rank="0" text="" dxfId="2">
      <formula>55</formula>
    </cfRule>
    <cfRule type="cellIs" priority="1009" operator="greaterThan" aboveAverage="0" equalAverage="0" bottom="0" percent="0" rank="0" text="" dxfId="3">
      <formula>65</formula>
    </cfRule>
  </conditionalFormatting>
  <conditionalFormatting sqref="AD101">
    <cfRule type="cellIs" priority="1010" operator="greaterThan" aboveAverage="0" equalAverage="0" bottom="0" percent="0" rank="0" text="" dxfId="2">
      <formula>55</formula>
    </cfRule>
    <cfRule type="cellIs" priority="1011" operator="greaterThan" aboveAverage="0" equalAverage="0" bottom="0" percent="0" rank="0" text="" dxfId="3">
      <formula>65</formula>
    </cfRule>
  </conditionalFormatting>
  <conditionalFormatting sqref="AE101">
    <cfRule type="cellIs" priority="1012" operator="greaterThan" aboveAverage="0" equalAverage="0" bottom="0" percent="0" rank="0" text="" dxfId="2">
      <formula>55</formula>
    </cfRule>
    <cfRule type="cellIs" priority="1013" operator="greaterThan" aboveAverage="0" equalAverage="0" bottom="0" percent="0" rank="0" text="" dxfId="3">
      <formula>65</formula>
    </cfRule>
  </conditionalFormatting>
  <conditionalFormatting sqref="AF101">
    <cfRule type="cellIs" priority="1014" operator="greaterThan" aboveAverage="0" equalAverage="0" bottom="0" percent="0" rank="0" text="" dxfId="2">
      <formula>40</formula>
    </cfRule>
    <cfRule type="cellIs" priority="1015" operator="greaterThan" aboveAverage="0" equalAverage="0" bottom="0" percent="0" rank="0" text="" dxfId="3">
      <formula>45</formula>
    </cfRule>
  </conditionalFormatting>
  <conditionalFormatting sqref="AG101">
    <cfRule type="cellIs" priority="1016" operator="greaterThan" aboveAverage="0" equalAverage="0" bottom="0" percent="0" rank="0" text="" dxfId="2">
      <formula>40</formula>
    </cfRule>
    <cfRule type="cellIs" priority="1017" operator="greaterThan" aboveAverage="0" equalAverage="0" bottom="0" percent="0" rank="0" text="" dxfId="3">
      <formula>45</formula>
    </cfRule>
  </conditionalFormatting>
  <conditionalFormatting sqref="AH101">
    <cfRule type="cellIs" priority="1018" operator="greaterThan" aboveAverage="0" equalAverage="0" bottom="0" percent="0" rank="0" text="" dxfId="2">
      <formula>40</formula>
    </cfRule>
    <cfRule type="cellIs" priority="1019" operator="greaterThan" aboveAverage="0" equalAverage="0" bottom="0" percent="0" rank="0" text="" dxfId="3">
      <formula>45</formula>
    </cfRule>
  </conditionalFormatting>
  <conditionalFormatting sqref="AI101">
    <cfRule type="cellIs" priority="1020" operator="greaterThan" aboveAverage="0" equalAverage="0" bottom="0" percent="0" rank="0" text="" dxfId="2">
      <formula>40</formula>
    </cfRule>
    <cfRule type="cellIs" priority="1021" operator="greaterThan" aboveAverage="0" equalAverage="0" bottom="0" percent="0" rank="0" text="" dxfId="3">
      <formula>45</formula>
    </cfRule>
  </conditionalFormatting>
  <conditionalFormatting sqref="AJ101">
    <cfRule type="cellIs" priority="1022" operator="greaterThan" aboveAverage="0" equalAverage="0" bottom="0" percent="0" rank="0" text="" dxfId="2">
      <formula>40</formula>
    </cfRule>
    <cfRule type="cellIs" priority="1023" operator="greaterThan" aboveAverage="0" equalAverage="0" bottom="0" percent="0" rank="0" text="" dxfId="3">
      <formula>45</formula>
    </cfRule>
  </conditionalFormatting>
  <conditionalFormatting sqref="AK101">
    <cfRule type="cellIs" priority="1024" operator="greaterThan" aboveAverage="0" equalAverage="0" bottom="0" percent="0" rank="0" text="" dxfId="2">
      <formula>40</formula>
    </cfRule>
    <cfRule type="cellIs" priority="1025" operator="greaterThan" aboveAverage="0" equalAverage="0" bottom="0" percent="0" rank="0" text="" dxfId="3">
      <formula>45</formula>
    </cfRule>
  </conditionalFormatting>
  <conditionalFormatting sqref="AL101">
    <cfRule type="cellIs" priority="1026" operator="greaterThan" aboveAverage="0" equalAverage="0" bottom="0" percent="0" rank="0" text="" dxfId="2">
      <formula>40</formula>
    </cfRule>
    <cfRule type="cellIs" priority="1027" operator="greaterThan" aboveAverage="0" equalAverage="0" bottom="0" percent="0" rank="0" text="" dxfId="3">
      <formula>45</formula>
    </cfRule>
  </conditionalFormatting>
  <conditionalFormatting sqref="AM101">
    <cfRule type="cellIs" priority="1028" operator="greaterThan" aboveAverage="0" equalAverage="0" bottom="0" percent="0" rank="0" text="" dxfId="2">
      <formula>40</formula>
    </cfRule>
    <cfRule type="cellIs" priority="1029" operator="greaterThan" aboveAverage="0" equalAverage="0" bottom="0" percent="0" rank="0" text="" dxfId="3">
      <formula>45</formula>
    </cfRule>
  </conditionalFormatting>
  <conditionalFormatting sqref="AN101">
    <cfRule type="cellIs" priority="1030" operator="greaterThan" aboveAverage="0" equalAverage="0" bottom="0" percent="0" rank="0" text="" dxfId="2">
      <formula>40</formula>
    </cfRule>
    <cfRule type="cellIs" priority="1031" operator="greaterThan" aboveAverage="0" equalAverage="0" bottom="0" percent="0" rank="0" text="" dxfId="3">
      <formula>45</formula>
    </cfRule>
  </conditionalFormatting>
  <conditionalFormatting sqref="AO101">
    <cfRule type="cellIs" priority="1032" operator="greaterThan" aboveAverage="0" equalAverage="0" bottom="0" percent="0" rank="0" text="" dxfId="2">
      <formula>40</formula>
    </cfRule>
    <cfRule type="cellIs" priority="1033" operator="greaterThan" aboveAverage="0" equalAverage="0" bottom="0" percent="0" rank="0" text="" dxfId="3">
      <formula>45</formula>
    </cfRule>
  </conditionalFormatting>
  <conditionalFormatting sqref="AP101">
    <cfRule type="cellIs" priority="1034" operator="greaterThan" aboveAverage="0" equalAverage="0" bottom="0" percent="0" rank="0" text="" dxfId="2">
      <formula>40</formula>
    </cfRule>
    <cfRule type="cellIs" priority="1035" operator="greaterThan" aboveAverage="0" equalAverage="0" bottom="0" percent="0" rank="0" text="" dxfId="3">
      <formula>45</formula>
    </cfRule>
  </conditionalFormatting>
  <conditionalFormatting sqref="AQ101">
    <cfRule type="cellIs" priority="1036" operator="greaterThan" aboveAverage="0" equalAverage="0" bottom="0" percent="0" rank="0" text="" dxfId="2">
      <formula>40</formula>
    </cfRule>
    <cfRule type="cellIs" priority="1037" operator="greaterThan" aboveAverage="0" equalAverage="0" bottom="0" percent="0" rank="0" text="" dxfId="3">
      <formula>45</formula>
    </cfRule>
  </conditionalFormatting>
  <conditionalFormatting sqref="AR101">
    <cfRule type="cellIs" priority="1038" operator="greaterThan" aboveAverage="0" equalAverage="0" bottom="0" percent="0" rank="0" text="" dxfId="2">
      <formula>40</formula>
    </cfRule>
    <cfRule type="cellIs" priority="1039" operator="greaterThan" aboveAverage="0" equalAverage="0" bottom="0" percent="0" rank="0" text="" dxfId="3">
      <formula>45</formula>
    </cfRule>
  </conditionalFormatting>
  <conditionalFormatting sqref="AS101">
    <cfRule type="cellIs" priority="1040" operator="greaterThan" aboveAverage="0" equalAverage="0" bottom="0" percent="0" rank="0" text="" dxfId="2">
      <formula>40</formula>
    </cfRule>
    <cfRule type="cellIs" priority="1041" operator="greaterThan" aboveAverage="0" equalAverage="0" bottom="0" percent="0" rank="0" text="" dxfId="3">
      <formula>45</formula>
    </cfRule>
  </conditionalFormatting>
  <conditionalFormatting sqref="F110">
    <cfRule type="cellIs" priority="1042" operator="greaterThan" aboveAverage="0" equalAverage="0" bottom="0" percent="0" rank="0" text="" dxfId="2">
      <formula>40</formula>
    </cfRule>
    <cfRule type="cellIs" priority="1043" operator="greaterThan" aboveAverage="0" equalAverage="0" bottom="0" percent="0" rank="0" text="" dxfId="3">
      <formula>45</formula>
    </cfRule>
  </conditionalFormatting>
  <conditionalFormatting sqref="G110">
    <cfRule type="cellIs" priority="1044" operator="greaterThan" aboveAverage="0" equalAverage="0" bottom="0" percent="0" rank="0" text="" dxfId="2">
      <formula>40</formula>
    </cfRule>
    <cfRule type="cellIs" priority="1045" operator="greaterThan" aboveAverage="0" equalAverage="0" bottom="0" percent="0" rank="0" text="" dxfId="3">
      <formula>45</formula>
    </cfRule>
  </conditionalFormatting>
  <conditionalFormatting sqref="H110">
    <cfRule type="cellIs" priority="1046" operator="greaterThan" aboveAverage="0" equalAverage="0" bottom="0" percent="0" rank="0" text="" dxfId="2">
      <formula>40</formula>
    </cfRule>
    <cfRule type="cellIs" priority="1047" operator="greaterThan" aboveAverage="0" equalAverage="0" bottom="0" percent="0" rank="0" text="" dxfId="3">
      <formula>45</formula>
    </cfRule>
  </conditionalFormatting>
  <conditionalFormatting sqref="I110">
    <cfRule type="cellIs" priority="1048" operator="greaterThan" aboveAverage="0" equalAverage="0" bottom="0" percent="0" rank="0" text="" dxfId="2">
      <formula>40</formula>
    </cfRule>
    <cfRule type="cellIs" priority="1049" operator="greaterThan" aboveAverage="0" equalAverage="0" bottom="0" percent="0" rank="0" text="" dxfId="3">
      <formula>45</formula>
    </cfRule>
  </conditionalFormatting>
  <conditionalFormatting sqref="J110">
    <cfRule type="cellIs" priority="1050" operator="greaterThan" aboveAverage="0" equalAverage="0" bottom="0" percent="0" rank="0" text="" dxfId="2">
      <formula>40</formula>
    </cfRule>
    <cfRule type="cellIs" priority="1051" operator="greaterThan" aboveAverage="0" equalAverage="0" bottom="0" percent="0" rank="0" text="" dxfId="3">
      <formula>45</formula>
    </cfRule>
  </conditionalFormatting>
  <conditionalFormatting sqref="K110">
    <cfRule type="cellIs" priority="1052" operator="greaterThan" aboveAverage="0" equalAverage="0" bottom="0" percent="0" rank="0" text="" dxfId="2">
      <formula>40</formula>
    </cfRule>
    <cfRule type="cellIs" priority="1053" operator="greaterThan" aboveAverage="0" equalAverage="0" bottom="0" percent="0" rank="0" text="" dxfId="3">
      <formula>45</formula>
    </cfRule>
  </conditionalFormatting>
  <conditionalFormatting sqref="L110">
    <cfRule type="cellIs" priority="1054" operator="greaterThan" aboveAverage="0" equalAverage="0" bottom="0" percent="0" rank="0" text="" dxfId="2">
      <formula>40</formula>
    </cfRule>
    <cfRule type="cellIs" priority="1055" operator="greaterThan" aboveAverage="0" equalAverage="0" bottom="0" percent="0" rank="0" text="" dxfId="3">
      <formula>45</formula>
    </cfRule>
  </conditionalFormatting>
  <conditionalFormatting sqref="M110">
    <cfRule type="cellIs" priority="1056" operator="greaterThan" aboveAverage="0" equalAverage="0" bottom="0" percent="0" rank="0" text="" dxfId="2">
      <formula>40</formula>
    </cfRule>
    <cfRule type="cellIs" priority="1057" operator="greaterThan" aboveAverage="0" equalAverage="0" bottom="0" percent="0" rank="0" text="" dxfId="3">
      <formula>45</formula>
    </cfRule>
  </conditionalFormatting>
  <conditionalFormatting sqref="N110">
    <cfRule type="cellIs" priority="1058" operator="greaterThan" aboveAverage="0" equalAverage="0" bottom="0" percent="0" rank="0" text="" dxfId="2">
      <formula>40</formula>
    </cfRule>
    <cfRule type="cellIs" priority="1059" operator="greaterThan" aboveAverage="0" equalAverage="0" bottom="0" percent="0" rank="0" text="" dxfId="3">
      <formula>45</formula>
    </cfRule>
  </conditionalFormatting>
  <conditionalFormatting sqref="O110">
    <cfRule type="cellIs" priority="1060" operator="greaterThan" aboveAverage="0" equalAverage="0" bottom="0" percent="0" rank="0" text="" dxfId="2">
      <formula>40</formula>
    </cfRule>
    <cfRule type="cellIs" priority="1061" operator="greaterThan" aboveAverage="0" equalAverage="0" bottom="0" percent="0" rank="0" text="" dxfId="3">
      <formula>45</formula>
    </cfRule>
  </conditionalFormatting>
  <conditionalFormatting sqref="P110">
    <cfRule type="cellIs" priority="1062" operator="greaterThan" aboveAverage="0" equalAverage="0" bottom="0" percent="0" rank="0" text="" dxfId="2">
      <formula>40</formula>
    </cfRule>
    <cfRule type="cellIs" priority="1063" operator="greaterThan" aboveAverage="0" equalAverage="0" bottom="0" percent="0" rank="0" text="" dxfId="3">
      <formula>45</formula>
    </cfRule>
  </conditionalFormatting>
  <conditionalFormatting sqref="Q110">
    <cfRule type="cellIs" priority="1064" operator="greaterThan" aboveAverage="0" equalAverage="0" bottom="0" percent="0" rank="0" text="" dxfId="2">
      <formula>40</formula>
    </cfRule>
    <cfRule type="cellIs" priority="1065" operator="greaterThan" aboveAverage="0" equalAverage="0" bottom="0" percent="0" rank="0" text="" dxfId="3">
      <formula>45</formula>
    </cfRule>
  </conditionalFormatting>
  <conditionalFormatting sqref="R110">
    <cfRule type="cellIs" priority="1066" operator="greaterThan" aboveAverage="0" equalAverage="0" bottom="0" percent="0" rank="0" text="" dxfId="2">
      <formula>40</formula>
    </cfRule>
    <cfRule type="cellIs" priority="1067" operator="greaterThan" aboveAverage="0" equalAverage="0" bottom="0" percent="0" rank="0" text="" dxfId="3">
      <formula>45</formula>
    </cfRule>
  </conditionalFormatting>
  <conditionalFormatting sqref="S110">
    <cfRule type="cellIs" priority="1068" operator="greaterThan" aboveAverage="0" equalAverage="0" bottom="0" percent="0" rank="0" text="" dxfId="2">
      <formula>40</formula>
    </cfRule>
    <cfRule type="cellIs" priority="1069" operator="greaterThan" aboveAverage="0" equalAverage="0" bottom="0" percent="0" rank="0" text="" dxfId="3">
      <formula>45</formula>
    </cfRule>
  </conditionalFormatting>
  <conditionalFormatting sqref="T110">
    <cfRule type="cellIs" priority="1070" operator="greaterThan" aboveAverage="0" equalAverage="0" bottom="0" percent="0" rank="0" text="" dxfId="2">
      <formula>40</formula>
    </cfRule>
    <cfRule type="cellIs" priority="1071" operator="greaterThan" aboveAverage="0" equalAverage="0" bottom="0" percent="0" rank="0" text="" dxfId="3">
      <formula>45</formula>
    </cfRule>
  </conditionalFormatting>
  <conditionalFormatting sqref="U110">
    <cfRule type="cellIs" priority="1072" operator="greaterThan" aboveAverage="0" equalAverage="0" bottom="0" percent="0" rank="0" text="" dxfId="2">
      <formula>40</formula>
    </cfRule>
    <cfRule type="cellIs" priority="1073" operator="greaterThan" aboveAverage="0" equalAverage="0" bottom="0" percent="0" rank="0" text="" dxfId="3">
      <formula>45</formula>
    </cfRule>
  </conditionalFormatting>
  <conditionalFormatting sqref="V110">
    <cfRule type="cellIs" priority="1074" operator="greaterThan" aboveAverage="0" equalAverage="0" bottom="0" percent="0" rank="0" text="" dxfId="2">
      <formula>40</formula>
    </cfRule>
    <cfRule type="cellIs" priority="1075" operator="greaterThan" aboveAverage="0" equalAverage="0" bottom="0" percent="0" rank="0" text="" dxfId="3">
      <formula>45</formula>
    </cfRule>
  </conditionalFormatting>
  <conditionalFormatting sqref="W110">
    <cfRule type="cellIs" priority="1076" operator="greaterThan" aboveAverage="0" equalAverage="0" bottom="0" percent="0" rank="0" text="" dxfId="2">
      <formula>40</formula>
    </cfRule>
    <cfRule type="cellIs" priority="1077" operator="greaterThan" aboveAverage="0" equalAverage="0" bottom="0" percent="0" rank="0" text="" dxfId="3">
      <formula>45</formula>
    </cfRule>
  </conditionalFormatting>
  <conditionalFormatting sqref="X110">
    <cfRule type="cellIs" priority="1078" operator="greaterThan" aboveAverage="0" equalAverage="0" bottom="0" percent="0" rank="0" text="" dxfId="2">
      <formula>55</formula>
    </cfRule>
    <cfRule type="cellIs" priority="1079" operator="greaterThan" aboveAverage="0" equalAverage="0" bottom="0" percent="0" rank="0" text="" dxfId="3">
      <formula>65</formula>
    </cfRule>
  </conditionalFormatting>
  <conditionalFormatting sqref="Y110">
    <cfRule type="cellIs" priority="1080" operator="greaterThan" aboveAverage="0" equalAverage="0" bottom="0" percent="0" rank="0" text="" dxfId="2">
      <formula>55</formula>
    </cfRule>
    <cfRule type="cellIs" priority="1081" operator="greaterThan" aboveAverage="0" equalAverage="0" bottom="0" percent="0" rank="0" text="" dxfId="3">
      <formula>65</formula>
    </cfRule>
  </conditionalFormatting>
  <conditionalFormatting sqref="Z110">
    <cfRule type="cellIs" priority="1082" operator="greaterThan" aboveAverage="0" equalAverage="0" bottom="0" percent="0" rank="0" text="" dxfId="2">
      <formula>55</formula>
    </cfRule>
    <cfRule type="cellIs" priority="1083" operator="greaterThan" aboveAverage="0" equalAverage="0" bottom="0" percent="0" rank="0" text="" dxfId="3">
      <formula>65</formula>
    </cfRule>
  </conditionalFormatting>
  <conditionalFormatting sqref="AA110">
    <cfRule type="cellIs" priority="1084" operator="greaterThan" aboveAverage="0" equalAverage="0" bottom="0" percent="0" rank="0" text="" dxfId="2">
      <formula>55</formula>
    </cfRule>
    <cfRule type="cellIs" priority="1085" operator="greaterThan" aboveAverage="0" equalAverage="0" bottom="0" percent="0" rank="0" text="" dxfId="3">
      <formula>65</formula>
    </cfRule>
  </conditionalFormatting>
  <conditionalFormatting sqref="AB110">
    <cfRule type="cellIs" priority="1086" operator="greaterThan" aboveAverage="0" equalAverage="0" bottom="0" percent="0" rank="0" text="" dxfId="2">
      <formula>55</formula>
    </cfRule>
    <cfRule type="cellIs" priority="1087" operator="greaterThan" aboveAverage="0" equalAverage="0" bottom="0" percent="0" rank="0" text="" dxfId="3">
      <formula>65</formula>
    </cfRule>
  </conditionalFormatting>
  <conditionalFormatting sqref="AC110">
    <cfRule type="cellIs" priority="1088" operator="greaterThan" aboveAverage="0" equalAverage="0" bottom="0" percent="0" rank="0" text="" dxfId="2">
      <formula>55</formula>
    </cfRule>
    <cfRule type="cellIs" priority="1089" operator="greaterThan" aboveAverage="0" equalAverage="0" bottom="0" percent="0" rank="0" text="" dxfId="3">
      <formula>65</formula>
    </cfRule>
  </conditionalFormatting>
  <conditionalFormatting sqref="AD110">
    <cfRule type="cellIs" priority="1090" operator="greaterThan" aboveAverage="0" equalAverage="0" bottom="0" percent="0" rank="0" text="" dxfId="2">
      <formula>55</formula>
    </cfRule>
    <cfRule type="cellIs" priority="1091" operator="greaterThan" aboveAverage="0" equalAverage="0" bottom="0" percent="0" rank="0" text="" dxfId="3">
      <formula>65</formula>
    </cfRule>
  </conditionalFormatting>
  <conditionalFormatting sqref="AE110">
    <cfRule type="cellIs" priority="1092" operator="greaterThan" aboveAverage="0" equalAverage="0" bottom="0" percent="0" rank="0" text="" dxfId="2">
      <formula>55</formula>
    </cfRule>
    <cfRule type="cellIs" priority="1093" operator="greaterThan" aboveAverage="0" equalAverage="0" bottom="0" percent="0" rank="0" text="" dxfId="3">
      <formula>65</formula>
    </cfRule>
  </conditionalFormatting>
  <conditionalFormatting sqref="AF110">
    <cfRule type="cellIs" priority="1094" operator="greaterThan" aboveAverage="0" equalAverage="0" bottom="0" percent="0" rank="0" text="" dxfId="2">
      <formula>40</formula>
    </cfRule>
    <cfRule type="cellIs" priority="1095" operator="greaterThan" aboveAverage="0" equalAverage="0" bottom="0" percent="0" rank="0" text="" dxfId="3">
      <formula>45</formula>
    </cfRule>
  </conditionalFormatting>
  <conditionalFormatting sqref="AG110">
    <cfRule type="cellIs" priority="1096" operator="greaterThan" aboveAverage="0" equalAverage="0" bottom="0" percent="0" rank="0" text="" dxfId="2">
      <formula>40</formula>
    </cfRule>
    <cfRule type="cellIs" priority="1097" operator="greaterThan" aboveAverage="0" equalAverage="0" bottom="0" percent="0" rank="0" text="" dxfId="3">
      <formula>45</formula>
    </cfRule>
  </conditionalFormatting>
  <conditionalFormatting sqref="AH110">
    <cfRule type="cellIs" priority="1098" operator="greaterThan" aboveAverage="0" equalAverage="0" bottom="0" percent="0" rank="0" text="" dxfId="2">
      <formula>40</formula>
    </cfRule>
    <cfRule type="cellIs" priority="1099" operator="greaterThan" aboveAverage="0" equalAverage="0" bottom="0" percent="0" rank="0" text="" dxfId="3">
      <formula>45</formula>
    </cfRule>
  </conditionalFormatting>
  <conditionalFormatting sqref="AI110">
    <cfRule type="cellIs" priority="1100" operator="greaterThan" aboveAverage="0" equalAverage="0" bottom="0" percent="0" rank="0" text="" dxfId="2">
      <formula>40</formula>
    </cfRule>
    <cfRule type="cellIs" priority="1101" operator="greaterThan" aboveAverage="0" equalAverage="0" bottom="0" percent="0" rank="0" text="" dxfId="3">
      <formula>45</formula>
    </cfRule>
  </conditionalFormatting>
  <conditionalFormatting sqref="AJ110">
    <cfRule type="cellIs" priority="1102" operator="greaterThan" aboveAverage="0" equalAverage="0" bottom="0" percent="0" rank="0" text="" dxfId="2">
      <formula>40</formula>
    </cfRule>
    <cfRule type="cellIs" priority="1103" operator="greaterThan" aboveAverage="0" equalAverage="0" bottom="0" percent="0" rank="0" text="" dxfId="3">
      <formula>45</formula>
    </cfRule>
  </conditionalFormatting>
  <conditionalFormatting sqref="AK110">
    <cfRule type="cellIs" priority="1104" operator="greaterThan" aboveAverage="0" equalAverage="0" bottom="0" percent="0" rank="0" text="" dxfId="2">
      <formula>40</formula>
    </cfRule>
    <cfRule type="cellIs" priority="1105" operator="greaterThan" aboveAverage="0" equalAverage="0" bottom="0" percent="0" rank="0" text="" dxfId="3">
      <formula>45</formula>
    </cfRule>
  </conditionalFormatting>
  <conditionalFormatting sqref="AL110">
    <cfRule type="cellIs" priority="1106" operator="greaterThan" aboveAverage="0" equalAverage="0" bottom="0" percent="0" rank="0" text="" dxfId="2">
      <formula>40</formula>
    </cfRule>
    <cfRule type="cellIs" priority="1107" operator="greaterThan" aboveAverage="0" equalAverage="0" bottom="0" percent="0" rank="0" text="" dxfId="3">
      <formula>45</formula>
    </cfRule>
  </conditionalFormatting>
  <conditionalFormatting sqref="AM110">
    <cfRule type="cellIs" priority="1108" operator="greaterThan" aboveAverage="0" equalAverage="0" bottom="0" percent="0" rank="0" text="" dxfId="2">
      <formula>40</formula>
    </cfRule>
    <cfRule type="cellIs" priority="1109" operator="greaterThan" aboveAverage="0" equalAverage="0" bottom="0" percent="0" rank="0" text="" dxfId="3">
      <formula>45</formula>
    </cfRule>
  </conditionalFormatting>
  <conditionalFormatting sqref="AN110">
    <cfRule type="cellIs" priority="1110" operator="greaterThan" aboveAverage="0" equalAverage="0" bottom="0" percent="0" rank="0" text="" dxfId="2">
      <formula>40</formula>
    </cfRule>
    <cfRule type="cellIs" priority="1111" operator="greaterThan" aboveAverage="0" equalAverage="0" bottom="0" percent="0" rank="0" text="" dxfId="3">
      <formula>45</formula>
    </cfRule>
  </conditionalFormatting>
  <conditionalFormatting sqref="AO110">
    <cfRule type="cellIs" priority="1112" operator="greaterThan" aboveAverage="0" equalAverage="0" bottom="0" percent="0" rank="0" text="" dxfId="2">
      <formula>40</formula>
    </cfRule>
    <cfRule type="cellIs" priority="1113" operator="greaterThan" aboveAverage="0" equalAverage="0" bottom="0" percent="0" rank="0" text="" dxfId="3">
      <formula>45</formula>
    </cfRule>
  </conditionalFormatting>
  <conditionalFormatting sqref="AP110">
    <cfRule type="cellIs" priority="1114" operator="greaterThan" aboveAverage="0" equalAverage="0" bottom="0" percent="0" rank="0" text="" dxfId="2">
      <formula>40</formula>
    </cfRule>
    <cfRule type="cellIs" priority="1115" operator="greaterThan" aboveAverage="0" equalAverage="0" bottom="0" percent="0" rank="0" text="" dxfId="3">
      <formula>45</formula>
    </cfRule>
  </conditionalFormatting>
  <conditionalFormatting sqref="AQ110">
    <cfRule type="cellIs" priority="1116" operator="greaterThan" aboveAverage="0" equalAverage="0" bottom="0" percent="0" rank="0" text="" dxfId="2">
      <formula>40</formula>
    </cfRule>
    <cfRule type="cellIs" priority="1117" operator="greaterThan" aboveAverage="0" equalAverage="0" bottom="0" percent="0" rank="0" text="" dxfId="3">
      <formula>45</formula>
    </cfRule>
  </conditionalFormatting>
  <conditionalFormatting sqref="AR110">
    <cfRule type="cellIs" priority="1118" operator="greaterThan" aboveAverage="0" equalAverage="0" bottom="0" percent="0" rank="0" text="" dxfId="2">
      <formula>40</formula>
    </cfRule>
    <cfRule type="cellIs" priority="1119" operator="greaterThan" aboveAverage="0" equalAverage="0" bottom="0" percent="0" rank="0" text="" dxfId="3">
      <formula>45</formula>
    </cfRule>
  </conditionalFormatting>
  <conditionalFormatting sqref="AS110">
    <cfRule type="cellIs" priority="1120" operator="greaterThan" aboveAverage="0" equalAverage="0" bottom="0" percent="0" rank="0" text="" dxfId="2">
      <formula>40</formula>
    </cfRule>
    <cfRule type="cellIs" priority="1121" operator="greaterThan" aboveAverage="0" equalAverage="0" bottom="0" percent="0" rank="0" text="" dxfId="3">
      <formula>45</formula>
    </cfRule>
  </conditionalFormatting>
  <conditionalFormatting sqref="F117">
    <cfRule type="cellIs" priority="1122" operator="greaterThan" aboveAverage="0" equalAverage="0" bottom="0" percent="0" rank="0" text="" dxfId="2">
      <formula>40</formula>
    </cfRule>
    <cfRule type="cellIs" priority="1123" operator="greaterThan" aboveAverage="0" equalAverage="0" bottom="0" percent="0" rank="0" text="" dxfId="3">
      <formula>45</formula>
    </cfRule>
  </conditionalFormatting>
  <conditionalFormatting sqref="G117">
    <cfRule type="cellIs" priority="1124" operator="greaterThan" aboveAverage="0" equalAverage="0" bottom="0" percent="0" rank="0" text="" dxfId="2">
      <formula>40</formula>
    </cfRule>
    <cfRule type="cellIs" priority="1125" operator="greaterThan" aboveAverage="0" equalAverage="0" bottom="0" percent="0" rank="0" text="" dxfId="3">
      <formula>45</formula>
    </cfRule>
  </conditionalFormatting>
  <conditionalFormatting sqref="H117">
    <cfRule type="cellIs" priority="1126" operator="greaterThan" aboveAverage="0" equalAverage="0" bottom="0" percent="0" rank="0" text="" dxfId="2">
      <formula>40</formula>
    </cfRule>
    <cfRule type="cellIs" priority="1127" operator="greaterThan" aboveAverage="0" equalAverage="0" bottom="0" percent="0" rank="0" text="" dxfId="3">
      <formula>45</formula>
    </cfRule>
  </conditionalFormatting>
  <conditionalFormatting sqref="I117">
    <cfRule type="cellIs" priority="1128" operator="greaterThan" aboveAverage="0" equalAverage="0" bottom="0" percent="0" rank="0" text="" dxfId="2">
      <formula>40</formula>
    </cfRule>
    <cfRule type="cellIs" priority="1129" operator="greaterThan" aboveAverage="0" equalAverage="0" bottom="0" percent="0" rank="0" text="" dxfId="3">
      <formula>45</formula>
    </cfRule>
  </conditionalFormatting>
  <conditionalFormatting sqref="J117">
    <cfRule type="cellIs" priority="1130" operator="greaterThan" aboveAverage="0" equalAverage="0" bottom="0" percent="0" rank="0" text="" dxfId="2">
      <formula>40</formula>
    </cfRule>
    <cfRule type="cellIs" priority="1131" operator="greaterThan" aboveAverage="0" equalAverage="0" bottom="0" percent="0" rank="0" text="" dxfId="3">
      <formula>45</formula>
    </cfRule>
  </conditionalFormatting>
  <conditionalFormatting sqref="K117">
    <cfRule type="cellIs" priority="1132" operator="greaterThan" aboveAverage="0" equalAverage="0" bottom="0" percent="0" rank="0" text="" dxfId="2">
      <formula>40</formula>
    </cfRule>
    <cfRule type="cellIs" priority="1133" operator="greaterThan" aboveAverage="0" equalAverage="0" bottom="0" percent="0" rank="0" text="" dxfId="3">
      <formula>45</formula>
    </cfRule>
  </conditionalFormatting>
  <conditionalFormatting sqref="L117">
    <cfRule type="cellIs" priority="1134" operator="greaterThan" aboveAverage="0" equalAverage="0" bottom="0" percent="0" rank="0" text="" dxfId="2">
      <formula>40</formula>
    </cfRule>
    <cfRule type="cellIs" priority="1135" operator="greaterThan" aboveAverage="0" equalAverage="0" bottom="0" percent="0" rank="0" text="" dxfId="3">
      <formula>45</formula>
    </cfRule>
  </conditionalFormatting>
  <conditionalFormatting sqref="M117">
    <cfRule type="cellIs" priority="1136" operator="greaterThan" aboveAverage="0" equalAverage="0" bottom="0" percent="0" rank="0" text="" dxfId="2">
      <formula>40</formula>
    </cfRule>
    <cfRule type="cellIs" priority="1137" operator="greaterThan" aboveAverage="0" equalAverage="0" bottom="0" percent="0" rank="0" text="" dxfId="3">
      <formula>45</formula>
    </cfRule>
  </conditionalFormatting>
  <conditionalFormatting sqref="N117">
    <cfRule type="cellIs" priority="1138" operator="greaterThan" aboveAverage="0" equalAverage="0" bottom="0" percent="0" rank="0" text="" dxfId="2">
      <formula>40</formula>
    </cfRule>
    <cfRule type="cellIs" priority="1139" operator="greaterThan" aboveAverage="0" equalAverage="0" bottom="0" percent="0" rank="0" text="" dxfId="3">
      <formula>45</formula>
    </cfRule>
  </conditionalFormatting>
  <conditionalFormatting sqref="O117">
    <cfRule type="cellIs" priority="1140" operator="greaterThan" aboveAverage="0" equalAverage="0" bottom="0" percent="0" rank="0" text="" dxfId="2">
      <formula>40</formula>
    </cfRule>
    <cfRule type="cellIs" priority="1141" operator="greaterThan" aboveAverage="0" equalAverage="0" bottom="0" percent="0" rank="0" text="" dxfId="3">
      <formula>45</formula>
    </cfRule>
  </conditionalFormatting>
  <conditionalFormatting sqref="P117">
    <cfRule type="cellIs" priority="1142" operator="greaterThan" aboveAverage="0" equalAverage="0" bottom="0" percent="0" rank="0" text="" dxfId="2">
      <formula>40</formula>
    </cfRule>
    <cfRule type="cellIs" priority="1143" operator="greaterThan" aboveAverage="0" equalAverage="0" bottom="0" percent="0" rank="0" text="" dxfId="3">
      <formula>45</formula>
    </cfRule>
  </conditionalFormatting>
  <conditionalFormatting sqref="Q117">
    <cfRule type="cellIs" priority="1144" operator="greaterThan" aboveAverage="0" equalAverage="0" bottom="0" percent="0" rank="0" text="" dxfId="2">
      <formula>40</formula>
    </cfRule>
    <cfRule type="cellIs" priority="1145" operator="greaterThan" aboveAverage="0" equalAverage="0" bottom="0" percent="0" rank="0" text="" dxfId="3">
      <formula>45</formula>
    </cfRule>
  </conditionalFormatting>
  <conditionalFormatting sqref="R117">
    <cfRule type="cellIs" priority="1146" operator="greaterThan" aboveAverage="0" equalAverage="0" bottom="0" percent="0" rank="0" text="" dxfId="2">
      <formula>40</formula>
    </cfRule>
    <cfRule type="cellIs" priority="1147" operator="greaterThan" aboveAverage="0" equalAverage="0" bottom="0" percent="0" rank="0" text="" dxfId="3">
      <formula>45</formula>
    </cfRule>
  </conditionalFormatting>
  <conditionalFormatting sqref="S117">
    <cfRule type="cellIs" priority="1148" operator="greaterThan" aboveAverage="0" equalAverage="0" bottom="0" percent="0" rank="0" text="" dxfId="2">
      <formula>40</formula>
    </cfRule>
    <cfRule type="cellIs" priority="1149" operator="greaterThan" aboveAverage="0" equalAverage="0" bottom="0" percent="0" rank="0" text="" dxfId="3">
      <formula>45</formula>
    </cfRule>
  </conditionalFormatting>
  <conditionalFormatting sqref="T117">
    <cfRule type="cellIs" priority="1150" operator="greaterThan" aboveAverage="0" equalAverage="0" bottom="0" percent="0" rank="0" text="" dxfId="2">
      <formula>40</formula>
    </cfRule>
    <cfRule type="cellIs" priority="1151" operator="greaterThan" aboveAverage="0" equalAverage="0" bottom="0" percent="0" rank="0" text="" dxfId="3">
      <formula>45</formula>
    </cfRule>
  </conditionalFormatting>
  <conditionalFormatting sqref="U117">
    <cfRule type="cellIs" priority="1152" operator="greaterThan" aboveAverage="0" equalAverage="0" bottom="0" percent="0" rank="0" text="" dxfId="2">
      <formula>40</formula>
    </cfRule>
    <cfRule type="cellIs" priority="1153" operator="greaterThan" aboveAverage="0" equalAverage="0" bottom="0" percent="0" rank="0" text="" dxfId="3">
      <formula>45</formula>
    </cfRule>
  </conditionalFormatting>
  <conditionalFormatting sqref="V117">
    <cfRule type="cellIs" priority="1154" operator="greaterThan" aboveAverage="0" equalAverage="0" bottom="0" percent="0" rank="0" text="" dxfId="2">
      <formula>40</formula>
    </cfRule>
    <cfRule type="cellIs" priority="1155" operator="greaterThan" aboveAverage="0" equalAverage="0" bottom="0" percent="0" rank="0" text="" dxfId="3">
      <formula>45</formula>
    </cfRule>
  </conditionalFormatting>
  <conditionalFormatting sqref="W117">
    <cfRule type="cellIs" priority="1156" operator="greaterThan" aboveAverage="0" equalAverage="0" bottom="0" percent="0" rank="0" text="" dxfId="2">
      <formula>40</formula>
    </cfRule>
    <cfRule type="cellIs" priority="1157" operator="greaterThan" aboveAverage="0" equalAverage="0" bottom="0" percent="0" rank="0" text="" dxfId="3">
      <formula>45</formula>
    </cfRule>
  </conditionalFormatting>
  <conditionalFormatting sqref="X117">
    <cfRule type="cellIs" priority="1158" operator="greaterThan" aboveAverage="0" equalAverage="0" bottom="0" percent="0" rank="0" text="" dxfId="2">
      <formula>55</formula>
    </cfRule>
    <cfRule type="cellIs" priority="1159" operator="greaterThan" aboveAverage="0" equalAverage="0" bottom="0" percent="0" rank="0" text="" dxfId="3">
      <formula>65</formula>
    </cfRule>
  </conditionalFormatting>
  <conditionalFormatting sqref="Y117">
    <cfRule type="cellIs" priority="1160" operator="greaterThan" aboveAverage="0" equalAverage="0" bottom="0" percent="0" rank="0" text="" dxfId="2">
      <formula>55</formula>
    </cfRule>
    <cfRule type="cellIs" priority="1161" operator="greaterThan" aboveAverage="0" equalAverage="0" bottom="0" percent="0" rank="0" text="" dxfId="3">
      <formula>65</formula>
    </cfRule>
  </conditionalFormatting>
  <conditionalFormatting sqref="Z117">
    <cfRule type="cellIs" priority="1162" operator="greaterThan" aboveAverage="0" equalAverage="0" bottom="0" percent="0" rank="0" text="" dxfId="2">
      <formula>55</formula>
    </cfRule>
    <cfRule type="cellIs" priority="1163" operator="greaterThan" aboveAverage="0" equalAverage="0" bottom="0" percent="0" rank="0" text="" dxfId="3">
      <formula>65</formula>
    </cfRule>
  </conditionalFormatting>
  <conditionalFormatting sqref="AA117">
    <cfRule type="cellIs" priority="1164" operator="greaterThan" aboveAverage="0" equalAverage="0" bottom="0" percent="0" rank="0" text="" dxfId="2">
      <formula>55</formula>
    </cfRule>
    <cfRule type="cellIs" priority="1165" operator="greaterThan" aboveAverage="0" equalAverage="0" bottom="0" percent="0" rank="0" text="" dxfId="3">
      <formula>65</formula>
    </cfRule>
  </conditionalFormatting>
  <conditionalFormatting sqref="AB117">
    <cfRule type="cellIs" priority="1166" operator="greaterThan" aboveAverage="0" equalAverage="0" bottom="0" percent="0" rank="0" text="" dxfId="2">
      <formula>55</formula>
    </cfRule>
    <cfRule type="cellIs" priority="1167" operator="greaterThan" aboveAverage="0" equalAverage="0" bottom="0" percent="0" rank="0" text="" dxfId="3">
      <formula>65</formula>
    </cfRule>
  </conditionalFormatting>
  <conditionalFormatting sqref="AC117">
    <cfRule type="cellIs" priority="1168" operator="greaterThan" aboveAverage="0" equalAverage="0" bottom="0" percent="0" rank="0" text="" dxfId="2">
      <formula>55</formula>
    </cfRule>
    <cfRule type="cellIs" priority="1169" operator="greaterThan" aboveAverage="0" equalAverage="0" bottom="0" percent="0" rank="0" text="" dxfId="3">
      <formula>65</formula>
    </cfRule>
  </conditionalFormatting>
  <conditionalFormatting sqref="AD117">
    <cfRule type="cellIs" priority="1170" operator="greaterThan" aboveAverage="0" equalAverage="0" bottom="0" percent="0" rank="0" text="" dxfId="2">
      <formula>55</formula>
    </cfRule>
    <cfRule type="cellIs" priority="1171" operator="greaterThan" aboveAverage="0" equalAverage="0" bottom="0" percent="0" rank="0" text="" dxfId="3">
      <formula>65</formula>
    </cfRule>
  </conditionalFormatting>
  <conditionalFormatting sqref="AE117">
    <cfRule type="cellIs" priority="1172" operator="greaterThan" aboveAverage="0" equalAverage="0" bottom="0" percent="0" rank="0" text="" dxfId="2">
      <formula>55</formula>
    </cfRule>
    <cfRule type="cellIs" priority="1173" operator="greaterThan" aboveAverage="0" equalAverage="0" bottom="0" percent="0" rank="0" text="" dxfId="3">
      <formula>65</formula>
    </cfRule>
  </conditionalFormatting>
  <conditionalFormatting sqref="AF117">
    <cfRule type="cellIs" priority="1174" operator="greaterThan" aboveAverage="0" equalAverage="0" bottom="0" percent="0" rank="0" text="" dxfId="2">
      <formula>40</formula>
    </cfRule>
    <cfRule type="cellIs" priority="1175" operator="greaterThan" aboveAverage="0" equalAverage="0" bottom="0" percent="0" rank="0" text="" dxfId="3">
      <formula>45</formula>
    </cfRule>
  </conditionalFormatting>
  <conditionalFormatting sqref="AG117">
    <cfRule type="cellIs" priority="1176" operator="greaterThan" aboveAverage="0" equalAverage="0" bottom="0" percent="0" rank="0" text="" dxfId="2">
      <formula>40</formula>
    </cfRule>
    <cfRule type="cellIs" priority="1177" operator="greaterThan" aboveAverage="0" equalAverage="0" bottom="0" percent="0" rank="0" text="" dxfId="3">
      <formula>45</formula>
    </cfRule>
  </conditionalFormatting>
  <conditionalFormatting sqref="AH117">
    <cfRule type="cellIs" priority="1178" operator="greaterThan" aboveAverage="0" equalAverage="0" bottom="0" percent="0" rank="0" text="" dxfId="2">
      <formula>40</formula>
    </cfRule>
    <cfRule type="cellIs" priority="1179" operator="greaterThan" aboveAverage="0" equalAverage="0" bottom="0" percent="0" rank="0" text="" dxfId="3">
      <formula>45</formula>
    </cfRule>
  </conditionalFormatting>
  <conditionalFormatting sqref="AI117">
    <cfRule type="cellIs" priority="1180" operator="greaterThan" aboveAverage="0" equalAverage="0" bottom="0" percent="0" rank="0" text="" dxfId="2">
      <formula>40</formula>
    </cfRule>
    <cfRule type="cellIs" priority="1181" operator="greaterThan" aboveAverage="0" equalAverage="0" bottom="0" percent="0" rank="0" text="" dxfId="3">
      <formula>45</formula>
    </cfRule>
  </conditionalFormatting>
  <conditionalFormatting sqref="AJ117">
    <cfRule type="cellIs" priority="1182" operator="greaterThan" aboveAverage="0" equalAverage="0" bottom="0" percent="0" rank="0" text="" dxfId="2">
      <formula>40</formula>
    </cfRule>
    <cfRule type="cellIs" priority="1183" operator="greaterThan" aboveAverage="0" equalAverage="0" bottom="0" percent="0" rank="0" text="" dxfId="3">
      <formula>45</formula>
    </cfRule>
  </conditionalFormatting>
  <conditionalFormatting sqref="AK117">
    <cfRule type="cellIs" priority="1184" operator="greaterThan" aboveAverage="0" equalAverage="0" bottom="0" percent="0" rank="0" text="" dxfId="2">
      <formula>40</formula>
    </cfRule>
    <cfRule type="cellIs" priority="1185" operator="greaterThan" aboveAverage="0" equalAverage="0" bottom="0" percent="0" rank="0" text="" dxfId="3">
      <formula>45</formula>
    </cfRule>
  </conditionalFormatting>
  <conditionalFormatting sqref="AL117">
    <cfRule type="cellIs" priority="1186" operator="greaterThan" aboveAverage="0" equalAverage="0" bottom="0" percent="0" rank="0" text="" dxfId="2">
      <formula>40</formula>
    </cfRule>
    <cfRule type="cellIs" priority="1187" operator="greaterThan" aboveAverage="0" equalAverage="0" bottom="0" percent="0" rank="0" text="" dxfId="3">
      <formula>45</formula>
    </cfRule>
  </conditionalFormatting>
  <conditionalFormatting sqref="AM117">
    <cfRule type="cellIs" priority="1188" operator="greaterThan" aboveAverage="0" equalAverage="0" bottom="0" percent="0" rank="0" text="" dxfId="2">
      <formula>40</formula>
    </cfRule>
    <cfRule type="cellIs" priority="1189" operator="greaterThan" aboveAverage="0" equalAverage="0" bottom="0" percent="0" rank="0" text="" dxfId="3">
      <formula>45</formula>
    </cfRule>
  </conditionalFormatting>
  <conditionalFormatting sqref="AN117">
    <cfRule type="cellIs" priority="1190" operator="greaterThan" aboveAverage="0" equalAverage="0" bottom="0" percent="0" rank="0" text="" dxfId="2">
      <formula>40</formula>
    </cfRule>
    <cfRule type="cellIs" priority="1191" operator="greaterThan" aboveAverage="0" equalAverage="0" bottom="0" percent="0" rank="0" text="" dxfId="3">
      <formula>45</formula>
    </cfRule>
  </conditionalFormatting>
  <conditionalFormatting sqref="AO117">
    <cfRule type="cellIs" priority="1192" operator="greaterThan" aboveAverage="0" equalAverage="0" bottom="0" percent="0" rank="0" text="" dxfId="2">
      <formula>40</formula>
    </cfRule>
    <cfRule type="cellIs" priority="1193" operator="greaterThan" aboveAverage="0" equalAverage="0" bottom="0" percent="0" rank="0" text="" dxfId="3">
      <formula>45</formula>
    </cfRule>
  </conditionalFormatting>
  <conditionalFormatting sqref="AP117">
    <cfRule type="cellIs" priority="1194" operator="greaterThan" aboveAverage="0" equalAverage="0" bottom="0" percent="0" rank="0" text="" dxfId="2">
      <formula>40</formula>
    </cfRule>
    <cfRule type="cellIs" priority="1195" operator="greaterThan" aboveAverage="0" equalAverage="0" bottom="0" percent="0" rank="0" text="" dxfId="3">
      <formula>45</formula>
    </cfRule>
  </conditionalFormatting>
  <conditionalFormatting sqref="AQ117">
    <cfRule type="cellIs" priority="1196" operator="greaterThan" aboveAverage="0" equalAverage="0" bottom="0" percent="0" rank="0" text="" dxfId="2">
      <formula>40</formula>
    </cfRule>
    <cfRule type="cellIs" priority="1197" operator="greaterThan" aboveAverage="0" equalAverage="0" bottom="0" percent="0" rank="0" text="" dxfId="3">
      <formula>45</formula>
    </cfRule>
  </conditionalFormatting>
  <conditionalFormatting sqref="AR117">
    <cfRule type="cellIs" priority="1198" operator="greaterThan" aboveAverage="0" equalAverage="0" bottom="0" percent="0" rank="0" text="" dxfId="2">
      <formula>40</formula>
    </cfRule>
    <cfRule type="cellIs" priority="1199" operator="greaterThan" aboveAverage="0" equalAverage="0" bottom="0" percent="0" rank="0" text="" dxfId="3">
      <formula>45</formula>
    </cfRule>
  </conditionalFormatting>
  <conditionalFormatting sqref="AS117">
    <cfRule type="cellIs" priority="1200" operator="greaterThan" aboveAverage="0" equalAverage="0" bottom="0" percent="0" rank="0" text="" dxfId="2">
      <formula>40</formula>
    </cfRule>
    <cfRule type="cellIs" priority="1201" operator="greaterThan" aboveAverage="0" equalAverage="0" bottom="0" percent="0" rank="0" text="" dxfId="3">
      <formula>45</formula>
    </cfRule>
  </conditionalFormatting>
  <conditionalFormatting sqref="F124">
    <cfRule type="cellIs" priority="1202" operator="greaterThan" aboveAverage="0" equalAverage="0" bottom="0" percent="0" rank="0" text="" dxfId="2">
      <formula>40</formula>
    </cfRule>
    <cfRule type="cellIs" priority="1203" operator="greaterThan" aboveAverage="0" equalAverage="0" bottom="0" percent="0" rank="0" text="" dxfId="3">
      <formula>45</formula>
    </cfRule>
  </conditionalFormatting>
  <conditionalFormatting sqref="G124">
    <cfRule type="cellIs" priority="1204" operator="greaterThan" aboveAverage="0" equalAverage="0" bottom="0" percent="0" rank="0" text="" dxfId="2">
      <formula>40</formula>
    </cfRule>
    <cfRule type="cellIs" priority="1205" operator="greaterThan" aboveAverage="0" equalAverage="0" bottom="0" percent="0" rank="0" text="" dxfId="3">
      <formula>45</formula>
    </cfRule>
  </conditionalFormatting>
  <conditionalFormatting sqref="H124">
    <cfRule type="cellIs" priority="1206" operator="greaterThan" aboveAverage="0" equalAverage="0" bottom="0" percent="0" rank="0" text="" dxfId="2">
      <formula>40</formula>
    </cfRule>
    <cfRule type="cellIs" priority="1207" operator="greaterThan" aboveAverage="0" equalAverage="0" bottom="0" percent="0" rank="0" text="" dxfId="3">
      <formula>45</formula>
    </cfRule>
  </conditionalFormatting>
  <conditionalFormatting sqref="I124">
    <cfRule type="cellIs" priority="1208" operator="greaterThan" aboveAverage="0" equalAverage="0" bottom="0" percent="0" rank="0" text="" dxfId="2">
      <formula>40</formula>
    </cfRule>
    <cfRule type="cellIs" priority="1209" operator="greaterThan" aboveAverage="0" equalAverage="0" bottom="0" percent="0" rank="0" text="" dxfId="3">
      <formula>45</formula>
    </cfRule>
  </conditionalFormatting>
  <conditionalFormatting sqref="J124">
    <cfRule type="cellIs" priority="1210" operator="greaterThan" aboveAverage="0" equalAverage="0" bottom="0" percent="0" rank="0" text="" dxfId="2">
      <formula>40</formula>
    </cfRule>
    <cfRule type="cellIs" priority="1211" operator="greaterThan" aboveAverage="0" equalAverage="0" bottom="0" percent="0" rank="0" text="" dxfId="3">
      <formula>45</formula>
    </cfRule>
  </conditionalFormatting>
  <conditionalFormatting sqref="K124">
    <cfRule type="cellIs" priority="1212" operator="greaterThan" aboveAverage="0" equalAverage="0" bottom="0" percent="0" rank="0" text="" dxfId="2">
      <formula>40</formula>
    </cfRule>
    <cfRule type="cellIs" priority="1213" operator="greaterThan" aboveAverage="0" equalAverage="0" bottom="0" percent="0" rank="0" text="" dxfId="3">
      <formula>45</formula>
    </cfRule>
  </conditionalFormatting>
  <conditionalFormatting sqref="L124">
    <cfRule type="cellIs" priority="1214" operator="greaterThan" aboveAverage="0" equalAverage="0" bottom="0" percent="0" rank="0" text="" dxfId="2">
      <formula>40</formula>
    </cfRule>
    <cfRule type="cellIs" priority="1215" operator="greaterThan" aboveAverage="0" equalAverage="0" bottom="0" percent="0" rank="0" text="" dxfId="3">
      <formula>45</formula>
    </cfRule>
  </conditionalFormatting>
  <conditionalFormatting sqref="M124">
    <cfRule type="cellIs" priority="1216" operator="greaterThan" aboveAverage="0" equalAverage="0" bottom="0" percent="0" rank="0" text="" dxfId="2">
      <formula>40</formula>
    </cfRule>
    <cfRule type="cellIs" priority="1217" operator="greaterThan" aboveAverage="0" equalAverage="0" bottom="0" percent="0" rank="0" text="" dxfId="3">
      <formula>45</formula>
    </cfRule>
  </conditionalFormatting>
  <conditionalFormatting sqref="N124">
    <cfRule type="cellIs" priority="1218" operator="greaterThan" aboveAverage="0" equalAverage="0" bottom="0" percent="0" rank="0" text="" dxfId="2">
      <formula>40</formula>
    </cfRule>
    <cfRule type="cellIs" priority="1219" operator="greaterThan" aboveAverage="0" equalAverage="0" bottom="0" percent="0" rank="0" text="" dxfId="3">
      <formula>45</formula>
    </cfRule>
  </conditionalFormatting>
  <conditionalFormatting sqref="O124">
    <cfRule type="cellIs" priority="1220" operator="greaterThan" aboveAverage="0" equalAverage="0" bottom="0" percent="0" rank="0" text="" dxfId="2">
      <formula>40</formula>
    </cfRule>
    <cfRule type="cellIs" priority="1221" operator="greaterThan" aboveAverage="0" equalAverage="0" bottom="0" percent="0" rank="0" text="" dxfId="3">
      <formula>45</formula>
    </cfRule>
  </conditionalFormatting>
  <conditionalFormatting sqref="P124">
    <cfRule type="cellIs" priority="1222" operator="greaterThan" aboveAverage="0" equalAverage="0" bottom="0" percent="0" rank="0" text="" dxfId="2">
      <formula>40</formula>
    </cfRule>
    <cfRule type="cellIs" priority="1223" operator="greaterThan" aboveAverage="0" equalAverage="0" bottom="0" percent="0" rank="0" text="" dxfId="3">
      <formula>45</formula>
    </cfRule>
  </conditionalFormatting>
  <conditionalFormatting sqref="Q124">
    <cfRule type="cellIs" priority="1224" operator="greaterThan" aboveAverage="0" equalAverage="0" bottom="0" percent="0" rank="0" text="" dxfId="2">
      <formula>40</formula>
    </cfRule>
    <cfRule type="cellIs" priority="1225" operator="greaterThan" aboveAverage="0" equalAverage="0" bottom="0" percent="0" rank="0" text="" dxfId="3">
      <formula>45</formula>
    </cfRule>
  </conditionalFormatting>
  <conditionalFormatting sqref="R124">
    <cfRule type="cellIs" priority="1226" operator="greaterThan" aboveAverage="0" equalAverage="0" bottom="0" percent="0" rank="0" text="" dxfId="2">
      <formula>40</formula>
    </cfRule>
    <cfRule type="cellIs" priority="1227" operator="greaterThan" aboveAverage="0" equalAverage="0" bottom="0" percent="0" rank="0" text="" dxfId="3">
      <formula>45</formula>
    </cfRule>
  </conditionalFormatting>
  <conditionalFormatting sqref="S124">
    <cfRule type="cellIs" priority="1228" operator="greaterThan" aboveAverage="0" equalAverage="0" bottom="0" percent="0" rank="0" text="" dxfId="2">
      <formula>40</formula>
    </cfRule>
    <cfRule type="cellIs" priority="1229" operator="greaterThan" aboveAverage="0" equalAverage="0" bottom="0" percent="0" rank="0" text="" dxfId="3">
      <formula>45</formula>
    </cfRule>
  </conditionalFormatting>
  <conditionalFormatting sqref="T124">
    <cfRule type="cellIs" priority="1230" operator="greaterThan" aboveAverage="0" equalAverage="0" bottom="0" percent="0" rank="0" text="" dxfId="2">
      <formula>40</formula>
    </cfRule>
    <cfRule type="cellIs" priority="1231" operator="greaterThan" aboveAverage="0" equalAverage="0" bottom="0" percent="0" rank="0" text="" dxfId="3">
      <formula>45</formula>
    </cfRule>
  </conditionalFormatting>
  <conditionalFormatting sqref="U124">
    <cfRule type="cellIs" priority="1232" operator="greaterThan" aboveAverage="0" equalAverage="0" bottom="0" percent="0" rank="0" text="" dxfId="2">
      <formula>40</formula>
    </cfRule>
    <cfRule type="cellIs" priority="1233" operator="greaterThan" aboveAverage="0" equalAverage="0" bottom="0" percent="0" rank="0" text="" dxfId="3">
      <formula>45</formula>
    </cfRule>
  </conditionalFormatting>
  <conditionalFormatting sqref="V124">
    <cfRule type="cellIs" priority="1234" operator="greaterThan" aboveAverage="0" equalAverage="0" bottom="0" percent="0" rank="0" text="" dxfId="2">
      <formula>40</formula>
    </cfRule>
    <cfRule type="cellIs" priority="1235" operator="greaterThan" aboveAverage="0" equalAverage="0" bottom="0" percent="0" rank="0" text="" dxfId="3">
      <formula>45</formula>
    </cfRule>
  </conditionalFormatting>
  <conditionalFormatting sqref="W124">
    <cfRule type="cellIs" priority="1236" operator="greaterThan" aboveAverage="0" equalAverage="0" bottom="0" percent="0" rank="0" text="" dxfId="2">
      <formula>40</formula>
    </cfRule>
    <cfRule type="cellIs" priority="1237" operator="greaterThan" aboveAverage="0" equalAverage="0" bottom="0" percent="0" rank="0" text="" dxfId="3">
      <formula>45</formula>
    </cfRule>
  </conditionalFormatting>
  <conditionalFormatting sqref="X124">
    <cfRule type="cellIs" priority="1238" operator="greaterThan" aboveAverage="0" equalAverage="0" bottom="0" percent="0" rank="0" text="" dxfId="2">
      <formula>55</formula>
    </cfRule>
    <cfRule type="cellIs" priority="1239" operator="greaterThan" aboveAverage="0" equalAverage="0" bottom="0" percent="0" rank="0" text="" dxfId="3">
      <formula>65</formula>
    </cfRule>
  </conditionalFormatting>
  <conditionalFormatting sqref="Y124">
    <cfRule type="cellIs" priority="1240" operator="greaterThan" aboveAverage="0" equalAverage="0" bottom="0" percent="0" rank="0" text="" dxfId="2">
      <formula>55</formula>
    </cfRule>
    <cfRule type="cellIs" priority="1241" operator="greaterThan" aboveAverage="0" equalAverage="0" bottom="0" percent="0" rank="0" text="" dxfId="3">
      <formula>65</formula>
    </cfRule>
  </conditionalFormatting>
  <conditionalFormatting sqref="Z124">
    <cfRule type="cellIs" priority="1242" operator="greaterThan" aboveAverage="0" equalAverage="0" bottom="0" percent="0" rank="0" text="" dxfId="2">
      <formula>55</formula>
    </cfRule>
    <cfRule type="cellIs" priority="1243" operator="greaterThan" aboveAverage="0" equalAverage="0" bottom="0" percent="0" rank="0" text="" dxfId="3">
      <formula>65</formula>
    </cfRule>
  </conditionalFormatting>
  <conditionalFormatting sqref="AA124">
    <cfRule type="cellIs" priority="1244" operator="greaterThan" aboveAverage="0" equalAverage="0" bottom="0" percent="0" rank="0" text="" dxfId="2">
      <formula>55</formula>
    </cfRule>
    <cfRule type="cellIs" priority="1245" operator="greaterThan" aboveAverage="0" equalAverage="0" bottom="0" percent="0" rank="0" text="" dxfId="3">
      <formula>65</formula>
    </cfRule>
  </conditionalFormatting>
  <conditionalFormatting sqref="AB124">
    <cfRule type="cellIs" priority="1246" operator="greaterThan" aboveAverage="0" equalAverage="0" bottom="0" percent="0" rank="0" text="" dxfId="2">
      <formula>55</formula>
    </cfRule>
    <cfRule type="cellIs" priority="1247" operator="greaterThan" aboveAverage="0" equalAverage="0" bottom="0" percent="0" rank="0" text="" dxfId="3">
      <formula>65</formula>
    </cfRule>
  </conditionalFormatting>
  <conditionalFormatting sqref="AC124">
    <cfRule type="cellIs" priority="1248" operator="greaterThan" aboveAverage="0" equalAverage="0" bottom="0" percent="0" rank="0" text="" dxfId="2">
      <formula>55</formula>
    </cfRule>
    <cfRule type="cellIs" priority="1249" operator="greaterThan" aboveAverage="0" equalAverage="0" bottom="0" percent="0" rank="0" text="" dxfId="3">
      <formula>65</formula>
    </cfRule>
  </conditionalFormatting>
  <conditionalFormatting sqref="AD124">
    <cfRule type="cellIs" priority="1250" operator="greaterThan" aboveAverage="0" equalAverage="0" bottom="0" percent="0" rank="0" text="" dxfId="2">
      <formula>55</formula>
    </cfRule>
    <cfRule type="cellIs" priority="1251" operator="greaterThan" aboveAverage="0" equalAverage="0" bottom="0" percent="0" rank="0" text="" dxfId="3">
      <formula>65</formula>
    </cfRule>
  </conditionalFormatting>
  <conditionalFormatting sqref="AE124">
    <cfRule type="cellIs" priority="1252" operator="greaterThan" aboveAverage="0" equalAverage="0" bottom="0" percent="0" rank="0" text="" dxfId="2">
      <formula>55</formula>
    </cfRule>
    <cfRule type="cellIs" priority="1253" operator="greaterThan" aboveAverage="0" equalAverage="0" bottom="0" percent="0" rank="0" text="" dxfId="3">
      <formula>65</formula>
    </cfRule>
  </conditionalFormatting>
  <conditionalFormatting sqref="AF124">
    <cfRule type="cellIs" priority="1254" operator="greaterThan" aboveAverage="0" equalAverage="0" bottom="0" percent="0" rank="0" text="" dxfId="2">
      <formula>40</formula>
    </cfRule>
    <cfRule type="cellIs" priority="1255" operator="greaterThan" aboveAverage="0" equalAverage="0" bottom="0" percent="0" rank="0" text="" dxfId="3">
      <formula>45</formula>
    </cfRule>
  </conditionalFormatting>
  <conditionalFormatting sqref="AG124">
    <cfRule type="cellIs" priority="1256" operator="greaterThan" aboveAverage="0" equalAverage="0" bottom="0" percent="0" rank="0" text="" dxfId="2">
      <formula>40</formula>
    </cfRule>
    <cfRule type="cellIs" priority="1257" operator="greaterThan" aboveAverage="0" equalAverage="0" bottom="0" percent="0" rank="0" text="" dxfId="3">
      <formula>45</formula>
    </cfRule>
  </conditionalFormatting>
  <conditionalFormatting sqref="AH124">
    <cfRule type="cellIs" priority="1258" operator="greaterThan" aboveAverage="0" equalAverage="0" bottom="0" percent="0" rank="0" text="" dxfId="2">
      <formula>40</formula>
    </cfRule>
    <cfRule type="cellIs" priority="1259" operator="greaterThan" aboveAverage="0" equalAverage="0" bottom="0" percent="0" rank="0" text="" dxfId="3">
      <formula>45</formula>
    </cfRule>
  </conditionalFormatting>
  <conditionalFormatting sqref="AI124">
    <cfRule type="cellIs" priority="1260" operator="greaterThan" aboveAverage="0" equalAverage="0" bottom="0" percent="0" rank="0" text="" dxfId="2">
      <formula>40</formula>
    </cfRule>
    <cfRule type="cellIs" priority="1261" operator="greaterThan" aboveAverage="0" equalAverage="0" bottom="0" percent="0" rank="0" text="" dxfId="3">
      <formula>45</formula>
    </cfRule>
  </conditionalFormatting>
  <conditionalFormatting sqref="AJ124">
    <cfRule type="cellIs" priority="1262" operator="greaterThan" aboveAverage="0" equalAverage="0" bottom="0" percent="0" rank="0" text="" dxfId="2">
      <formula>40</formula>
    </cfRule>
    <cfRule type="cellIs" priority="1263" operator="greaterThan" aboveAverage="0" equalAverage="0" bottom="0" percent="0" rank="0" text="" dxfId="3">
      <formula>45</formula>
    </cfRule>
  </conditionalFormatting>
  <conditionalFormatting sqref="AK124">
    <cfRule type="cellIs" priority="1264" operator="greaterThan" aboveAverage="0" equalAverage="0" bottom="0" percent="0" rank="0" text="" dxfId="2">
      <formula>40</formula>
    </cfRule>
    <cfRule type="cellIs" priority="1265" operator="greaterThan" aboveAverage="0" equalAverage="0" bottom="0" percent="0" rank="0" text="" dxfId="3">
      <formula>45</formula>
    </cfRule>
  </conditionalFormatting>
  <conditionalFormatting sqref="AL124">
    <cfRule type="cellIs" priority="1266" operator="greaterThan" aboveAverage="0" equalAverage="0" bottom="0" percent="0" rank="0" text="" dxfId="2">
      <formula>40</formula>
    </cfRule>
    <cfRule type="cellIs" priority="1267" operator="greaterThan" aboveAverage="0" equalAverage="0" bottom="0" percent="0" rank="0" text="" dxfId="3">
      <formula>45</formula>
    </cfRule>
  </conditionalFormatting>
  <conditionalFormatting sqref="AM124">
    <cfRule type="cellIs" priority="1268" operator="greaterThan" aboveAverage="0" equalAverage="0" bottom="0" percent="0" rank="0" text="" dxfId="2">
      <formula>40</formula>
    </cfRule>
    <cfRule type="cellIs" priority="1269" operator="greaterThan" aboveAverage="0" equalAverage="0" bottom="0" percent="0" rank="0" text="" dxfId="3">
      <formula>45</formula>
    </cfRule>
  </conditionalFormatting>
  <conditionalFormatting sqref="AN124">
    <cfRule type="cellIs" priority="1270" operator="greaterThan" aboveAverage="0" equalAverage="0" bottom="0" percent="0" rank="0" text="" dxfId="2">
      <formula>40</formula>
    </cfRule>
    <cfRule type="cellIs" priority="1271" operator="greaterThan" aboveAverage="0" equalAverage="0" bottom="0" percent="0" rank="0" text="" dxfId="3">
      <formula>45</formula>
    </cfRule>
  </conditionalFormatting>
  <conditionalFormatting sqref="AO124">
    <cfRule type="cellIs" priority="1272" operator="greaterThan" aboveAverage="0" equalAverage="0" bottom="0" percent="0" rank="0" text="" dxfId="2">
      <formula>40</formula>
    </cfRule>
    <cfRule type="cellIs" priority="1273" operator="greaterThan" aboveAverage="0" equalAverage="0" bottom="0" percent="0" rank="0" text="" dxfId="3">
      <formula>45</formula>
    </cfRule>
  </conditionalFormatting>
  <conditionalFormatting sqref="AP124">
    <cfRule type="cellIs" priority="1274" operator="greaterThan" aboveAverage="0" equalAverage="0" bottom="0" percent="0" rank="0" text="" dxfId="2">
      <formula>40</formula>
    </cfRule>
    <cfRule type="cellIs" priority="1275" operator="greaterThan" aboveAverage="0" equalAverage="0" bottom="0" percent="0" rank="0" text="" dxfId="3">
      <formula>45</formula>
    </cfRule>
  </conditionalFormatting>
  <conditionalFormatting sqref="AQ124">
    <cfRule type="cellIs" priority="1276" operator="greaterThan" aboveAverage="0" equalAverage="0" bottom="0" percent="0" rank="0" text="" dxfId="2">
      <formula>40</formula>
    </cfRule>
    <cfRule type="cellIs" priority="1277" operator="greaterThan" aboveAverage="0" equalAverage="0" bottom="0" percent="0" rank="0" text="" dxfId="3">
      <formula>45</formula>
    </cfRule>
  </conditionalFormatting>
  <conditionalFormatting sqref="AR124">
    <cfRule type="cellIs" priority="1278" operator="greaterThan" aboveAverage="0" equalAverage="0" bottom="0" percent="0" rank="0" text="" dxfId="2">
      <formula>40</formula>
    </cfRule>
    <cfRule type="cellIs" priority="1279" operator="greaterThan" aboveAverage="0" equalAverage="0" bottom="0" percent="0" rank="0" text="" dxfId="3">
      <formula>45</formula>
    </cfRule>
  </conditionalFormatting>
  <conditionalFormatting sqref="AS124">
    <cfRule type="cellIs" priority="1280" operator="greaterThan" aboveAverage="0" equalAverage="0" bottom="0" percent="0" rank="0" text="" dxfId="2">
      <formula>40</formula>
    </cfRule>
    <cfRule type="cellIs" priority="1281" operator="greaterThan" aboveAverage="0" equalAverage="0" bottom="0" percent="0" rank="0" text="" dxfId="3">
      <formula>45</formula>
    </cfRule>
  </conditionalFormatting>
  <conditionalFormatting sqref="F128">
    <cfRule type="cellIs" priority="1282" operator="greaterThan" aboveAverage="0" equalAverage="0" bottom="0" percent="0" rank="0" text="" dxfId="2">
      <formula>40</formula>
    </cfRule>
    <cfRule type="cellIs" priority="1283" operator="greaterThan" aboveAverage="0" equalAverage="0" bottom="0" percent="0" rank="0" text="" dxfId="3">
      <formula>45</formula>
    </cfRule>
  </conditionalFormatting>
  <conditionalFormatting sqref="G128">
    <cfRule type="cellIs" priority="1284" operator="greaterThan" aboveAverage="0" equalAverage="0" bottom="0" percent="0" rank="0" text="" dxfId="2">
      <formula>40</formula>
    </cfRule>
    <cfRule type="cellIs" priority="1285" operator="greaterThan" aboveAverage="0" equalAverage="0" bottom="0" percent="0" rank="0" text="" dxfId="3">
      <formula>45</formula>
    </cfRule>
  </conditionalFormatting>
  <conditionalFormatting sqref="H128">
    <cfRule type="cellIs" priority="1286" operator="greaterThan" aboveAverage="0" equalAverage="0" bottom="0" percent="0" rank="0" text="" dxfId="2">
      <formula>40</formula>
    </cfRule>
    <cfRule type="cellIs" priority="1287" operator="greaterThan" aboveAverage="0" equalAverage="0" bottom="0" percent="0" rank="0" text="" dxfId="3">
      <formula>45</formula>
    </cfRule>
  </conditionalFormatting>
  <conditionalFormatting sqref="I128">
    <cfRule type="cellIs" priority="1288" operator="greaterThan" aboveAverage="0" equalAverage="0" bottom="0" percent="0" rank="0" text="" dxfId="2">
      <formula>40</formula>
    </cfRule>
    <cfRule type="cellIs" priority="1289" operator="greaterThan" aboveAverage="0" equalAverage="0" bottom="0" percent="0" rank="0" text="" dxfId="3">
      <formula>45</formula>
    </cfRule>
  </conditionalFormatting>
  <conditionalFormatting sqref="J128">
    <cfRule type="cellIs" priority="1290" operator="greaterThan" aboveAverage="0" equalAverage="0" bottom="0" percent="0" rank="0" text="" dxfId="2">
      <formula>40</formula>
    </cfRule>
    <cfRule type="cellIs" priority="1291" operator="greaterThan" aboveAverage="0" equalAverage="0" bottom="0" percent="0" rank="0" text="" dxfId="3">
      <formula>45</formula>
    </cfRule>
  </conditionalFormatting>
  <conditionalFormatting sqref="K128">
    <cfRule type="cellIs" priority="1292" operator="greaterThan" aboveAverage="0" equalAverage="0" bottom="0" percent="0" rank="0" text="" dxfId="2">
      <formula>40</formula>
    </cfRule>
    <cfRule type="cellIs" priority="1293" operator="greaterThan" aboveAverage="0" equalAverage="0" bottom="0" percent="0" rank="0" text="" dxfId="3">
      <formula>45</formula>
    </cfRule>
  </conditionalFormatting>
  <conditionalFormatting sqref="L128">
    <cfRule type="cellIs" priority="1294" operator="greaterThan" aboveAverage="0" equalAverage="0" bottom="0" percent="0" rank="0" text="" dxfId="2">
      <formula>40</formula>
    </cfRule>
    <cfRule type="cellIs" priority="1295" operator="greaterThan" aboveAverage="0" equalAverage="0" bottom="0" percent="0" rank="0" text="" dxfId="3">
      <formula>45</formula>
    </cfRule>
  </conditionalFormatting>
  <conditionalFormatting sqref="M128">
    <cfRule type="cellIs" priority="1296" operator="greaterThan" aboveAverage="0" equalAverage="0" bottom="0" percent="0" rank="0" text="" dxfId="2">
      <formula>40</formula>
    </cfRule>
    <cfRule type="cellIs" priority="1297" operator="greaterThan" aboveAverage="0" equalAverage="0" bottom="0" percent="0" rank="0" text="" dxfId="3">
      <formula>45</formula>
    </cfRule>
  </conditionalFormatting>
  <conditionalFormatting sqref="N128">
    <cfRule type="cellIs" priority="1298" operator="greaterThan" aboveAverage="0" equalAverage="0" bottom="0" percent="0" rank="0" text="" dxfId="2">
      <formula>40</formula>
    </cfRule>
    <cfRule type="cellIs" priority="1299" operator="greaterThan" aboveAverage="0" equalAverage="0" bottom="0" percent="0" rank="0" text="" dxfId="3">
      <formula>45</formula>
    </cfRule>
  </conditionalFormatting>
  <conditionalFormatting sqref="O128">
    <cfRule type="cellIs" priority="1300" operator="greaterThan" aboveAverage="0" equalAverage="0" bottom="0" percent="0" rank="0" text="" dxfId="2">
      <formula>40</formula>
    </cfRule>
    <cfRule type="cellIs" priority="1301" operator="greaterThan" aboveAverage="0" equalAverage="0" bottom="0" percent="0" rank="0" text="" dxfId="3">
      <formula>45</formula>
    </cfRule>
  </conditionalFormatting>
  <conditionalFormatting sqref="P128">
    <cfRule type="cellIs" priority="1302" operator="greaterThan" aboveAverage="0" equalAverage="0" bottom="0" percent="0" rank="0" text="" dxfId="2">
      <formula>40</formula>
    </cfRule>
    <cfRule type="cellIs" priority="1303" operator="greaterThan" aboveAverage="0" equalAverage="0" bottom="0" percent="0" rank="0" text="" dxfId="3">
      <formula>45</formula>
    </cfRule>
  </conditionalFormatting>
  <conditionalFormatting sqref="Q128">
    <cfRule type="cellIs" priority="1304" operator="greaterThan" aboveAverage="0" equalAverage="0" bottom="0" percent="0" rank="0" text="" dxfId="2">
      <formula>40</formula>
    </cfRule>
    <cfRule type="cellIs" priority="1305" operator="greaterThan" aboveAverage="0" equalAverage="0" bottom="0" percent="0" rank="0" text="" dxfId="3">
      <formula>45</formula>
    </cfRule>
  </conditionalFormatting>
  <conditionalFormatting sqref="R128">
    <cfRule type="cellIs" priority="1306" operator="greaterThan" aboveAverage="0" equalAverage="0" bottom="0" percent="0" rank="0" text="" dxfId="2">
      <formula>40</formula>
    </cfRule>
    <cfRule type="cellIs" priority="1307" operator="greaterThan" aboveAverage="0" equalAverage="0" bottom="0" percent="0" rank="0" text="" dxfId="3">
      <formula>45</formula>
    </cfRule>
  </conditionalFormatting>
  <conditionalFormatting sqref="S128">
    <cfRule type="cellIs" priority="1308" operator="greaterThan" aboveAverage="0" equalAverage="0" bottom="0" percent="0" rank="0" text="" dxfId="2">
      <formula>40</formula>
    </cfRule>
    <cfRule type="cellIs" priority="1309" operator="greaterThan" aboveAverage="0" equalAverage="0" bottom="0" percent="0" rank="0" text="" dxfId="3">
      <formula>45</formula>
    </cfRule>
  </conditionalFormatting>
  <conditionalFormatting sqref="T128">
    <cfRule type="cellIs" priority="1310" operator="greaterThan" aboveAverage="0" equalAverage="0" bottom="0" percent="0" rank="0" text="" dxfId="2">
      <formula>40</formula>
    </cfRule>
    <cfRule type="cellIs" priority="1311" operator="greaterThan" aboveAverage="0" equalAverage="0" bottom="0" percent="0" rank="0" text="" dxfId="3">
      <formula>45</formula>
    </cfRule>
  </conditionalFormatting>
  <conditionalFormatting sqref="U128">
    <cfRule type="cellIs" priority="1312" operator="greaterThan" aboveAverage="0" equalAverage="0" bottom="0" percent="0" rank="0" text="" dxfId="2">
      <formula>40</formula>
    </cfRule>
    <cfRule type="cellIs" priority="1313" operator="greaterThan" aboveAverage="0" equalAverage="0" bottom="0" percent="0" rank="0" text="" dxfId="3">
      <formula>45</formula>
    </cfRule>
  </conditionalFormatting>
  <conditionalFormatting sqref="V128">
    <cfRule type="cellIs" priority="1314" operator="greaterThan" aboveAverage="0" equalAverage="0" bottom="0" percent="0" rank="0" text="" dxfId="2">
      <formula>40</formula>
    </cfRule>
    <cfRule type="cellIs" priority="1315" operator="greaterThan" aboveAverage="0" equalAverage="0" bottom="0" percent="0" rank="0" text="" dxfId="3">
      <formula>45</formula>
    </cfRule>
  </conditionalFormatting>
  <conditionalFormatting sqref="W128">
    <cfRule type="cellIs" priority="1316" operator="greaterThan" aboveAverage="0" equalAverage="0" bottom="0" percent="0" rank="0" text="" dxfId="2">
      <formula>40</formula>
    </cfRule>
    <cfRule type="cellIs" priority="1317" operator="greaterThan" aboveAverage="0" equalAverage="0" bottom="0" percent="0" rank="0" text="" dxfId="3">
      <formula>45</formula>
    </cfRule>
  </conditionalFormatting>
  <conditionalFormatting sqref="X128">
    <cfRule type="cellIs" priority="1318" operator="greaterThan" aboveAverage="0" equalAverage="0" bottom="0" percent="0" rank="0" text="" dxfId="2">
      <formula>55</formula>
    </cfRule>
    <cfRule type="cellIs" priority="1319" operator="greaterThan" aboveAverage="0" equalAverage="0" bottom="0" percent="0" rank="0" text="" dxfId="3">
      <formula>65</formula>
    </cfRule>
  </conditionalFormatting>
  <conditionalFormatting sqref="Y128">
    <cfRule type="cellIs" priority="1320" operator="greaterThan" aboveAverage="0" equalAverage="0" bottom="0" percent="0" rank="0" text="" dxfId="2">
      <formula>55</formula>
    </cfRule>
    <cfRule type="cellIs" priority="1321" operator="greaterThan" aboveAverage="0" equalAverage="0" bottom="0" percent="0" rank="0" text="" dxfId="3">
      <formula>65</formula>
    </cfRule>
  </conditionalFormatting>
  <conditionalFormatting sqref="Z128">
    <cfRule type="cellIs" priority="1322" operator="greaterThan" aboveAverage="0" equalAverage="0" bottom="0" percent="0" rank="0" text="" dxfId="2">
      <formula>55</formula>
    </cfRule>
    <cfRule type="cellIs" priority="1323" operator="greaterThan" aboveAverage="0" equalAverage="0" bottom="0" percent="0" rank="0" text="" dxfId="3">
      <formula>65</formula>
    </cfRule>
  </conditionalFormatting>
  <conditionalFormatting sqref="AA128">
    <cfRule type="cellIs" priority="1324" operator="greaterThan" aboveAverage="0" equalAverage="0" bottom="0" percent="0" rank="0" text="" dxfId="2">
      <formula>55</formula>
    </cfRule>
    <cfRule type="cellIs" priority="1325" operator="greaterThan" aboveAverage="0" equalAverage="0" bottom="0" percent="0" rank="0" text="" dxfId="3">
      <formula>65</formula>
    </cfRule>
  </conditionalFormatting>
  <conditionalFormatting sqref="AB128">
    <cfRule type="cellIs" priority="1326" operator="greaterThan" aboveAverage="0" equalAverage="0" bottom="0" percent="0" rank="0" text="" dxfId="2">
      <formula>55</formula>
    </cfRule>
    <cfRule type="cellIs" priority="1327" operator="greaterThan" aboveAverage="0" equalAverage="0" bottom="0" percent="0" rank="0" text="" dxfId="3">
      <formula>65</formula>
    </cfRule>
  </conditionalFormatting>
  <conditionalFormatting sqref="AC128">
    <cfRule type="cellIs" priority="1328" operator="greaterThan" aboveAverage="0" equalAverage="0" bottom="0" percent="0" rank="0" text="" dxfId="2">
      <formula>55</formula>
    </cfRule>
    <cfRule type="cellIs" priority="1329" operator="greaterThan" aboveAverage="0" equalAverage="0" bottom="0" percent="0" rank="0" text="" dxfId="3">
      <formula>65</formula>
    </cfRule>
  </conditionalFormatting>
  <conditionalFormatting sqref="AD128">
    <cfRule type="cellIs" priority="1330" operator="greaterThan" aboveAverage="0" equalAverage="0" bottom="0" percent="0" rank="0" text="" dxfId="2">
      <formula>55</formula>
    </cfRule>
    <cfRule type="cellIs" priority="1331" operator="greaterThan" aboveAverage="0" equalAverage="0" bottom="0" percent="0" rank="0" text="" dxfId="3">
      <formula>65</formula>
    </cfRule>
  </conditionalFormatting>
  <conditionalFormatting sqref="AE128">
    <cfRule type="cellIs" priority="1332" operator="greaterThan" aboveAverage="0" equalAverage="0" bottom="0" percent="0" rank="0" text="" dxfId="2">
      <formula>55</formula>
    </cfRule>
    <cfRule type="cellIs" priority="1333" operator="greaterThan" aboveAverage="0" equalAverage="0" bottom="0" percent="0" rank="0" text="" dxfId="3">
      <formula>65</formula>
    </cfRule>
  </conditionalFormatting>
  <conditionalFormatting sqref="AF128">
    <cfRule type="cellIs" priority="1334" operator="greaterThan" aboveAverage="0" equalAverage="0" bottom="0" percent="0" rank="0" text="" dxfId="2">
      <formula>40</formula>
    </cfRule>
    <cfRule type="cellIs" priority="1335" operator="greaterThan" aboveAverage="0" equalAverage="0" bottom="0" percent="0" rank="0" text="" dxfId="3">
      <formula>45</formula>
    </cfRule>
  </conditionalFormatting>
  <conditionalFormatting sqref="AG128">
    <cfRule type="cellIs" priority="1336" operator="greaterThan" aboveAverage="0" equalAverage="0" bottom="0" percent="0" rank="0" text="" dxfId="2">
      <formula>40</formula>
    </cfRule>
    <cfRule type="cellIs" priority="1337" operator="greaterThan" aboveAverage="0" equalAverage="0" bottom="0" percent="0" rank="0" text="" dxfId="3">
      <formula>45</formula>
    </cfRule>
  </conditionalFormatting>
  <conditionalFormatting sqref="AH128">
    <cfRule type="cellIs" priority="1338" operator="greaterThan" aboveAverage="0" equalAverage="0" bottom="0" percent="0" rank="0" text="" dxfId="2">
      <formula>40</formula>
    </cfRule>
    <cfRule type="cellIs" priority="1339" operator="greaterThan" aboveAverage="0" equalAverage="0" bottom="0" percent="0" rank="0" text="" dxfId="3">
      <formula>45</formula>
    </cfRule>
  </conditionalFormatting>
  <conditionalFormatting sqref="AI128">
    <cfRule type="cellIs" priority="1340" operator="greaterThan" aboveAverage="0" equalAverage="0" bottom="0" percent="0" rank="0" text="" dxfId="2">
      <formula>40</formula>
    </cfRule>
    <cfRule type="cellIs" priority="1341" operator="greaterThan" aboveAverage="0" equalAverage="0" bottom="0" percent="0" rank="0" text="" dxfId="3">
      <formula>45</formula>
    </cfRule>
  </conditionalFormatting>
  <conditionalFormatting sqref="AJ128">
    <cfRule type="cellIs" priority="1342" operator="greaterThan" aboveAverage="0" equalAverage="0" bottom="0" percent="0" rank="0" text="" dxfId="2">
      <formula>40</formula>
    </cfRule>
    <cfRule type="cellIs" priority="1343" operator="greaterThan" aboveAverage="0" equalAverage="0" bottom="0" percent="0" rank="0" text="" dxfId="3">
      <formula>45</formula>
    </cfRule>
  </conditionalFormatting>
  <conditionalFormatting sqref="AK128">
    <cfRule type="cellIs" priority="1344" operator="greaterThan" aboveAverage="0" equalAverage="0" bottom="0" percent="0" rank="0" text="" dxfId="2">
      <formula>40</formula>
    </cfRule>
    <cfRule type="cellIs" priority="1345" operator="greaterThan" aboveAverage="0" equalAverage="0" bottom="0" percent="0" rank="0" text="" dxfId="3">
      <formula>45</formula>
    </cfRule>
  </conditionalFormatting>
  <conditionalFormatting sqref="AL128">
    <cfRule type="cellIs" priority="1346" operator="greaterThan" aboveAverage="0" equalAverage="0" bottom="0" percent="0" rank="0" text="" dxfId="2">
      <formula>40</formula>
    </cfRule>
    <cfRule type="cellIs" priority="1347" operator="greaterThan" aboveAverage="0" equalAverage="0" bottom="0" percent="0" rank="0" text="" dxfId="3">
      <formula>45</formula>
    </cfRule>
  </conditionalFormatting>
  <conditionalFormatting sqref="AM128">
    <cfRule type="cellIs" priority="1348" operator="greaterThan" aboveAverage="0" equalAverage="0" bottom="0" percent="0" rank="0" text="" dxfId="2">
      <formula>40</formula>
    </cfRule>
    <cfRule type="cellIs" priority="1349" operator="greaterThan" aboveAverage="0" equalAverage="0" bottom="0" percent="0" rank="0" text="" dxfId="3">
      <formula>45</formula>
    </cfRule>
  </conditionalFormatting>
  <conditionalFormatting sqref="AN128">
    <cfRule type="cellIs" priority="1350" operator="greaterThan" aboveAverage="0" equalAverage="0" bottom="0" percent="0" rank="0" text="" dxfId="2">
      <formula>40</formula>
    </cfRule>
    <cfRule type="cellIs" priority="1351" operator="greaterThan" aboveAverage="0" equalAverage="0" bottom="0" percent="0" rank="0" text="" dxfId="3">
      <formula>45</formula>
    </cfRule>
  </conditionalFormatting>
  <conditionalFormatting sqref="AO128">
    <cfRule type="cellIs" priority="1352" operator="greaterThan" aboveAverage="0" equalAverage="0" bottom="0" percent="0" rank="0" text="" dxfId="2">
      <formula>40</formula>
    </cfRule>
    <cfRule type="cellIs" priority="1353" operator="greaterThan" aboveAverage="0" equalAverage="0" bottom="0" percent="0" rank="0" text="" dxfId="3">
      <formula>45</formula>
    </cfRule>
  </conditionalFormatting>
  <conditionalFormatting sqref="AP128">
    <cfRule type="cellIs" priority="1354" operator="greaterThan" aboveAverage="0" equalAverage="0" bottom="0" percent="0" rank="0" text="" dxfId="2">
      <formula>40</formula>
    </cfRule>
    <cfRule type="cellIs" priority="1355" operator="greaterThan" aboveAverage="0" equalAverage="0" bottom="0" percent="0" rank="0" text="" dxfId="3">
      <formula>45</formula>
    </cfRule>
  </conditionalFormatting>
  <conditionalFormatting sqref="AQ128">
    <cfRule type="cellIs" priority="1356" operator="greaterThan" aboveAverage="0" equalAverage="0" bottom="0" percent="0" rank="0" text="" dxfId="2">
      <formula>40</formula>
    </cfRule>
    <cfRule type="cellIs" priority="1357" operator="greaterThan" aboveAverage="0" equalAverage="0" bottom="0" percent="0" rank="0" text="" dxfId="3">
      <formula>45</formula>
    </cfRule>
  </conditionalFormatting>
  <conditionalFormatting sqref="AR128">
    <cfRule type="cellIs" priority="1358" operator="greaterThan" aboveAverage="0" equalAverage="0" bottom="0" percent="0" rank="0" text="" dxfId="2">
      <formula>40</formula>
    </cfRule>
    <cfRule type="cellIs" priority="1359" operator="greaterThan" aboveAverage="0" equalAverage="0" bottom="0" percent="0" rank="0" text="" dxfId="3">
      <formula>45</formula>
    </cfRule>
  </conditionalFormatting>
  <conditionalFormatting sqref="AS128">
    <cfRule type="cellIs" priority="1360" operator="greaterThan" aboveAverage="0" equalAverage="0" bottom="0" percent="0" rank="0" text="" dxfId="2">
      <formula>40</formula>
    </cfRule>
    <cfRule type="cellIs" priority="1361" operator="greaterThan" aboveAverage="0" equalAverage="0" bottom="0" percent="0" rank="0" text="" dxfId="3">
      <formula>45</formula>
    </cfRule>
  </conditionalFormatting>
  <conditionalFormatting sqref="F133">
    <cfRule type="cellIs" priority="1362" operator="greaterThan" aboveAverage="0" equalAverage="0" bottom="0" percent="0" rank="0" text="" dxfId="2">
      <formula>40</formula>
    </cfRule>
    <cfRule type="cellIs" priority="1363" operator="greaterThan" aboveAverage="0" equalAverage="0" bottom="0" percent="0" rank="0" text="" dxfId="3">
      <formula>45</formula>
    </cfRule>
  </conditionalFormatting>
  <conditionalFormatting sqref="G133">
    <cfRule type="cellIs" priority="1364" operator="greaterThan" aboveAverage="0" equalAverage="0" bottom="0" percent="0" rank="0" text="" dxfId="2">
      <formula>40</formula>
    </cfRule>
    <cfRule type="cellIs" priority="1365" operator="greaterThan" aboveAverage="0" equalAverage="0" bottom="0" percent="0" rank="0" text="" dxfId="3">
      <formula>45</formula>
    </cfRule>
  </conditionalFormatting>
  <conditionalFormatting sqref="H133">
    <cfRule type="cellIs" priority="1366" operator="greaterThan" aboveAverage="0" equalAverage="0" bottom="0" percent="0" rank="0" text="" dxfId="2">
      <formula>40</formula>
    </cfRule>
    <cfRule type="cellIs" priority="1367" operator="greaterThan" aboveAverage="0" equalAverage="0" bottom="0" percent="0" rank="0" text="" dxfId="3">
      <formula>45</formula>
    </cfRule>
  </conditionalFormatting>
  <conditionalFormatting sqref="I133">
    <cfRule type="cellIs" priority="1368" operator="greaterThan" aboveAverage="0" equalAverage="0" bottom="0" percent="0" rank="0" text="" dxfId="2">
      <formula>40</formula>
    </cfRule>
    <cfRule type="cellIs" priority="1369" operator="greaterThan" aboveAverage="0" equalAverage="0" bottom="0" percent="0" rank="0" text="" dxfId="3">
      <formula>45</formula>
    </cfRule>
  </conditionalFormatting>
  <conditionalFormatting sqref="J133">
    <cfRule type="cellIs" priority="1370" operator="greaterThan" aboveAverage="0" equalAverage="0" bottom="0" percent="0" rank="0" text="" dxfId="2">
      <formula>40</formula>
    </cfRule>
    <cfRule type="cellIs" priority="1371" operator="greaterThan" aboveAverage="0" equalAverage="0" bottom="0" percent="0" rank="0" text="" dxfId="3">
      <formula>45</formula>
    </cfRule>
  </conditionalFormatting>
  <conditionalFormatting sqref="K133">
    <cfRule type="cellIs" priority="1372" operator="greaterThan" aboveAverage="0" equalAverage="0" bottom="0" percent="0" rank="0" text="" dxfId="2">
      <formula>40</formula>
    </cfRule>
    <cfRule type="cellIs" priority="1373" operator="greaterThan" aboveAverage="0" equalAverage="0" bottom="0" percent="0" rank="0" text="" dxfId="3">
      <formula>45</formula>
    </cfRule>
  </conditionalFormatting>
  <conditionalFormatting sqref="L133">
    <cfRule type="cellIs" priority="1374" operator="greaterThan" aboveAverage="0" equalAverage="0" bottom="0" percent="0" rank="0" text="" dxfId="2">
      <formula>40</formula>
    </cfRule>
    <cfRule type="cellIs" priority="1375" operator="greaterThan" aboveAverage="0" equalAverage="0" bottom="0" percent="0" rank="0" text="" dxfId="3">
      <formula>45</formula>
    </cfRule>
  </conditionalFormatting>
  <conditionalFormatting sqref="M133">
    <cfRule type="cellIs" priority="1376" operator="greaterThan" aboveAverage="0" equalAverage="0" bottom="0" percent="0" rank="0" text="" dxfId="2">
      <formula>40</formula>
    </cfRule>
    <cfRule type="cellIs" priority="1377" operator="greaterThan" aboveAverage="0" equalAverage="0" bottom="0" percent="0" rank="0" text="" dxfId="3">
      <formula>45</formula>
    </cfRule>
  </conditionalFormatting>
  <conditionalFormatting sqref="N133">
    <cfRule type="cellIs" priority="1378" operator="greaterThan" aboveAverage="0" equalAverage="0" bottom="0" percent="0" rank="0" text="" dxfId="2">
      <formula>40</formula>
    </cfRule>
    <cfRule type="cellIs" priority="1379" operator="greaterThan" aboveAverage="0" equalAverage="0" bottom="0" percent="0" rank="0" text="" dxfId="3">
      <formula>45</formula>
    </cfRule>
  </conditionalFormatting>
  <conditionalFormatting sqref="O133">
    <cfRule type="cellIs" priority="1380" operator="greaterThan" aboveAverage="0" equalAverage="0" bottom="0" percent="0" rank="0" text="" dxfId="2">
      <formula>40</formula>
    </cfRule>
    <cfRule type="cellIs" priority="1381" operator="greaterThan" aboveAverage="0" equalAverage="0" bottom="0" percent="0" rank="0" text="" dxfId="3">
      <formula>45</formula>
    </cfRule>
  </conditionalFormatting>
  <conditionalFormatting sqref="P133">
    <cfRule type="cellIs" priority="1382" operator="greaterThan" aboveAverage="0" equalAverage="0" bottom="0" percent="0" rank="0" text="" dxfId="2">
      <formula>40</formula>
    </cfRule>
    <cfRule type="cellIs" priority="1383" operator="greaterThan" aboveAverage="0" equalAverage="0" bottom="0" percent="0" rank="0" text="" dxfId="3">
      <formula>45</formula>
    </cfRule>
  </conditionalFormatting>
  <conditionalFormatting sqref="Q133">
    <cfRule type="cellIs" priority="1384" operator="greaterThan" aboveAverage="0" equalAverage="0" bottom="0" percent="0" rank="0" text="" dxfId="2">
      <formula>40</formula>
    </cfRule>
    <cfRule type="cellIs" priority="1385" operator="greaterThan" aboveAverage="0" equalAverage="0" bottom="0" percent="0" rank="0" text="" dxfId="3">
      <formula>45</formula>
    </cfRule>
  </conditionalFormatting>
  <conditionalFormatting sqref="R133">
    <cfRule type="cellIs" priority="1386" operator="greaterThan" aboveAverage="0" equalAverage="0" bottom="0" percent="0" rank="0" text="" dxfId="2">
      <formula>40</formula>
    </cfRule>
    <cfRule type="cellIs" priority="1387" operator="greaterThan" aboveAverage="0" equalAverage="0" bottom="0" percent="0" rank="0" text="" dxfId="3">
      <formula>45</formula>
    </cfRule>
  </conditionalFormatting>
  <conditionalFormatting sqref="S133">
    <cfRule type="cellIs" priority="1388" operator="greaterThan" aboveAverage="0" equalAverage="0" bottom="0" percent="0" rank="0" text="" dxfId="2">
      <formula>40</formula>
    </cfRule>
    <cfRule type="cellIs" priority="1389" operator="greaterThan" aboveAverage="0" equalAverage="0" bottom="0" percent="0" rank="0" text="" dxfId="3">
      <formula>45</formula>
    </cfRule>
  </conditionalFormatting>
  <conditionalFormatting sqref="T133">
    <cfRule type="cellIs" priority="1390" operator="greaterThan" aboveAverage="0" equalAverage="0" bottom="0" percent="0" rank="0" text="" dxfId="2">
      <formula>40</formula>
    </cfRule>
    <cfRule type="cellIs" priority="1391" operator="greaterThan" aboveAverage="0" equalAverage="0" bottom="0" percent="0" rank="0" text="" dxfId="3">
      <formula>45</formula>
    </cfRule>
  </conditionalFormatting>
  <conditionalFormatting sqref="U133">
    <cfRule type="cellIs" priority="1392" operator="greaterThan" aboveAverage="0" equalAverage="0" bottom="0" percent="0" rank="0" text="" dxfId="2">
      <formula>40</formula>
    </cfRule>
    <cfRule type="cellIs" priority="1393" operator="greaterThan" aboveAverage="0" equalAverage="0" bottom="0" percent="0" rank="0" text="" dxfId="3">
      <formula>45</formula>
    </cfRule>
  </conditionalFormatting>
  <conditionalFormatting sqref="V133">
    <cfRule type="cellIs" priority="1394" operator="greaterThan" aboveAverage="0" equalAverage="0" bottom="0" percent="0" rank="0" text="" dxfId="2">
      <formula>40</formula>
    </cfRule>
    <cfRule type="cellIs" priority="1395" operator="greaterThan" aboveAverage="0" equalAverage="0" bottom="0" percent="0" rank="0" text="" dxfId="3">
      <formula>45</formula>
    </cfRule>
  </conditionalFormatting>
  <conditionalFormatting sqref="W133">
    <cfRule type="cellIs" priority="1396" operator="greaterThan" aboveAverage="0" equalAverage="0" bottom="0" percent="0" rank="0" text="" dxfId="2">
      <formula>40</formula>
    </cfRule>
    <cfRule type="cellIs" priority="1397" operator="greaterThan" aboveAverage="0" equalAverage="0" bottom="0" percent="0" rank="0" text="" dxfId="3">
      <formula>45</formula>
    </cfRule>
  </conditionalFormatting>
  <conditionalFormatting sqref="X133">
    <cfRule type="cellIs" priority="1398" operator="greaterThan" aboveAverage="0" equalAverage="0" bottom="0" percent="0" rank="0" text="" dxfId="2">
      <formula>55</formula>
    </cfRule>
    <cfRule type="cellIs" priority="1399" operator="greaterThan" aboveAverage="0" equalAverage="0" bottom="0" percent="0" rank="0" text="" dxfId="3">
      <formula>65</formula>
    </cfRule>
  </conditionalFormatting>
  <conditionalFormatting sqref="Y133">
    <cfRule type="cellIs" priority="1400" operator="greaterThan" aboveAverage="0" equalAverage="0" bottom="0" percent="0" rank="0" text="" dxfId="2">
      <formula>55</formula>
    </cfRule>
    <cfRule type="cellIs" priority="1401" operator="greaterThan" aboveAverage="0" equalAverage="0" bottom="0" percent="0" rank="0" text="" dxfId="3">
      <formula>65</formula>
    </cfRule>
  </conditionalFormatting>
  <conditionalFormatting sqref="Z133">
    <cfRule type="cellIs" priority="1402" operator="greaterThan" aboveAverage="0" equalAverage="0" bottom="0" percent="0" rank="0" text="" dxfId="2">
      <formula>55</formula>
    </cfRule>
    <cfRule type="cellIs" priority="1403" operator="greaterThan" aboveAverage="0" equalAverage="0" bottom="0" percent="0" rank="0" text="" dxfId="3">
      <formula>65</formula>
    </cfRule>
  </conditionalFormatting>
  <conditionalFormatting sqref="AA133">
    <cfRule type="cellIs" priority="1404" operator="greaterThan" aboveAverage="0" equalAverage="0" bottom="0" percent="0" rank="0" text="" dxfId="2">
      <formula>55</formula>
    </cfRule>
    <cfRule type="cellIs" priority="1405" operator="greaterThan" aboveAverage="0" equalAverage="0" bottom="0" percent="0" rank="0" text="" dxfId="3">
      <formula>65</formula>
    </cfRule>
  </conditionalFormatting>
  <conditionalFormatting sqref="AB133">
    <cfRule type="cellIs" priority="1406" operator="greaterThan" aboveAverage="0" equalAverage="0" bottom="0" percent="0" rank="0" text="" dxfId="2">
      <formula>55</formula>
    </cfRule>
    <cfRule type="cellIs" priority="1407" operator="greaterThan" aboveAverage="0" equalAverage="0" bottom="0" percent="0" rank="0" text="" dxfId="3">
      <formula>65</formula>
    </cfRule>
  </conditionalFormatting>
  <conditionalFormatting sqref="AC133">
    <cfRule type="cellIs" priority="1408" operator="greaterThan" aboveAverage="0" equalAverage="0" bottom="0" percent="0" rank="0" text="" dxfId="2">
      <formula>55</formula>
    </cfRule>
    <cfRule type="cellIs" priority="1409" operator="greaterThan" aboveAverage="0" equalAverage="0" bottom="0" percent="0" rank="0" text="" dxfId="3">
      <formula>65</formula>
    </cfRule>
  </conditionalFormatting>
  <conditionalFormatting sqref="AD133">
    <cfRule type="cellIs" priority="1410" operator="greaterThan" aboveAverage="0" equalAverage="0" bottom="0" percent="0" rank="0" text="" dxfId="2">
      <formula>55</formula>
    </cfRule>
    <cfRule type="cellIs" priority="1411" operator="greaterThan" aboveAverage="0" equalAverage="0" bottom="0" percent="0" rank="0" text="" dxfId="3">
      <formula>65</formula>
    </cfRule>
  </conditionalFormatting>
  <conditionalFormatting sqref="AE133">
    <cfRule type="cellIs" priority="1412" operator="greaterThan" aboveAverage="0" equalAverage="0" bottom="0" percent="0" rank="0" text="" dxfId="2">
      <formula>55</formula>
    </cfRule>
    <cfRule type="cellIs" priority="1413" operator="greaterThan" aboveAverage="0" equalAverage="0" bottom="0" percent="0" rank="0" text="" dxfId="3">
      <formula>65</formula>
    </cfRule>
  </conditionalFormatting>
  <conditionalFormatting sqref="AF133">
    <cfRule type="cellIs" priority="1414" operator="greaterThan" aboveAverage="0" equalAverage="0" bottom="0" percent="0" rank="0" text="" dxfId="2">
      <formula>40</formula>
    </cfRule>
    <cfRule type="cellIs" priority="1415" operator="greaterThan" aboveAverage="0" equalAverage="0" bottom="0" percent="0" rank="0" text="" dxfId="3">
      <formula>45</formula>
    </cfRule>
  </conditionalFormatting>
  <conditionalFormatting sqref="AG133">
    <cfRule type="cellIs" priority="1416" operator="greaterThan" aboveAverage="0" equalAverage="0" bottom="0" percent="0" rank="0" text="" dxfId="2">
      <formula>40</formula>
    </cfRule>
    <cfRule type="cellIs" priority="1417" operator="greaterThan" aboveAverage="0" equalAverage="0" bottom="0" percent="0" rank="0" text="" dxfId="3">
      <formula>45</formula>
    </cfRule>
  </conditionalFormatting>
  <conditionalFormatting sqref="AH133">
    <cfRule type="cellIs" priority="1418" operator="greaterThan" aboveAverage="0" equalAverage="0" bottom="0" percent="0" rank="0" text="" dxfId="2">
      <formula>40</formula>
    </cfRule>
    <cfRule type="cellIs" priority="1419" operator="greaterThan" aboveAverage="0" equalAverage="0" bottom="0" percent="0" rank="0" text="" dxfId="3">
      <formula>45</formula>
    </cfRule>
  </conditionalFormatting>
  <conditionalFormatting sqref="AI133">
    <cfRule type="cellIs" priority="1420" operator="greaterThan" aboveAverage="0" equalAverage="0" bottom="0" percent="0" rank="0" text="" dxfId="2">
      <formula>40</formula>
    </cfRule>
    <cfRule type="cellIs" priority="1421" operator="greaterThan" aboveAverage="0" equalAverage="0" bottom="0" percent="0" rank="0" text="" dxfId="3">
      <formula>45</formula>
    </cfRule>
  </conditionalFormatting>
  <conditionalFormatting sqref="AJ133">
    <cfRule type="cellIs" priority="1422" operator="greaterThan" aboveAverage="0" equalAverage="0" bottom="0" percent="0" rank="0" text="" dxfId="2">
      <formula>40</formula>
    </cfRule>
    <cfRule type="cellIs" priority="1423" operator="greaterThan" aboveAverage="0" equalAverage="0" bottom="0" percent="0" rank="0" text="" dxfId="3">
      <formula>45</formula>
    </cfRule>
  </conditionalFormatting>
  <conditionalFormatting sqref="AK133">
    <cfRule type="cellIs" priority="1424" operator="greaterThan" aboveAverage="0" equalAverage="0" bottom="0" percent="0" rank="0" text="" dxfId="2">
      <formula>40</formula>
    </cfRule>
    <cfRule type="cellIs" priority="1425" operator="greaterThan" aboveAverage="0" equalAverage="0" bottom="0" percent="0" rank="0" text="" dxfId="3">
      <formula>45</formula>
    </cfRule>
  </conditionalFormatting>
  <conditionalFormatting sqref="AL133">
    <cfRule type="cellIs" priority="1426" operator="greaterThan" aboveAverage="0" equalAverage="0" bottom="0" percent="0" rank="0" text="" dxfId="2">
      <formula>40</formula>
    </cfRule>
    <cfRule type="cellIs" priority="1427" operator="greaterThan" aboveAverage="0" equalAverage="0" bottom="0" percent="0" rank="0" text="" dxfId="3">
      <formula>45</formula>
    </cfRule>
  </conditionalFormatting>
  <conditionalFormatting sqref="AM133">
    <cfRule type="cellIs" priority="1428" operator="greaterThan" aboveAverage="0" equalAverage="0" bottom="0" percent="0" rank="0" text="" dxfId="2">
      <formula>40</formula>
    </cfRule>
    <cfRule type="cellIs" priority="1429" operator="greaterThan" aboveAverage="0" equalAverage="0" bottom="0" percent="0" rank="0" text="" dxfId="3">
      <formula>45</formula>
    </cfRule>
  </conditionalFormatting>
  <conditionalFormatting sqref="AN133">
    <cfRule type="cellIs" priority="1430" operator="greaterThan" aboveAverage="0" equalAverage="0" bottom="0" percent="0" rank="0" text="" dxfId="2">
      <formula>40</formula>
    </cfRule>
    <cfRule type="cellIs" priority="1431" operator="greaterThan" aboveAverage="0" equalAverage="0" bottom="0" percent="0" rank="0" text="" dxfId="3">
      <formula>45</formula>
    </cfRule>
  </conditionalFormatting>
  <conditionalFormatting sqref="AO133">
    <cfRule type="cellIs" priority="1432" operator="greaterThan" aboveAverage="0" equalAverage="0" bottom="0" percent="0" rank="0" text="" dxfId="2">
      <formula>40</formula>
    </cfRule>
    <cfRule type="cellIs" priority="1433" operator="greaterThan" aboveAverage="0" equalAverage="0" bottom="0" percent="0" rank="0" text="" dxfId="3">
      <formula>45</formula>
    </cfRule>
  </conditionalFormatting>
  <conditionalFormatting sqref="AP133">
    <cfRule type="cellIs" priority="1434" operator="greaterThan" aboveAverage="0" equalAverage="0" bottom="0" percent="0" rank="0" text="" dxfId="2">
      <formula>40</formula>
    </cfRule>
    <cfRule type="cellIs" priority="1435" operator="greaterThan" aboveAverage="0" equalAverage="0" bottom="0" percent="0" rank="0" text="" dxfId="3">
      <formula>45</formula>
    </cfRule>
  </conditionalFormatting>
  <conditionalFormatting sqref="AQ133">
    <cfRule type="cellIs" priority="1436" operator="greaterThan" aboveAverage="0" equalAverage="0" bottom="0" percent="0" rank="0" text="" dxfId="2">
      <formula>40</formula>
    </cfRule>
    <cfRule type="cellIs" priority="1437" operator="greaterThan" aboveAverage="0" equalAverage="0" bottom="0" percent="0" rank="0" text="" dxfId="3">
      <formula>45</formula>
    </cfRule>
  </conditionalFormatting>
  <conditionalFormatting sqref="AR133">
    <cfRule type="cellIs" priority="1438" operator="greaterThan" aboveAverage="0" equalAverage="0" bottom="0" percent="0" rank="0" text="" dxfId="2">
      <formula>40</formula>
    </cfRule>
    <cfRule type="cellIs" priority="1439" operator="greaterThan" aboveAverage="0" equalAverage="0" bottom="0" percent="0" rank="0" text="" dxfId="3">
      <formula>45</formula>
    </cfRule>
  </conditionalFormatting>
  <conditionalFormatting sqref="AS133">
    <cfRule type="cellIs" priority="1440" operator="greaterThan" aboveAverage="0" equalAverage="0" bottom="0" percent="0" rank="0" text="" dxfId="2">
      <formula>40</formula>
    </cfRule>
    <cfRule type="cellIs" priority="1441" operator="greaterThan" aboveAverage="0" equalAverage="0" bottom="0" percent="0" rank="0" text="" dxfId="3">
      <formula>45</formula>
    </cfRule>
  </conditionalFormatting>
  <conditionalFormatting sqref="F136">
    <cfRule type="cellIs" priority="1442" operator="greaterThan" aboveAverage="0" equalAverage="0" bottom="0" percent="0" rank="0" text="" dxfId="2">
      <formula>40</formula>
    </cfRule>
    <cfRule type="cellIs" priority="1443" operator="greaterThan" aboveAverage="0" equalAverage="0" bottom="0" percent="0" rank="0" text="" dxfId="3">
      <formula>45</formula>
    </cfRule>
  </conditionalFormatting>
  <conditionalFormatting sqref="G136">
    <cfRule type="cellIs" priority="1444" operator="greaterThan" aboveAverage="0" equalAverage="0" bottom="0" percent="0" rank="0" text="" dxfId="2">
      <formula>40</formula>
    </cfRule>
    <cfRule type="cellIs" priority="1445" operator="greaterThan" aboveAverage="0" equalAverage="0" bottom="0" percent="0" rank="0" text="" dxfId="3">
      <formula>45</formula>
    </cfRule>
  </conditionalFormatting>
  <conditionalFormatting sqref="H136">
    <cfRule type="cellIs" priority="1446" operator="greaterThan" aboveAverage="0" equalAverage="0" bottom="0" percent="0" rank="0" text="" dxfId="2">
      <formula>40</formula>
    </cfRule>
    <cfRule type="cellIs" priority="1447" operator="greaterThan" aboveAverage="0" equalAverage="0" bottom="0" percent="0" rank="0" text="" dxfId="3">
      <formula>45</formula>
    </cfRule>
  </conditionalFormatting>
  <conditionalFormatting sqref="I136">
    <cfRule type="cellIs" priority="1448" operator="greaterThan" aboveAverage="0" equalAverage="0" bottom="0" percent="0" rank="0" text="" dxfId="2">
      <formula>40</formula>
    </cfRule>
    <cfRule type="cellIs" priority="1449" operator="greaterThan" aboveAverage="0" equalAverage="0" bottom="0" percent="0" rank="0" text="" dxfId="3">
      <formula>45</formula>
    </cfRule>
  </conditionalFormatting>
  <conditionalFormatting sqref="J136">
    <cfRule type="cellIs" priority="1450" operator="greaterThan" aboveAverage="0" equalAverage="0" bottom="0" percent="0" rank="0" text="" dxfId="2">
      <formula>40</formula>
    </cfRule>
    <cfRule type="cellIs" priority="1451" operator="greaterThan" aboveAverage="0" equalAverage="0" bottom="0" percent="0" rank="0" text="" dxfId="3">
      <formula>45</formula>
    </cfRule>
  </conditionalFormatting>
  <conditionalFormatting sqref="K136">
    <cfRule type="cellIs" priority="1452" operator="greaterThan" aboveAverage="0" equalAverage="0" bottom="0" percent="0" rank="0" text="" dxfId="2">
      <formula>40</formula>
    </cfRule>
    <cfRule type="cellIs" priority="1453" operator="greaterThan" aboveAverage="0" equalAverage="0" bottom="0" percent="0" rank="0" text="" dxfId="3">
      <formula>45</formula>
    </cfRule>
  </conditionalFormatting>
  <conditionalFormatting sqref="L136">
    <cfRule type="cellIs" priority="1454" operator="greaterThan" aboveAverage="0" equalAverage="0" bottom="0" percent="0" rank="0" text="" dxfId="2">
      <formula>40</formula>
    </cfRule>
    <cfRule type="cellIs" priority="1455" operator="greaterThan" aboveAverage="0" equalAverage="0" bottom="0" percent="0" rank="0" text="" dxfId="3">
      <formula>45</formula>
    </cfRule>
  </conditionalFormatting>
  <conditionalFormatting sqref="M136">
    <cfRule type="cellIs" priority="1456" operator="greaterThan" aboveAverage="0" equalAverage="0" bottom="0" percent="0" rank="0" text="" dxfId="2">
      <formula>40</formula>
    </cfRule>
    <cfRule type="cellIs" priority="1457" operator="greaterThan" aboveAverage="0" equalAverage="0" bottom="0" percent="0" rank="0" text="" dxfId="3">
      <formula>45</formula>
    </cfRule>
  </conditionalFormatting>
  <conditionalFormatting sqref="N136">
    <cfRule type="cellIs" priority="1458" operator="greaterThan" aboveAverage="0" equalAverage="0" bottom="0" percent="0" rank="0" text="" dxfId="2">
      <formula>40</formula>
    </cfRule>
    <cfRule type="cellIs" priority="1459" operator="greaterThan" aboveAverage="0" equalAverage="0" bottom="0" percent="0" rank="0" text="" dxfId="3">
      <formula>45</formula>
    </cfRule>
  </conditionalFormatting>
  <conditionalFormatting sqref="O136">
    <cfRule type="cellIs" priority="1460" operator="greaterThan" aboveAverage="0" equalAverage="0" bottom="0" percent="0" rank="0" text="" dxfId="2">
      <formula>40</formula>
    </cfRule>
    <cfRule type="cellIs" priority="1461" operator="greaterThan" aboveAverage="0" equalAverage="0" bottom="0" percent="0" rank="0" text="" dxfId="3">
      <formula>45</formula>
    </cfRule>
  </conditionalFormatting>
  <conditionalFormatting sqref="P136">
    <cfRule type="cellIs" priority="1462" operator="greaterThan" aboveAverage="0" equalAverage="0" bottom="0" percent="0" rank="0" text="" dxfId="2">
      <formula>40</formula>
    </cfRule>
    <cfRule type="cellIs" priority="1463" operator="greaterThan" aboveAverage="0" equalAverage="0" bottom="0" percent="0" rank="0" text="" dxfId="3">
      <formula>45</formula>
    </cfRule>
  </conditionalFormatting>
  <conditionalFormatting sqref="Q136">
    <cfRule type="cellIs" priority="1464" operator="greaterThan" aboveAverage="0" equalAverage="0" bottom="0" percent="0" rank="0" text="" dxfId="2">
      <formula>40</formula>
    </cfRule>
    <cfRule type="cellIs" priority="1465" operator="greaterThan" aboveAverage="0" equalAverage="0" bottom="0" percent="0" rank="0" text="" dxfId="3">
      <formula>45</formula>
    </cfRule>
  </conditionalFormatting>
  <conditionalFormatting sqref="R136">
    <cfRule type="cellIs" priority="1466" operator="greaterThan" aboveAverage="0" equalAverage="0" bottom="0" percent="0" rank="0" text="" dxfId="2">
      <formula>40</formula>
    </cfRule>
    <cfRule type="cellIs" priority="1467" operator="greaterThan" aboveAverage="0" equalAverage="0" bottom="0" percent="0" rank="0" text="" dxfId="3">
      <formula>45</formula>
    </cfRule>
  </conditionalFormatting>
  <conditionalFormatting sqref="S136">
    <cfRule type="cellIs" priority="1468" operator="greaterThan" aboveAverage="0" equalAverage="0" bottom="0" percent="0" rank="0" text="" dxfId="2">
      <formula>40</formula>
    </cfRule>
    <cfRule type="cellIs" priority="1469" operator="greaterThan" aboveAverage="0" equalAverage="0" bottom="0" percent="0" rank="0" text="" dxfId="3">
      <formula>45</formula>
    </cfRule>
  </conditionalFormatting>
  <conditionalFormatting sqref="T136">
    <cfRule type="cellIs" priority="1470" operator="greaterThan" aboveAverage="0" equalAverage="0" bottom="0" percent="0" rank="0" text="" dxfId="2">
      <formula>40</formula>
    </cfRule>
    <cfRule type="cellIs" priority="1471" operator="greaterThan" aboveAverage="0" equalAverage="0" bottom="0" percent="0" rank="0" text="" dxfId="3">
      <formula>45</formula>
    </cfRule>
  </conditionalFormatting>
  <conditionalFormatting sqref="U136">
    <cfRule type="cellIs" priority="1472" operator="greaterThan" aboveAverage="0" equalAverage="0" bottom="0" percent="0" rank="0" text="" dxfId="2">
      <formula>40</formula>
    </cfRule>
    <cfRule type="cellIs" priority="1473" operator="greaterThan" aboveAverage="0" equalAverage="0" bottom="0" percent="0" rank="0" text="" dxfId="3">
      <formula>45</formula>
    </cfRule>
  </conditionalFormatting>
  <conditionalFormatting sqref="V136">
    <cfRule type="cellIs" priority="1474" operator="greaterThan" aboveAverage="0" equalAverage="0" bottom="0" percent="0" rank="0" text="" dxfId="2">
      <formula>40</formula>
    </cfRule>
    <cfRule type="cellIs" priority="1475" operator="greaterThan" aboveAverage="0" equalAverage="0" bottom="0" percent="0" rank="0" text="" dxfId="3">
      <formula>45</formula>
    </cfRule>
  </conditionalFormatting>
  <conditionalFormatting sqref="W136">
    <cfRule type="cellIs" priority="1476" operator="greaterThan" aboveAverage="0" equalAverage="0" bottom="0" percent="0" rank="0" text="" dxfId="2">
      <formula>40</formula>
    </cfRule>
    <cfRule type="cellIs" priority="1477" operator="greaterThan" aboveAverage="0" equalAverage="0" bottom="0" percent="0" rank="0" text="" dxfId="3">
      <formula>45</formula>
    </cfRule>
  </conditionalFormatting>
  <conditionalFormatting sqref="X136">
    <cfRule type="cellIs" priority="1478" operator="greaterThan" aboveAverage="0" equalAverage="0" bottom="0" percent="0" rank="0" text="" dxfId="2">
      <formula>55</formula>
    </cfRule>
    <cfRule type="cellIs" priority="1479" operator="greaterThan" aboveAverage="0" equalAverage="0" bottom="0" percent="0" rank="0" text="" dxfId="3">
      <formula>65</formula>
    </cfRule>
  </conditionalFormatting>
  <conditionalFormatting sqref="Y136">
    <cfRule type="cellIs" priority="1480" operator="greaterThan" aboveAverage="0" equalAverage="0" bottom="0" percent="0" rank="0" text="" dxfId="2">
      <formula>55</formula>
    </cfRule>
    <cfRule type="cellIs" priority="1481" operator="greaterThan" aboveAverage="0" equalAverage="0" bottom="0" percent="0" rank="0" text="" dxfId="3">
      <formula>65</formula>
    </cfRule>
  </conditionalFormatting>
  <conditionalFormatting sqref="Z136">
    <cfRule type="cellIs" priority="1482" operator="greaterThan" aboveAverage="0" equalAverage="0" bottom="0" percent="0" rank="0" text="" dxfId="2">
      <formula>55</formula>
    </cfRule>
    <cfRule type="cellIs" priority="1483" operator="greaterThan" aboveAverage="0" equalAverage="0" bottom="0" percent="0" rank="0" text="" dxfId="3">
      <formula>65</formula>
    </cfRule>
  </conditionalFormatting>
  <conditionalFormatting sqref="AA136">
    <cfRule type="cellIs" priority="1484" operator="greaterThan" aboveAverage="0" equalAverage="0" bottom="0" percent="0" rank="0" text="" dxfId="2">
      <formula>55</formula>
    </cfRule>
    <cfRule type="cellIs" priority="1485" operator="greaterThan" aboveAverage="0" equalAverage="0" bottom="0" percent="0" rank="0" text="" dxfId="3">
      <formula>65</formula>
    </cfRule>
  </conditionalFormatting>
  <conditionalFormatting sqref="AB136">
    <cfRule type="cellIs" priority="1486" operator="greaterThan" aboveAverage="0" equalAverage="0" bottom="0" percent="0" rank="0" text="" dxfId="2">
      <formula>55</formula>
    </cfRule>
    <cfRule type="cellIs" priority="1487" operator="greaterThan" aboveAverage="0" equalAverage="0" bottom="0" percent="0" rank="0" text="" dxfId="3">
      <formula>65</formula>
    </cfRule>
  </conditionalFormatting>
  <conditionalFormatting sqref="AC136">
    <cfRule type="cellIs" priority="1488" operator="greaterThan" aboveAverage="0" equalAverage="0" bottom="0" percent="0" rank="0" text="" dxfId="2">
      <formula>55</formula>
    </cfRule>
    <cfRule type="cellIs" priority="1489" operator="greaterThan" aboveAverage="0" equalAverage="0" bottom="0" percent="0" rank="0" text="" dxfId="3">
      <formula>65</formula>
    </cfRule>
  </conditionalFormatting>
  <conditionalFormatting sqref="AD136">
    <cfRule type="cellIs" priority="1490" operator="greaterThan" aboveAverage="0" equalAverage="0" bottom="0" percent="0" rank="0" text="" dxfId="2">
      <formula>55</formula>
    </cfRule>
    <cfRule type="cellIs" priority="1491" operator="greaterThan" aboveAverage="0" equalAverage="0" bottom="0" percent="0" rank="0" text="" dxfId="3">
      <formula>65</formula>
    </cfRule>
  </conditionalFormatting>
  <conditionalFormatting sqref="AE136">
    <cfRule type="cellIs" priority="1492" operator="greaterThan" aboveAverage="0" equalAverage="0" bottom="0" percent="0" rank="0" text="" dxfId="2">
      <formula>55</formula>
    </cfRule>
    <cfRule type="cellIs" priority="1493" operator="greaterThan" aboveAverage="0" equalAverage="0" bottom="0" percent="0" rank="0" text="" dxfId="3">
      <formula>65</formula>
    </cfRule>
  </conditionalFormatting>
  <conditionalFormatting sqref="AF136">
    <cfRule type="cellIs" priority="1494" operator="greaterThan" aboveAverage="0" equalAverage="0" bottom="0" percent="0" rank="0" text="" dxfId="2">
      <formula>40</formula>
    </cfRule>
    <cfRule type="cellIs" priority="1495" operator="greaterThan" aboveAverage="0" equalAverage="0" bottom="0" percent="0" rank="0" text="" dxfId="3">
      <formula>45</formula>
    </cfRule>
  </conditionalFormatting>
  <conditionalFormatting sqref="AG136">
    <cfRule type="cellIs" priority="1496" operator="greaterThan" aboveAverage="0" equalAverage="0" bottom="0" percent="0" rank="0" text="" dxfId="2">
      <formula>40</formula>
    </cfRule>
    <cfRule type="cellIs" priority="1497" operator="greaterThan" aboveAverage="0" equalAverage="0" bottom="0" percent="0" rank="0" text="" dxfId="3">
      <formula>45</formula>
    </cfRule>
  </conditionalFormatting>
  <conditionalFormatting sqref="AH136">
    <cfRule type="cellIs" priority="1498" operator="greaterThan" aboveAverage="0" equalAverage="0" bottom="0" percent="0" rank="0" text="" dxfId="2">
      <formula>40</formula>
    </cfRule>
    <cfRule type="cellIs" priority="1499" operator="greaterThan" aboveAverage="0" equalAverage="0" bottom="0" percent="0" rank="0" text="" dxfId="3">
      <formula>45</formula>
    </cfRule>
  </conditionalFormatting>
  <conditionalFormatting sqref="AI136">
    <cfRule type="cellIs" priority="1500" operator="greaterThan" aboveAverage="0" equalAverage="0" bottom="0" percent="0" rank="0" text="" dxfId="2">
      <formula>40</formula>
    </cfRule>
    <cfRule type="cellIs" priority="1501" operator="greaterThan" aboveAverage="0" equalAverage="0" bottom="0" percent="0" rank="0" text="" dxfId="3">
      <formula>45</formula>
    </cfRule>
  </conditionalFormatting>
  <conditionalFormatting sqref="AJ136">
    <cfRule type="cellIs" priority="1502" operator="greaterThan" aboveAverage="0" equalAverage="0" bottom="0" percent="0" rank="0" text="" dxfId="2">
      <formula>40</formula>
    </cfRule>
    <cfRule type="cellIs" priority="1503" operator="greaterThan" aboveAverage="0" equalAverage="0" bottom="0" percent="0" rank="0" text="" dxfId="3">
      <formula>45</formula>
    </cfRule>
  </conditionalFormatting>
  <conditionalFormatting sqref="AK136">
    <cfRule type="cellIs" priority="1504" operator="greaterThan" aboveAverage="0" equalAverage="0" bottom="0" percent="0" rank="0" text="" dxfId="2">
      <formula>40</formula>
    </cfRule>
    <cfRule type="cellIs" priority="1505" operator="greaterThan" aboveAverage="0" equalAverage="0" bottom="0" percent="0" rank="0" text="" dxfId="3">
      <formula>45</formula>
    </cfRule>
  </conditionalFormatting>
  <conditionalFormatting sqref="AL136">
    <cfRule type="cellIs" priority="1506" operator="greaterThan" aboveAverage="0" equalAverage="0" bottom="0" percent="0" rank="0" text="" dxfId="2">
      <formula>40</formula>
    </cfRule>
    <cfRule type="cellIs" priority="1507" operator="greaterThan" aboveAverage="0" equalAverage="0" bottom="0" percent="0" rank="0" text="" dxfId="3">
      <formula>45</formula>
    </cfRule>
  </conditionalFormatting>
  <conditionalFormatting sqref="AM136">
    <cfRule type="cellIs" priority="1508" operator="greaterThan" aboveAverage="0" equalAverage="0" bottom="0" percent="0" rank="0" text="" dxfId="2">
      <formula>40</formula>
    </cfRule>
    <cfRule type="cellIs" priority="1509" operator="greaterThan" aboveAverage="0" equalAverage="0" bottom="0" percent="0" rank="0" text="" dxfId="3">
      <formula>45</formula>
    </cfRule>
  </conditionalFormatting>
  <conditionalFormatting sqref="AN136">
    <cfRule type="cellIs" priority="1510" operator="greaterThan" aboveAverage="0" equalAverage="0" bottom="0" percent="0" rank="0" text="" dxfId="2">
      <formula>40</formula>
    </cfRule>
    <cfRule type="cellIs" priority="1511" operator="greaterThan" aboveAverage="0" equalAverage="0" bottom="0" percent="0" rank="0" text="" dxfId="3">
      <formula>45</formula>
    </cfRule>
  </conditionalFormatting>
  <conditionalFormatting sqref="AO136">
    <cfRule type="cellIs" priority="1512" operator="greaterThan" aboveAverage="0" equalAverage="0" bottom="0" percent="0" rank="0" text="" dxfId="2">
      <formula>40</formula>
    </cfRule>
    <cfRule type="cellIs" priority="1513" operator="greaterThan" aboveAverage="0" equalAverage="0" bottom="0" percent="0" rank="0" text="" dxfId="3">
      <formula>45</formula>
    </cfRule>
  </conditionalFormatting>
  <conditionalFormatting sqref="AP136">
    <cfRule type="cellIs" priority="1514" operator="greaterThan" aboveAverage="0" equalAverage="0" bottom="0" percent="0" rank="0" text="" dxfId="2">
      <formula>40</formula>
    </cfRule>
    <cfRule type="cellIs" priority="1515" operator="greaterThan" aboveAverage="0" equalAverage="0" bottom="0" percent="0" rank="0" text="" dxfId="3">
      <formula>45</formula>
    </cfRule>
  </conditionalFormatting>
  <conditionalFormatting sqref="AQ136">
    <cfRule type="cellIs" priority="1516" operator="greaterThan" aboveAverage="0" equalAverage="0" bottom="0" percent="0" rank="0" text="" dxfId="2">
      <formula>40</formula>
    </cfRule>
    <cfRule type="cellIs" priority="1517" operator="greaterThan" aboveAverage="0" equalAverage="0" bottom="0" percent="0" rank="0" text="" dxfId="3">
      <formula>45</formula>
    </cfRule>
  </conditionalFormatting>
  <conditionalFormatting sqref="AR136">
    <cfRule type="cellIs" priority="1518" operator="greaterThan" aboveAverage="0" equalAverage="0" bottom="0" percent="0" rank="0" text="" dxfId="2">
      <formula>40</formula>
    </cfRule>
    <cfRule type="cellIs" priority="1519" operator="greaterThan" aboveAverage="0" equalAverage="0" bottom="0" percent="0" rank="0" text="" dxfId="3">
      <formula>45</formula>
    </cfRule>
  </conditionalFormatting>
  <conditionalFormatting sqref="AS136">
    <cfRule type="cellIs" priority="1520" operator="greaterThan" aboveAverage="0" equalAverage="0" bottom="0" percent="0" rank="0" text="" dxfId="2">
      <formula>40</formula>
    </cfRule>
    <cfRule type="cellIs" priority="1521" operator="greaterThan" aboveAverage="0" equalAverage="0" bottom="0" percent="0" rank="0" text="" dxfId="3">
      <formula>45</formula>
    </cfRule>
  </conditionalFormatting>
  <conditionalFormatting sqref="F143">
    <cfRule type="cellIs" priority="1522" operator="greaterThan" aboveAverage="0" equalAverage="0" bottom="0" percent="0" rank="0" text="" dxfId="2">
      <formula>40</formula>
    </cfRule>
    <cfRule type="cellIs" priority="1523" operator="greaterThan" aboveAverage="0" equalAverage="0" bottom="0" percent="0" rank="0" text="" dxfId="3">
      <formula>45</formula>
    </cfRule>
  </conditionalFormatting>
  <conditionalFormatting sqref="G143">
    <cfRule type="cellIs" priority="1524" operator="greaterThan" aboveAverage="0" equalAverage="0" bottom="0" percent="0" rank="0" text="" dxfId="2">
      <formula>40</formula>
    </cfRule>
    <cfRule type="cellIs" priority="1525" operator="greaterThan" aboveAverage="0" equalAverage="0" bottom="0" percent="0" rank="0" text="" dxfId="3">
      <formula>45</formula>
    </cfRule>
  </conditionalFormatting>
  <conditionalFormatting sqref="H143">
    <cfRule type="cellIs" priority="1526" operator="greaterThan" aboveAverage="0" equalAverage="0" bottom="0" percent="0" rank="0" text="" dxfId="2">
      <formula>40</formula>
    </cfRule>
    <cfRule type="cellIs" priority="1527" operator="greaterThan" aboveAverage="0" equalAverage="0" bottom="0" percent="0" rank="0" text="" dxfId="3">
      <formula>45</formula>
    </cfRule>
  </conditionalFormatting>
  <conditionalFormatting sqref="I143">
    <cfRule type="cellIs" priority="1528" operator="greaterThan" aboveAverage="0" equalAverage="0" bottom="0" percent="0" rank="0" text="" dxfId="2">
      <formula>40</formula>
    </cfRule>
    <cfRule type="cellIs" priority="1529" operator="greaterThan" aboveAverage="0" equalAverage="0" bottom="0" percent="0" rank="0" text="" dxfId="3">
      <formula>45</formula>
    </cfRule>
  </conditionalFormatting>
  <conditionalFormatting sqref="J143">
    <cfRule type="cellIs" priority="1530" operator="greaterThan" aboveAverage="0" equalAverage="0" bottom="0" percent="0" rank="0" text="" dxfId="2">
      <formula>40</formula>
    </cfRule>
    <cfRule type="cellIs" priority="1531" operator="greaterThan" aboveAverage="0" equalAverage="0" bottom="0" percent="0" rank="0" text="" dxfId="3">
      <formula>45</formula>
    </cfRule>
  </conditionalFormatting>
  <conditionalFormatting sqref="K143">
    <cfRule type="cellIs" priority="1532" operator="greaterThan" aboveAverage="0" equalAverage="0" bottom="0" percent="0" rank="0" text="" dxfId="2">
      <formula>40</formula>
    </cfRule>
    <cfRule type="cellIs" priority="1533" operator="greaterThan" aboveAverage="0" equalAverage="0" bottom="0" percent="0" rank="0" text="" dxfId="3">
      <formula>45</formula>
    </cfRule>
  </conditionalFormatting>
  <conditionalFormatting sqref="L143">
    <cfRule type="cellIs" priority="1534" operator="greaterThan" aboveAverage="0" equalAverage="0" bottom="0" percent="0" rank="0" text="" dxfId="2">
      <formula>40</formula>
    </cfRule>
    <cfRule type="cellIs" priority="1535" operator="greaterThan" aboveAverage="0" equalAverage="0" bottom="0" percent="0" rank="0" text="" dxfId="3">
      <formula>45</formula>
    </cfRule>
  </conditionalFormatting>
  <conditionalFormatting sqref="M143">
    <cfRule type="cellIs" priority="1536" operator="greaterThan" aboveAverage="0" equalAverage="0" bottom="0" percent="0" rank="0" text="" dxfId="2">
      <formula>40</formula>
    </cfRule>
    <cfRule type="cellIs" priority="1537" operator="greaterThan" aboveAverage="0" equalAverage="0" bottom="0" percent="0" rank="0" text="" dxfId="3">
      <formula>45</formula>
    </cfRule>
  </conditionalFormatting>
  <conditionalFormatting sqref="N143">
    <cfRule type="cellIs" priority="1538" operator="greaterThan" aboveAverage="0" equalAverage="0" bottom="0" percent="0" rank="0" text="" dxfId="2">
      <formula>40</formula>
    </cfRule>
    <cfRule type="cellIs" priority="1539" operator="greaterThan" aboveAverage="0" equalAverage="0" bottom="0" percent="0" rank="0" text="" dxfId="3">
      <formula>45</formula>
    </cfRule>
  </conditionalFormatting>
  <conditionalFormatting sqref="O143">
    <cfRule type="cellIs" priority="1540" operator="greaterThan" aboveAverage="0" equalAverage="0" bottom="0" percent="0" rank="0" text="" dxfId="2">
      <formula>40</formula>
    </cfRule>
    <cfRule type="cellIs" priority="1541" operator="greaterThan" aboveAverage="0" equalAverage="0" bottom="0" percent="0" rank="0" text="" dxfId="3">
      <formula>45</formula>
    </cfRule>
  </conditionalFormatting>
  <conditionalFormatting sqref="P143">
    <cfRule type="cellIs" priority="1542" operator="greaterThan" aboveAverage="0" equalAverage="0" bottom="0" percent="0" rank="0" text="" dxfId="2">
      <formula>40</formula>
    </cfRule>
    <cfRule type="cellIs" priority="1543" operator="greaterThan" aboveAverage="0" equalAverage="0" bottom="0" percent="0" rank="0" text="" dxfId="3">
      <formula>45</formula>
    </cfRule>
  </conditionalFormatting>
  <conditionalFormatting sqref="Q143">
    <cfRule type="cellIs" priority="1544" operator="greaterThan" aboveAverage="0" equalAverage="0" bottom="0" percent="0" rank="0" text="" dxfId="2">
      <formula>40</formula>
    </cfRule>
    <cfRule type="cellIs" priority="1545" operator="greaterThan" aboveAverage="0" equalAverage="0" bottom="0" percent="0" rank="0" text="" dxfId="3">
      <formula>45</formula>
    </cfRule>
  </conditionalFormatting>
  <conditionalFormatting sqref="R143">
    <cfRule type="cellIs" priority="1546" operator="greaterThan" aboveAverage="0" equalAverage="0" bottom="0" percent="0" rank="0" text="" dxfId="2">
      <formula>40</formula>
    </cfRule>
    <cfRule type="cellIs" priority="1547" operator="greaterThan" aboveAverage="0" equalAverage="0" bottom="0" percent="0" rank="0" text="" dxfId="3">
      <formula>45</formula>
    </cfRule>
  </conditionalFormatting>
  <conditionalFormatting sqref="S143">
    <cfRule type="cellIs" priority="1548" operator="greaterThan" aboveAverage="0" equalAverage="0" bottom="0" percent="0" rank="0" text="" dxfId="2">
      <formula>40</formula>
    </cfRule>
    <cfRule type="cellIs" priority="1549" operator="greaterThan" aboveAverage="0" equalAverage="0" bottom="0" percent="0" rank="0" text="" dxfId="3">
      <formula>45</formula>
    </cfRule>
  </conditionalFormatting>
  <conditionalFormatting sqref="T143">
    <cfRule type="cellIs" priority="1550" operator="greaterThan" aboveAverage="0" equalAverage="0" bottom="0" percent="0" rank="0" text="" dxfId="2">
      <formula>40</formula>
    </cfRule>
    <cfRule type="cellIs" priority="1551" operator="greaterThan" aboveAverage="0" equalAverage="0" bottom="0" percent="0" rank="0" text="" dxfId="3">
      <formula>45</formula>
    </cfRule>
  </conditionalFormatting>
  <conditionalFormatting sqref="U143">
    <cfRule type="cellIs" priority="1552" operator="greaterThan" aboveAverage="0" equalAverage="0" bottom="0" percent="0" rank="0" text="" dxfId="2">
      <formula>40</formula>
    </cfRule>
    <cfRule type="cellIs" priority="1553" operator="greaterThan" aboveAverage="0" equalAverage="0" bottom="0" percent="0" rank="0" text="" dxfId="3">
      <formula>45</formula>
    </cfRule>
  </conditionalFormatting>
  <conditionalFormatting sqref="V143">
    <cfRule type="cellIs" priority="1554" operator="greaterThan" aboveAverage="0" equalAverage="0" bottom="0" percent="0" rank="0" text="" dxfId="2">
      <formula>40</formula>
    </cfRule>
    <cfRule type="cellIs" priority="1555" operator="greaterThan" aboveAverage="0" equalAverage="0" bottom="0" percent="0" rank="0" text="" dxfId="3">
      <formula>45</formula>
    </cfRule>
  </conditionalFormatting>
  <conditionalFormatting sqref="W143">
    <cfRule type="cellIs" priority="1556" operator="greaterThan" aboveAverage="0" equalAverage="0" bottom="0" percent="0" rank="0" text="" dxfId="2">
      <formula>40</formula>
    </cfRule>
    <cfRule type="cellIs" priority="1557" operator="greaterThan" aboveAverage="0" equalAverage="0" bottom="0" percent="0" rank="0" text="" dxfId="3">
      <formula>45</formula>
    </cfRule>
  </conditionalFormatting>
  <conditionalFormatting sqref="X143">
    <cfRule type="cellIs" priority="1558" operator="greaterThan" aboveAverage="0" equalAverage="0" bottom="0" percent="0" rank="0" text="" dxfId="2">
      <formula>55</formula>
    </cfRule>
    <cfRule type="cellIs" priority="1559" operator="greaterThan" aboveAverage="0" equalAverage="0" bottom="0" percent="0" rank="0" text="" dxfId="3">
      <formula>65</formula>
    </cfRule>
  </conditionalFormatting>
  <conditionalFormatting sqref="Y143">
    <cfRule type="cellIs" priority="1560" operator="greaterThan" aboveAverage="0" equalAverage="0" bottom="0" percent="0" rank="0" text="" dxfId="2">
      <formula>55</formula>
    </cfRule>
    <cfRule type="cellIs" priority="1561" operator="greaterThan" aboveAverage="0" equalAverage="0" bottom="0" percent="0" rank="0" text="" dxfId="3">
      <formula>65</formula>
    </cfRule>
  </conditionalFormatting>
  <conditionalFormatting sqref="Z143">
    <cfRule type="cellIs" priority="1562" operator="greaterThan" aboveAverage="0" equalAverage="0" bottom="0" percent="0" rank="0" text="" dxfId="2">
      <formula>55</formula>
    </cfRule>
    <cfRule type="cellIs" priority="1563" operator="greaterThan" aboveAverage="0" equalAverage="0" bottom="0" percent="0" rank="0" text="" dxfId="3">
      <formula>65</formula>
    </cfRule>
  </conditionalFormatting>
  <conditionalFormatting sqref="AA143">
    <cfRule type="cellIs" priority="1564" operator="greaterThan" aboveAverage="0" equalAverage="0" bottom="0" percent="0" rank="0" text="" dxfId="2">
      <formula>55</formula>
    </cfRule>
    <cfRule type="cellIs" priority="1565" operator="greaterThan" aboveAverage="0" equalAverage="0" bottom="0" percent="0" rank="0" text="" dxfId="3">
      <formula>65</formula>
    </cfRule>
  </conditionalFormatting>
  <conditionalFormatting sqref="AB143">
    <cfRule type="cellIs" priority="1566" operator="greaterThan" aboveAverage="0" equalAverage="0" bottom="0" percent="0" rank="0" text="" dxfId="2">
      <formula>55</formula>
    </cfRule>
    <cfRule type="cellIs" priority="1567" operator="greaterThan" aboveAverage="0" equalAverage="0" bottom="0" percent="0" rank="0" text="" dxfId="3">
      <formula>65</formula>
    </cfRule>
  </conditionalFormatting>
  <conditionalFormatting sqref="AC143">
    <cfRule type="cellIs" priority="1568" operator="greaterThan" aboveAverage="0" equalAverage="0" bottom="0" percent="0" rank="0" text="" dxfId="2">
      <formula>55</formula>
    </cfRule>
    <cfRule type="cellIs" priority="1569" operator="greaterThan" aboveAverage="0" equalAverage="0" bottom="0" percent="0" rank="0" text="" dxfId="3">
      <formula>65</formula>
    </cfRule>
  </conditionalFormatting>
  <conditionalFormatting sqref="AD143">
    <cfRule type="cellIs" priority="1570" operator="greaterThan" aboveAverage="0" equalAverage="0" bottom="0" percent="0" rank="0" text="" dxfId="2">
      <formula>55</formula>
    </cfRule>
    <cfRule type="cellIs" priority="1571" operator="greaterThan" aboveAverage="0" equalAverage="0" bottom="0" percent="0" rank="0" text="" dxfId="3">
      <formula>65</formula>
    </cfRule>
  </conditionalFormatting>
  <conditionalFormatting sqref="AE143">
    <cfRule type="cellIs" priority="1572" operator="greaterThan" aboveAverage="0" equalAverage="0" bottom="0" percent="0" rank="0" text="" dxfId="2">
      <formula>55</formula>
    </cfRule>
    <cfRule type="cellIs" priority="1573" operator="greaterThan" aboveAverage="0" equalAverage="0" bottom="0" percent="0" rank="0" text="" dxfId="3">
      <formula>65</formula>
    </cfRule>
  </conditionalFormatting>
  <conditionalFormatting sqref="AF143">
    <cfRule type="cellIs" priority="1574" operator="greaterThan" aboveAverage="0" equalAverage="0" bottom="0" percent="0" rank="0" text="" dxfId="2">
      <formula>40</formula>
    </cfRule>
    <cfRule type="cellIs" priority="1575" operator="greaterThan" aboveAverage="0" equalAverage="0" bottom="0" percent="0" rank="0" text="" dxfId="3">
      <formula>45</formula>
    </cfRule>
  </conditionalFormatting>
  <conditionalFormatting sqref="AG143">
    <cfRule type="cellIs" priority="1576" operator="greaterThan" aboveAverage="0" equalAverage="0" bottom="0" percent="0" rank="0" text="" dxfId="2">
      <formula>40</formula>
    </cfRule>
    <cfRule type="cellIs" priority="1577" operator="greaterThan" aboveAverage="0" equalAverage="0" bottom="0" percent="0" rank="0" text="" dxfId="3">
      <formula>45</formula>
    </cfRule>
  </conditionalFormatting>
  <conditionalFormatting sqref="AH143">
    <cfRule type="cellIs" priority="1578" operator="greaterThan" aboveAverage="0" equalAverage="0" bottom="0" percent="0" rank="0" text="" dxfId="2">
      <formula>40</formula>
    </cfRule>
    <cfRule type="cellIs" priority="1579" operator="greaterThan" aboveAverage="0" equalAverage="0" bottom="0" percent="0" rank="0" text="" dxfId="3">
      <formula>45</formula>
    </cfRule>
  </conditionalFormatting>
  <conditionalFormatting sqref="AI143">
    <cfRule type="cellIs" priority="1580" operator="greaterThan" aboveAverage="0" equalAverage="0" bottom="0" percent="0" rank="0" text="" dxfId="2">
      <formula>40</formula>
    </cfRule>
    <cfRule type="cellIs" priority="1581" operator="greaterThan" aboveAverage="0" equalAverage="0" bottom="0" percent="0" rank="0" text="" dxfId="3">
      <formula>45</formula>
    </cfRule>
  </conditionalFormatting>
  <conditionalFormatting sqref="AJ143">
    <cfRule type="cellIs" priority="1582" operator="greaterThan" aboveAverage="0" equalAverage="0" bottom="0" percent="0" rank="0" text="" dxfId="2">
      <formula>40</formula>
    </cfRule>
    <cfRule type="cellIs" priority="1583" operator="greaterThan" aboveAverage="0" equalAverage="0" bottom="0" percent="0" rank="0" text="" dxfId="3">
      <formula>45</formula>
    </cfRule>
  </conditionalFormatting>
  <conditionalFormatting sqref="AK143">
    <cfRule type="cellIs" priority="1584" operator="greaterThan" aboveAverage="0" equalAverage="0" bottom="0" percent="0" rank="0" text="" dxfId="2">
      <formula>40</formula>
    </cfRule>
    <cfRule type="cellIs" priority="1585" operator="greaterThan" aboveAverage="0" equalAverage="0" bottom="0" percent="0" rank="0" text="" dxfId="3">
      <formula>45</formula>
    </cfRule>
  </conditionalFormatting>
  <conditionalFormatting sqref="AL143">
    <cfRule type="cellIs" priority="1586" operator="greaterThan" aboveAverage="0" equalAverage="0" bottom="0" percent="0" rank="0" text="" dxfId="2">
      <formula>40</formula>
    </cfRule>
    <cfRule type="cellIs" priority="1587" operator="greaterThan" aboveAverage="0" equalAverage="0" bottom="0" percent="0" rank="0" text="" dxfId="3">
      <formula>45</formula>
    </cfRule>
  </conditionalFormatting>
  <conditionalFormatting sqref="AM143">
    <cfRule type="cellIs" priority="1588" operator="greaterThan" aboveAverage="0" equalAverage="0" bottom="0" percent="0" rank="0" text="" dxfId="2">
      <formula>40</formula>
    </cfRule>
    <cfRule type="cellIs" priority="1589" operator="greaterThan" aboveAverage="0" equalAverage="0" bottom="0" percent="0" rank="0" text="" dxfId="3">
      <formula>45</formula>
    </cfRule>
  </conditionalFormatting>
  <conditionalFormatting sqref="AN143">
    <cfRule type="cellIs" priority="1590" operator="greaterThan" aboveAverage="0" equalAverage="0" bottom="0" percent="0" rank="0" text="" dxfId="2">
      <formula>40</formula>
    </cfRule>
    <cfRule type="cellIs" priority="1591" operator="greaterThan" aboveAverage="0" equalAverage="0" bottom="0" percent="0" rank="0" text="" dxfId="3">
      <formula>45</formula>
    </cfRule>
  </conditionalFormatting>
  <conditionalFormatting sqref="AO143">
    <cfRule type="cellIs" priority="1592" operator="greaterThan" aboveAverage="0" equalAverage="0" bottom="0" percent="0" rank="0" text="" dxfId="2">
      <formula>40</formula>
    </cfRule>
    <cfRule type="cellIs" priority="1593" operator="greaterThan" aboveAverage="0" equalAverage="0" bottom="0" percent="0" rank="0" text="" dxfId="3">
      <formula>45</formula>
    </cfRule>
  </conditionalFormatting>
  <conditionalFormatting sqref="AP143">
    <cfRule type="cellIs" priority="1594" operator="greaterThan" aboveAverage="0" equalAverage="0" bottom="0" percent="0" rank="0" text="" dxfId="2">
      <formula>40</formula>
    </cfRule>
    <cfRule type="cellIs" priority="1595" operator="greaterThan" aboveAverage="0" equalAverage="0" bottom="0" percent="0" rank="0" text="" dxfId="3">
      <formula>45</formula>
    </cfRule>
  </conditionalFormatting>
  <conditionalFormatting sqref="AQ143">
    <cfRule type="cellIs" priority="1596" operator="greaterThan" aboveAverage="0" equalAverage="0" bottom="0" percent="0" rank="0" text="" dxfId="2">
      <formula>40</formula>
    </cfRule>
    <cfRule type="cellIs" priority="1597" operator="greaterThan" aboveAverage="0" equalAverage="0" bottom="0" percent="0" rank="0" text="" dxfId="3">
      <formula>45</formula>
    </cfRule>
  </conditionalFormatting>
  <conditionalFormatting sqref="AR143">
    <cfRule type="cellIs" priority="1598" operator="greaterThan" aboveAverage="0" equalAverage="0" bottom="0" percent="0" rank="0" text="" dxfId="2">
      <formula>40</formula>
    </cfRule>
    <cfRule type="cellIs" priority="1599" operator="greaterThan" aboveAverage="0" equalAverage="0" bottom="0" percent="0" rank="0" text="" dxfId="3">
      <formula>45</formula>
    </cfRule>
  </conditionalFormatting>
  <conditionalFormatting sqref="AS143">
    <cfRule type="cellIs" priority="1600" operator="greaterThan" aboveAverage="0" equalAverage="0" bottom="0" percent="0" rank="0" text="" dxfId="2">
      <formula>40</formula>
    </cfRule>
    <cfRule type="cellIs" priority="1601" operator="greaterThan" aboveAverage="0" equalAverage="0" bottom="0" percent="0" rank="0" text="" dxfId="3">
      <formula>45</formula>
    </cfRule>
  </conditionalFormatting>
  <conditionalFormatting sqref="F157">
    <cfRule type="cellIs" priority="1602" operator="greaterThan" aboveAverage="0" equalAverage="0" bottom="0" percent="0" rank="0" text="" dxfId="2">
      <formula>40</formula>
    </cfRule>
    <cfRule type="cellIs" priority="1603" operator="greaterThan" aboveAverage="0" equalAverage="0" bottom="0" percent="0" rank="0" text="" dxfId="3">
      <formula>45</formula>
    </cfRule>
  </conditionalFormatting>
  <conditionalFormatting sqref="G157">
    <cfRule type="cellIs" priority="1604" operator="greaterThan" aboveAverage="0" equalAverage="0" bottom="0" percent="0" rank="0" text="" dxfId="2">
      <formula>40</formula>
    </cfRule>
    <cfRule type="cellIs" priority="1605" operator="greaterThan" aboveAverage="0" equalAverage="0" bottom="0" percent="0" rank="0" text="" dxfId="3">
      <formula>45</formula>
    </cfRule>
  </conditionalFormatting>
  <conditionalFormatting sqref="H157">
    <cfRule type="cellIs" priority="1606" operator="greaterThan" aboveAverage="0" equalAverage="0" bottom="0" percent="0" rank="0" text="" dxfId="2">
      <formula>40</formula>
    </cfRule>
    <cfRule type="cellIs" priority="1607" operator="greaterThan" aboveAverage="0" equalAverage="0" bottom="0" percent="0" rank="0" text="" dxfId="3">
      <formula>45</formula>
    </cfRule>
  </conditionalFormatting>
  <conditionalFormatting sqref="I157">
    <cfRule type="cellIs" priority="1608" operator="greaterThan" aboveAverage="0" equalAverage="0" bottom="0" percent="0" rank="0" text="" dxfId="2">
      <formula>40</formula>
    </cfRule>
    <cfRule type="cellIs" priority="1609" operator="greaterThan" aboveAverage="0" equalAverage="0" bottom="0" percent="0" rank="0" text="" dxfId="3">
      <formula>45</formula>
    </cfRule>
  </conditionalFormatting>
  <conditionalFormatting sqref="J157">
    <cfRule type="cellIs" priority="1610" operator="greaterThan" aboveAverage="0" equalAverage="0" bottom="0" percent="0" rank="0" text="" dxfId="2">
      <formula>40</formula>
    </cfRule>
    <cfRule type="cellIs" priority="1611" operator="greaterThan" aboveAverage="0" equalAverage="0" bottom="0" percent="0" rank="0" text="" dxfId="3">
      <formula>45</formula>
    </cfRule>
  </conditionalFormatting>
  <conditionalFormatting sqref="K157">
    <cfRule type="cellIs" priority="1612" operator="greaterThan" aboveAverage="0" equalAverage="0" bottom="0" percent="0" rank="0" text="" dxfId="2">
      <formula>40</formula>
    </cfRule>
    <cfRule type="cellIs" priority="1613" operator="greaterThan" aboveAverage="0" equalAverage="0" bottom="0" percent="0" rank="0" text="" dxfId="3">
      <formula>45</formula>
    </cfRule>
  </conditionalFormatting>
  <conditionalFormatting sqref="L157">
    <cfRule type="cellIs" priority="1614" operator="greaterThan" aboveAverage="0" equalAverage="0" bottom="0" percent="0" rank="0" text="" dxfId="2">
      <formula>40</formula>
    </cfRule>
    <cfRule type="cellIs" priority="1615" operator="greaterThan" aboveAverage="0" equalAverage="0" bottom="0" percent="0" rank="0" text="" dxfId="3">
      <formula>45</formula>
    </cfRule>
  </conditionalFormatting>
  <conditionalFormatting sqref="M157">
    <cfRule type="cellIs" priority="1616" operator="greaterThan" aboveAverage="0" equalAverage="0" bottom="0" percent="0" rank="0" text="" dxfId="2">
      <formula>40</formula>
    </cfRule>
    <cfRule type="cellIs" priority="1617" operator="greaterThan" aboveAverage="0" equalAverage="0" bottom="0" percent="0" rank="0" text="" dxfId="3">
      <formula>45</formula>
    </cfRule>
  </conditionalFormatting>
  <conditionalFormatting sqref="N157">
    <cfRule type="cellIs" priority="1618" operator="greaterThan" aboveAverage="0" equalAverage="0" bottom="0" percent="0" rank="0" text="" dxfId="2">
      <formula>40</formula>
    </cfRule>
    <cfRule type="cellIs" priority="1619" operator="greaterThan" aboveAverage="0" equalAverage="0" bottom="0" percent="0" rank="0" text="" dxfId="3">
      <formula>45</formula>
    </cfRule>
  </conditionalFormatting>
  <conditionalFormatting sqref="O157">
    <cfRule type="cellIs" priority="1620" operator="greaterThan" aboveAverage="0" equalAverage="0" bottom="0" percent="0" rank="0" text="" dxfId="2">
      <formula>40</formula>
    </cfRule>
    <cfRule type="cellIs" priority="1621" operator="greaterThan" aboveAverage="0" equalAverage="0" bottom="0" percent="0" rank="0" text="" dxfId="3">
      <formula>45</formula>
    </cfRule>
  </conditionalFormatting>
  <conditionalFormatting sqref="P157">
    <cfRule type="cellIs" priority="1622" operator="greaterThan" aboveAverage="0" equalAverage="0" bottom="0" percent="0" rank="0" text="" dxfId="2">
      <formula>40</formula>
    </cfRule>
    <cfRule type="cellIs" priority="1623" operator="greaterThan" aboveAverage="0" equalAverage="0" bottom="0" percent="0" rank="0" text="" dxfId="3">
      <formula>45</formula>
    </cfRule>
  </conditionalFormatting>
  <conditionalFormatting sqref="Q157">
    <cfRule type="cellIs" priority="1624" operator="greaterThan" aboveAverage="0" equalAverage="0" bottom="0" percent="0" rank="0" text="" dxfId="2">
      <formula>40</formula>
    </cfRule>
    <cfRule type="cellIs" priority="1625" operator="greaterThan" aboveAverage="0" equalAverage="0" bottom="0" percent="0" rank="0" text="" dxfId="3">
      <formula>45</formula>
    </cfRule>
  </conditionalFormatting>
  <conditionalFormatting sqref="R157">
    <cfRule type="cellIs" priority="1626" operator="greaterThan" aboveAverage="0" equalAverage="0" bottom="0" percent="0" rank="0" text="" dxfId="2">
      <formula>40</formula>
    </cfRule>
    <cfRule type="cellIs" priority="1627" operator="greaterThan" aboveAverage="0" equalAverage="0" bottom="0" percent="0" rank="0" text="" dxfId="3">
      <formula>45</formula>
    </cfRule>
  </conditionalFormatting>
  <conditionalFormatting sqref="S157">
    <cfRule type="cellIs" priority="1628" operator="greaterThan" aboveAverage="0" equalAverage="0" bottom="0" percent="0" rank="0" text="" dxfId="2">
      <formula>40</formula>
    </cfRule>
    <cfRule type="cellIs" priority="1629" operator="greaterThan" aboveAverage="0" equalAverage="0" bottom="0" percent="0" rank="0" text="" dxfId="3">
      <formula>45</formula>
    </cfRule>
  </conditionalFormatting>
  <conditionalFormatting sqref="T157">
    <cfRule type="cellIs" priority="1630" operator="greaterThan" aboveAverage="0" equalAverage="0" bottom="0" percent="0" rank="0" text="" dxfId="2">
      <formula>40</formula>
    </cfRule>
    <cfRule type="cellIs" priority="1631" operator="greaterThan" aboveAverage="0" equalAverage="0" bottom="0" percent="0" rank="0" text="" dxfId="3">
      <formula>45</formula>
    </cfRule>
  </conditionalFormatting>
  <conditionalFormatting sqref="U157">
    <cfRule type="cellIs" priority="1632" operator="greaterThan" aboveAverage="0" equalAverage="0" bottom="0" percent="0" rank="0" text="" dxfId="2">
      <formula>40</formula>
    </cfRule>
    <cfRule type="cellIs" priority="1633" operator="greaterThan" aboveAverage="0" equalAverage="0" bottom="0" percent="0" rank="0" text="" dxfId="3">
      <formula>45</formula>
    </cfRule>
  </conditionalFormatting>
  <conditionalFormatting sqref="V157">
    <cfRule type="cellIs" priority="1634" operator="greaterThan" aboveAverage="0" equalAverage="0" bottom="0" percent="0" rank="0" text="" dxfId="2">
      <formula>40</formula>
    </cfRule>
    <cfRule type="cellIs" priority="1635" operator="greaterThan" aboveAverage="0" equalAverage="0" bottom="0" percent="0" rank="0" text="" dxfId="3">
      <formula>45</formula>
    </cfRule>
  </conditionalFormatting>
  <conditionalFormatting sqref="W157">
    <cfRule type="cellIs" priority="1636" operator="greaterThan" aboveAverage="0" equalAverage="0" bottom="0" percent="0" rank="0" text="" dxfId="2">
      <formula>40</formula>
    </cfRule>
    <cfRule type="cellIs" priority="1637" operator="greaterThan" aboveAverage="0" equalAverage="0" bottom="0" percent="0" rank="0" text="" dxfId="3">
      <formula>45</formula>
    </cfRule>
  </conditionalFormatting>
  <conditionalFormatting sqref="X157">
    <cfRule type="cellIs" priority="1638" operator="greaterThan" aboveAverage="0" equalAverage="0" bottom="0" percent="0" rank="0" text="" dxfId="2">
      <formula>55</formula>
    </cfRule>
    <cfRule type="cellIs" priority="1639" operator="greaterThan" aboveAverage="0" equalAverage="0" bottom="0" percent="0" rank="0" text="" dxfId="3">
      <formula>65</formula>
    </cfRule>
  </conditionalFormatting>
  <conditionalFormatting sqref="Y157">
    <cfRule type="cellIs" priority="1640" operator="greaterThan" aboveAverage="0" equalAverage="0" bottom="0" percent="0" rank="0" text="" dxfId="2">
      <formula>55</formula>
    </cfRule>
    <cfRule type="cellIs" priority="1641" operator="greaterThan" aboveAverage="0" equalAverage="0" bottom="0" percent="0" rank="0" text="" dxfId="3">
      <formula>65</formula>
    </cfRule>
  </conditionalFormatting>
  <conditionalFormatting sqref="Z157">
    <cfRule type="cellIs" priority="1642" operator="greaterThan" aboveAverage="0" equalAverage="0" bottom="0" percent="0" rank="0" text="" dxfId="2">
      <formula>55</formula>
    </cfRule>
    <cfRule type="cellIs" priority="1643" operator="greaterThan" aboveAverage="0" equalAverage="0" bottom="0" percent="0" rank="0" text="" dxfId="3">
      <formula>65</formula>
    </cfRule>
  </conditionalFormatting>
  <conditionalFormatting sqref="AA157">
    <cfRule type="cellIs" priority="1644" operator="greaterThan" aboveAverage="0" equalAverage="0" bottom="0" percent="0" rank="0" text="" dxfId="2">
      <formula>55</formula>
    </cfRule>
    <cfRule type="cellIs" priority="1645" operator="greaterThan" aboveAverage="0" equalAverage="0" bottom="0" percent="0" rank="0" text="" dxfId="3">
      <formula>65</formula>
    </cfRule>
  </conditionalFormatting>
  <conditionalFormatting sqref="AB157">
    <cfRule type="cellIs" priority="1646" operator="greaterThan" aboveAverage="0" equalAverage="0" bottom="0" percent="0" rank="0" text="" dxfId="2">
      <formula>55</formula>
    </cfRule>
    <cfRule type="cellIs" priority="1647" operator="greaterThan" aboveAverage="0" equalAverage="0" bottom="0" percent="0" rank="0" text="" dxfId="3">
      <formula>65</formula>
    </cfRule>
  </conditionalFormatting>
  <conditionalFormatting sqref="AC157">
    <cfRule type="cellIs" priority="1648" operator="greaterThan" aboveAverage="0" equalAverage="0" bottom="0" percent="0" rank="0" text="" dxfId="2">
      <formula>55</formula>
    </cfRule>
    <cfRule type="cellIs" priority="1649" operator="greaterThan" aboveAverage="0" equalAverage="0" bottom="0" percent="0" rank="0" text="" dxfId="3">
      <formula>65</formula>
    </cfRule>
  </conditionalFormatting>
  <conditionalFormatting sqref="AD157">
    <cfRule type="cellIs" priority="1650" operator="greaterThan" aboveAverage="0" equalAverage="0" bottom="0" percent="0" rank="0" text="" dxfId="2">
      <formula>55</formula>
    </cfRule>
    <cfRule type="cellIs" priority="1651" operator="greaterThan" aboveAverage="0" equalAverage="0" bottom="0" percent="0" rank="0" text="" dxfId="3">
      <formula>65</formula>
    </cfRule>
  </conditionalFormatting>
  <conditionalFormatting sqref="AE157">
    <cfRule type="cellIs" priority="1652" operator="greaterThan" aboveAverage="0" equalAverage="0" bottom="0" percent="0" rank="0" text="" dxfId="2">
      <formula>55</formula>
    </cfRule>
    <cfRule type="cellIs" priority="1653" operator="greaterThan" aboveAverage="0" equalAverage="0" bottom="0" percent="0" rank="0" text="" dxfId="3">
      <formula>65</formula>
    </cfRule>
  </conditionalFormatting>
  <conditionalFormatting sqref="AF157">
    <cfRule type="cellIs" priority="1654" operator="greaterThan" aboveAverage="0" equalAverage="0" bottom="0" percent="0" rank="0" text="" dxfId="2">
      <formula>40</formula>
    </cfRule>
    <cfRule type="cellIs" priority="1655" operator="greaterThan" aboveAverage="0" equalAverage="0" bottom="0" percent="0" rank="0" text="" dxfId="3">
      <formula>45</formula>
    </cfRule>
  </conditionalFormatting>
  <conditionalFormatting sqref="AG157">
    <cfRule type="cellIs" priority="1656" operator="greaterThan" aboveAverage="0" equalAverage="0" bottom="0" percent="0" rank="0" text="" dxfId="2">
      <formula>40</formula>
    </cfRule>
    <cfRule type="cellIs" priority="1657" operator="greaterThan" aboveAverage="0" equalAverage="0" bottom="0" percent="0" rank="0" text="" dxfId="3">
      <formula>45</formula>
    </cfRule>
  </conditionalFormatting>
  <conditionalFormatting sqref="AH157">
    <cfRule type="cellIs" priority="1658" operator="greaterThan" aboveAverage="0" equalAverage="0" bottom="0" percent="0" rank="0" text="" dxfId="2">
      <formula>40</formula>
    </cfRule>
    <cfRule type="cellIs" priority="1659" operator="greaterThan" aboveAverage="0" equalAverage="0" bottom="0" percent="0" rank="0" text="" dxfId="3">
      <formula>45</formula>
    </cfRule>
  </conditionalFormatting>
  <conditionalFormatting sqref="AI157">
    <cfRule type="cellIs" priority="1660" operator="greaterThan" aboveAverage="0" equalAverage="0" bottom="0" percent="0" rank="0" text="" dxfId="2">
      <formula>40</formula>
    </cfRule>
    <cfRule type="cellIs" priority="1661" operator="greaterThan" aboveAverage="0" equalAverage="0" bottom="0" percent="0" rank="0" text="" dxfId="3">
      <formula>45</formula>
    </cfRule>
  </conditionalFormatting>
  <conditionalFormatting sqref="AJ157">
    <cfRule type="cellIs" priority="1662" operator="greaterThan" aboveAverage="0" equalAverage="0" bottom="0" percent="0" rank="0" text="" dxfId="2">
      <formula>40</formula>
    </cfRule>
    <cfRule type="cellIs" priority="1663" operator="greaterThan" aboveAverage="0" equalAverage="0" bottom="0" percent="0" rank="0" text="" dxfId="3">
      <formula>45</formula>
    </cfRule>
  </conditionalFormatting>
  <conditionalFormatting sqref="AK157">
    <cfRule type="cellIs" priority="1664" operator="greaterThan" aboveAverage="0" equalAverage="0" bottom="0" percent="0" rank="0" text="" dxfId="2">
      <formula>40</formula>
    </cfRule>
    <cfRule type="cellIs" priority="1665" operator="greaterThan" aboveAverage="0" equalAverage="0" bottom="0" percent="0" rank="0" text="" dxfId="3">
      <formula>45</formula>
    </cfRule>
  </conditionalFormatting>
  <conditionalFormatting sqref="AL157">
    <cfRule type="cellIs" priority="1666" operator="greaterThan" aboveAverage="0" equalAverage="0" bottom="0" percent="0" rank="0" text="" dxfId="2">
      <formula>40</formula>
    </cfRule>
    <cfRule type="cellIs" priority="1667" operator="greaterThan" aboveAverage="0" equalAverage="0" bottom="0" percent="0" rank="0" text="" dxfId="3">
      <formula>45</formula>
    </cfRule>
  </conditionalFormatting>
  <conditionalFormatting sqref="AM157">
    <cfRule type="cellIs" priority="1668" operator="greaterThan" aboveAverage="0" equalAverage="0" bottom="0" percent="0" rank="0" text="" dxfId="2">
      <formula>40</formula>
    </cfRule>
    <cfRule type="cellIs" priority="1669" operator="greaterThan" aboveAverage="0" equalAverage="0" bottom="0" percent="0" rank="0" text="" dxfId="3">
      <formula>45</formula>
    </cfRule>
  </conditionalFormatting>
  <conditionalFormatting sqref="AN157">
    <cfRule type="cellIs" priority="1670" operator="greaterThan" aboveAverage="0" equalAverage="0" bottom="0" percent="0" rank="0" text="" dxfId="2">
      <formula>40</formula>
    </cfRule>
    <cfRule type="cellIs" priority="1671" operator="greaterThan" aboveAverage="0" equalAverage="0" bottom="0" percent="0" rank="0" text="" dxfId="3">
      <formula>45</formula>
    </cfRule>
  </conditionalFormatting>
  <conditionalFormatting sqref="AO157">
    <cfRule type="cellIs" priority="1672" operator="greaterThan" aboveAverage="0" equalAverage="0" bottom="0" percent="0" rank="0" text="" dxfId="2">
      <formula>40</formula>
    </cfRule>
    <cfRule type="cellIs" priority="1673" operator="greaterThan" aboveAverage="0" equalAverage="0" bottom="0" percent="0" rank="0" text="" dxfId="3">
      <formula>45</formula>
    </cfRule>
  </conditionalFormatting>
  <conditionalFormatting sqref="AP157">
    <cfRule type="cellIs" priority="1674" operator="greaterThan" aboveAverage="0" equalAverage="0" bottom="0" percent="0" rank="0" text="" dxfId="2">
      <formula>40</formula>
    </cfRule>
    <cfRule type="cellIs" priority="1675" operator="greaterThan" aboveAverage="0" equalAverage="0" bottom="0" percent="0" rank="0" text="" dxfId="3">
      <formula>45</formula>
    </cfRule>
  </conditionalFormatting>
  <conditionalFormatting sqref="AQ157">
    <cfRule type="cellIs" priority="1676" operator="greaterThan" aboveAverage="0" equalAverage="0" bottom="0" percent="0" rank="0" text="" dxfId="2">
      <formula>40</formula>
    </cfRule>
    <cfRule type="cellIs" priority="1677" operator="greaterThan" aboveAverage="0" equalAverage="0" bottom="0" percent="0" rank="0" text="" dxfId="3">
      <formula>45</formula>
    </cfRule>
  </conditionalFormatting>
  <conditionalFormatting sqref="AR157">
    <cfRule type="cellIs" priority="1678" operator="greaterThan" aboveAverage="0" equalAverage="0" bottom="0" percent="0" rank="0" text="" dxfId="2">
      <formula>40</formula>
    </cfRule>
    <cfRule type="cellIs" priority="1679" operator="greaterThan" aboveAverage="0" equalAverage="0" bottom="0" percent="0" rank="0" text="" dxfId="3">
      <formula>45</formula>
    </cfRule>
  </conditionalFormatting>
  <conditionalFormatting sqref="AS157">
    <cfRule type="cellIs" priority="1680" operator="greaterThan" aboveAverage="0" equalAverage="0" bottom="0" percent="0" rank="0" text="" dxfId="2">
      <formula>40</formula>
    </cfRule>
    <cfRule type="cellIs" priority="1681" operator="greaterThan" aboveAverage="0" equalAverage="0" bottom="0" percent="0" rank="0" text="" dxfId="3">
      <formula>45</formula>
    </cfRule>
  </conditionalFormatting>
  <conditionalFormatting sqref="F160">
    <cfRule type="cellIs" priority="1682" operator="greaterThan" aboveAverage="0" equalAverage="0" bottom="0" percent="0" rank="0" text="" dxfId="2">
      <formula>40</formula>
    </cfRule>
    <cfRule type="cellIs" priority="1683" operator="greaterThan" aboveAverage="0" equalAverage="0" bottom="0" percent="0" rank="0" text="" dxfId="3">
      <formula>45</formula>
    </cfRule>
  </conditionalFormatting>
  <conditionalFormatting sqref="G160">
    <cfRule type="cellIs" priority="1684" operator="greaterThan" aboveAverage="0" equalAverage="0" bottom="0" percent="0" rank="0" text="" dxfId="2">
      <formula>40</formula>
    </cfRule>
    <cfRule type="cellIs" priority="1685" operator="greaterThan" aboveAverage="0" equalAverage="0" bottom="0" percent="0" rank="0" text="" dxfId="3">
      <formula>45</formula>
    </cfRule>
  </conditionalFormatting>
  <conditionalFormatting sqref="H160">
    <cfRule type="cellIs" priority="1686" operator="greaterThan" aboveAverage="0" equalAverage="0" bottom="0" percent="0" rank="0" text="" dxfId="2">
      <formula>40</formula>
    </cfRule>
    <cfRule type="cellIs" priority="1687" operator="greaterThan" aboveAverage="0" equalAverage="0" bottom="0" percent="0" rank="0" text="" dxfId="3">
      <formula>45</formula>
    </cfRule>
  </conditionalFormatting>
  <conditionalFormatting sqref="I160">
    <cfRule type="cellIs" priority="1688" operator="greaterThan" aboveAverage="0" equalAverage="0" bottom="0" percent="0" rank="0" text="" dxfId="2">
      <formula>40</formula>
    </cfRule>
    <cfRule type="cellIs" priority="1689" operator="greaterThan" aboveAverage="0" equalAverage="0" bottom="0" percent="0" rank="0" text="" dxfId="3">
      <formula>45</formula>
    </cfRule>
  </conditionalFormatting>
  <conditionalFormatting sqref="J160">
    <cfRule type="cellIs" priority="1690" operator="greaterThan" aboveAverage="0" equalAverage="0" bottom="0" percent="0" rank="0" text="" dxfId="2">
      <formula>40</formula>
    </cfRule>
    <cfRule type="cellIs" priority="1691" operator="greaterThan" aboveAverage="0" equalAverage="0" bottom="0" percent="0" rank="0" text="" dxfId="3">
      <formula>45</formula>
    </cfRule>
  </conditionalFormatting>
  <conditionalFormatting sqref="K160">
    <cfRule type="cellIs" priority="1692" operator="greaterThan" aboveAverage="0" equalAverage="0" bottom="0" percent="0" rank="0" text="" dxfId="2">
      <formula>40</formula>
    </cfRule>
    <cfRule type="cellIs" priority="1693" operator="greaterThan" aboveAverage="0" equalAverage="0" bottom="0" percent="0" rank="0" text="" dxfId="3">
      <formula>45</formula>
    </cfRule>
  </conditionalFormatting>
  <conditionalFormatting sqref="L160">
    <cfRule type="cellIs" priority="1694" operator="greaterThan" aboveAverage="0" equalAverage="0" bottom="0" percent="0" rank="0" text="" dxfId="2">
      <formula>40</formula>
    </cfRule>
    <cfRule type="cellIs" priority="1695" operator="greaterThan" aboveAverage="0" equalAverage="0" bottom="0" percent="0" rank="0" text="" dxfId="3">
      <formula>45</formula>
    </cfRule>
  </conditionalFormatting>
  <conditionalFormatting sqref="M160">
    <cfRule type="cellIs" priority="1696" operator="greaterThan" aboveAverage="0" equalAverage="0" bottom="0" percent="0" rank="0" text="" dxfId="2">
      <formula>40</formula>
    </cfRule>
    <cfRule type="cellIs" priority="1697" operator="greaterThan" aboveAverage="0" equalAverage="0" bottom="0" percent="0" rank="0" text="" dxfId="3">
      <formula>45</formula>
    </cfRule>
  </conditionalFormatting>
  <conditionalFormatting sqref="N160">
    <cfRule type="cellIs" priority="1698" operator="greaterThan" aboveAverage="0" equalAverage="0" bottom="0" percent="0" rank="0" text="" dxfId="2">
      <formula>40</formula>
    </cfRule>
    <cfRule type="cellIs" priority="1699" operator="greaterThan" aboveAverage="0" equalAverage="0" bottom="0" percent="0" rank="0" text="" dxfId="3">
      <formula>45</formula>
    </cfRule>
  </conditionalFormatting>
  <conditionalFormatting sqref="O160">
    <cfRule type="cellIs" priority="1700" operator="greaterThan" aboveAverage="0" equalAverage="0" bottom="0" percent="0" rank="0" text="" dxfId="2">
      <formula>40</formula>
    </cfRule>
    <cfRule type="cellIs" priority="1701" operator="greaterThan" aboveAverage="0" equalAverage="0" bottom="0" percent="0" rank="0" text="" dxfId="3">
      <formula>45</formula>
    </cfRule>
  </conditionalFormatting>
  <conditionalFormatting sqref="P160">
    <cfRule type="cellIs" priority="1702" operator="greaterThan" aboveAverage="0" equalAverage="0" bottom="0" percent="0" rank="0" text="" dxfId="2">
      <formula>40</formula>
    </cfRule>
    <cfRule type="cellIs" priority="1703" operator="greaterThan" aboveAverage="0" equalAverage="0" bottom="0" percent="0" rank="0" text="" dxfId="3">
      <formula>45</formula>
    </cfRule>
  </conditionalFormatting>
  <conditionalFormatting sqref="Q160">
    <cfRule type="cellIs" priority="1704" operator="greaterThan" aboveAverage="0" equalAverage="0" bottom="0" percent="0" rank="0" text="" dxfId="2">
      <formula>40</formula>
    </cfRule>
    <cfRule type="cellIs" priority="1705" operator="greaterThan" aboveAverage="0" equalAverage="0" bottom="0" percent="0" rank="0" text="" dxfId="3">
      <formula>45</formula>
    </cfRule>
  </conditionalFormatting>
  <conditionalFormatting sqref="R160">
    <cfRule type="cellIs" priority="1706" operator="greaterThan" aboveAverage="0" equalAverage="0" bottom="0" percent="0" rank="0" text="" dxfId="2">
      <formula>40</formula>
    </cfRule>
    <cfRule type="cellIs" priority="1707" operator="greaterThan" aboveAverage="0" equalAverage="0" bottom="0" percent="0" rank="0" text="" dxfId="3">
      <formula>45</formula>
    </cfRule>
  </conditionalFormatting>
  <conditionalFormatting sqref="S160">
    <cfRule type="cellIs" priority="1708" operator="greaterThan" aboveAverage="0" equalAverage="0" bottom="0" percent="0" rank="0" text="" dxfId="2">
      <formula>40</formula>
    </cfRule>
    <cfRule type="cellIs" priority="1709" operator="greaterThan" aboveAverage="0" equalAverage="0" bottom="0" percent="0" rank="0" text="" dxfId="3">
      <formula>45</formula>
    </cfRule>
  </conditionalFormatting>
  <conditionalFormatting sqref="T160">
    <cfRule type="cellIs" priority="1710" operator="greaterThan" aboveAverage="0" equalAverage="0" bottom="0" percent="0" rank="0" text="" dxfId="2">
      <formula>40</formula>
    </cfRule>
    <cfRule type="cellIs" priority="1711" operator="greaterThan" aboveAverage="0" equalAverage="0" bottom="0" percent="0" rank="0" text="" dxfId="3">
      <formula>45</formula>
    </cfRule>
  </conditionalFormatting>
  <conditionalFormatting sqref="U160">
    <cfRule type="cellIs" priority="1712" operator="greaterThan" aboveAverage="0" equalAverage="0" bottom="0" percent="0" rank="0" text="" dxfId="2">
      <formula>40</formula>
    </cfRule>
    <cfRule type="cellIs" priority="1713" operator="greaterThan" aboveAverage="0" equalAverage="0" bottom="0" percent="0" rank="0" text="" dxfId="3">
      <formula>45</formula>
    </cfRule>
  </conditionalFormatting>
  <conditionalFormatting sqref="V160">
    <cfRule type="cellIs" priority="1714" operator="greaterThan" aboveAverage="0" equalAverage="0" bottom="0" percent="0" rank="0" text="" dxfId="2">
      <formula>40</formula>
    </cfRule>
    <cfRule type="cellIs" priority="1715" operator="greaterThan" aboveAverage="0" equalAverage="0" bottom="0" percent="0" rank="0" text="" dxfId="3">
      <formula>45</formula>
    </cfRule>
  </conditionalFormatting>
  <conditionalFormatting sqref="W160">
    <cfRule type="cellIs" priority="1716" operator="greaterThan" aboveAverage="0" equalAverage="0" bottom="0" percent="0" rank="0" text="" dxfId="2">
      <formula>40</formula>
    </cfRule>
    <cfRule type="cellIs" priority="1717" operator="greaterThan" aboveAverage="0" equalAverage="0" bottom="0" percent="0" rank="0" text="" dxfId="3">
      <formula>45</formula>
    </cfRule>
  </conditionalFormatting>
  <conditionalFormatting sqref="X160">
    <cfRule type="cellIs" priority="1718" operator="greaterThan" aboveAverage="0" equalAverage="0" bottom="0" percent="0" rank="0" text="" dxfId="2">
      <formula>55</formula>
    </cfRule>
    <cfRule type="cellIs" priority="1719" operator="greaterThan" aboveAverage="0" equalAverage="0" bottom="0" percent="0" rank="0" text="" dxfId="3">
      <formula>65</formula>
    </cfRule>
  </conditionalFormatting>
  <conditionalFormatting sqref="Y160">
    <cfRule type="cellIs" priority="1720" operator="greaterThan" aboveAverage="0" equalAverage="0" bottom="0" percent="0" rank="0" text="" dxfId="2">
      <formula>55</formula>
    </cfRule>
    <cfRule type="cellIs" priority="1721" operator="greaterThan" aboveAverage="0" equalAverage="0" bottom="0" percent="0" rank="0" text="" dxfId="3">
      <formula>65</formula>
    </cfRule>
  </conditionalFormatting>
  <conditionalFormatting sqref="Z160">
    <cfRule type="cellIs" priority="1722" operator="greaterThan" aboveAverage="0" equalAverage="0" bottom="0" percent="0" rank="0" text="" dxfId="2">
      <formula>55</formula>
    </cfRule>
    <cfRule type="cellIs" priority="1723" operator="greaterThan" aboveAverage="0" equalAverage="0" bottom="0" percent="0" rank="0" text="" dxfId="3">
      <formula>65</formula>
    </cfRule>
  </conditionalFormatting>
  <conditionalFormatting sqref="AA160">
    <cfRule type="cellIs" priority="1724" operator="greaterThan" aboveAverage="0" equalAverage="0" bottom="0" percent="0" rank="0" text="" dxfId="2">
      <formula>55</formula>
    </cfRule>
    <cfRule type="cellIs" priority="1725" operator="greaterThan" aboveAverage="0" equalAverage="0" bottom="0" percent="0" rank="0" text="" dxfId="3">
      <formula>65</formula>
    </cfRule>
  </conditionalFormatting>
  <conditionalFormatting sqref="AB160">
    <cfRule type="cellIs" priority="1726" operator="greaterThan" aboveAverage="0" equalAverage="0" bottom="0" percent="0" rank="0" text="" dxfId="2">
      <formula>55</formula>
    </cfRule>
    <cfRule type="cellIs" priority="1727" operator="greaterThan" aboveAverage="0" equalAverage="0" bottom="0" percent="0" rank="0" text="" dxfId="3">
      <formula>65</formula>
    </cfRule>
  </conditionalFormatting>
  <conditionalFormatting sqref="AC160">
    <cfRule type="cellIs" priority="1728" operator="greaterThan" aboveAverage="0" equalAverage="0" bottom="0" percent="0" rank="0" text="" dxfId="2">
      <formula>55</formula>
    </cfRule>
    <cfRule type="cellIs" priority="1729" operator="greaterThan" aboveAverage="0" equalAverage="0" bottom="0" percent="0" rank="0" text="" dxfId="3">
      <formula>65</formula>
    </cfRule>
  </conditionalFormatting>
  <conditionalFormatting sqref="AD160">
    <cfRule type="cellIs" priority="1730" operator="greaterThan" aboveAverage="0" equalAverage="0" bottom="0" percent="0" rank="0" text="" dxfId="2">
      <formula>55</formula>
    </cfRule>
    <cfRule type="cellIs" priority="1731" operator="greaterThan" aboveAverage="0" equalAverage="0" bottom="0" percent="0" rank="0" text="" dxfId="3">
      <formula>65</formula>
    </cfRule>
  </conditionalFormatting>
  <conditionalFormatting sqref="AE160">
    <cfRule type="cellIs" priority="1732" operator="greaterThan" aboveAverage="0" equalAverage="0" bottom="0" percent="0" rank="0" text="" dxfId="2">
      <formula>55</formula>
    </cfRule>
    <cfRule type="cellIs" priority="1733" operator="greaterThan" aboveAverage="0" equalAverage="0" bottom="0" percent="0" rank="0" text="" dxfId="3">
      <formula>65</formula>
    </cfRule>
  </conditionalFormatting>
  <conditionalFormatting sqref="AF160">
    <cfRule type="cellIs" priority="1734" operator="greaterThan" aboveAverage="0" equalAverage="0" bottom="0" percent="0" rank="0" text="" dxfId="2">
      <formula>40</formula>
    </cfRule>
    <cfRule type="cellIs" priority="1735" operator="greaterThan" aboveAverage="0" equalAverage="0" bottom="0" percent="0" rank="0" text="" dxfId="3">
      <formula>45</formula>
    </cfRule>
  </conditionalFormatting>
  <conditionalFormatting sqref="AG160">
    <cfRule type="cellIs" priority="1736" operator="greaterThan" aboveAverage="0" equalAverage="0" bottom="0" percent="0" rank="0" text="" dxfId="2">
      <formula>40</formula>
    </cfRule>
    <cfRule type="cellIs" priority="1737" operator="greaterThan" aboveAverage="0" equalAverage="0" bottom="0" percent="0" rank="0" text="" dxfId="3">
      <formula>45</formula>
    </cfRule>
  </conditionalFormatting>
  <conditionalFormatting sqref="AH160">
    <cfRule type="cellIs" priority="1738" operator="greaterThan" aboveAverage="0" equalAverage="0" bottom="0" percent="0" rank="0" text="" dxfId="2">
      <formula>40</formula>
    </cfRule>
    <cfRule type="cellIs" priority="1739" operator="greaterThan" aboveAverage="0" equalAverage="0" bottom="0" percent="0" rank="0" text="" dxfId="3">
      <formula>45</formula>
    </cfRule>
  </conditionalFormatting>
  <conditionalFormatting sqref="AI160">
    <cfRule type="cellIs" priority="1740" operator="greaterThan" aboveAverage="0" equalAverage="0" bottom="0" percent="0" rank="0" text="" dxfId="2">
      <formula>40</formula>
    </cfRule>
    <cfRule type="cellIs" priority="1741" operator="greaterThan" aboveAverage="0" equalAverage="0" bottom="0" percent="0" rank="0" text="" dxfId="3">
      <formula>45</formula>
    </cfRule>
  </conditionalFormatting>
  <conditionalFormatting sqref="AJ160">
    <cfRule type="cellIs" priority="1742" operator="greaterThan" aboveAverage="0" equalAverage="0" bottom="0" percent="0" rank="0" text="" dxfId="2">
      <formula>40</formula>
    </cfRule>
    <cfRule type="cellIs" priority="1743" operator="greaterThan" aboveAverage="0" equalAverage="0" bottom="0" percent="0" rank="0" text="" dxfId="3">
      <formula>45</formula>
    </cfRule>
  </conditionalFormatting>
  <conditionalFormatting sqref="AK160">
    <cfRule type="cellIs" priority="1744" operator="greaterThan" aboveAverage="0" equalAverage="0" bottom="0" percent="0" rank="0" text="" dxfId="2">
      <formula>40</formula>
    </cfRule>
    <cfRule type="cellIs" priority="1745" operator="greaterThan" aboveAverage="0" equalAverage="0" bottom="0" percent="0" rank="0" text="" dxfId="3">
      <formula>45</formula>
    </cfRule>
  </conditionalFormatting>
  <conditionalFormatting sqref="AL160">
    <cfRule type="cellIs" priority="1746" operator="greaterThan" aboveAverage="0" equalAverage="0" bottom="0" percent="0" rank="0" text="" dxfId="2">
      <formula>40</formula>
    </cfRule>
    <cfRule type="cellIs" priority="1747" operator="greaterThan" aboveAverage="0" equalAverage="0" bottom="0" percent="0" rank="0" text="" dxfId="3">
      <formula>45</formula>
    </cfRule>
  </conditionalFormatting>
  <conditionalFormatting sqref="AM160">
    <cfRule type="cellIs" priority="1748" operator="greaterThan" aboveAverage="0" equalAverage="0" bottom="0" percent="0" rank="0" text="" dxfId="2">
      <formula>40</formula>
    </cfRule>
    <cfRule type="cellIs" priority="1749" operator="greaterThan" aboveAverage="0" equalAverage="0" bottom="0" percent="0" rank="0" text="" dxfId="3">
      <formula>45</formula>
    </cfRule>
  </conditionalFormatting>
  <conditionalFormatting sqref="AN160">
    <cfRule type="cellIs" priority="1750" operator="greaterThan" aboveAverage="0" equalAverage="0" bottom="0" percent="0" rank="0" text="" dxfId="2">
      <formula>40</formula>
    </cfRule>
    <cfRule type="cellIs" priority="1751" operator="greaterThan" aboveAverage="0" equalAverage="0" bottom="0" percent="0" rank="0" text="" dxfId="3">
      <formula>45</formula>
    </cfRule>
  </conditionalFormatting>
  <conditionalFormatting sqref="AO160">
    <cfRule type="cellIs" priority="1752" operator="greaterThan" aboveAverage="0" equalAverage="0" bottom="0" percent="0" rank="0" text="" dxfId="2">
      <formula>40</formula>
    </cfRule>
    <cfRule type="cellIs" priority="1753" operator="greaterThan" aboveAverage="0" equalAverage="0" bottom="0" percent="0" rank="0" text="" dxfId="3">
      <formula>45</formula>
    </cfRule>
  </conditionalFormatting>
  <conditionalFormatting sqref="AP160">
    <cfRule type="cellIs" priority="1754" operator="greaterThan" aboveAverage="0" equalAverage="0" bottom="0" percent="0" rank="0" text="" dxfId="2">
      <formula>40</formula>
    </cfRule>
    <cfRule type="cellIs" priority="1755" operator="greaterThan" aboveAverage="0" equalAverage="0" bottom="0" percent="0" rank="0" text="" dxfId="3">
      <formula>45</formula>
    </cfRule>
  </conditionalFormatting>
  <conditionalFormatting sqref="AQ160">
    <cfRule type="cellIs" priority="1756" operator="greaterThan" aboveAverage="0" equalAverage="0" bottom="0" percent="0" rank="0" text="" dxfId="2">
      <formula>40</formula>
    </cfRule>
    <cfRule type="cellIs" priority="1757" operator="greaterThan" aboveAverage="0" equalAverage="0" bottom="0" percent="0" rank="0" text="" dxfId="3">
      <formula>45</formula>
    </cfRule>
  </conditionalFormatting>
  <conditionalFormatting sqref="AR160">
    <cfRule type="cellIs" priority="1758" operator="greaterThan" aboveAverage="0" equalAverage="0" bottom="0" percent="0" rank="0" text="" dxfId="2">
      <formula>40</formula>
    </cfRule>
    <cfRule type="cellIs" priority="1759" operator="greaterThan" aboveAverage="0" equalAverage="0" bottom="0" percent="0" rank="0" text="" dxfId="3">
      <formula>45</formula>
    </cfRule>
  </conditionalFormatting>
  <conditionalFormatting sqref="AS160">
    <cfRule type="cellIs" priority="1760" operator="greaterThan" aboveAverage="0" equalAverage="0" bottom="0" percent="0" rank="0" text="" dxfId="2">
      <formula>40</formula>
    </cfRule>
    <cfRule type="cellIs" priority="1761" operator="greaterThan" aboveAverage="0" equalAverage="0" bottom="0" percent="0" rank="0" text="" dxfId="3">
      <formula>45</formula>
    </cfRule>
  </conditionalFormatting>
  <conditionalFormatting sqref="F170">
    <cfRule type="cellIs" priority="1762" operator="greaterThan" aboveAverage="0" equalAverage="0" bottom="0" percent="0" rank="0" text="" dxfId="2">
      <formula>40</formula>
    </cfRule>
    <cfRule type="cellIs" priority="1763" operator="greaterThan" aboveAverage="0" equalAverage="0" bottom="0" percent="0" rank="0" text="" dxfId="3">
      <formula>45</formula>
    </cfRule>
  </conditionalFormatting>
  <conditionalFormatting sqref="G170">
    <cfRule type="cellIs" priority="1764" operator="greaterThan" aboveAverage="0" equalAverage="0" bottom="0" percent="0" rank="0" text="" dxfId="2">
      <formula>40</formula>
    </cfRule>
    <cfRule type="cellIs" priority="1765" operator="greaterThan" aboveAverage="0" equalAverage="0" bottom="0" percent="0" rank="0" text="" dxfId="3">
      <formula>45</formula>
    </cfRule>
  </conditionalFormatting>
  <conditionalFormatting sqref="H170">
    <cfRule type="cellIs" priority="1766" operator="greaterThan" aboveAverage="0" equalAverage="0" bottom="0" percent="0" rank="0" text="" dxfId="2">
      <formula>40</formula>
    </cfRule>
    <cfRule type="cellIs" priority="1767" operator="greaterThan" aboveAverage="0" equalAverage="0" bottom="0" percent="0" rank="0" text="" dxfId="3">
      <formula>45</formula>
    </cfRule>
  </conditionalFormatting>
  <conditionalFormatting sqref="I170">
    <cfRule type="cellIs" priority="1768" operator="greaterThan" aboveAverage="0" equalAverage="0" bottom="0" percent="0" rank="0" text="" dxfId="2">
      <formula>40</formula>
    </cfRule>
    <cfRule type="cellIs" priority="1769" operator="greaterThan" aboveAverage="0" equalAverage="0" bottom="0" percent="0" rank="0" text="" dxfId="3">
      <formula>45</formula>
    </cfRule>
  </conditionalFormatting>
  <conditionalFormatting sqref="J170">
    <cfRule type="cellIs" priority="1770" operator="greaterThan" aboveAverage="0" equalAverage="0" bottom="0" percent="0" rank="0" text="" dxfId="2">
      <formula>40</formula>
    </cfRule>
    <cfRule type="cellIs" priority="1771" operator="greaterThan" aboveAverage="0" equalAverage="0" bottom="0" percent="0" rank="0" text="" dxfId="3">
      <formula>45</formula>
    </cfRule>
  </conditionalFormatting>
  <conditionalFormatting sqref="K170">
    <cfRule type="cellIs" priority="1772" operator="greaterThan" aboveAverage="0" equalAverage="0" bottom="0" percent="0" rank="0" text="" dxfId="2">
      <formula>40</formula>
    </cfRule>
    <cfRule type="cellIs" priority="1773" operator="greaterThan" aboveAverage="0" equalAverage="0" bottom="0" percent="0" rank="0" text="" dxfId="3">
      <formula>45</formula>
    </cfRule>
  </conditionalFormatting>
  <conditionalFormatting sqref="L170">
    <cfRule type="cellIs" priority="1774" operator="greaterThan" aboveAverage="0" equalAverage="0" bottom="0" percent="0" rank="0" text="" dxfId="2">
      <formula>40</formula>
    </cfRule>
    <cfRule type="cellIs" priority="1775" operator="greaterThan" aboveAverage="0" equalAverage="0" bottom="0" percent="0" rank="0" text="" dxfId="3">
      <formula>45</formula>
    </cfRule>
  </conditionalFormatting>
  <conditionalFormatting sqref="M170">
    <cfRule type="cellIs" priority="1776" operator="greaterThan" aboveAverage="0" equalAverage="0" bottom="0" percent="0" rank="0" text="" dxfId="2">
      <formula>40</formula>
    </cfRule>
    <cfRule type="cellIs" priority="1777" operator="greaterThan" aboveAverage="0" equalAverage="0" bottom="0" percent="0" rank="0" text="" dxfId="3">
      <formula>45</formula>
    </cfRule>
  </conditionalFormatting>
  <conditionalFormatting sqref="N170">
    <cfRule type="cellIs" priority="1778" operator="greaterThan" aboveAverage="0" equalAverage="0" bottom="0" percent="0" rank="0" text="" dxfId="2">
      <formula>40</formula>
    </cfRule>
    <cfRule type="cellIs" priority="1779" operator="greaterThan" aboveAverage="0" equalAverage="0" bottom="0" percent="0" rank="0" text="" dxfId="3">
      <formula>45</formula>
    </cfRule>
  </conditionalFormatting>
  <conditionalFormatting sqref="O170">
    <cfRule type="cellIs" priority="1780" operator="greaterThan" aboveAverage="0" equalAverage="0" bottom="0" percent="0" rank="0" text="" dxfId="2">
      <formula>40</formula>
    </cfRule>
    <cfRule type="cellIs" priority="1781" operator="greaterThan" aboveAverage="0" equalAverage="0" bottom="0" percent="0" rank="0" text="" dxfId="3">
      <formula>45</formula>
    </cfRule>
  </conditionalFormatting>
  <conditionalFormatting sqref="P170">
    <cfRule type="cellIs" priority="1782" operator="greaterThan" aboveAverage="0" equalAverage="0" bottom="0" percent="0" rank="0" text="" dxfId="2">
      <formula>40</formula>
    </cfRule>
    <cfRule type="cellIs" priority="1783" operator="greaterThan" aboveAverage="0" equalAverage="0" bottom="0" percent="0" rank="0" text="" dxfId="3">
      <formula>45</formula>
    </cfRule>
  </conditionalFormatting>
  <conditionalFormatting sqref="Q170">
    <cfRule type="cellIs" priority="1784" operator="greaterThan" aboveAverage="0" equalAverage="0" bottom="0" percent="0" rank="0" text="" dxfId="2">
      <formula>40</formula>
    </cfRule>
    <cfRule type="cellIs" priority="1785" operator="greaterThan" aboveAverage="0" equalAverage="0" bottom="0" percent="0" rank="0" text="" dxfId="3">
      <formula>45</formula>
    </cfRule>
  </conditionalFormatting>
  <conditionalFormatting sqref="R170">
    <cfRule type="cellIs" priority="1786" operator="greaterThan" aboveAverage="0" equalAverage="0" bottom="0" percent="0" rank="0" text="" dxfId="2">
      <formula>40</formula>
    </cfRule>
    <cfRule type="cellIs" priority="1787" operator="greaterThan" aboveAverage="0" equalAverage="0" bottom="0" percent="0" rank="0" text="" dxfId="3">
      <formula>45</formula>
    </cfRule>
  </conditionalFormatting>
  <conditionalFormatting sqref="S170">
    <cfRule type="cellIs" priority="1788" operator="greaterThan" aboveAverage="0" equalAverage="0" bottom="0" percent="0" rank="0" text="" dxfId="2">
      <formula>40</formula>
    </cfRule>
    <cfRule type="cellIs" priority="1789" operator="greaterThan" aboveAverage="0" equalAverage="0" bottom="0" percent="0" rank="0" text="" dxfId="3">
      <formula>45</formula>
    </cfRule>
  </conditionalFormatting>
  <conditionalFormatting sqref="T170">
    <cfRule type="cellIs" priority="1790" operator="greaterThan" aboveAverage="0" equalAverage="0" bottom="0" percent="0" rank="0" text="" dxfId="2">
      <formula>40</formula>
    </cfRule>
    <cfRule type="cellIs" priority="1791" operator="greaterThan" aboveAverage="0" equalAverage="0" bottom="0" percent="0" rank="0" text="" dxfId="3">
      <formula>45</formula>
    </cfRule>
  </conditionalFormatting>
  <conditionalFormatting sqref="U170">
    <cfRule type="cellIs" priority="1792" operator="greaterThan" aboveAverage="0" equalAverage="0" bottom="0" percent="0" rank="0" text="" dxfId="2">
      <formula>40</formula>
    </cfRule>
    <cfRule type="cellIs" priority="1793" operator="greaterThan" aboveAverage="0" equalAverage="0" bottom="0" percent="0" rank="0" text="" dxfId="3">
      <formula>45</formula>
    </cfRule>
  </conditionalFormatting>
  <conditionalFormatting sqref="V170">
    <cfRule type="cellIs" priority="1794" operator="greaterThan" aboveAverage="0" equalAverage="0" bottom="0" percent="0" rank="0" text="" dxfId="2">
      <formula>40</formula>
    </cfRule>
    <cfRule type="cellIs" priority="1795" operator="greaterThan" aboveAverage="0" equalAverage="0" bottom="0" percent="0" rank="0" text="" dxfId="3">
      <formula>45</formula>
    </cfRule>
  </conditionalFormatting>
  <conditionalFormatting sqref="W170">
    <cfRule type="cellIs" priority="1796" operator="greaterThan" aboveAverage="0" equalAverage="0" bottom="0" percent="0" rank="0" text="" dxfId="2">
      <formula>40</formula>
    </cfRule>
    <cfRule type="cellIs" priority="1797" operator="greaterThan" aboveAverage="0" equalAverage="0" bottom="0" percent="0" rank="0" text="" dxfId="3">
      <formula>45</formula>
    </cfRule>
  </conditionalFormatting>
  <conditionalFormatting sqref="X170">
    <cfRule type="cellIs" priority="1798" operator="greaterThan" aboveAverage="0" equalAverage="0" bottom="0" percent="0" rank="0" text="" dxfId="2">
      <formula>55</formula>
    </cfRule>
    <cfRule type="cellIs" priority="1799" operator="greaterThan" aboveAverage="0" equalAverage="0" bottom="0" percent="0" rank="0" text="" dxfId="3">
      <formula>65</formula>
    </cfRule>
  </conditionalFormatting>
  <conditionalFormatting sqref="Y170">
    <cfRule type="cellIs" priority="1800" operator="greaterThan" aboveAverage="0" equalAverage="0" bottom="0" percent="0" rank="0" text="" dxfId="2">
      <formula>55</formula>
    </cfRule>
    <cfRule type="cellIs" priority="1801" operator="greaterThan" aboveAverage="0" equalAverage="0" bottom="0" percent="0" rank="0" text="" dxfId="3">
      <formula>65</formula>
    </cfRule>
  </conditionalFormatting>
  <conditionalFormatting sqref="Z170">
    <cfRule type="cellIs" priority="1802" operator="greaterThan" aboveAverage="0" equalAverage="0" bottom="0" percent="0" rank="0" text="" dxfId="2">
      <formula>55</formula>
    </cfRule>
    <cfRule type="cellIs" priority="1803" operator="greaterThan" aboveAverage="0" equalAverage="0" bottom="0" percent="0" rank="0" text="" dxfId="3">
      <formula>65</formula>
    </cfRule>
  </conditionalFormatting>
  <conditionalFormatting sqref="AA170">
    <cfRule type="cellIs" priority="1804" operator="greaterThan" aboveAverage="0" equalAverage="0" bottom="0" percent="0" rank="0" text="" dxfId="2">
      <formula>55</formula>
    </cfRule>
    <cfRule type="cellIs" priority="1805" operator="greaterThan" aboveAverage="0" equalAverage="0" bottom="0" percent="0" rank="0" text="" dxfId="3">
      <formula>65</formula>
    </cfRule>
  </conditionalFormatting>
  <conditionalFormatting sqref="AB170">
    <cfRule type="cellIs" priority="1806" operator="greaterThan" aboveAverage="0" equalAverage="0" bottom="0" percent="0" rank="0" text="" dxfId="2">
      <formula>55</formula>
    </cfRule>
    <cfRule type="cellIs" priority="1807" operator="greaterThan" aboveAverage="0" equalAverage="0" bottom="0" percent="0" rank="0" text="" dxfId="3">
      <formula>65</formula>
    </cfRule>
  </conditionalFormatting>
  <conditionalFormatting sqref="AC170">
    <cfRule type="cellIs" priority="1808" operator="greaterThan" aboveAverage="0" equalAverage="0" bottom="0" percent="0" rank="0" text="" dxfId="2">
      <formula>55</formula>
    </cfRule>
    <cfRule type="cellIs" priority="1809" operator="greaterThan" aboveAverage="0" equalAverage="0" bottom="0" percent="0" rank="0" text="" dxfId="3">
      <formula>65</formula>
    </cfRule>
  </conditionalFormatting>
  <conditionalFormatting sqref="AD170">
    <cfRule type="cellIs" priority="1810" operator="greaterThan" aboveAverage="0" equalAverage="0" bottom="0" percent="0" rank="0" text="" dxfId="2">
      <formula>55</formula>
    </cfRule>
    <cfRule type="cellIs" priority="1811" operator="greaterThan" aboveAverage="0" equalAverage="0" bottom="0" percent="0" rank="0" text="" dxfId="3">
      <formula>65</formula>
    </cfRule>
  </conditionalFormatting>
  <conditionalFormatting sqref="AE170">
    <cfRule type="cellIs" priority="1812" operator="greaterThan" aboveAverage="0" equalAverage="0" bottom="0" percent="0" rank="0" text="" dxfId="2">
      <formula>55</formula>
    </cfRule>
    <cfRule type="cellIs" priority="1813" operator="greaterThan" aboveAverage="0" equalAverage="0" bottom="0" percent="0" rank="0" text="" dxfId="3">
      <formula>65</formula>
    </cfRule>
  </conditionalFormatting>
  <conditionalFormatting sqref="AF170">
    <cfRule type="cellIs" priority="1814" operator="greaterThan" aboveAverage="0" equalAverage="0" bottom="0" percent="0" rank="0" text="" dxfId="2">
      <formula>40</formula>
    </cfRule>
    <cfRule type="cellIs" priority="1815" operator="greaterThan" aboveAverage="0" equalAverage="0" bottom="0" percent="0" rank="0" text="" dxfId="3">
      <formula>45</formula>
    </cfRule>
  </conditionalFormatting>
  <conditionalFormatting sqref="AG170">
    <cfRule type="cellIs" priority="1816" operator="greaterThan" aboveAverage="0" equalAverage="0" bottom="0" percent="0" rank="0" text="" dxfId="2">
      <formula>40</formula>
    </cfRule>
    <cfRule type="cellIs" priority="1817" operator="greaterThan" aboveAverage="0" equalAverage="0" bottom="0" percent="0" rank="0" text="" dxfId="3">
      <formula>45</formula>
    </cfRule>
  </conditionalFormatting>
  <conditionalFormatting sqref="AH170">
    <cfRule type="cellIs" priority="1818" operator="greaterThan" aboveAverage="0" equalAverage="0" bottom="0" percent="0" rank="0" text="" dxfId="2">
      <formula>40</formula>
    </cfRule>
    <cfRule type="cellIs" priority="1819" operator="greaterThan" aboveAverage="0" equalAverage="0" bottom="0" percent="0" rank="0" text="" dxfId="3">
      <formula>45</formula>
    </cfRule>
  </conditionalFormatting>
  <conditionalFormatting sqref="AI170">
    <cfRule type="cellIs" priority="1820" operator="greaterThan" aboveAverage="0" equalAverage="0" bottom="0" percent="0" rank="0" text="" dxfId="2">
      <formula>40</formula>
    </cfRule>
    <cfRule type="cellIs" priority="1821" operator="greaterThan" aboveAverage="0" equalAverage="0" bottom="0" percent="0" rank="0" text="" dxfId="3">
      <formula>45</formula>
    </cfRule>
  </conditionalFormatting>
  <conditionalFormatting sqref="AJ170">
    <cfRule type="cellIs" priority="1822" operator="greaterThan" aboveAverage="0" equalAverage="0" bottom="0" percent="0" rank="0" text="" dxfId="2">
      <formula>40</formula>
    </cfRule>
    <cfRule type="cellIs" priority="1823" operator="greaterThan" aboveAverage="0" equalAverage="0" bottom="0" percent="0" rank="0" text="" dxfId="3">
      <formula>45</formula>
    </cfRule>
  </conditionalFormatting>
  <conditionalFormatting sqref="AK170">
    <cfRule type="cellIs" priority="1824" operator="greaterThan" aboveAverage="0" equalAverage="0" bottom="0" percent="0" rank="0" text="" dxfId="2">
      <formula>40</formula>
    </cfRule>
    <cfRule type="cellIs" priority="1825" operator="greaterThan" aboveAverage="0" equalAverage="0" bottom="0" percent="0" rank="0" text="" dxfId="3">
      <formula>45</formula>
    </cfRule>
  </conditionalFormatting>
  <conditionalFormatting sqref="AL170">
    <cfRule type="cellIs" priority="1826" operator="greaterThan" aboveAverage="0" equalAverage="0" bottom="0" percent="0" rank="0" text="" dxfId="2">
      <formula>40</formula>
    </cfRule>
    <cfRule type="cellIs" priority="1827" operator="greaterThan" aboveAverage="0" equalAverage="0" bottom="0" percent="0" rank="0" text="" dxfId="3">
      <formula>45</formula>
    </cfRule>
  </conditionalFormatting>
  <conditionalFormatting sqref="AM170">
    <cfRule type="cellIs" priority="1828" operator="greaterThan" aboveAverage="0" equalAverage="0" bottom="0" percent="0" rank="0" text="" dxfId="2">
      <formula>40</formula>
    </cfRule>
    <cfRule type="cellIs" priority="1829" operator="greaterThan" aboveAverage="0" equalAverage="0" bottom="0" percent="0" rank="0" text="" dxfId="3">
      <formula>45</formula>
    </cfRule>
  </conditionalFormatting>
  <conditionalFormatting sqref="AN170">
    <cfRule type="cellIs" priority="1830" operator="greaterThan" aboveAverage="0" equalAverage="0" bottom="0" percent="0" rank="0" text="" dxfId="2">
      <formula>40</formula>
    </cfRule>
    <cfRule type="cellIs" priority="1831" operator="greaterThan" aboveAverage="0" equalAverage="0" bottom="0" percent="0" rank="0" text="" dxfId="3">
      <formula>45</formula>
    </cfRule>
  </conditionalFormatting>
  <conditionalFormatting sqref="AO170">
    <cfRule type="cellIs" priority="1832" operator="greaterThan" aboveAverage="0" equalAverage="0" bottom="0" percent="0" rank="0" text="" dxfId="2">
      <formula>40</formula>
    </cfRule>
    <cfRule type="cellIs" priority="1833" operator="greaterThan" aboveAverage="0" equalAverage="0" bottom="0" percent="0" rank="0" text="" dxfId="3">
      <formula>45</formula>
    </cfRule>
  </conditionalFormatting>
  <conditionalFormatting sqref="AP170">
    <cfRule type="cellIs" priority="1834" operator="greaterThan" aboveAverage="0" equalAverage="0" bottom="0" percent="0" rank="0" text="" dxfId="2">
      <formula>40</formula>
    </cfRule>
    <cfRule type="cellIs" priority="1835" operator="greaterThan" aboveAverage="0" equalAverage="0" bottom="0" percent="0" rank="0" text="" dxfId="3">
      <formula>45</formula>
    </cfRule>
  </conditionalFormatting>
  <conditionalFormatting sqref="AQ170">
    <cfRule type="cellIs" priority="1836" operator="greaterThan" aboveAverage="0" equalAverage="0" bottom="0" percent="0" rank="0" text="" dxfId="2">
      <formula>40</formula>
    </cfRule>
    <cfRule type="cellIs" priority="1837" operator="greaterThan" aboveAverage="0" equalAverage="0" bottom="0" percent="0" rank="0" text="" dxfId="3">
      <formula>45</formula>
    </cfRule>
  </conditionalFormatting>
  <conditionalFormatting sqref="AR170">
    <cfRule type="cellIs" priority="1838" operator="greaterThan" aboveAverage="0" equalAverage="0" bottom="0" percent="0" rank="0" text="" dxfId="2">
      <formula>40</formula>
    </cfRule>
    <cfRule type="cellIs" priority="1839" operator="greaterThan" aboveAverage="0" equalAverage="0" bottom="0" percent="0" rank="0" text="" dxfId="3">
      <formula>45</formula>
    </cfRule>
  </conditionalFormatting>
  <conditionalFormatting sqref="AS170">
    <cfRule type="cellIs" priority="1840" operator="greaterThan" aboveAverage="0" equalAverage="0" bottom="0" percent="0" rank="0" text="" dxfId="2">
      <formula>40</formula>
    </cfRule>
    <cfRule type="cellIs" priority="1841" operator="greaterThan" aboveAverage="0" equalAverage="0" bottom="0" percent="0" rank="0" text="" dxfId="3">
      <formula>45</formula>
    </cfRule>
  </conditionalFormatting>
  <conditionalFormatting sqref="F182">
    <cfRule type="cellIs" priority="1842" operator="greaterThan" aboveAverage="0" equalAverage="0" bottom="0" percent="0" rank="0" text="" dxfId="2">
      <formula>40</formula>
    </cfRule>
    <cfRule type="cellIs" priority="1843" operator="greaterThan" aboveAverage="0" equalAverage="0" bottom="0" percent="0" rank="0" text="" dxfId="3">
      <formula>45</formula>
    </cfRule>
  </conditionalFormatting>
  <conditionalFormatting sqref="G182">
    <cfRule type="cellIs" priority="1844" operator="greaterThan" aboveAverage="0" equalAverage="0" bottom="0" percent="0" rank="0" text="" dxfId="2">
      <formula>40</formula>
    </cfRule>
    <cfRule type="cellIs" priority="1845" operator="greaterThan" aboveAverage="0" equalAverage="0" bottom="0" percent="0" rank="0" text="" dxfId="3">
      <formula>45</formula>
    </cfRule>
  </conditionalFormatting>
  <conditionalFormatting sqref="H182">
    <cfRule type="cellIs" priority="1846" operator="greaterThan" aboveAverage="0" equalAverage="0" bottom="0" percent="0" rank="0" text="" dxfId="2">
      <formula>40</formula>
    </cfRule>
    <cfRule type="cellIs" priority="1847" operator="greaterThan" aboveAverage="0" equalAverage="0" bottom="0" percent="0" rank="0" text="" dxfId="3">
      <formula>45</formula>
    </cfRule>
  </conditionalFormatting>
  <conditionalFormatting sqref="I182">
    <cfRule type="cellIs" priority="1848" operator="greaterThan" aboveAverage="0" equalAverage="0" bottom="0" percent="0" rank="0" text="" dxfId="2">
      <formula>40</formula>
    </cfRule>
    <cfRule type="cellIs" priority="1849" operator="greaterThan" aboveAverage="0" equalAverage="0" bottom="0" percent="0" rank="0" text="" dxfId="3">
      <formula>45</formula>
    </cfRule>
  </conditionalFormatting>
  <conditionalFormatting sqref="J182">
    <cfRule type="cellIs" priority="1850" operator="greaterThan" aboveAverage="0" equalAverage="0" bottom="0" percent="0" rank="0" text="" dxfId="2">
      <formula>40</formula>
    </cfRule>
    <cfRule type="cellIs" priority="1851" operator="greaterThan" aboveAverage="0" equalAverage="0" bottom="0" percent="0" rank="0" text="" dxfId="3">
      <formula>45</formula>
    </cfRule>
  </conditionalFormatting>
  <conditionalFormatting sqref="K182">
    <cfRule type="cellIs" priority="1852" operator="greaterThan" aboveAverage="0" equalAverage="0" bottom="0" percent="0" rank="0" text="" dxfId="2">
      <formula>40</formula>
    </cfRule>
    <cfRule type="cellIs" priority="1853" operator="greaterThan" aboveAverage="0" equalAverage="0" bottom="0" percent="0" rank="0" text="" dxfId="3">
      <formula>45</formula>
    </cfRule>
  </conditionalFormatting>
  <conditionalFormatting sqref="L182">
    <cfRule type="cellIs" priority="1854" operator="greaterThan" aboveAverage="0" equalAverage="0" bottom="0" percent="0" rank="0" text="" dxfId="2">
      <formula>40</formula>
    </cfRule>
    <cfRule type="cellIs" priority="1855" operator="greaterThan" aboveAverage="0" equalAverage="0" bottom="0" percent="0" rank="0" text="" dxfId="3">
      <formula>45</formula>
    </cfRule>
  </conditionalFormatting>
  <conditionalFormatting sqref="M182">
    <cfRule type="cellIs" priority="1856" operator="greaterThan" aboveAverage="0" equalAverage="0" bottom="0" percent="0" rank="0" text="" dxfId="2">
      <formula>40</formula>
    </cfRule>
    <cfRule type="cellIs" priority="1857" operator="greaterThan" aboveAverage="0" equalAverage="0" bottom="0" percent="0" rank="0" text="" dxfId="3">
      <formula>45</formula>
    </cfRule>
  </conditionalFormatting>
  <conditionalFormatting sqref="N182">
    <cfRule type="cellIs" priority="1858" operator="greaterThan" aboveAverage="0" equalAverage="0" bottom="0" percent="0" rank="0" text="" dxfId="2">
      <formula>40</formula>
    </cfRule>
    <cfRule type="cellIs" priority="1859" operator="greaterThan" aboveAverage="0" equalAverage="0" bottom="0" percent="0" rank="0" text="" dxfId="3">
      <formula>45</formula>
    </cfRule>
  </conditionalFormatting>
  <conditionalFormatting sqref="O182">
    <cfRule type="cellIs" priority="1860" operator="greaterThan" aboveAverage="0" equalAverage="0" bottom="0" percent="0" rank="0" text="" dxfId="2">
      <formula>40</formula>
    </cfRule>
    <cfRule type="cellIs" priority="1861" operator="greaterThan" aboveAverage="0" equalAverage="0" bottom="0" percent="0" rank="0" text="" dxfId="3">
      <formula>45</formula>
    </cfRule>
  </conditionalFormatting>
  <conditionalFormatting sqref="P182">
    <cfRule type="cellIs" priority="1862" operator="greaterThan" aboveAverage="0" equalAverage="0" bottom="0" percent="0" rank="0" text="" dxfId="2">
      <formula>40</formula>
    </cfRule>
    <cfRule type="cellIs" priority="1863" operator="greaterThan" aboveAverage="0" equalAverage="0" bottom="0" percent="0" rank="0" text="" dxfId="3">
      <formula>45</formula>
    </cfRule>
  </conditionalFormatting>
  <conditionalFormatting sqref="Q182">
    <cfRule type="cellIs" priority="1864" operator="greaterThan" aboveAverage="0" equalAverage="0" bottom="0" percent="0" rank="0" text="" dxfId="2">
      <formula>40</formula>
    </cfRule>
    <cfRule type="cellIs" priority="1865" operator="greaterThan" aboveAverage="0" equalAverage="0" bottom="0" percent="0" rank="0" text="" dxfId="3">
      <formula>45</formula>
    </cfRule>
  </conditionalFormatting>
  <conditionalFormatting sqref="R182">
    <cfRule type="cellIs" priority="1866" operator="greaterThan" aboveAverage="0" equalAverage="0" bottom="0" percent="0" rank="0" text="" dxfId="2">
      <formula>40</formula>
    </cfRule>
    <cfRule type="cellIs" priority="1867" operator="greaterThan" aboveAverage="0" equalAverage="0" bottom="0" percent="0" rank="0" text="" dxfId="3">
      <formula>45</formula>
    </cfRule>
  </conditionalFormatting>
  <conditionalFormatting sqref="S182">
    <cfRule type="cellIs" priority="1868" operator="greaterThan" aboveAverage="0" equalAverage="0" bottom="0" percent="0" rank="0" text="" dxfId="2">
      <formula>40</formula>
    </cfRule>
    <cfRule type="cellIs" priority="1869" operator="greaterThan" aboveAverage="0" equalAverage="0" bottom="0" percent="0" rank="0" text="" dxfId="3">
      <formula>45</formula>
    </cfRule>
  </conditionalFormatting>
  <conditionalFormatting sqref="T182">
    <cfRule type="cellIs" priority="1870" operator="greaterThan" aboveAverage="0" equalAverage="0" bottom="0" percent="0" rank="0" text="" dxfId="2">
      <formula>40</formula>
    </cfRule>
    <cfRule type="cellIs" priority="1871" operator="greaterThan" aboveAverage="0" equalAverage="0" bottom="0" percent="0" rank="0" text="" dxfId="3">
      <formula>45</formula>
    </cfRule>
  </conditionalFormatting>
  <conditionalFormatting sqref="U182">
    <cfRule type="cellIs" priority="1872" operator="greaterThan" aboveAverage="0" equalAverage="0" bottom="0" percent="0" rank="0" text="" dxfId="2">
      <formula>40</formula>
    </cfRule>
    <cfRule type="cellIs" priority="1873" operator="greaterThan" aboveAverage="0" equalAverage="0" bottom="0" percent="0" rank="0" text="" dxfId="3">
      <formula>45</formula>
    </cfRule>
  </conditionalFormatting>
  <conditionalFormatting sqref="V182">
    <cfRule type="cellIs" priority="1874" operator="greaterThan" aboveAverage="0" equalAverage="0" bottom="0" percent="0" rank="0" text="" dxfId="2">
      <formula>40</formula>
    </cfRule>
    <cfRule type="cellIs" priority="1875" operator="greaterThan" aboveAverage="0" equalAverage="0" bottom="0" percent="0" rank="0" text="" dxfId="3">
      <formula>45</formula>
    </cfRule>
  </conditionalFormatting>
  <conditionalFormatting sqref="W182">
    <cfRule type="cellIs" priority="1876" operator="greaterThan" aboveAverage="0" equalAverage="0" bottom="0" percent="0" rank="0" text="" dxfId="2">
      <formula>40</formula>
    </cfRule>
    <cfRule type="cellIs" priority="1877" operator="greaterThan" aboveAverage="0" equalAverage="0" bottom="0" percent="0" rank="0" text="" dxfId="3">
      <formula>45</formula>
    </cfRule>
  </conditionalFormatting>
  <conditionalFormatting sqref="X182">
    <cfRule type="cellIs" priority="1878" operator="greaterThan" aboveAverage="0" equalAverage="0" bottom="0" percent="0" rank="0" text="" dxfId="2">
      <formula>55</formula>
    </cfRule>
    <cfRule type="cellIs" priority="1879" operator="greaterThan" aboveAverage="0" equalAverage="0" bottom="0" percent="0" rank="0" text="" dxfId="3">
      <formula>65</formula>
    </cfRule>
  </conditionalFormatting>
  <conditionalFormatting sqref="Y182">
    <cfRule type="cellIs" priority="1880" operator="greaterThan" aboveAverage="0" equalAverage="0" bottom="0" percent="0" rank="0" text="" dxfId="2">
      <formula>55</formula>
    </cfRule>
    <cfRule type="cellIs" priority="1881" operator="greaterThan" aboveAverage="0" equalAverage="0" bottom="0" percent="0" rank="0" text="" dxfId="3">
      <formula>65</formula>
    </cfRule>
  </conditionalFormatting>
  <conditionalFormatting sqref="Z182">
    <cfRule type="cellIs" priority="1882" operator="greaterThan" aboveAverage="0" equalAverage="0" bottom="0" percent="0" rank="0" text="" dxfId="2">
      <formula>55</formula>
    </cfRule>
    <cfRule type="cellIs" priority="1883" operator="greaterThan" aboveAverage="0" equalAverage="0" bottom="0" percent="0" rank="0" text="" dxfId="3">
      <formula>65</formula>
    </cfRule>
  </conditionalFormatting>
  <conditionalFormatting sqref="AA182">
    <cfRule type="cellIs" priority="1884" operator="greaterThan" aboveAverage="0" equalAverage="0" bottom="0" percent="0" rank="0" text="" dxfId="2">
      <formula>55</formula>
    </cfRule>
    <cfRule type="cellIs" priority="1885" operator="greaterThan" aboveAverage="0" equalAverage="0" bottom="0" percent="0" rank="0" text="" dxfId="3">
      <formula>65</formula>
    </cfRule>
  </conditionalFormatting>
  <conditionalFormatting sqref="AB182">
    <cfRule type="cellIs" priority="1886" operator="greaterThan" aboveAverage="0" equalAverage="0" bottom="0" percent="0" rank="0" text="" dxfId="2">
      <formula>55</formula>
    </cfRule>
    <cfRule type="cellIs" priority="1887" operator="greaterThan" aboveAverage="0" equalAverage="0" bottom="0" percent="0" rank="0" text="" dxfId="3">
      <formula>65</formula>
    </cfRule>
  </conditionalFormatting>
  <conditionalFormatting sqref="AC182">
    <cfRule type="cellIs" priority="1888" operator="greaterThan" aboveAverage="0" equalAverage="0" bottom="0" percent="0" rank="0" text="" dxfId="2">
      <formula>55</formula>
    </cfRule>
    <cfRule type="cellIs" priority="1889" operator="greaterThan" aboveAverage="0" equalAverage="0" bottom="0" percent="0" rank="0" text="" dxfId="3">
      <formula>65</formula>
    </cfRule>
  </conditionalFormatting>
  <conditionalFormatting sqref="AD182">
    <cfRule type="cellIs" priority="1890" operator="greaterThan" aboveAverage="0" equalAverage="0" bottom="0" percent="0" rank="0" text="" dxfId="2">
      <formula>55</formula>
    </cfRule>
    <cfRule type="cellIs" priority="1891" operator="greaterThan" aboveAverage="0" equalAverage="0" bottom="0" percent="0" rank="0" text="" dxfId="3">
      <formula>65</formula>
    </cfRule>
  </conditionalFormatting>
  <conditionalFormatting sqref="AE182">
    <cfRule type="cellIs" priority="1892" operator="greaterThan" aboveAverage="0" equalAverage="0" bottom="0" percent="0" rank="0" text="" dxfId="2">
      <formula>55</formula>
    </cfRule>
    <cfRule type="cellIs" priority="1893" operator="greaterThan" aboveAverage="0" equalAverage="0" bottom="0" percent="0" rank="0" text="" dxfId="3">
      <formula>65</formula>
    </cfRule>
  </conditionalFormatting>
  <conditionalFormatting sqref="AF182">
    <cfRule type="cellIs" priority="1894" operator="greaterThan" aboveAverage="0" equalAverage="0" bottom="0" percent="0" rank="0" text="" dxfId="2">
      <formula>40</formula>
    </cfRule>
    <cfRule type="cellIs" priority="1895" operator="greaterThan" aboveAverage="0" equalAverage="0" bottom="0" percent="0" rank="0" text="" dxfId="3">
      <formula>45</formula>
    </cfRule>
  </conditionalFormatting>
  <conditionalFormatting sqref="AG182">
    <cfRule type="cellIs" priority="1896" operator="greaterThan" aboveAverage="0" equalAverage="0" bottom="0" percent="0" rank="0" text="" dxfId="2">
      <formula>40</formula>
    </cfRule>
    <cfRule type="cellIs" priority="1897" operator="greaterThan" aboveAverage="0" equalAverage="0" bottom="0" percent="0" rank="0" text="" dxfId="3">
      <formula>45</formula>
    </cfRule>
  </conditionalFormatting>
  <conditionalFormatting sqref="AH182">
    <cfRule type="cellIs" priority="1898" operator="greaterThan" aboveAverage="0" equalAverage="0" bottom="0" percent="0" rank="0" text="" dxfId="2">
      <formula>40</formula>
    </cfRule>
    <cfRule type="cellIs" priority="1899" operator="greaterThan" aboveAverage="0" equalAverage="0" bottom="0" percent="0" rank="0" text="" dxfId="3">
      <formula>45</formula>
    </cfRule>
  </conditionalFormatting>
  <conditionalFormatting sqref="AI182">
    <cfRule type="cellIs" priority="1900" operator="greaterThan" aboveAverage="0" equalAverage="0" bottom="0" percent="0" rank="0" text="" dxfId="2">
      <formula>40</formula>
    </cfRule>
    <cfRule type="cellIs" priority="1901" operator="greaterThan" aboveAverage="0" equalAverage="0" bottom="0" percent="0" rank="0" text="" dxfId="3">
      <formula>45</formula>
    </cfRule>
  </conditionalFormatting>
  <conditionalFormatting sqref="AJ182">
    <cfRule type="cellIs" priority="1902" operator="greaterThan" aboveAverage="0" equalAverage="0" bottom="0" percent="0" rank="0" text="" dxfId="2">
      <formula>40</formula>
    </cfRule>
    <cfRule type="cellIs" priority="1903" operator="greaterThan" aboveAverage="0" equalAverage="0" bottom="0" percent="0" rank="0" text="" dxfId="3">
      <formula>45</formula>
    </cfRule>
  </conditionalFormatting>
  <conditionalFormatting sqref="AK182">
    <cfRule type="cellIs" priority="1904" operator="greaterThan" aboveAverage="0" equalAverage="0" bottom="0" percent="0" rank="0" text="" dxfId="2">
      <formula>40</formula>
    </cfRule>
    <cfRule type="cellIs" priority="1905" operator="greaterThan" aboveAverage="0" equalAverage="0" bottom="0" percent="0" rank="0" text="" dxfId="3">
      <formula>45</formula>
    </cfRule>
  </conditionalFormatting>
  <conditionalFormatting sqref="AL182">
    <cfRule type="cellIs" priority="1906" operator="greaterThan" aboveAverage="0" equalAverage="0" bottom="0" percent="0" rank="0" text="" dxfId="2">
      <formula>40</formula>
    </cfRule>
    <cfRule type="cellIs" priority="1907" operator="greaterThan" aboveAverage="0" equalAverage="0" bottom="0" percent="0" rank="0" text="" dxfId="3">
      <formula>45</formula>
    </cfRule>
  </conditionalFormatting>
  <conditionalFormatting sqref="AM182">
    <cfRule type="cellIs" priority="1908" operator="greaterThan" aboveAverage="0" equalAverage="0" bottom="0" percent="0" rank="0" text="" dxfId="2">
      <formula>40</formula>
    </cfRule>
    <cfRule type="cellIs" priority="1909" operator="greaterThan" aboveAverage="0" equalAverage="0" bottom="0" percent="0" rank="0" text="" dxfId="3">
      <formula>45</formula>
    </cfRule>
  </conditionalFormatting>
  <conditionalFormatting sqref="AN182">
    <cfRule type="cellIs" priority="1910" operator="greaterThan" aboveAverage="0" equalAverage="0" bottom="0" percent="0" rank="0" text="" dxfId="2">
      <formula>40</formula>
    </cfRule>
    <cfRule type="cellIs" priority="1911" operator="greaterThan" aboveAverage="0" equalAverage="0" bottom="0" percent="0" rank="0" text="" dxfId="3">
      <formula>45</formula>
    </cfRule>
  </conditionalFormatting>
  <conditionalFormatting sqref="AO182">
    <cfRule type="cellIs" priority="1912" operator="greaterThan" aboveAverage="0" equalAverage="0" bottom="0" percent="0" rank="0" text="" dxfId="2">
      <formula>40</formula>
    </cfRule>
    <cfRule type="cellIs" priority="1913" operator="greaterThan" aboveAverage="0" equalAverage="0" bottom="0" percent="0" rank="0" text="" dxfId="3">
      <formula>45</formula>
    </cfRule>
  </conditionalFormatting>
  <conditionalFormatting sqref="AP182">
    <cfRule type="cellIs" priority="1914" operator="greaterThan" aboveAverage="0" equalAverage="0" bottom="0" percent="0" rank="0" text="" dxfId="2">
      <formula>40</formula>
    </cfRule>
    <cfRule type="cellIs" priority="1915" operator="greaterThan" aboveAverage="0" equalAverage="0" bottom="0" percent="0" rank="0" text="" dxfId="3">
      <formula>45</formula>
    </cfRule>
  </conditionalFormatting>
  <conditionalFormatting sqref="AQ182">
    <cfRule type="cellIs" priority="1916" operator="greaterThan" aboveAverage="0" equalAverage="0" bottom="0" percent="0" rank="0" text="" dxfId="2">
      <formula>40</formula>
    </cfRule>
    <cfRule type="cellIs" priority="1917" operator="greaterThan" aboveAverage="0" equalAverage="0" bottom="0" percent="0" rank="0" text="" dxfId="3">
      <formula>45</formula>
    </cfRule>
  </conditionalFormatting>
  <conditionalFormatting sqref="AR182">
    <cfRule type="cellIs" priority="1918" operator="greaterThan" aboveAverage="0" equalAverage="0" bottom="0" percent="0" rank="0" text="" dxfId="2">
      <formula>40</formula>
    </cfRule>
    <cfRule type="cellIs" priority="1919" operator="greaterThan" aboveAverage="0" equalAverage="0" bottom="0" percent="0" rank="0" text="" dxfId="3">
      <formula>45</formula>
    </cfRule>
  </conditionalFormatting>
  <conditionalFormatting sqref="AS182">
    <cfRule type="cellIs" priority="1920" operator="greaterThan" aboveAverage="0" equalAverage="0" bottom="0" percent="0" rank="0" text="" dxfId="2">
      <formula>40</formula>
    </cfRule>
    <cfRule type="cellIs" priority="1921" operator="greaterThan" aboveAverage="0" equalAverage="0" bottom="0" percent="0" rank="0" text="" dxfId="3">
      <formula>45</formula>
    </cfRule>
  </conditionalFormatting>
  <conditionalFormatting sqref="F185">
    <cfRule type="cellIs" priority="1922" operator="greaterThan" aboveAverage="0" equalAverage="0" bottom="0" percent="0" rank="0" text="" dxfId="2">
      <formula>40</formula>
    </cfRule>
    <cfRule type="cellIs" priority="1923" operator="greaterThan" aboveAverage="0" equalAverage="0" bottom="0" percent="0" rank="0" text="" dxfId="3">
      <formula>45</formula>
    </cfRule>
  </conditionalFormatting>
  <conditionalFormatting sqref="G185">
    <cfRule type="cellIs" priority="1924" operator="greaterThan" aboveAverage="0" equalAverage="0" bottom="0" percent="0" rank="0" text="" dxfId="2">
      <formula>40</formula>
    </cfRule>
    <cfRule type="cellIs" priority="1925" operator="greaterThan" aboveAverage="0" equalAverage="0" bottom="0" percent="0" rank="0" text="" dxfId="3">
      <formula>45</formula>
    </cfRule>
  </conditionalFormatting>
  <conditionalFormatting sqref="H185">
    <cfRule type="cellIs" priority="1926" operator="greaterThan" aboveAverage="0" equalAverage="0" bottom="0" percent="0" rank="0" text="" dxfId="2">
      <formula>40</formula>
    </cfRule>
    <cfRule type="cellIs" priority="1927" operator="greaterThan" aboveAverage="0" equalAverage="0" bottom="0" percent="0" rank="0" text="" dxfId="3">
      <formula>45</formula>
    </cfRule>
  </conditionalFormatting>
  <conditionalFormatting sqref="I185">
    <cfRule type="cellIs" priority="1928" operator="greaterThan" aboveAverage="0" equalAverage="0" bottom="0" percent="0" rank="0" text="" dxfId="2">
      <formula>40</formula>
    </cfRule>
    <cfRule type="cellIs" priority="1929" operator="greaterThan" aboveAverage="0" equalAverage="0" bottom="0" percent="0" rank="0" text="" dxfId="3">
      <formula>45</formula>
    </cfRule>
  </conditionalFormatting>
  <conditionalFormatting sqref="J185">
    <cfRule type="cellIs" priority="1930" operator="greaterThan" aboveAverage="0" equalAverage="0" bottom="0" percent="0" rank="0" text="" dxfId="2">
      <formula>40</formula>
    </cfRule>
    <cfRule type="cellIs" priority="1931" operator="greaterThan" aboveAverage="0" equalAverage="0" bottom="0" percent="0" rank="0" text="" dxfId="3">
      <formula>45</formula>
    </cfRule>
  </conditionalFormatting>
  <conditionalFormatting sqref="K185">
    <cfRule type="cellIs" priority="1932" operator="greaterThan" aboveAverage="0" equalAverage="0" bottom="0" percent="0" rank="0" text="" dxfId="2">
      <formula>40</formula>
    </cfRule>
    <cfRule type="cellIs" priority="1933" operator="greaterThan" aboveAverage="0" equalAverage="0" bottom="0" percent="0" rank="0" text="" dxfId="3">
      <formula>45</formula>
    </cfRule>
  </conditionalFormatting>
  <conditionalFormatting sqref="L185">
    <cfRule type="cellIs" priority="1934" operator="greaterThan" aboveAverage="0" equalAverage="0" bottom="0" percent="0" rank="0" text="" dxfId="2">
      <formula>40</formula>
    </cfRule>
    <cfRule type="cellIs" priority="1935" operator="greaterThan" aboveAverage="0" equalAverage="0" bottom="0" percent="0" rank="0" text="" dxfId="3">
      <formula>45</formula>
    </cfRule>
  </conditionalFormatting>
  <conditionalFormatting sqref="M185">
    <cfRule type="cellIs" priority="1936" operator="greaterThan" aboveAverage="0" equalAverage="0" bottom="0" percent="0" rank="0" text="" dxfId="2">
      <formula>40</formula>
    </cfRule>
    <cfRule type="cellIs" priority="1937" operator="greaterThan" aboveAverage="0" equalAverage="0" bottom="0" percent="0" rank="0" text="" dxfId="3">
      <formula>45</formula>
    </cfRule>
  </conditionalFormatting>
  <conditionalFormatting sqref="N185">
    <cfRule type="cellIs" priority="1938" operator="greaterThan" aboveAverage="0" equalAverage="0" bottom="0" percent="0" rank="0" text="" dxfId="2">
      <formula>40</formula>
    </cfRule>
    <cfRule type="cellIs" priority="1939" operator="greaterThan" aboveAverage="0" equalAverage="0" bottom="0" percent="0" rank="0" text="" dxfId="3">
      <formula>45</formula>
    </cfRule>
  </conditionalFormatting>
  <conditionalFormatting sqref="O185">
    <cfRule type="cellIs" priority="1940" operator="greaterThan" aboveAverage="0" equalAverage="0" bottom="0" percent="0" rank="0" text="" dxfId="2">
      <formula>40</formula>
    </cfRule>
    <cfRule type="cellIs" priority="1941" operator="greaterThan" aboveAverage="0" equalAverage="0" bottom="0" percent="0" rank="0" text="" dxfId="3">
      <formula>45</formula>
    </cfRule>
  </conditionalFormatting>
  <conditionalFormatting sqref="P185">
    <cfRule type="cellIs" priority="1942" operator="greaterThan" aboveAverage="0" equalAverage="0" bottom="0" percent="0" rank="0" text="" dxfId="2">
      <formula>40</formula>
    </cfRule>
    <cfRule type="cellIs" priority="1943" operator="greaterThan" aboveAverage="0" equalAverage="0" bottom="0" percent="0" rank="0" text="" dxfId="3">
      <formula>45</formula>
    </cfRule>
  </conditionalFormatting>
  <conditionalFormatting sqref="Q185">
    <cfRule type="cellIs" priority="1944" operator="greaterThan" aboveAverage="0" equalAverage="0" bottom="0" percent="0" rank="0" text="" dxfId="2">
      <formula>40</formula>
    </cfRule>
    <cfRule type="cellIs" priority="1945" operator="greaterThan" aboveAverage="0" equalAverage="0" bottom="0" percent="0" rank="0" text="" dxfId="3">
      <formula>45</formula>
    </cfRule>
  </conditionalFormatting>
  <conditionalFormatting sqref="R185">
    <cfRule type="cellIs" priority="1946" operator="greaterThan" aboveAverage="0" equalAverage="0" bottom="0" percent="0" rank="0" text="" dxfId="2">
      <formula>40</formula>
    </cfRule>
    <cfRule type="cellIs" priority="1947" operator="greaterThan" aboveAverage="0" equalAverage="0" bottom="0" percent="0" rank="0" text="" dxfId="3">
      <formula>45</formula>
    </cfRule>
  </conditionalFormatting>
  <conditionalFormatting sqref="S185">
    <cfRule type="cellIs" priority="1948" operator="greaterThan" aboveAverage="0" equalAverage="0" bottom="0" percent="0" rank="0" text="" dxfId="2">
      <formula>40</formula>
    </cfRule>
    <cfRule type="cellIs" priority="1949" operator="greaterThan" aboveAverage="0" equalAverage="0" bottom="0" percent="0" rank="0" text="" dxfId="3">
      <formula>45</formula>
    </cfRule>
  </conditionalFormatting>
  <conditionalFormatting sqref="T185">
    <cfRule type="cellIs" priority="1950" operator="greaterThan" aboveAverage="0" equalAverage="0" bottom="0" percent="0" rank="0" text="" dxfId="2">
      <formula>40</formula>
    </cfRule>
    <cfRule type="cellIs" priority="1951" operator="greaterThan" aboveAverage="0" equalAverage="0" bottom="0" percent="0" rank="0" text="" dxfId="3">
      <formula>45</formula>
    </cfRule>
  </conditionalFormatting>
  <conditionalFormatting sqref="U185">
    <cfRule type="cellIs" priority="1952" operator="greaterThan" aboveAverage="0" equalAverage="0" bottom="0" percent="0" rank="0" text="" dxfId="2">
      <formula>40</formula>
    </cfRule>
    <cfRule type="cellIs" priority="1953" operator="greaterThan" aboveAverage="0" equalAverage="0" bottom="0" percent="0" rank="0" text="" dxfId="3">
      <formula>45</formula>
    </cfRule>
  </conditionalFormatting>
  <conditionalFormatting sqref="V185">
    <cfRule type="cellIs" priority="1954" operator="greaterThan" aboveAverage="0" equalAverage="0" bottom="0" percent="0" rank="0" text="" dxfId="2">
      <formula>40</formula>
    </cfRule>
    <cfRule type="cellIs" priority="1955" operator="greaterThan" aboveAverage="0" equalAverage="0" bottom="0" percent="0" rank="0" text="" dxfId="3">
      <formula>45</formula>
    </cfRule>
  </conditionalFormatting>
  <conditionalFormatting sqref="W185">
    <cfRule type="cellIs" priority="1956" operator="greaterThan" aboveAverage="0" equalAverage="0" bottom="0" percent="0" rank="0" text="" dxfId="2">
      <formula>40</formula>
    </cfRule>
    <cfRule type="cellIs" priority="1957" operator="greaterThan" aboveAverage="0" equalAverage="0" bottom="0" percent="0" rank="0" text="" dxfId="3">
      <formula>45</formula>
    </cfRule>
  </conditionalFormatting>
  <conditionalFormatting sqref="X185">
    <cfRule type="cellIs" priority="1958" operator="greaterThan" aboveAverage="0" equalAverage="0" bottom="0" percent="0" rank="0" text="" dxfId="2">
      <formula>55</formula>
    </cfRule>
    <cfRule type="cellIs" priority="1959" operator="greaterThan" aboveAverage="0" equalAverage="0" bottom="0" percent="0" rank="0" text="" dxfId="3">
      <formula>65</formula>
    </cfRule>
  </conditionalFormatting>
  <conditionalFormatting sqref="Y185">
    <cfRule type="cellIs" priority="1960" operator="greaterThan" aboveAverage="0" equalAverage="0" bottom="0" percent="0" rank="0" text="" dxfId="2">
      <formula>55</formula>
    </cfRule>
    <cfRule type="cellIs" priority="1961" operator="greaterThan" aboveAverage="0" equalAverage="0" bottom="0" percent="0" rank="0" text="" dxfId="3">
      <formula>65</formula>
    </cfRule>
  </conditionalFormatting>
  <conditionalFormatting sqref="Z185">
    <cfRule type="cellIs" priority="1962" operator="greaterThan" aboveAverage="0" equalAverage="0" bottom="0" percent="0" rank="0" text="" dxfId="2">
      <formula>55</formula>
    </cfRule>
    <cfRule type="cellIs" priority="1963" operator="greaterThan" aboveAverage="0" equalAverage="0" bottom="0" percent="0" rank="0" text="" dxfId="3">
      <formula>65</formula>
    </cfRule>
  </conditionalFormatting>
  <conditionalFormatting sqref="AA185">
    <cfRule type="cellIs" priority="1964" operator="greaterThan" aboveAverage="0" equalAverage="0" bottom="0" percent="0" rank="0" text="" dxfId="2">
      <formula>55</formula>
    </cfRule>
    <cfRule type="cellIs" priority="1965" operator="greaterThan" aboveAverage="0" equalAverage="0" bottom="0" percent="0" rank="0" text="" dxfId="3">
      <formula>65</formula>
    </cfRule>
  </conditionalFormatting>
  <conditionalFormatting sqref="AB185">
    <cfRule type="cellIs" priority="1966" operator="greaterThan" aboveAverage="0" equalAverage="0" bottom="0" percent="0" rank="0" text="" dxfId="2">
      <formula>55</formula>
    </cfRule>
    <cfRule type="cellIs" priority="1967" operator="greaterThan" aboveAverage="0" equalAverage="0" bottom="0" percent="0" rank="0" text="" dxfId="3">
      <formula>65</formula>
    </cfRule>
  </conditionalFormatting>
  <conditionalFormatting sqref="AC185">
    <cfRule type="cellIs" priority="1968" operator="greaterThan" aboveAverage="0" equalAverage="0" bottom="0" percent="0" rank="0" text="" dxfId="2">
      <formula>55</formula>
    </cfRule>
    <cfRule type="cellIs" priority="1969" operator="greaterThan" aboveAverage="0" equalAverage="0" bottom="0" percent="0" rank="0" text="" dxfId="3">
      <formula>65</formula>
    </cfRule>
  </conditionalFormatting>
  <conditionalFormatting sqref="AD185">
    <cfRule type="cellIs" priority="1970" operator="greaterThan" aboveAverage="0" equalAverage="0" bottom="0" percent="0" rank="0" text="" dxfId="2">
      <formula>55</formula>
    </cfRule>
    <cfRule type="cellIs" priority="1971" operator="greaterThan" aboveAverage="0" equalAverage="0" bottom="0" percent="0" rank="0" text="" dxfId="3">
      <formula>65</formula>
    </cfRule>
  </conditionalFormatting>
  <conditionalFormatting sqref="AE185">
    <cfRule type="cellIs" priority="1972" operator="greaterThan" aboveAverage="0" equalAverage="0" bottom="0" percent="0" rank="0" text="" dxfId="2">
      <formula>55</formula>
    </cfRule>
    <cfRule type="cellIs" priority="1973" operator="greaterThan" aboveAverage="0" equalAverage="0" bottom="0" percent="0" rank="0" text="" dxfId="3">
      <formula>65</formula>
    </cfRule>
  </conditionalFormatting>
  <conditionalFormatting sqref="AF185">
    <cfRule type="cellIs" priority="1974" operator="greaterThan" aboveAverage="0" equalAverage="0" bottom="0" percent="0" rank="0" text="" dxfId="2">
      <formula>40</formula>
    </cfRule>
    <cfRule type="cellIs" priority="1975" operator="greaterThan" aboveAverage="0" equalAverage="0" bottom="0" percent="0" rank="0" text="" dxfId="3">
      <formula>45</formula>
    </cfRule>
  </conditionalFormatting>
  <conditionalFormatting sqref="AG185">
    <cfRule type="cellIs" priority="1976" operator="greaterThan" aboveAverage="0" equalAverage="0" bottom="0" percent="0" rank="0" text="" dxfId="2">
      <formula>40</formula>
    </cfRule>
    <cfRule type="cellIs" priority="1977" operator="greaterThan" aboveAverage="0" equalAverage="0" bottom="0" percent="0" rank="0" text="" dxfId="3">
      <formula>45</formula>
    </cfRule>
  </conditionalFormatting>
  <conditionalFormatting sqref="AH185">
    <cfRule type="cellIs" priority="1978" operator="greaterThan" aboveAverage="0" equalAverage="0" bottom="0" percent="0" rank="0" text="" dxfId="2">
      <formula>40</formula>
    </cfRule>
    <cfRule type="cellIs" priority="1979" operator="greaterThan" aboveAverage="0" equalAverage="0" bottom="0" percent="0" rank="0" text="" dxfId="3">
      <formula>45</formula>
    </cfRule>
  </conditionalFormatting>
  <conditionalFormatting sqref="AI185">
    <cfRule type="cellIs" priority="1980" operator="greaterThan" aboveAverage="0" equalAverage="0" bottom="0" percent="0" rank="0" text="" dxfId="2">
      <formula>40</formula>
    </cfRule>
    <cfRule type="cellIs" priority="1981" operator="greaterThan" aboveAverage="0" equalAverage="0" bottom="0" percent="0" rank="0" text="" dxfId="3">
      <formula>45</formula>
    </cfRule>
  </conditionalFormatting>
  <conditionalFormatting sqref="AJ185">
    <cfRule type="cellIs" priority="1982" operator="greaterThan" aboveAverage="0" equalAverage="0" bottom="0" percent="0" rank="0" text="" dxfId="2">
      <formula>40</formula>
    </cfRule>
    <cfRule type="cellIs" priority="1983" operator="greaterThan" aboveAverage="0" equalAverage="0" bottom="0" percent="0" rank="0" text="" dxfId="3">
      <formula>45</formula>
    </cfRule>
  </conditionalFormatting>
  <conditionalFormatting sqref="AK185">
    <cfRule type="cellIs" priority="1984" operator="greaterThan" aboveAverage="0" equalAverage="0" bottom="0" percent="0" rank="0" text="" dxfId="2">
      <formula>40</formula>
    </cfRule>
    <cfRule type="cellIs" priority="1985" operator="greaterThan" aboveAverage="0" equalAverage="0" bottom="0" percent="0" rank="0" text="" dxfId="3">
      <formula>45</formula>
    </cfRule>
  </conditionalFormatting>
  <conditionalFormatting sqref="AL185">
    <cfRule type="cellIs" priority="1986" operator="greaterThan" aboveAverage="0" equalAverage="0" bottom="0" percent="0" rank="0" text="" dxfId="2">
      <formula>40</formula>
    </cfRule>
    <cfRule type="cellIs" priority="1987" operator="greaterThan" aboveAverage="0" equalAverage="0" bottom="0" percent="0" rank="0" text="" dxfId="3">
      <formula>45</formula>
    </cfRule>
  </conditionalFormatting>
  <conditionalFormatting sqref="AM185">
    <cfRule type="cellIs" priority="1988" operator="greaterThan" aboveAverage="0" equalAverage="0" bottom="0" percent="0" rank="0" text="" dxfId="2">
      <formula>40</formula>
    </cfRule>
    <cfRule type="cellIs" priority="1989" operator="greaterThan" aboveAverage="0" equalAverage="0" bottom="0" percent="0" rank="0" text="" dxfId="3">
      <formula>45</formula>
    </cfRule>
  </conditionalFormatting>
  <conditionalFormatting sqref="AN185">
    <cfRule type="cellIs" priority="1990" operator="greaterThan" aboveAverage="0" equalAverage="0" bottom="0" percent="0" rank="0" text="" dxfId="2">
      <formula>40</formula>
    </cfRule>
    <cfRule type="cellIs" priority="1991" operator="greaterThan" aboveAverage="0" equalAverage="0" bottom="0" percent="0" rank="0" text="" dxfId="3">
      <formula>45</formula>
    </cfRule>
  </conditionalFormatting>
  <conditionalFormatting sqref="AO185">
    <cfRule type="cellIs" priority="1992" operator="greaterThan" aboveAverage="0" equalAverage="0" bottom="0" percent="0" rank="0" text="" dxfId="2">
      <formula>40</formula>
    </cfRule>
    <cfRule type="cellIs" priority="1993" operator="greaterThan" aboveAverage="0" equalAverage="0" bottom="0" percent="0" rank="0" text="" dxfId="3">
      <formula>45</formula>
    </cfRule>
  </conditionalFormatting>
  <conditionalFormatting sqref="AP185">
    <cfRule type="cellIs" priority="1994" operator="greaterThan" aboveAverage="0" equalAverage="0" bottom="0" percent="0" rank="0" text="" dxfId="2">
      <formula>40</formula>
    </cfRule>
    <cfRule type="cellIs" priority="1995" operator="greaterThan" aboveAverage="0" equalAverage="0" bottom="0" percent="0" rank="0" text="" dxfId="3">
      <formula>45</formula>
    </cfRule>
  </conditionalFormatting>
  <conditionalFormatting sqref="AQ185">
    <cfRule type="cellIs" priority="1996" operator="greaterThan" aboveAverage="0" equalAverage="0" bottom="0" percent="0" rank="0" text="" dxfId="2">
      <formula>40</formula>
    </cfRule>
    <cfRule type="cellIs" priority="1997" operator="greaterThan" aboveAverage="0" equalAverage="0" bottom="0" percent="0" rank="0" text="" dxfId="3">
      <formula>45</formula>
    </cfRule>
  </conditionalFormatting>
  <conditionalFormatting sqref="AR185">
    <cfRule type="cellIs" priority="1998" operator="greaterThan" aboveAverage="0" equalAverage="0" bottom="0" percent="0" rank="0" text="" dxfId="2">
      <formula>40</formula>
    </cfRule>
    <cfRule type="cellIs" priority="1999" operator="greaterThan" aboveAverage="0" equalAverage="0" bottom="0" percent="0" rank="0" text="" dxfId="3">
      <formula>45</formula>
    </cfRule>
  </conditionalFormatting>
  <conditionalFormatting sqref="AS185">
    <cfRule type="cellIs" priority="2000" operator="greaterThan" aboveAverage="0" equalAverage="0" bottom="0" percent="0" rank="0" text="" dxfId="2">
      <formula>40</formula>
    </cfRule>
    <cfRule type="cellIs" priority="2001" operator="greaterThan" aboveAverage="0" equalAverage="0" bottom="0" percent="0" rank="0" text="" dxfId="3">
      <formula>45</formula>
    </cfRule>
  </conditionalFormatting>
  <conditionalFormatting sqref="F188">
    <cfRule type="cellIs" priority="2002" operator="greaterThan" aboveAverage="0" equalAverage="0" bottom="0" percent="0" rank="0" text="" dxfId="2">
      <formula>40</formula>
    </cfRule>
    <cfRule type="cellIs" priority="2003" operator="greaterThan" aboveAverage="0" equalAverage="0" bottom="0" percent="0" rank="0" text="" dxfId="3">
      <formula>45</formula>
    </cfRule>
  </conditionalFormatting>
  <conditionalFormatting sqref="G188">
    <cfRule type="cellIs" priority="2004" operator="greaterThan" aboveAverage="0" equalAverage="0" bottom="0" percent="0" rank="0" text="" dxfId="2">
      <formula>40</formula>
    </cfRule>
    <cfRule type="cellIs" priority="2005" operator="greaterThan" aboveAverage="0" equalAverage="0" bottom="0" percent="0" rank="0" text="" dxfId="3">
      <formula>45</formula>
    </cfRule>
  </conditionalFormatting>
  <conditionalFormatting sqref="H188">
    <cfRule type="cellIs" priority="2006" operator="greaterThan" aboveAverage="0" equalAverage="0" bottom="0" percent="0" rank="0" text="" dxfId="2">
      <formula>40</formula>
    </cfRule>
    <cfRule type="cellIs" priority="2007" operator="greaterThan" aboveAverage="0" equalAverage="0" bottom="0" percent="0" rank="0" text="" dxfId="3">
      <formula>45</formula>
    </cfRule>
  </conditionalFormatting>
  <conditionalFormatting sqref="I188">
    <cfRule type="cellIs" priority="2008" operator="greaterThan" aboveAverage="0" equalAverage="0" bottom="0" percent="0" rank="0" text="" dxfId="2">
      <formula>40</formula>
    </cfRule>
    <cfRule type="cellIs" priority="2009" operator="greaterThan" aboveAverage="0" equalAverage="0" bottom="0" percent="0" rank="0" text="" dxfId="3">
      <formula>45</formula>
    </cfRule>
  </conditionalFormatting>
  <conditionalFormatting sqref="J188">
    <cfRule type="cellIs" priority="2010" operator="greaterThan" aboveAverage="0" equalAverage="0" bottom="0" percent="0" rank="0" text="" dxfId="2">
      <formula>40</formula>
    </cfRule>
    <cfRule type="cellIs" priority="2011" operator="greaterThan" aboveAverage="0" equalAverage="0" bottom="0" percent="0" rank="0" text="" dxfId="3">
      <formula>45</formula>
    </cfRule>
  </conditionalFormatting>
  <conditionalFormatting sqref="K188">
    <cfRule type="cellIs" priority="2012" operator="greaterThan" aboveAverage="0" equalAverage="0" bottom="0" percent="0" rank="0" text="" dxfId="2">
      <formula>40</formula>
    </cfRule>
    <cfRule type="cellIs" priority="2013" operator="greaterThan" aboveAverage="0" equalAverage="0" bottom="0" percent="0" rank="0" text="" dxfId="3">
      <formula>45</formula>
    </cfRule>
  </conditionalFormatting>
  <conditionalFormatting sqref="L188">
    <cfRule type="cellIs" priority="2014" operator="greaterThan" aboveAverage="0" equalAverage="0" bottom="0" percent="0" rank="0" text="" dxfId="2">
      <formula>40</formula>
    </cfRule>
    <cfRule type="cellIs" priority="2015" operator="greaterThan" aboveAverage="0" equalAverage="0" bottom="0" percent="0" rank="0" text="" dxfId="3">
      <formula>45</formula>
    </cfRule>
  </conditionalFormatting>
  <conditionalFormatting sqref="M188">
    <cfRule type="cellIs" priority="2016" operator="greaterThan" aboveAverage="0" equalAverage="0" bottom="0" percent="0" rank="0" text="" dxfId="2">
      <formula>40</formula>
    </cfRule>
    <cfRule type="cellIs" priority="2017" operator="greaterThan" aboveAverage="0" equalAverage="0" bottom="0" percent="0" rank="0" text="" dxfId="3">
      <formula>45</formula>
    </cfRule>
  </conditionalFormatting>
  <conditionalFormatting sqref="N188">
    <cfRule type="cellIs" priority="2018" operator="greaterThan" aboveAverage="0" equalAverage="0" bottom="0" percent="0" rank="0" text="" dxfId="2">
      <formula>40</formula>
    </cfRule>
    <cfRule type="cellIs" priority="2019" operator="greaterThan" aboveAverage="0" equalAverage="0" bottom="0" percent="0" rank="0" text="" dxfId="3">
      <formula>45</formula>
    </cfRule>
  </conditionalFormatting>
  <conditionalFormatting sqref="O188">
    <cfRule type="cellIs" priority="2020" operator="greaterThan" aboveAverage="0" equalAverage="0" bottom="0" percent="0" rank="0" text="" dxfId="2">
      <formula>40</formula>
    </cfRule>
    <cfRule type="cellIs" priority="2021" operator="greaterThan" aboveAverage="0" equalAverage="0" bottom="0" percent="0" rank="0" text="" dxfId="3">
      <formula>45</formula>
    </cfRule>
  </conditionalFormatting>
  <conditionalFormatting sqref="P188">
    <cfRule type="cellIs" priority="2022" operator="greaterThan" aboveAverage="0" equalAverage="0" bottom="0" percent="0" rank="0" text="" dxfId="2">
      <formula>40</formula>
    </cfRule>
    <cfRule type="cellIs" priority="2023" operator="greaterThan" aboveAverage="0" equalAverage="0" bottom="0" percent="0" rank="0" text="" dxfId="3">
      <formula>45</formula>
    </cfRule>
  </conditionalFormatting>
  <conditionalFormatting sqref="Q188">
    <cfRule type="cellIs" priority="2024" operator="greaterThan" aboveAverage="0" equalAverage="0" bottom="0" percent="0" rank="0" text="" dxfId="2">
      <formula>40</formula>
    </cfRule>
    <cfRule type="cellIs" priority="2025" operator="greaterThan" aboveAverage="0" equalAverage="0" bottom="0" percent="0" rank="0" text="" dxfId="3">
      <formula>45</formula>
    </cfRule>
  </conditionalFormatting>
  <conditionalFormatting sqref="R188">
    <cfRule type="cellIs" priority="2026" operator="greaterThan" aboveAverage="0" equalAverage="0" bottom="0" percent="0" rank="0" text="" dxfId="2">
      <formula>40</formula>
    </cfRule>
    <cfRule type="cellIs" priority="2027" operator="greaterThan" aboveAverage="0" equalAverage="0" bottom="0" percent="0" rank="0" text="" dxfId="3">
      <formula>45</formula>
    </cfRule>
  </conditionalFormatting>
  <conditionalFormatting sqref="S188">
    <cfRule type="cellIs" priority="2028" operator="greaterThan" aboveAverage="0" equalAverage="0" bottom="0" percent="0" rank="0" text="" dxfId="2">
      <formula>40</formula>
    </cfRule>
    <cfRule type="cellIs" priority="2029" operator="greaterThan" aboveAverage="0" equalAverage="0" bottom="0" percent="0" rank="0" text="" dxfId="3">
      <formula>45</formula>
    </cfRule>
  </conditionalFormatting>
  <conditionalFormatting sqref="T188">
    <cfRule type="cellIs" priority="2030" operator="greaterThan" aboveAverage="0" equalAverage="0" bottom="0" percent="0" rank="0" text="" dxfId="2">
      <formula>40</formula>
    </cfRule>
    <cfRule type="cellIs" priority="2031" operator="greaterThan" aboveAverage="0" equalAverage="0" bottom="0" percent="0" rank="0" text="" dxfId="3">
      <formula>45</formula>
    </cfRule>
  </conditionalFormatting>
  <conditionalFormatting sqref="U188">
    <cfRule type="cellIs" priority="2032" operator="greaterThan" aboveAverage="0" equalAverage="0" bottom="0" percent="0" rank="0" text="" dxfId="2">
      <formula>40</formula>
    </cfRule>
    <cfRule type="cellIs" priority="2033" operator="greaterThan" aboveAverage="0" equalAverage="0" bottom="0" percent="0" rank="0" text="" dxfId="3">
      <formula>45</formula>
    </cfRule>
  </conditionalFormatting>
  <conditionalFormatting sqref="V188">
    <cfRule type="cellIs" priority="2034" operator="greaterThan" aboveAverage="0" equalAverage="0" bottom="0" percent="0" rank="0" text="" dxfId="2">
      <formula>40</formula>
    </cfRule>
    <cfRule type="cellIs" priority="2035" operator="greaterThan" aboveAverage="0" equalAverage="0" bottom="0" percent="0" rank="0" text="" dxfId="3">
      <formula>45</formula>
    </cfRule>
  </conditionalFormatting>
  <conditionalFormatting sqref="W188">
    <cfRule type="cellIs" priority="2036" operator="greaterThan" aboveAverage="0" equalAverage="0" bottom="0" percent="0" rank="0" text="" dxfId="2">
      <formula>40</formula>
    </cfRule>
    <cfRule type="cellIs" priority="2037" operator="greaterThan" aboveAverage="0" equalAverage="0" bottom="0" percent="0" rank="0" text="" dxfId="3">
      <formula>45</formula>
    </cfRule>
  </conditionalFormatting>
  <conditionalFormatting sqref="X188">
    <cfRule type="cellIs" priority="2038" operator="greaterThan" aboveAverage="0" equalAverage="0" bottom="0" percent="0" rank="0" text="" dxfId="2">
      <formula>55</formula>
    </cfRule>
    <cfRule type="cellIs" priority="2039" operator="greaterThan" aboveAverage="0" equalAverage="0" bottom="0" percent="0" rank="0" text="" dxfId="3">
      <formula>65</formula>
    </cfRule>
  </conditionalFormatting>
  <conditionalFormatting sqref="Y188">
    <cfRule type="cellIs" priority="2040" operator="greaterThan" aboveAverage="0" equalAverage="0" bottom="0" percent="0" rank="0" text="" dxfId="2">
      <formula>55</formula>
    </cfRule>
    <cfRule type="cellIs" priority="2041" operator="greaterThan" aboveAverage="0" equalAverage="0" bottom="0" percent="0" rank="0" text="" dxfId="3">
      <formula>65</formula>
    </cfRule>
  </conditionalFormatting>
  <conditionalFormatting sqref="Z188">
    <cfRule type="cellIs" priority="2042" operator="greaterThan" aboveAverage="0" equalAverage="0" bottom="0" percent="0" rank="0" text="" dxfId="2">
      <formula>55</formula>
    </cfRule>
    <cfRule type="cellIs" priority="2043" operator="greaterThan" aboveAverage="0" equalAverage="0" bottom="0" percent="0" rank="0" text="" dxfId="3">
      <formula>65</formula>
    </cfRule>
  </conditionalFormatting>
  <conditionalFormatting sqref="AA188">
    <cfRule type="cellIs" priority="2044" operator="greaterThan" aboveAverage="0" equalAverage="0" bottom="0" percent="0" rank="0" text="" dxfId="2">
      <formula>55</formula>
    </cfRule>
    <cfRule type="cellIs" priority="2045" operator="greaterThan" aboveAverage="0" equalAverage="0" bottom="0" percent="0" rank="0" text="" dxfId="3">
      <formula>65</formula>
    </cfRule>
  </conditionalFormatting>
  <conditionalFormatting sqref="AB188">
    <cfRule type="cellIs" priority="2046" operator="greaterThan" aboveAverage="0" equalAverage="0" bottom="0" percent="0" rank="0" text="" dxfId="2">
      <formula>55</formula>
    </cfRule>
    <cfRule type="cellIs" priority="2047" operator="greaterThan" aboveAverage="0" equalAverage="0" bottom="0" percent="0" rank="0" text="" dxfId="3">
      <formula>65</formula>
    </cfRule>
  </conditionalFormatting>
  <conditionalFormatting sqref="AC188">
    <cfRule type="cellIs" priority="2048" operator="greaterThan" aboveAverage="0" equalAverage="0" bottom="0" percent="0" rank="0" text="" dxfId="2">
      <formula>55</formula>
    </cfRule>
    <cfRule type="cellIs" priority="2049" operator="greaterThan" aboveAverage="0" equalAverage="0" bottom="0" percent="0" rank="0" text="" dxfId="3">
      <formula>65</formula>
    </cfRule>
  </conditionalFormatting>
  <conditionalFormatting sqref="AD188">
    <cfRule type="cellIs" priority="2050" operator="greaterThan" aboveAverage="0" equalAverage="0" bottom="0" percent="0" rank="0" text="" dxfId="2">
      <formula>55</formula>
    </cfRule>
    <cfRule type="cellIs" priority="2051" operator="greaterThan" aboveAverage="0" equalAverage="0" bottom="0" percent="0" rank="0" text="" dxfId="3">
      <formula>65</formula>
    </cfRule>
  </conditionalFormatting>
  <conditionalFormatting sqref="AE188">
    <cfRule type="cellIs" priority="2052" operator="greaterThan" aboveAverage="0" equalAverage="0" bottom="0" percent="0" rank="0" text="" dxfId="2">
      <formula>55</formula>
    </cfRule>
    <cfRule type="cellIs" priority="2053" operator="greaterThan" aboveAverage="0" equalAverage="0" bottom="0" percent="0" rank="0" text="" dxfId="3">
      <formula>65</formula>
    </cfRule>
  </conditionalFormatting>
  <conditionalFormatting sqref="AF188">
    <cfRule type="cellIs" priority="2054" operator="greaterThan" aboveAverage="0" equalAverage="0" bottom="0" percent="0" rank="0" text="" dxfId="2">
      <formula>40</formula>
    </cfRule>
    <cfRule type="cellIs" priority="2055" operator="greaterThan" aboveAverage="0" equalAverage="0" bottom="0" percent="0" rank="0" text="" dxfId="3">
      <formula>45</formula>
    </cfRule>
  </conditionalFormatting>
  <conditionalFormatting sqref="AG188">
    <cfRule type="cellIs" priority="2056" operator="greaterThan" aboveAverage="0" equalAverage="0" bottom="0" percent="0" rank="0" text="" dxfId="2">
      <formula>40</formula>
    </cfRule>
    <cfRule type="cellIs" priority="2057" operator="greaterThan" aboveAverage="0" equalAverage="0" bottom="0" percent="0" rank="0" text="" dxfId="3">
      <formula>45</formula>
    </cfRule>
  </conditionalFormatting>
  <conditionalFormatting sqref="AH188">
    <cfRule type="cellIs" priority="2058" operator="greaterThan" aboveAverage="0" equalAverage="0" bottom="0" percent="0" rank="0" text="" dxfId="2">
      <formula>40</formula>
    </cfRule>
    <cfRule type="cellIs" priority="2059" operator="greaterThan" aboveAverage="0" equalAverage="0" bottom="0" percent="0" rank="0" text="" dxfId="3">
      <formula>45</formula>
    </cfRule>
  </conditionalFormatting>
  <conditionalFormatting sqref="AI188">
    <cfRule type="cellIs" priority="2060" operator="greaterThan" aboveAverage="0" equalAverage="0" bottom="0" percent="0" rank="0" text="" dxfId="2">
      <formula>40</formula>
    </cfRule>
    <cfRule type="cellIs" priority="2061" operator="greaterThan" aboveAverage="0" equalAverage="0" bottom="0" percent="0" rank="0" text="" dxfId="3">
      <formula>45</formula>
    </cfRule>
  </conditionalFormatting>
  <conditionalFormatting sqref="AJ188">
    <cfRule type="cellIs" priority="2062" operator="greaterThan" aboveAverage="0" equalAverage="0" bottom="0" percent="0" rank="0" text="" dxfId="2">
      <formula>40</formula>
    </cfRule>
    <cfRule type="cellIs" priority="2063" operator="greaterThan" aboveAverage="0" equalAverage="0" bottom="0" percent="0" rank="0" text="" dxfId="3">
      <formula>45</formula>
    </cfRule>
  </conditionalFormatting>
  <conditionalFormatting sqref="AK188">
    <cfRule type="cellIs" priority="2064" operator="greaterThan" aboveAverage="0" equalAverage="0" bottom="0" percent="0" rank="0" text="" dxfId="2">
      <formula>40</formula>
    </cfRule>
    <cfRule type="cellIs" priority="2065" operator="greaterThan" aboveAverage="0" equalAverage="0" bottom="0" percent="0" rank="0" text="" dxfId="3">
      <formula>45</formula>
    </cfRule>
  </conditionalFormatting>
  <conditionalFormatting sqref="AL188">
    <cfRule type="cellIs" priority="2066" operator="greaterThan" aboveAverage="0" equalAverage="0" bottom="0" percent="0" rank="0" text="" dxfId="2">
      <formula>40</formula>
    </cfRule>
    <cfRule type="cellIs" priority="2067" operator="greaterThan" aboveAverage="0" equalAverage="0" bottom="0" percent="0" rank="0" text="" dxfId="3">
      <formula>45</formula>
    </cfRule>
  </conditionalFormatting>
  <conditionalFormatting sqref="AM188">
    <cfRule type="cellIs" priority="2068" operator="greaterThan" aboveAverage="0" equalAverage="0" bottom="0" percent="0" rank="0" text="" dxfId="2">
      <formula>40</formula>
    </cfRule>
    <cfRule type="cellIs" priority="2069" operator="greaterThan" aboveAverage="0" equalAverage="0" bottom="0" percent="0" rank="0" text="" dxfId="3">
      <formula>45</formula>
    </cfRule>
  </conditionalFormatting>
  <conditionalFormatting sqref="AN188">
    <cfRule type="cellIs" priority="2070" operator="greaterThan" aboveAverage="0" equalAverage="0" bottom="0" percent="0" rank="0" text="" dxfId="2">
      <formula>40</formula>
    </cfRule>
    <cfRule type="cellIs" priority="2071" operator="greaterThan" aboveAverage="0" equalAverage="0" bottom="0" percent="0" rank="0" text="" dxfId="3">
      <formula>45</formula>
    </cfRule>
  </conditionalFormatting>
  <conditionalFormatting sqref="AO188">
    <cfRule type="cellIs" priority="2072" operator="greaterThan" aboveAverage="0" equalAverage="0" bottom="0" percent="0" rank="0" text="" dxfId="2">
      <formula>40</formula>
    </cfRule>
    <cfRule type="cellIs" priority="2073" operator="greaterThan" aboveAverage="0" equalAverage="0" bottom="0" percent="0" rank="0" text="" dxfId="3">
      <formula>45</formula>
    </cfRule>
  </conditionalFormatting>
  <conditionalFormatting sqref="AP188">
    <cfRule type="cellIs" priority="2074" operator="greaterThan" aboveAverage="0" equalAverage="0" bottom="0" percent="0" rank="0" text="" dxfId="2">
      <formula>40</formula>
    </cfRule>
    <cfRule type="cellIs" priority="2075" operator="greaterThan" aboveAverage="0" equalAverage="0" bottom="0" percent="0" rank="0" text="" dxfId="3">
      <formula>45</formula>
    </cfRule>
  </conditionalFormatting>
  <conditionalFormatting sqref="AQ188">
    <cfRule type="cellIs" priority="2076" operator="greaterThan" aboveAverage="0" equalAverage="0" bottom="0" percent="0" rank="0" text="" dxfId="2">
      <formula>40</formula>
    </cfRule>
    <cfRule type="cellIs" priority="2077" operator="greaterThan" aboveAverage="0" equalAverage="0" bottom="0" percent="0" rank="0" text="" dxfId="3">
      <formula>45</formula>
    </cfRule>
  </conditionalFormatting>
  <conditionalFormatting sqref="AR188">
    <cfRule type="cellIs" priority="2078" operator="greaterThan" aboveAverage="0" equalAverage="0" bottom="0" percent="0" rank="0" text="" dxfId="2">
      <formula>40</formula>
    </cfRule>
    <cfRule type="cellIs" priority="2079" operator="greaterThan" aboveAverage="0" equalAverage="0" bottom="0" percent="0" rank="0" text="" dxfId="3">
      <formula>45</formula>
    </cfRule>
  </conditionalFormatting>
  <conditionalFormatting sqref="AS188">
    <cfRule type="cellIs" priority="2080" operator="greaterThan" aboveAverage="0" equalAverage="0" bottom="0" percent="0" rank="0" text="" dxfId="2">
      <formula>40</formula>
    </cfRule>
    <cfRule type="cellIs" priority="2081" operator="greaterThan" aboveAverage="0" equalAverage="0" bottom="0" percent="0" rank="0" text="" dxfId="3">
      <formula>45</formula>
    </cfRule>
  </conditionalFormatting>
  <conditionalFormatting sqref="F194">
    <cfRule type="cellIs" priority="2082" operator="greaterThan" aboveAverage="0" equalAverage="0" bottom="0" percent="0" rank="0" text="" dxfId="2">
      <formula>40</formula>
    </cfRule>
    <cfRule type="cellIs" priority="2083" operator="greaterThan" aboveAverage="0" equalAverage="0" bottom="0" percent="0" rank="0" text="" dxfId="3">
      <formula>45</formula>
    </cfRule>
  </conditionalFormatting>
  <conditionalFormatting sqref="G194">
    <cfRule type="cellIs" priority="2084" operator="greaterThan" aboveAverage="0" equalAverage="0" bottom="0" percent="0" rank="0" text="" dxfId="2">
      <formula>40</formula>
    </cfRule>
    <cfRule type="cellIs" priority="2085" operator="greaterThan" aboveAverage="0" equalAverage="0" bottom="0" percent="0" rank="0" text="" dxfId="3">
      <formula>45</formula>
    </cfRule>
  </conditionalFormatting>
  <conditionalFormatting sqref="H194">
    <cfRule type="cellIs" priority="2086" operator="greaterThan" aboveAverage="0" equalAverage="0" bottom="0" percent="0" rank="0" text="" dxfId="2">
      <formula>40</formula>
    </cfRule>
    <cfRule type="cellIs" priority="2087" operator="greaterThan" aboveAverage="0" equalAverage="0" bottom="0" percent="0" rank="0" text="" dxfId="3">
      <formula>45</formula>
    </cfRule>
  </conditionalFormatting>
  <conditionalFormatting sqref="I194">
    <cfRule type="cellIs" priority="2088" operator="greaterThan" aboveAverage="0" equalAverage="0" bottom="0" percent="0" rank="0" text="" dxfId="2">
      <formula>40</formula>
    </cfRule>
    <cfRule type="cellIs" priority="2089" operator="greaterThan" aboveAverage="0" equalAverage="0" bottom="0" percent="0" rank="0" text="" dxfId="3">
      <formula>45</formula>
    </cfRule>
  </conditionalFormatting>
  <conditionalFormatting sqref="J194">
    <cfRule type="cellIs" priority="2090" operator="greaterThan" aboveAverage="0" equalAverage="0" bottom="0" percent="0" rank="0" text="" dxfId="2">
      <formula>40</formula>
    </cfRule>
    <cfRule type="cellIs" priority="2091" operator="greaterThan" aboveAverage="0" equalAverage="0" bottom="0" percent="0" rank="0" text="" dxfId="3">
      <formula>45</formula>
    </cfRule>
  </conditionalFormatting>
  <conditionalFormatting sqref="K194">
    <cfRule type="cellIs" priority="2092" operator="greaterThan" aboveAverage="0" equalAverage="0" bottom="0" percent="0" rank="0" text="" dxfId="2">
      <formula>40</formula>
    </cfRule>
    <cfRule type="cellIs" priority="2093" operator="greaterThan" aboveAverage="0" equalAverage="0" bottom="0" percent="0" rank="0" text="" dxfId="3">
      <formula>45</formula>
    </cfRule>
  </conditionalFormatting>
  <conditionalFormatting sqref="L194">
    <cfRule type="cellIs" priority="2094" operator="greaterThan" aboveAverage="0" equalAverage="0" bottom="0" percent="0" rank="0" text="" dxfId="2">
      <formula>40</formula>
    </cfRule>
    <cfRule type="cellIs" priority="2095" operator="greaterThan" aboveAverage="0" equalAverage="0" bottom="0" percent="0" rank="0" text="" dxfId="3">
      <formula>45</formula>
    </cfRule>
  </conditionalFormatting>
  <conditionalFormatting sqref="M194">
    <cfRule type="cellIs" priority="2096" operator="greaterThan" aboveAverage="0" equalAverage="0" bottom="0" percent="0" rank="0" text="" dxfId="2">
      <formula>40</formula>
    </cfRule>
    <cfRule type="cellIs" priority="2097" operator="greaterThan" aboveAverage="0" equalAverage="0" bottom="0" percent="0" rank="0" text="" dxfId="3">
      <formula>45</formula>
    </cfRule>
  </conditionalFormatting>
  <conditionalFormatting sqref="N194">
    <cfRule type="cellIs" priority="2098" operator="greaterThan" aboveAverage="0" equalAverage="0" bottom="0" percent="0" rank="0" text="" dxfId="2">
      <formula>40</formula>
    </cfRule>
    <cfRule type="cellIs" priority="2099" operator="greaterThan" aboveAverage="0" equalAverage="0" bottom="0" percent="0" rank="0" text="" dxfId="3">
      <formula>45</formula>
    </cfRule>
  </conditionalFormatting>
  <conditionalFormatting sqref="O194">
    <cfRule type="cellIs" priority="2100" operator="greaterThan" aboveAverage="0" equalAverage="0" bottom="0" percent="0" rank="0" text="" dxfId="2">
      <formula>40</formula>
    </cfRule>
    <cfRule type="cellIs" priority="2101" operator="greaterThan" aboveAverage="0" equalAverage="0" bottom="0" percent="0" rank="0" text="" dxfId="3">
      <formula>45</formula>
    </cfRule>
  </conditionalFormatting>
  <conditionalFormatting sqref="P194">
    <cfRule type="cellIs" priority="2102" operator="greaterThan" aboveAverage="0" equalAverage="0" bottom="0" percent="0" rank="0" text="" dxfId="2">
      <formula>40</formula>
    </cfRule>
    <cfRule type="cellIs" priority="2103" operator="greaterThan" aboveAverage="0" equalAverage="0" bottom="0" percent="0" rank="0" text="" dxfId="3">
      <formula>45</formula>
    </cfRule>
  </conditionalFormatting>
  <conditionalFormatting sqref="Q194">
    <cfRule type="cellIs" priority="2104" operator="greaterThan" aboveAverage="0" equalAverage="0" bottom="0" percent="0" rank="0" text="" dxfId="2">
      <formula>40</formula>
    </cfRule>
    <cfRule type="cellIs" priority="2105" operator="greaterThan" aboveAverage="0" equalAverage="0" bottom="0" percent="0" rank="0" text="" dxfId="3">
      <formula>45</formula>
    </cfRule>
  </conditionalFormatting>
  <conditionalFormatting sqref="R194">
    <cfRule type="cellIs" priority="2106" operator="greaterThan" aboveAverage="0" equalAverage="0" bottom="0" percent="0" rank="0" text="" dxfId="2">
      <formula>40</formula>
    </cfRule>
    <cfRule type="cellIs" priority="2107" operator="greaterThan" aboveAverage="0" equalAverage="0" bottom="0" percent="0" rank="0" text="" dxfId="3">
      <formula>45</formula>
    </cfRule>
  </conditionalFormatting>
  <conditionalFormatting sqref="S194">
    <cfRule type="cellIs" priority="2108" operator="greaterThan" aboveAverage="0" equalAverage="0" bottom="0" percent="0" rank="0" text="" dxfId="2">
      <formula>40</formula>
    </cfRule>
    <cfRule type="cellIs" priority="2109" operator="greaterThan" aboveAverage="0" equalAverage="0" bottom="0" percent="0" rank="0" text="" dxfId="3">
      <formula>45</formula>
    </cfRule>
  </conditionalFormatting>
  <conditionalFormatting sqref="T194">
    <cfRule type="cellIs" priority="2110" operator="greaterThan" aboveAverage="0" equalAverage="0" bottom="0" percent="0" rank="0" text="" dxfId="2">
      <formula>40</formula>
    </cfRule>
    <cfRule type="cellIs" priority="2111" operator="greaterThan" aboveAverage="0" equalAverage="0" bottom="0" percent="0" rank="0" text="" dxfId="3">
      <formula>45</formula>
    </cfRule>
  </conditionalFormatting>
  <conditionalFormatting sqref="U194">
    <cfRule type="cellIs" priority="2112" operator="greaterThan" aboveAverage="0" equalAverage="0" bottom="0" percent="0" rank="0" text="" dxfId="2">
      <formula>40</formula>
    </cfRule>
    <cfRule type="cellIs" priority="2113" operator="greaterThan" aboveAverage="0" equalAverage="0" bottom="0" percent="0" rank="0" text="" dxfId="3">
      <formula>45</formula>
    </cfRule>
  </conditionalFormatting>
  <conditionalFormatting sqref="V194">
    <cfRule type="cellIs" priority="2114" operator="greaterThan" aboveAverage="0" equalAverage="0" bottom="0" percent="0" rank="0" text="" dxfId="2">
      <formula>40</formula>
    </cfRule>
    <cfRule type="cellIs" priority="2115" operator="greaterThan" aboveAverage="0" equalAverage="0" bottom="0" percent="0" rank="0" text="" dxfId="3">
      <formula>45</formula>
    </cfRule>
  </conditionalFormatting>
  <conditionalFormatting sqref="W194">
    <cfRule type="cellIs" priority="2116" operator="greaterThan" aboveAverage="0" equalAverage="0" bottom="0" percent="0" rank="0" text="" dxfId="2">
      <formula>40</formula>
    </cfRule>
    <cfRule type="cellIs" priority="2117" operator="greaterThan" aboveAverage="0" equalAverage="0" bottom="0" percent="0" rank="0" text="" dxfId="3">
      <formula>45</formula>
    </cfRule>
  </conditionalFormatting>
  <conditionalFormatting sqref="X194">
    <cfRule type="cellIs" priority="2118" operator="greaterThan" aboveAverage="0" equalAverage="0" bottom="0" percent="0" rank="0" text="" dxfId="2">
      <formula>55</formula>
    </cfRule>
    <cfRule type="cellIs" priority="2119" operator="greaterThan" aboveAverage="0" equalAverage="0" bottom="0" percent="0" rank="0" text="" dxfId="3">
      <formula>65</formula>
    </cfRule>
  </conditionalFormatting>
  <conditionalFormatting sqref="Y194">
    <cfRule type="cellIs" priority="2120" operator="greaterThan" aboveAverage="0" equalAverage="0" bottom="0" percent="0" rank="0" text="" dxfId="2">
      <formula>55</formula>
    </cfRule>
    <cfRule type="cellIs" priority="2121" operator="greaterThan" aboveAverage="0" equalAverage="0" bottom="0" percent="0" rank="0" text="" dxfId="3">
      <formula>65</formula>
    </cfRule>
  </conditionalFormatting>
  <conditionalFormatting sqref="Z194">
    <cfRule type="cellIs" priority="2122" operator="greaterThan" aboveAverage="0" equalAverage="0" bottom="0" percent="0" rank="0" text="" dxfId="2">
      <formula>55</formula>
    </cfRule>
    <cfRule type="cellIs" priority="2123" operator="greaterThan" aboveAverage="0" equalAverage="0" bottom="0" percent="0" rank="0" text="" dxfId="3">
      <formula>65</formula>
    </cfRule>
  </conditionalFormatting>
  <conditionalFormatting sqref="AA194">
    <cfRule type="cellIs" priority="2124" operator="greaterThan" aboveAverage="0" equalAverage="0" bottom="0" percent="0" rank="0" text="" dxfId="2">
      <formula>55</formula>
    </cfRule>
    <cfRule type="cellIs" priority="2125" operator="greaterThan" aboveAverage="0" equalAverage="0" bottom="0" percent="0" rank="0" text="" dxfId="3">
      <formula>65</formula>
    </cfRule>
  </conditionalFormatting>
  <conditionalFormatting sqref="AB194">
    <cfRule type="cellIs" priority="2126" operator="greaterThan" aboveAverage="0" equalAverage="0" bottom="0" percent="0" rank="0" text="" dxfId="2">
      <formula>55</formula>
    </cfRule>
    <cfRule type="cellIs" priority="2127" operator="greaterThan" aboveAverage="0" equalAverage="0" bottom="0" percent="0" rank="0" text="" dxfId="3">
      <formula>65</formula>
    </cfRule>
  </conditionalFormatting>
  <conditionalFormatting sqref="AC194">
    <cfRule type="cellIs" priority="2128" operator="greaterThan" aboveAverage="0" equalAverage="0" bottom="0" percent="0" rank="0" text="" dxfId="2">
      <formula>55</formula>
    </cfRule>
    <cfRule type="cellIs" priority="2129" operator="greaterThan" aboveAverage="0" equalAverage="0" bottom="0" percent="0" rank="0" text="" dxfId="3">
      <formula>65</formula>
    </cfRule>
  </conditionalFormatting>
  <conditionalFormatting sqref="AD194">
    <cfRule type="cellIs" priority="2130" operator="greaterThan" aboveAverage="0" equalAverage="0" bottom="0" percent="0" rank="0" text="" dxfId="2">
      <formula>55</formula>
    </cfRule>
    <cfRule type="cellIs" priority="2131" operator="greaterThan" aboveAverage="0" equalAverage="0" bottom="0" percent="0" rank="0" text="" dxfId="3">
      <formula>65</formula>
    </cfRule>
  </conditionalFormatting>
  <conditionalFormatting sqref="AE194">
    <cfRule type="cellIs" priority="2132" operator="greaterThan" aboveAverage="0" equalAverage="0" bottom="0" percent="0" rank="0" text="" dxfId="2">
      <formula>55</formula>
    </cfRule>
    <cfRule type="cellIs" priority="2133" operator="greaterThan" aboveAverage="0" equalAverage="0" bottom="0" percent="0" rank="0" text="" dxfId="3">
      <formula>65</formula>
    </cfRule>
  </conditionalFormatting>
  <conditionalFormatting sqref="AF194">
    <cfRule type="cellIs" priority="2134" operator="greaterThan" aboveAverage="0" equalAverage="0" bottom="0" percent="0" rank="0" text="" dxfId="2">
      <formula>40</formula>
    </cfRule>
    <cfRule type="cellIs" priority="2135" operator="greaterThan" aboveAverage="0" equalAverage="0" bottom="0" percent="0" rank="0" text="" dxfId="3">
      <formula>45</formula>
    </cfRule>
  </conditionalFormatting>
  <conditionalFormatting sqref="AG194">
    <cfRule type="cellIs" priority="2136" operator="greaterThan" aboveAverage="0" equalAverage="0" bottom="0" percent="0" rank="0" text="" dxfId="2">
      <formula>40</formula>
    </cfRule>
    <cfRule type="cellIs" priority="2137" operator="greaterThan" aboveAverage="0" equalAverage="0" bottom="0" percent="0" rank="0" text="" dxfId="3">
      <formula>45</formula>
    </cfRule>
  </conditionalFormatting>
  <conditionalFormatting sqref="AH194">
    <cfRule type="cellIs" priority="2138" operator="greaterThan" aboveAverage="0" equalAverage="0" bottom="0" percent="0" rank="0" text="" dxfId="2">
      <formula>40</formula>
    </cfRule>
    <cfRule type="cellIs" priority="2139" operator="greaterThan" aboveAverage="0" equalAverage="0" bottom="0" percent="0" rank="0" text="" dxfId="3">
      <formula>45</formula>
    </cfRule>
  </conditionalFormatting>
  <conditionalFormatting sqref="AI194">
    <cfRule type="cellIs" priority="2140" operator="greaterThan" aboveAverage="0" equalAverage="0" bottom="0" percent="0" rank="0" text="" dxfId="2">
      <formula>40</formula>
    </cfRule>
    <cfRule type="cellIs" priority="2141" operator="greaterThan" aboveAverage="0" equalAverage="0" bottom="0" percent="0" rank="0" text="" dxfId="3">
      <formula>45</formula>
    </cfRule>
  </conditionalFormatting>
  <conditionalFormatting sqref="AJ194">
    <cfRule type="cellIs" priority="2142" operator="greaterThan" aboveAverage="0" equalAverage="0" bottom="0" percent="0" rank="0" text="" dxfId="2">
      <formula>40</formula>
    </cfRule>
    <cfRule type="cellIs" priority="2143" operator="greaterThan" aboveAverage="0" equalAverage="0" bottom="0" percent="0" rank="0" text="" dxfId="3">
      <formula>45</formula>
    </cfRule>
  </conditionalFormatting>
  <conditionalFormatting sqref="AK194">
    <cfRule type="cellIs" priority="2144" operator="greaterThan" aboveAverage="0" equalAverage="0" bottom="0" percent="0" rank="0" text="" dxfId="2">
      <formula>40</formula>
    </cfRule>
    <cfRule type="cellIs" priority="2145" operator="greaterThan" aboveAverage="0" equalAverage="0" bottom="0" percent="0" rank="0" text="" dxfId="3">
      <formula>45</formula>
    </cfRule>
  </conditionalFormatting>
  <conditionalFormatting sqref="AL194">
    <cfRule type="cellIs" priority="2146" operator="greaterThan" aboveAverage="0" equalAverage="0" bottom="0" percent="0" rank="0" text="" dxfId="2">
      <formula>40</formula>
    </cfRule>
    <cfRule type="cellIs" priority="2147" operator="greaterThan" aboveAverage="0" equalAverage="0" bottom="0" percent="0" rank="0" text="" dxfId="3">
      <formula>45</formula>
    </cfRule>
  </conditionalFormatting>
  <conditionalFormatting sqref="AM194">
    <cfRule type="cellIs" priority="2148" operator="greaterThan" aboveAverage="0" equalAverage="0" bottom="0" percent="0" rank="0" text="" dxfId="2">
      <formula>40</formula>
    </cfRule>
    <cfRule type="cellIs" priority="2149" operator="greaterThan" aboveAverage="0" equalAverage="0" bottom="0" percent="0" rank="0" text="" dxfId="3">
      <formula>45</formula>
    </cfRule>
  </conditionalFormatting>
  <conditionalFormatting sqref="AN194">
    <cfRule type="cellIs" priority="2150" operator="greaterThan" aboveAverage="0" equalAverage="0" bottom="0" percent="0" rank="0" text="" dxfId="2">
      <formula>40</formula>
    </cfRule>
    <cfRule type="cellIs" priority="2151" operator="greaterThan" aboveAverage="0" equalAverage="0" bottom="0" percent="0" rank="0" text="" dxfId="3">
      <formula>45</formula>
    </cfRule>
  </conditionalFormatting>
  <conditionalFormatting sqref="AO194">
    <cfRule type="cellIs" priority="2152" operator="greaterThan" aboveAverage="0" equalAverage="0" bottom="0" percent="0" rank="0" text="" dxfId="2">
      <formula>40</formula>
    </cfRule>
    <cfRule type="cellIs" priority="2153" operator="greaterThan" aboveAverage="0" equalAverage="0" bottom="0" percent="0" rank="0" text="" dxfId="3">
      <formula>45</formula>
    </cfRule>
  </conditionalFormatting>
  <conditionalFormatting sqref="AP194">
    <cfRule type="cellIs" priority="2154" operator="greaterThan" aboveAverage="0" equalAverage="0" bottom="0" percent="0" rank="0" text="" dxfId="2">
      <formula>40</formula>
    </cfRule>
    <cfRule type="cellIs" priority="2155" operator="greaterThan" aboveAverage="0" equalAverage="0" bottom="0" percent="0" rank="0" text="" dxfId="3">
      <formula>45</formula>
    </cfRule>
  </conditionalFormatting>
  <conditionalFormatting sqref="AQ194">
    <cfRule type="cellIs" priority="2156" operator="greaterThan" aboveAverage="0" equalAverage="0" bottom="0" percent="0" rank="0" text="" dxfId="2">
      <formula>40</formula>
    </cfRule>
    <cfRule type="cellIs" priority="2157" operator="greaterThan" aboveAverage="0" equalAverage="0" bottom="0" percent="0" rank="0" text="" dxfId="3">
      <formula>45</formula>
    </cfRule>
  </conditionalFormatting>
  <conditionalFormatting sqref="AR194">
    <cfRule type="cellIs" priority="2158" operator="greaterThan" aboveAverage="0" equalAverage="0" bottom="0" percent="0" rank="0" text="" dxfId="2">
      <formula>40</formula>
    </cfRule>
    <cfRule type="cellIs" priority="2159" operator="greaterThan" aboveAverage="0" equalAverage="0" bottom="0" percent="0" rank="0" text="" dxfId="3">
      <formula>45</formula>
    </cfRule>
  </conditionalFormatting>
  <conditionalFormatting sqref="AS194">
    <cfRule type="cellIs" priority="2160" operator="greaterThan" aboveAverage="0" equalAverage="0" bottom="0" percent="0" rank="0" text="" dxfId="2">
      <formula>40</formula>
    </cfRule>
    <cfRule type="cellIs" priority="2161" operator="greaterThan" aboveAverage="0" equalAverage="0" bottom="0" percent="0" rank="0" text="" dxfId="3">
      <formula>45</formula>
    </cfRule>
  </conditionalFormatting>
  <conditionalFormatting sqref="F198">
    <cfRule type="cellIs" priority="2162" operator="greaterThan" aboveAverage="0" equalAverage="0" bottom="0" percent="0" rank="0" text="" dxfId="2">
      <formula>40</formula>
    </cfRule>
    <cfRule type="cellIs" priority="2163" operator="greaterThan" aboveAverage="0" equalAverage="0" bottom="0" percent="0" rank="0" text="" dxfId="3">
      <formula>45</formula>
    </cfRule>
  </conditionalFormatting>
  <conditionalFormatting sqref="G198">
    <cfRule type="cellIs" priority="2164" operator="greaterThan" aboveAverage="0" equalAverage="0" bottom="0" percent="0" rank="0" text="" dxfId="2">
      <formula>40</formula>
    </cfRule>
    <cfRule type="cellIs" priority="2165" operator="greaterThan" aboveAverage="0" equalAverage="0" bottom="0" percent="0" rank="0" text="" dxfId="3">
      <formula>45</formula>
    </cfRule>
  </conditionalFormatting>
  <conditionalFormatting sqref="H198">
    <cfRule type="cellIs" priority="2166" operator="greaterThan" aboveAverage="0" equalAverage="0" bottom="0" percent="0" rank="0" text="" dxfId="2">
      <formula>40</formula>
    </cfRule>
    <cfRule type="cellIs" priority="2167" operator="greaterThan" aboveAverage="0" equalAverage="0" bottom="0" percent="0" rank="0" text="" dxfId="3">
      <formula>45</formula>
    </cfRule>
  </conditionalFormatting>
  <conditionalFormatting sqref="I198">
    <cfRule type="cellIs" priority="2168" operator="greaterThan" aboveAverage="0" equalAverage="0" bottom="0" percent="0" rank="0" text="" dxfId="2">
      <formula>40</formula>
    </cfRule>
    <cfRule type="cellIs" priority="2169" operator="greaterThan" aboveAverage="0" equalAverage="0" bottom="0" percent="0" rank="0" text="" dxfId="3">
      <formula>45</formula>
    </cfRule>
  </conditionalFormatting>
  <conditionalFormatting sqref="J198">
    <cfRule type="cellIs" priority="2170" operator="greaterThan" aboveAverage="0" equalAverage="0" bottom="0" percent="0" rank="0" text="" dxfId="2">
      <formula>40</formula>
    </cfRule>
    <cfRule type="cellIs" priority="2171" operator="greaterThan" aboveAverage="0" equalAverage="0" bottom="0" percent="0" rank="0" text="" dxfId="3">
      <formula>45</formula>
    </cfRule>
  </conditionalFormatting>
  <conditionalFormatting sqref="K198">
    <cfRule type="cellIs" priority="2172" operator="greaterThan" aboveAverage="0" equalAverage="0" bottom="0" percent="0" rank="0" text="" dxfId="2">
      <formula>40</formula>
    </cfRule>
    <cfRule type="cellIs" priority="2173" operator="greaterThan" aboveAverage="0" equalAverage="0" bottom="0" percent="0" rank="0" text="" dxfId="3">
      <formula>45</formula>
    </cfRule>
  </conditionalFormatting>
  <conditionalFormatting sqref="L198">
    <cfRule type="cellIs" priority="2174" operator="greaterThan" aboveAverage="0" equalAverage="0" bottom="0" percent="0" rank="0" text="" dxfId="2">
      <formula>40</formula>
    </cfRule>
    <cfRule type="cellIs" priority="2175" operator="greaterThan" aboveAverage="0" equalAverage="0" bottom="0" percent="0" rank="0" text="" dxfId="3">
      <formula>45</formula>
    </cfRule>
  </conditionalFormatting>
  <conditionalFormatting sqref="M198">
    <cfRule type="cellIs" priority="2176" operator="greaterThan" aboveAverage="0" equalAverage="0" bottom="0" percent="0" rank="0" text="" dxfId="2">
      <formula>40</formula>
    </cfRule>
    <cfRule type="cellIs" priority="2177" operator="greaterThan" aboveAverage="0" equalAverage="0" bottom="0" percent="0" rank="0" text="" dxfId="3">
      <formula>45</formula>
    </cfRule>
  </conditionalFormatting>
  <conditionalFormatting sqref="N198">
    <cfRule type="cellIs" priority="2178" operator="greaterThan" aboveAverage="0" equalAverage="0" bottom="0" percent="0" rank="0" text="" dxfId="2">
      <formula>40</formula>
    </cfRule>
    <cfRule type="cellIs" priority="2179" operator="greaterThan" aboveAverage="0" equalAverage="0" bottom="0" percent="0" rank="0" text="" dxfId="3">
      <formula>45</formula>
    </cfRule>
  </conditionalFormatting>
  <conditionalFormatting sqref="O198">
    <cfRule type="cellIs" priority="2180" operator="greaterThan" aboveAverage="0" equalAverage="0" bottom="0" percent="0" rank="0" text="" dxfId="2">
      <formula>40</formula>
    </cfRule>
    <cfRule type="cellIs" priority="2181" operator="greaterThan" aboveAverage="0" equalAverage="0" bottom="0" percent="0" rank="0" text="" dxfId="3">
      <formula>45</formula>
    </cfRule>
  </conditionalFormatting>
  <conditionalFormatting sqref="P198">
    <cfRule type="cellIs" priority="2182" operator="greaterThan" aboveAverage="0" equalAverage="0" bottom="0" percent="0" rank="0" text="" dxfId="2">
      <formula>40</formula>
    </cfRule>
    <cfRule type="cellIs" priority="2183" operator="greaterThan" aboveAverage="0" equalAverage="0" bottom="0" percent="0" rank="0" text="" dxfId="3">
      <formula>45</formula>
    </cfRule>
  </conditionalFormatting>
  <conditionalFormatting sqref="Q198">
    <cfRule type="cellIs" priority="2184" operator="greaterThan" aboveAverage="0" equalAverage="0" bottom="0" percent="0" rank="0" text="" dxfId="2">
      <formula>40</formula>
    </cfRule>
    <cfRule type="cellIs" priority="2185" operator="greaterThan" aboveAverage="0" equalAverage="0" bottom="0" percent="0" rank="0" text="" dxfId="3">
      <formula>45</formula>
    </cfRule>
  </conditionalFormatting>
  <conditionalFormatting sqref="R198">
    <cfRule type="cellIs" priority="2186" operator="greaterThan" aboveAverage="0" equalAverage="0" bottom="0" percent="0" rank="0" text="" dxfId="2">
      <formula>40</formula>
    </cfRule>
    <cfRule type="cellIs" priority="2187" operator="greaterThan" aboveAverage="0" equalAverage="0" bottom="0" percent="0" rank="0" text="" dxfId="3">
      <formula>45</formula>
    </cfRule>
  </conditionalFormatting>
  <conditionalFormatting sqref="S198">
    <cfRule type="cellIs" priority="2188" operator="greaterThan" aboveAverage="0" equalAverage="0" bottom="0" percent="0" rank="0" text="" dxfId="2">
      <formula>40</formula>
    </cfRule>
    <cfRule type="cellIs" priority="2189" operator="greaterThan" aboveAverage="0" equalAverage="0" bottom="0" percent="0" rank="0" text="" dxfId="3">
      <formula>45</formula>
    </cfRule>
  </conditionalFormatting>
  <conditionalFormatting sqref="T198">
    <cfRule type="cellIs" priority="2190" operator="greaterThan" aboveAverage="0" equalAverage="0" bottom="0" percent="0" rank="0" text="" dxfId="2">
      <formula>40</formula>
    </cfRule>
    <cfRule type="cellIs" priority="2191" operator="greaterThan" aboveAverage="0" equalAverage="0" bottom="0" percent="0" rank="0" text="" dxfId="3">
      <formula>45</formula>
    </cfRule>
  </conditionalFormatting>
  <conditionalFormatting sqref="U198">
    <cfRule type="cellIs" priority="2192" operator="greaterThan" aboveAverage="0" equalAverage="0" bottom="0" percent="0" rank="0" text="" dxfId="2">
      <formula>40</formula>
    </cfRule>
    <cfRule type="cellIs" priority="2193" operator="greaterThan" aboveAverage="0" equalAverage="0" bottom="0" percent="0" rank="0" text="" dxfId="3">
      <formula>45</formula>
    </cfRule>
  </conditionalFormatting>
  <conditionalFormatting sqref="V198">
    <cfRule type="cellIs" priority="2194" operator="greaterThan" aboveAverage="0" equalAverage="0" bottom="0" percent="0" rank="0" text="" dxfId="2">
      <formula>40</formula>
    </cfRule>
    <cfRule type="cellIs" priority="2195" operator="greaterThan" aboveAverage="0" equalAverage="0" bottom="0" percent="0" rank="0" text="" dxfId="3">
      <formula>45</formula>
    </cfRule>
  </conditionalFormatting>
  <conditionalFormatting sqref="W198">
    <cfRule type="cellIs" priority="2196" operator="greaterThan" aboveAverage="0" equalAverage="0" bottom="0" percent="0" rank="0" text="" dxfId="2">
      <formula>40</formula>
    </cfRule>
    <cfRule type="cellIs" priority="2197" operator="greaterThan" aboveAverage="0" equalAverage="0" bottom="0" percent="0" rank="0" text="" dxfId="3">
      <formula>45</formula>
    </cfRule>
  </conditionalFormatting>
  <conditionalFormatting sqref="X198">
    <cfRule type="cellIs" priority="2198" operator="greaterThan" aboveAverage="0" equalAverage="0" bottom="0" percent="0" rank="0" text="" dxfId="2">
      <formula>55</formula>
    </cfRule>
    <cfRule type="cellIs" priority="2199" operator="greaterThan" aboveAverage="0" equalAverage="0" bottom="0" percent="0" rank="0" text="" dxfId="3">
      <formula>65</formula>
    </cfRule>
  </conditionalFormatting>
  <conditionalFormatting sqref="Y198">
    <cfRule type="cellIs" priority="2200" operator="greaterThan" aboveAverage="0" equalAverage="0" bottom="0" percent="0" rank="0" text="" dxfId="2">
      <formula>55</formula>
    </cfRule>
    <cfRule type="cellIs" priority="2201" operator="greaterThan" aboveAverage="0" equalAverage="0" bottom="0" percent="0" rank="0" text="" dxfId="3">
      <formula>65</formula>
    </cfRule>
  </conditionalFormatting>
  <conditionalFormatting sqref="Z198">
    <cfRule type="cellIs" priority="2202" operator="greaterThan" aboveAverage="0" equalAverage="0" bottom="0" percent="0" rank="0" text="" dxfId="2">
      <formula>55</formula>
    </cfRule>
    <cfRule type="cellIs" priority="2203" operator="greaterThan" aboveAverage="0" equalAverage="0" bottom="0" percent="0" rank="0" text="" dxfId="3">
      <formula>65</formula>
    </cfRule>
  </conditionalFormatting>
  <conditionalFormatting sqref="AA198">
    <cfRule type="cellIs" priority="2204" operator="greaterThan" aboveAverage="0" equalAverage="0" bottom="0" percent="0" rank="0" text="" dxfId="2">
      <formula>55</formula>
    </cfRule>
    <cfRule type="cellIs" priority="2205" operator="greaterThan" aboveAverage="0" equalAverage="0" bottom="0" percent="0" rank="0" text="" dxfId="3">
      <formula>65</formula>
    </cfRule>
  </conditionalFormatting>
  <conditionalFormatting sqref="AB198">
    <cfRule type="cellIs" priority="2206" operator="greaterThan" aboveAverage="0" equalAverage="0" bottom="0" percent="0" rank="0" text="" dxfId="2">
      <formula>55</formula>
    </cfRule>
    <cfRule type="cellIs" priority="2207" operator="greaterThan" aboveAverage="0" equalAverage="0" bottom="0" percent="0" rank="0" text="" dxfId="3">
      <formula>65</formula>
    </cfRule>
  </conditionalFormatting>
  <conditionalFormatting sqref="AC198">
    <cfRule type="cellIs" priority="2208" operator="greaterThan" aboveAverage="0" equalAverage="0" bottom="0" percent="0" rank="0" text="" dxfId="2">
      <formula>55</formula>
    </cfRule>
    <cfRule type="cellIs" priority="2209" operator="greaterThan" aboveAverage="0" equalAverage="0" bottom="0" percent="0" rank="0" text="" dxfId="3">
      <formula>65</formula>
    </cfRule>
  </conditionalFormatting>
  <conditionalFormatting sqref="AD198">
    <cfRule type="cellIs" priority="2210" operator="greaterThan" aboveAverage="0" equalAverage="0" bottom="0" percent="0" rank="0" text="" dxfId="2">
      <formula>55</formula>
    </cfRule>
    <cfRule type="cellIs" priority="2211" operator="greaterThan" aboveAverage="0" equalAverage="0" bottom="0" percent="0" rank="0" text="" dxfId="3">
      <formula>65</formula>
    </cfRule>
  </conditionalFormatting>
  <conditionalFormatting sqref="AE198">
    <cfRule type="cellIs" priority="2212" operator="greaterThan" aboveAverage="0" equalAverage="0" bottom="0" percent="0" rank="0" text="" dxfId="2">
      <formula>55</formula>
    </cfRule>
    <cfRule type="cellIs" priority="2213" operator="greaterThan" aboveAverage="0" equalAverage="0" bottom="0" percent="0" rank="0" text="" dxfId="3">
      <formula>65</formula>
    </cfRule>
  </conditionalFormatting>
  <conditionalFormatting sqref="AF198">
    <cfRule type="cellIs" priority="2214" operator="greaterThan" aboveAverage="0" equalAverage="0" bottom="0" percent="0" rank="0" text="" dxfId="2">
      <formula>40</formula>
    </cfRule>
    <cfRule type="cellIs" priority="2215" operator="greaterThan" aboveAverage="0" equalAverage="0" bottom="0" percent="0" rank="0" text="" dxfId="3">
      <formula>45</formula>
    </cfRule>
  </conditionalFormatting>
  <conditionalFormatting sqref="AG198">
    <cfRule type="cellIs" priority="2216" operator="greaterThan" aboveAverage="0" equalAverage="0" bottom="0" percent="0" rank="0" text="" dxfId="2">
      <formula>40</formula>
    </cfRule>
    <cfRule type="cellIs" priority="2217" operator="greaterThan" aboveAverage="0" equalAverage="0" bottom="0" percent="0" rank="0" text="" dxfId="3">
      <formula>45</formula>
    </cfRule>
  </conditionalFormatting>
  <conditionalFormatting sqref="AH198">
    <cfRule type="cellIs" priority="2218" operator="greaterThan" aboveAverage="0" equalAverage="0" bottom="0" percent="0" rank="0" text="" dxfId="2">
      <formula>40</formula>
    </cfRule>
    <cfRule type="cellIs" priority="2219" operator="greaterThan" aboveAverage="0" equalAverage="0" bottom="0" percent="0" rank="0" text="" dxfId="3">
      <formula>45</formula>
    </cfRule>
  </conditionalFormatting>
  <conditionalFormatting sqref="AI198">
    <cfRule type="cellIs" priority="2220" operator="greaterThan" aboveAverage="0" equalAverage="0" bottom="0" percent="0" rank="0" text="" dxfId="2">
      <formula>40</formula>
    </cfRule>
    <cfRule type="cellIs" priority="2221" operator="greaterThan" aboveAverage="0" equalAverage="0" bottom="0" percent="0" rank="0" text="" dxfId="3">
      <formula>45</formula>
    </cfRule>
  </conditionalFormatting>
  <conditionalFormatting sqref="AJ198">
    <cfRule type="cellIs" priority="2222" operator="greaterThan" aboveAverage="0" equalAverage="0" bottom="0" percent="0" rank="0" text="" dxfId="2">
      <formula>40</formula>
    </cfRule>
    <cfRule type="cellIs" priority="2223" operator="greaterThan" aboveAverage="0" equalAverage="0" bottom="0" percent="0" rank="0" text="" dxfId="3">
      <formula>45</formula>
    </cfRule>
  </conditionalFormatting>
  <conditionalFormatting sqref="AK198">
    <cfRule type="cellIs" priority="2224" operator="greaterThan" aboveAverage="0" equalAverage="0" bottom="0" percent="0" rank="0" text="" dxfId="2">
      <formula>40</formula>
    </cfRule>
    <cfRule type="cellIs" priority="2225" operator="greaterThan" aboveAverage="0" equalAverage="0" bottom="0" percent="0" rank="0" text="" dxfId="3">
      <formula>45</formula>
    </cfRule>
  </conditionalFormatting>
  <conditionalFormatting sqref="AL198">
    <cfRule type="cellIs" priority="2226" operator="greaterThan" aboveAverage="0" equalAverage="0" bottom="0" percent="0" rank="0" text="" dxfId="2">
      <formula>40</formula>
    </cfRule>
    <cfRule type="cellIs" priority="2227" operator="greaterThan" aboveAverage="0" equalAverage="0" bottom="0" percent="0" rank="0" text="" dxfId="3">
      <formula>45</formula>
    </cfRule>
  </conditionalFormatting>
  <conditionalFormatting sqref="AM198">
    <cfRule type="cellIs" priority="2228" operator="greaterThan" aboveAverage="0" equalAverage="0" bottom="0" percent="0" rank="0" text="" dxfId="2">
      <formula>40</formula>
    </cfRule>
    <cfRule type="cellIs" priority="2229" operator="greaterThan" aboveAverage="0" equalAverage="0" bottom="0" percent="0" rank="0" text="" dxfId="3">
      <formula>45</formula>
    </cfRule>
  </conditionalFormatting>
  <conditionalFormatting sqref="AN198">
    <cfRule type="cellIs" priority="2230" operator="greaterThan" aboveAverage="0" equalAverage="0" bottom="0" percent="0" rank="0" text="" dxfId="2">
      <formula>40</formula>
    </cfRule>
    <cfRule type="cellIs" priority="2231" operator="greaterThan" aboveAverage="0" equalAverage="0" bottom="0" percent="0" rank="0" text="" dxfId="3">
      <formula>45</formula>
    </cfRule>
  </conditionalFormatting>
  <conditionalFormatting sqref="AO198">
    <cfRule type="cellIs" priority="2232" operator="greaterThan" aboveAverage="0" equalAverage="0" bottom="0" percent="0" rank="0" text="" dxfId="2">
      <formula>40</formula>
    </cfRule>
    <cfRule type="cellIs" priority="2233" operator="greaterThan" aboveAverage="0" equalAverage="0" bottom="0" percent="0" rank="0" text="" dxfId="3">
      <formula>45</formula>
    </cfRule>
  </conditionalFormatting>
  <conditionalFormatting sqref="AP198">
    <cfRule type="cellIs" priority="2234" operator="greaterThan" aboveAverage="0" equalAverage="0" bottom="0" percent="0" rank="0" text="" dxfId="2">
      <formula>40</formula>
    </cfRule>
    <cfRule type="cellIs" priority="2235" operator="greaterThan" aboveAverage="0" equalAverage="0" bottom="0" percent="0" rank="0" text="" dxfId="3">
      <formula>45</formula>
    </cfRule>
  </conditionalFormatting>
  <conditionalFormatting sqref="AQ198">
    <cfRule type="cellIs" priority="2236" operator="greaterThan" aboveAverage="0" equalAverage="0" bottom="0" percent="0" rank="0" text="" dxfId="2">
      <formula>40</formula>
    </cfRule>
    <cfRule type="cellIs" priority="2237" operator="greaterThan" aboveAverage="0" equalAverage="0" bottom="0" percent="0" rank="0" text="" dxfId="3">
      <formula>45</formula>
    </cfRule>
  </conditionalFormatting>
  <conditionalFormatting sqref="AR198">
    <cfRule type="cellIs" priority="2238" operator="greaterThan" aboveAverage="0" equalAverage="0" bottom="0" percent="0" rank="0" text="" dxfId="2">
      <formula>40</formula>
    </cfRule>
    <cfRule type="cellIs" priority="2239" operator="greaterThan" aboveAverage="0" equalAverage="0" bottom="0" percent="0" rank="0" text="" dxfId="3">
      <formula>45</formula>
    </cfRule>
  </conditionalFormatting>
  <conditionalFormatting sqref="AS198">
    <cfRule type="cellIs" priority="2240" operator="greaterThan" aboveAverage="0" equalAverage="0" bottom="0" percent="0" rank="0" text="" dxfId="2">
      <formula>40</formula>
    </cfRule>
    <cfRule type="cellIs" priority="2241" operator="greaterThan" aboveAverage="0" equalAverage="0" bottom="0" percent="0" rank="0" text="" dxfId="3">
      <formula>45</formula>
    </cfRule>
  </conditionalFormatting>
  <conditionalFormatting sqref="F206">
    <cfRule type="cellIs" priority="2242" operator="greaterThan" aboveAverage="0" equalAverage="0" bottom="0" percent="0" rank="0" text="" dxfId="2">
      <formula>40</formula>
    </cfRule>
    <cfRule type="cellIs" priority="2243" operator="greaterThan" aboveAverage="0" equalAverage="0" bottom="0" percent="0" rank="0" text="" dxfId="3">
      <formula>45</formula>
    </cfRule>
  </conditionalFormatting>
  <conditionalFormatting sqref="G206">
    <cfRule type="cellIs" priority="2244" operator="greaterThan" aboveAverage="0" equalAverage="0" bottom="0" percent="0" rank="0" text="" dxfId="2">
      <formula>40</formula>
    </cfRule>
    <cfRule type="cellIs" priority="2245" operator="greaterThan" aboveAverage="0" equalAverage="0" bottom="0" percent="0" rank="0" text="" dxfId="3">
      <formula>45</formula>
    </cfRule>
  </conditionalFormatting>
  <conditionalFormatting sqref="H206">
    <cfRule type="cellIs" priority="2246" operator="greaterThan" aboveAverage="0" equalAverage="0" bottom="0" percent="0" rank="0" text="" dxfId="2">
      <formula>40</formula>
    </cfRule>
    <cfRule type="cellIs" priority="2247" operator="greaterThan" aboveAverage="0" equalAverage="0" bottom="0" percent="0" rank="0" text="" dxfId="3">
      <formula>45</formula>
    </cfRule>
  </conditionalFormatting>
  <conditionalFormatting sqref="I206">
    <cfRule type="cellIs" priority="2248" operator="greaterThan" aboveAverage="0" equalAverage="0" bottom="0" percent="0" rank="0" text="" dxfId="2">
      <formula>40</formula>
    </cfRule>
    <cfRule type="cellIs" priority="2249" operator="greaterThan" aboveAverage="0" equalAverage="0" bottom="0" percent="0" rank="0" text="" dxfId="3">
      <formula>45</formula>
    </cfRule>
  </conditionalFormatting>
  <conditionalFormatting sqref="J206">
    <cfRule type="cellIs" priority="2250" operator="greaterThan" aboveAverage="0" equalAverage="0" bottom="0" percent="0" rank="0" text="" dxfId="2">
      <formula>40</formula>
    </cfRule>
    <cfRule type="cellIs" priority="2251" operator="greaterThan" aboveAverage="0" equalAverage="0" bottom="0" percent="0" rank="0" text="" dxfId="3">
      <formula>45</formula>
    </cfRule>
  </conditionalFormatting>
  <conditionalFormatting sqref="K206">
    <cfRule type="cellIs" priority="2252" operator="greaterThan" aboveAverage="0" equalAverage="0" bottom="0" percent="0" rank="0" text="" dxfId="2">
      <formula>40</formula>
    </cfRule>
    <cfRule type="cellIs" priority="2253" operator="greaterThan" aboveAverage="0" equalAverage="0" bottom="0" percent="0" rank="0" text="" dxfId="3">
      <formula>45</formula>
    </cfRule>
  </conditionalFormatting>
  <conditionalFormatting sqref="L206">
    <cfRule type="cellIs" priority="2254" operator="greaterThan" aboveAverage="0" equalAverage="0" bottom="0" percent="0" rank="0" text="" dxfId="2">
      <formula>40</formula>
    </cfRule>
    <cfRule type="cellIs" priority="2255" operator="greaterThan" aboveAverage="0" equalAverage="0" bottom="0" percent="0" rank="0" text="" dxfId="3">
      <formula>45</formula>
    </cfRule>
  </conditionalFormatting>
  <conditionalFormatting sqref="M206">
    <cfRule type="cellIs" priority="2256" operator="greaterThan" aboveAverage="0" equalAverage="0" bottom="0" percent="0" rank="0" text="" dxfId="2">
      <formula>40</formula>
    </cfRule>
    <cfRule type="cellIs" priority="2257" operator="greaterThan" aboveAverage="0" equalAverage="0" bottom="0" percent="0" rank="0" text="" dxfId="3">
      <formula>45</formula>
    </cfRule>
  </conditionalFormatting>
  <conditionalFormatting sqref="N206">
    <cfRule type="cellIs" priority="2258" operator="greaterThan" aboveAverage="0" equalAverage="0" bottom="0" percent="0" rank="0" text="" dxfId="2">
      <formula>40</formula>
    </cfRule>
    <cfRule type="cellIs" priority="2259" operator="greaterThan" aboveAverage="0" equalAverage="0" bottom="0" percent="0" rank="0" text="" dxfId="3">
      <formula>45</formula>
    </cfRule>
  </conditionalFormatting>
  <conditionalFormatting sqref="O206">
    <cfRule type="cellIs" priority="2260" operator="greaterThan" aboveAverage="0" equalAverage="0" bottom="0" percent="0" rank="0" text="" dxfId="2">
      <formula>40</formula>
    </cfRule>
    <cfRule type="cellIs" priority="2261" operator="greaterThan" aboveAverage="0" equalAverage="0" bottom="0" percent="0" rank="0" text="" dxfId="3">
      <formula>45</formula>
    </cfRule>
  </conditionalFormatting>
  <conditionalFormatting sqref="P206">
    <cfRule type="cellIs" priority="2262" operator="greaterThan" aboveAverage="0" equalAverage="0" bottom="0" percent="0" rank="0" text="" dxfId="2">
      <formula>40</formula>
    </cfRule>
    <cfRule type="cellIs" priority="2263" operator="greaterThan" aboveAverage="0" equalAverage="0" bottom="0" percent="0" rank="0" text="" dxfId="3">
      <formula>45</formula>
    </cfRule>
  </conditionalFormatting>
  <conditionalFormatting sqref="Q206">
    <cfRule type="cellIs" priority="2264" operator="greaterThan" aboveAverage="0" equalAverage="0" bottom="0" percent="0" rank="0" text="" dxfId="2">
      <formula>40</formula>
    </cfRule>
    <cfRule type="cellIs" priority="2265" operator="greaterThan" aboveAverage="0" equalAverage="0" bottom="0" percent="0" rank="0" text="" dxfId="3">
      <formula>45</formula>
    </cfRule>
  </conditionalFormatting>
  <conditionalFormatting sqref="R206">
    <cfRule type="cellIs" priority="2266" operator="greaterThan" aboveAverage="0" equalAverage="0" bottom="0" percent="0" rank="0" text="" dxfId="2">
      <formula>40</formula>
    </cfRule>
    <cfRule type="cellIs" priority="2267" operator="greaterThan" aboveAverage="0" equalAverage="0" bottom="0" percent="0" rank="0" text="" dxfId="3">
      <formula>45</formula>
    </cfRule>
  </conditionalFormatting>
  <conditionalFormatting sqref="S206">
    <cfRule type="cellIs" priority="2268" operator="greaterThan" aboveAverage="0" equalAverage="0" bottom="0" percent="0" rank="0" text="" dxfId="2">
      <formula>40</formula>
    </cfRule>
    <cfRule type="cellIs" priority="2269" operator="greaterThan" aboveAverage="0" equalAverage="0" bottom="0" percent="0" rank="0" text="" dxfId="3">
      <formula>45</formula>
    </cfRule>
  </conditionalFormatting>
  <conditionalFormatting sqref="T206">
    <cfRule type="cellIs" priority="2270" operator="greaterThan" aboveAverage="0" equalAverage="0" bottom="0" percent="0" rank="0" text="" dxfId="2">
      <formula>40</formula>
    </cfRule>
    <cfRule type="cellIs" priority="2271" operator="greaterThan" aboveAverage="0" equalAverage="0" bottom="0" percent="0" rank="0" text="" dxfId="3">
      <formula>45</formula>
    </cfRule>
  </conditionalFormatting>
  <conditionalFormatting sqref="U206">
    <cfRule type="cellIs" priority="2272" operator="greaterThan" aboveAverage="0" equalAverage="0" bottom="0" percent="0" rank="0" text="" dxfId="2">
      <formula>40</formula>
    </cfRule>
    <cfRule type="cellIs" priority="2273" operator="greaterThan" aboveAverage="0" equalAverage="0" bottom="0" percent="0" rank="0" text="" dxfId="3">
      <formula>45</formula>
    </cfRule>
  </conditionalFormatting>
  <conditionalFormatting sqref="V206">
    <cfRule type="cellIs" priority="2274" operator="greaterThan" aboveAverage="0" equalAverage="0" bottom="0" percent="0" rank="0" text="" dxfId="2">
      <formula>40</formula>
    </cfRule>
    <cfRule type="cellIs" priority="2275" operator="greaterThan" aboveAverage="0" equalAverage="0" bottom="0" percent="0" rank="0" text="" dxfId="3">
      <formula>45</formula>
    </cfRule>
  </conditionalFormatting>
  <conditionalFormatting sqref="W206">
    <cfRule type="cellIs" priority="2276" operator="greaterThan" aboveAverage="0" equalAverage="0" bottom="0" percent="0" rank="0" text="" dxfId="2">
      <formula>40</formula>
    </cfRule>
    <cfRule type="cellIs" priority="2277" operator="greaterThan" aboveAverage="0" equalAverage="0" bottom="0" percent="0" rank="0" text="" dxfId="3">
      <formula>45</formula>
    </cfRule>
  </conditionalFormatting>
  <conditionalFormatting sqref="X206">
    <cfRule type="cellIs" priority="2278" operator="greaterThan" aboveAverage="0" equalAverage="0" bottom="0" percent="0" rank="0" text="" dxfId="2">
      <formula>55</formula>
    </cfRule>
    <cfRule type="cellIs" priority="2279" operator="greaterThan" aboveAverage="0" equalAverage="0" bottom="0" percent="0" rank="0" text="" dxfId="3">
      <formula>65</formula>
    </cfRule>
  </conditionalFormatting>
  <conditionalFormatting sqref="Y206">
    <cfRule type="cellIs" priority="2280" operator="greaterThan" aboveAverage="0" equalAverage="0" bottom="0" percent="0" rank="0" text="" dxfId="2">
      <formula>55</formula>
    </cfRule>
    <cfRule type="cellIs" priority="2281" operator="greaterThan" aboveAverage="0" equalAverage="0" bottom="0" percent="0" rank="0" text="" dxfId="3">
      <formula>65</formula>
    </cfRule>
  </conditionalFormatting>
  <conditionalFormatting sqref="Z206">
    <cfRule type="cellIs" priority="2282" operator="greaterThan" aboveAverage="0" equalAverage="0" bottom="0" percent="0" rank="0" text="" dxfId="2">
      <formula>55</formula>
    </cfRule>
    <cfRule type="cellIs" priority="2283" operator="greaterThan" aboveAverage="0" equalAverage="0" bottom="0" percent="0" rank="0" text="" dxfId="3">
      <formula>65</formula>
    </cfRule>
  </conditionalFormatting>
  <conditionalFormatting sqref="AA206">
    <cfRule type="cellIs" priority="2284" operator="greaterThan" aboveAverage="0" equalAverage="0" bottom="0" percent="0" rank="0" text="" dxfId="2">
      <formula>55</formula>
    </cfRule>
    <cfRule type="cellIs" priority="2285" operator="greaterThan" aboveAverage="0" equalAverage="0" bottom="0" percent="0" rank="0" text="" dxfId="3">
      <formula>65</formula>
    </cfRule>
  </conditionalFormatting>
  <conditionalFormatting sqref="AB206">
    <cfRule type="cellIs" priority="2286" operator="greaterThan" aboveAverage="0" equalAverage="0" bottom="0" percent="0" rank="0" text="" dxfId="2">
      <formula>55</formula>
    </cfRule>
    <cfRule type="cellIs" priority="2287" operator="greaterThan" aboveAverage="0" equalAverage="0" bottom="0" percent="0" rank="0" text="" dxfId="3">
      <formula>65</formula>
    </cfRule>
  </conditionalFormatting>
  <conditionalFormatting sqref="AC206">
    <cfRule type="cellIs" priority="2288" operator="greaterThan" aboveAverage="0" equalAverage="0" bottom="0" percent="0" rank="0" text="" dxfId="2">
      <formula>55</formula>
    </cfRule>
    <cfRule type="cellIs" priority="2289" operator="greaterThan" aboveAverage="0" equalAverage="0" bottom="0" percent="0" rank="0" text="" dxfId="3">
      <formula>65</formula>
    </cfRule>
  </conditionalFormatting>
  <conditionalFormatting sqref="AD206">
    <cfRule type="cellIs" priority="2290" operator="greaterThan" aboveAverage="0" equalAverage="0" bottom="0" percent="0" rank="0" text="" dxfId="2">
      <formula>55</formula>
    </cfRule>
    <cfRule type="cellIs" priority="2291" operator="greaterThan" aboveAverage="0" equalAverage="0" bottom="0" percent="0" rank="0" text="" dxfId="3">
      <formula>65</formula>
    </cfRule>
  </conditionalFormatting>
  <conditionalFormatting sqref="AE206">
    <cfRule type="cellIs" priority="2292" operator="greaterThan" aboveAverage="0" equalAverage="0" bottom="0" percent="0" rank="0" text="" dxfId="2">
      <formula>55</formula>
    </cfRule>
    <cfRule type="cellIs" priority="2293" operator="greaterThan" aboveAverage="0" equalAverage="0" bottom="0" percent="0" rank="0" text="" dxfId="3">
      <formula>65</formula>
    </cfRule>
  </conditionalFormatting>
  <conditionalFormatting sqref="AF206">
    <cfRule type="cellIs" priority="2294" operator="greaterThan" aboveAverage="0" equalAverage="0" bottom="0" percent="0" rank="0" text="" dxfId="2">
      <formula>40</formula>
    </cfRule>
    <cfRule type="cellIs" priority="2295" operator="greaterThan" aboveAverage="0" equalAverage="0" bottom="0" percent="0" rank="0" text="" dxfId="3">
      <formula>45</formula>
    </cfRule>
  </conditionalFormatting>
  <conditionalFormatting sqref="AG206">
    <cfRule type="cellIs" priority="2296" operator="greaterThan" aboveAverage="0" equalAverage="0" bottom="0" percent="0" rank="0" text="" dxfId="2">
      <formula>40</formula>
    </cfRule>
    <cfRule type="cellIs" priority="2297" operator="greaterThan" aboveAverage="0" equalAverage="0" bottom="0" percent="0" rank="0" text="" dxfId="3">
      <formula>45</formula>
    </cfRule>
  </conditionalFormatting>
  <conditionalFormatting sqref="AH206">
    <cfRule type="cellIs" priority="2298" operator="greaterThan" aboveAverage="0" equalAverage="0" bottom="0" percent="0" rank="0" text="" dxfId="2">
      <formula>40</formula>
    </cfRule>
    <cfRule type="cellIs" priority="2299" operator="greaterThan" aboveAverage="0" equalAverage="0" bottom="0" percent="0" rank="0" text="" dxfId="3">
      <formula>45</formula>
    </cfRule>
  </conditionalFormatting>
  <conditionalFormatting sqref="AI206">
    <cfRule type="cellIs" priority="2300" operator="greaterThan" aboveAverage="0" equalAverage="0" bottom="0" percent="0" rank="0" text="" dxfId="2">
      <formula>40</formula>
    </cfRule>
    <cfRule type="cellIs" priority="2301" operator="greaterThan" aboveAverage="0" equalAverage="0" bottom="0" percent="0" rank="0" text="" dxfId="3">
      <formula>45</formula>
    </cfRule>
  </conditionalFormatting>
  <conditionalFormatting sqref="AJ206">
    <cfRule type="cellIs" priority="2302" operator="greaterThan" aboveAverage="0" equalAverage="0" bottom="0" percent="0" rank="0" text="" dxfId="2">
      <formula>40</formula>
    </cfRule>
    <cfRule type="cellIs" priority="2303" operator="greaterThan" aboveAverage="0" equalAverage="0" bottom="0" percent="0" rank="0" text="" dxfId="3">
      <formula>45</formula>
    </cfRule>
  </conditionalFormatting>
  <conditionalFormatting sqref="AK206">
    <cfRule type="cellIs" priority="2304" operator="greaterThan" aboveAverage="0" equalAverage="0" bottom="0" percent="0" rank="0" text="" dxfId="2">
      <formula>40</formula>
    </cfRule>
    <cfRule type="cellIs" priority="2305" operator="greaterThan" aboveAverage="0" equalAverage="0" bottom="0" percent="0" rank="0" text="" dxfId="3">
      <formula>45</formula>
    </cfRule>
  </conditionalFormatting>
  <conditionalFormatting sqref="AL206">
    <cfRule type="cellIs" priority="2306" operator="greaterThan" aboveAverage="0" equalAverage="0" bottom="0" percent="0" rank="0" text="" dxfId="2">
      <formula>40</formula>
    </cfRule>
    <cfRule type="cellIs" priority="2307" operator="greaterThan" aboveAverage="0" equalAverage="0" bottom="0" percent="0" rank="0" text="" dxfId="3">
      <formula>45</formula>
    </cfRule>
  </conditionalFormatting>
  <conditionalFormatting sqref="AM206">
    <cfRule type="cellIs" priority="2308" operator="greaterThan" aboveAverage="0" equalAverage="0" bottom="0" percent="0" rank="0" text="" dxfId="2">
      <formula>40</formula>
    </cfRule>
    <cfRule type="cellIs" priority="2309" operator="greaterThan" aboveAverage="0" equalAverage="0" bottom="0" percent="0" rank="0" text="" dxfId="3">
      <formula>45</formula>
    </cfRule>
  </conditionalFormatting>
  <conditionalFormatting sqref="AN206">
    <cfRule type="cellIs" priority="2310" operator="greaterThan" aboveAverage="0" equalAverage="0" bottom="0" percent="0" rank="0" text="" dxfId="2">
      <formula>40</formula>
    </cfRule>
    <cfRule type="cellIs" priority="2311" operator="greaterThan" aboveAverage="0" equalAverage="0" bottom="0" percent="0" rank="0" text="" dxfId="3">
      <formula>45</formula>
    </cfRule>
  </conditionalFormatting>
  <conditionalFormatting sqref="AO206">
    <cfRule type="cellIs" priority="2312" operator="greaterThan" aboveAverage="0" equalAverage="0" bottom="0" percent="0" rank="0" text="" dxfId="2">
      <formula>40</formula>
    </cfRule>
    <cfRule type="cellIs" priority="2313" operator="greaterThan" aboveAverage="0" equalAverage="0" bottom="0" percent="0" rank="0" text="" dxfId="3">
      <formula>45</formula>
    </cfRule>
  </conditionalFormatting>
  <conditionalFormatting sqref="AP206">
    <cfRule type="cellIs" priority="2314" operator="greaterThan" aboveAverage="0" equalAverage="0" bottom="0" percent="0" rank="0" text="" dxfId="2">
      <formula>40</formula>
    </cfRule>
    <cfRule type="cellIs" priority="2315" operator="greaterThan" aboveAverage="0" equalAverage="0" bottom="0" percent="0" rank="0" text="" dxfId="3">
      <formula>45</formula>
    </cfRule>
  </conditionalFormatting>
  <conditionalFormatting sqref="AQ206">
    <cfRule type="cellIs" priority="2316" operator="greaterThan" aboveAverage="0" equalAverage="0" bottom="0" percent="0" rank="0" text="" dxfId="2">
      <formula>40</formula>
    </cfRule>
    <cfRule type="cellIs" priority="2317" operator="greaterThan" aboveAverage="0" equalAverage="0" bottom="0" percent="0" rank="0" text="" dxfId="3">
      <formula>45</formula>
    </cfRule>
  </conditionalFormatting>
  <conditionalFormatting sqref="AR206">
    <cfRule type="cellIs" priority="2318" operator="greaterThan" aboveAverage="0" equalAverage="0" bottom="0" percent="0" rank="0" text="" dxfId="2">
      <formula>40</formula>
    </cfRule>
    <cfRule type="cellIs" priority="2319" operator="greaterThan" aboveAverage="0" equalAverage="0" bottom="0" percent="0" rank="0" text="" dxfId="3">
      <formula>45</formula>
    </cfRule>
  </conditionalFormatting>
  <conditionalFormatting sqref="AS206">
    <cfRule type="cellIs" priority="2320" operator="greaterThan" aboveAverage="0" equalAverage="0" bottom="0" percent="0" rank="0" text="" dxfId="2">
      <formula>40</formula>
    </cfRule>
    <cfRule type="cellIs" priority="2321" operator="greaterThan" aboveAverage="0" equalAverage="0" bottom="0" percent="0" rank="0" text="" dxfId="3">
      <formula>45</formula>
    </cfRule>
  </conditionalFormatting>
  <conditionalFormatting sqref="F211">
    <cfRule type="cellIs" priority="2322" operator="greaterThan" aboveAverage="0" equalAverage="0" bottom="0" percent="0" rank="0" text="" dxfId="2">
      <formula>40</formula>
    </cfRule>
    <cfRule type="cellIs" priority="2323" operator="greaterThan" aboveAverage="0" equalAverage="0" bottom="0" percent="0" rank="0" text="" dxfId="3">
      <formula>45</formula>
    </cfRule>
  </conditionalFormatting>
  <conditionalFormatting sqref="G211">
    <cfRule type="cellIs" priority="2324" operator="greaterThan" aboveAverage="0" equalAverage="0" bottom="0" percent="0" rank="0" text="" dxfId="2">
      <formula>40</formula>
    </cfRule>
    <cfRule type="cellIs" priority="2325" operator="greaterThan" aboveAverage="0" equalAverage="0" bottom="0" percent="0" rank="0" text="" dxfId="3">
      <formula>45</formula>
    </cfRule>
  </conditionalFormatting>
  <conditionalFormatting sqref="H211">
    <cfRule type="cellIs" priority="2326" operator="greaterThan" aboveAverage="0" equalAverage="0" bottom="0" percent="0" rank="0" text="" dxfId="2">
      <formula>40</formula>
    </cfRule>
    <cfRule type="cellIs" priority="2327" operator="greaterThan" aboveAverage="0" equalAverage="0" bottom="0" percent="0" rank="0" text="" dxfId="3">
      <formula>45</formula>
    </cfRule>
  </conditionalFormatting>
  <conditionalFormatting sqref="I211">
    <cfRule type="cellIs" priority="2328" operator="greaterThan" aboveAverage="0" equalAverage="0" bottom="0" percent="0" rank="0" text="" dxfId="2">
      <formula>40</formula>
    </cfRule>
    <cfRule type="cellIs" priority="2329" operator="greaterThan" aboveAverage="0" equalAverage="0" bottom="0" percent="0" rank="0" text="" dxfId="3">
      <formula>45</formula>
    </cfRule>
  </conditionalFormatting>
  <conditionalFormatting sqref="J211">
    <cfRule type="cellIs" priority="2330" operator="greaterThan" aboveAverage="0" equalAverage="0" bottom="0" percent="0" rank="0" text="" dxfId="2">
      <formula>40</formula>
    </cfRule>
    <cfRule type="cellIs" priority="2331" operator="greaterThan" aboveAverage="0" equalAverage="0" bottom="0" percent="0" rank="0" text="" dxfId="3">
      <formula>45</formula>
    </cfRule>
  </conditionalFormatting>
  <conditionalFormatting sqref="K211">
    <cfRule type="cellIs" priority="2332" operator="greaterThan" aboveAverage="0" equalAverage="0" bottom="0" percent="0" rank="0" text="" dxfId="2">
      <formula>40</formula>
    </cfRule>
    <cfRule type="cellIs" priority="2333" operator="greaterThan" aboveAverage="0" equalAverage="0" bottom="0" percent="0" rank="0" text="" dxfId="3">
      <formula>45</formula>
    </cfRule>
  </conditionalFormatting>
  <conditionalFormatting sqref="L211">
    <cfRule type="cellIs" priority="2334" operator="greaterThan" aboveAverage="0" equalAverage="0" bottom="0" percent="0" rank="0" text="" dxfId="2">
      <formula>40</formula>
    </cfRule>
    <cfRule type="cellIs" priority="2335" operator="greaterThan" aboveAverage="0" equalAverage="0" bottom="0" percent="0" rank="0" text="" dxfId="3">
      <formula>45</formula>
    </cfRule>
  </conditionalFormatting>
  <conditionalFormatting sqref="M211">
    <cfRule type="cellIs" priority="2336" operator="greaterThan" aboveAverage="0" equalAverage="0" bottom="0" percent="0" rank="0" text="" dxfId="2">
      <formula>40</formula>
    </cfRule>
    <cfRule type="cellIs" priority="2337" operator="greaterThan" aboveAverage="0" equalAverage="0" bottom="0" percent="0" rank="0" text="" dxfId="3">
      <formula>45</formula>
    </cfRule>
  </conditionalFormatting>
  <conditionalFormatting sqref="N211">
    <cfRule type="cellIs" priority="2338" operator="greaterThan" aboveAverage="0" equalAverage="0" bottom="0" percent="0" rank="0" text="" dxfId="2">
      <formula>40</formula>
    </cfRule>
    <cfRule type="cellIs" priority="2339" operator="greaterThan" aboveAverage="0" equalAverage="0" bottom="0" percent="0" rank="0" text="" dxfId="3">
      <formula>45</formula>
    </cfRule>
  </conditionalFormatting>
  <conditionalFormatting sqref="O211">
    <cfRule type="cellIs" priority="2340" operator="greaterThan" aboveAverage="0" equalAverage="0" bottom="0" percent="0" rank="0" text="" dxfId="2">
      <formula>40</formula>
    </cfRule>
    <cfRule type="cellIs" priority="2341" operator="greaterThan" aboveAverage="0" equalAverage="0" bottom="0" percent="0" rank="0" text="" dxfId="3">
      <formula>45</formula>
    </cfRule>
  </conditionalFormatting>
  <conditionalFormatting sqref="P211">
    <cfRule type="cellIs" priority="2342" operator="greaterThan" aboveAverage="0" equalAverage="0" bottom="0" percent="0" rank="0" text="" dxfId="2">
      <formula>40</formula>
    </cfRule>
    <cfRule type="cellIs" priority="2343" operator="greaterThan" aboveAverage="0" equalAverage="0" bottom="0" percent="0" rank="0" text="" dxfId="3">
      <formula>45</formula>
    </cfRule>
  </conditionalFormatting>
  <conditionalFormatting sqref="Q211">
    <cfRule type="cellIs" priority="2344" operator="greaterThan" aboveAverage="0" equalAverage="0" bottom="0" percent="0" rank="0" text="" dxfId="2">
      <formula>40</formula>
    </cfRule>
    <cfRule type="cellIs" priority="2345" operator="greaterThan" aboveAverage="0" equalAverage="0" bottom="0" percent="0" rank="0" text="" dxfId="3">
      <formula>45</formula>
    </cfRule>
  </conditionalFormatting>
  <conditionalFormatting sqref="R211">
    <cfRule type="cellIs" priority="2346" operator="greaterThan" aboveAverage="0" equalAverage="0" bottom="0" percent="0" rank="0" text="" dxfId="2">
      <formula>40</formula>
    </cfRule>
    <cfRule type="cellIs" priority="2347" operator="greaterThan" aboveAverage="0" equalAverage="0" bottom="0" percent="0" rank="0" text="" dxfId="3">
      <formula>45</formula>
    </cfRule>
  </conditionalFormatting>
  <conditionalFormatting sqref="S211">
    <cfRule type="cellIs" priority="2348" operator="greaterThan" aboveAverage="0" equalAverage="0" bottom="0" percent="0" rank="0" text="" dxfId="2">
      <formula>40</formula>
    </cfRule>
    <cfRule type="cellIs" priority="2349" operator="greaterThan" aboveAverage="0" equalAverage="0" bottom="0" percent="0" rank="0" text="" dxfId="3">
      <formula>45</formula>
    </cfRule>
  </conditionalFormatting>
  <conditionalFormatting sqref="T211">
    <cfRule type="cellIs" priority="2350" operator="greaterThan" aboveAverage="0" equalAverage="0" bottom="0" percent="0" rank="0" text="" dxfId="2">
      <formula>40</formula>
    </cfRule>
    <cfRule type="cellIs" priority="2351" operator="greaterThan" aboveAverage="0" equalAverage="0" bottom="0" percent="0" rank="0" text="" dxfId="3">
      <formula>45</formula>
    </cfRule>
  </conditionalFormatting>
  <conditionalFormatting sqref="U211">
    <cfRule type="cellIs" priority="2352" operator="greaterThan" aboveAverage="0" equalAverage="0" bottom="0" percent="0" rank="0" text="" dxfId="2">
      <formula>40</formula>
    </cfRule>
    <cfRule type="cellIs" priority="2353" operator="greaterThan" aboveAverage="0" equalAverage="0" bottom="0" percent="0" rank="0" text="" dxfId="3">
      <formula>45</formula>
    </cfRule>
  </conditionalFormatting>
  <conditionalFormatting sqref="V211">
    <cfRule type="cellIs" priority="2354" operator="greaterThan" aboveAverage="0" equalAverage="0" bottom="0" percent="0" rank="0" text="" dxfId="2">
      <formula>40</formula>
    </cfRule>
    <cfRule type="cellIs" priority="2355" operator="greaterThan" aboveAverage="0" equalAverage="0" bottom="0" percent="0" rank="0" text="" dxfId="3">
      <formula>45</formula>
    </cfRule>
  </conditionalFormatting>
  <conditionalFormatting sqref="W211">
    <cfRule type="cellIs" priority="2356" operator="greaterThan" aboveAverage="0" equalAverage="0" bottom="0" percent="0" rank="0" text="" dxfId="2">
      <formula>40</formula>
    </cfRule>
    <cfRule type="cellIs" priority="2357" operator="greaterThan" aboveAverage="0" equalAverage="0" bottom="0" percent="0" rank="0" text="" dxfId="3">
      <formula>45</formula>
    </cfRule>
  </conditionalFormatting>
  <conditionalFormatting sqref="X211">
    <cfRule type="cellIs" priority="2358" operator="greaterThan" aboveAverage="0" equalAverage="0" bottom="0" percent="0" rank="0" text="" dxfId="2">
      <formula>55</formula>
    </cfRule>
    <cfRule type="cellIs" priority="2359" operator="greaterThan" aboveAverage="0" equalAverage="0" bottom="0" percent="0" rank="0" text="" dxfId="3">
      <formula>65</formula>
    </cfRule>
  </conditionalFormatting>
  <conditionalFormatting sqref="Y211">
    <cfRule type="cellIs" priority="2360" operator="greaterThan" aboveAverage="0" equalAverage="0" bottom="0" percent="0" rank="0" text="" dxfId="2">
      <formula>55</formula>
    </cfRule>
    <cfRule type="cellIs" priority="2361" operator="greaterThan" aboveAverage="0" equalAverage="0" bottom="0" percent="0" rank="0" text="" dxfId="3">
      <formula>65</formula>
    </cfRule>
  </conditionalFormatting>
  <conditionalFormatting sqref="Z211">
    <cfRule type="cellIs" priority="2362" operator="greaterThan" aboveAverage="0" equalAverage="0" bottom="0" percent="0" rank="0" text="" dxfId="2">
      <formula>55</formula>
    </cfRule>
    <cfRule type="cellIs" priority="2363" operator="greaterThan" aboveAverage="0" equalAverage="0" bottom="0" percent="0" rank="0" text="" dxfId="3">
      <formula>65</formula>
    </cfRule>
  </conditionalFormatting>
  <conditionalFormatting sqref="AA211">
    <cfRule type="cellIs" priority="2364" operator="greaterThan" aboveAverage="0" equalAverage="0" bottom="0" percent="0" rank="0" text="" dxfId="2">
      <formula>55</formula>
    </cfRule>
    <cfRule type="cellIs" priority="2365" operator="greaterThan" aboveAverage="0" equalAverage="0" bottom="0" percent="0" rank="0" text="" dxfId="3">
      <formula>65</formula>
    </cfRule>
  </conditionalFormatting>
  <conditionalFormatting sqref="AB211">
    <cfRule type="cellIs" priority="2366" operator="greaterThan" aboveAverage="0" equalAverage="0" bottom="0" percent="0" rank="0" text="" dxfId="2">
      <formula>55</formula>
    </cfRule>
    <cfRule type="cellIs" priority="2367" operator="greaterThan" aboveAverage="0" equalAverage="0" bottom="0" percent="0" rank="0" text="" dxfId="3">
      <formula>65</formula>
    </cfRule>
  </conditionalFormatting>
  <conditionalFormatting sqref="AC211">
    <cfRule type="cellIs" priority="2368" operator="greaterThan" aboveAverage="0" equalAverage="0" bottom="0" percent="0" rank="0" text="" dxfId="2">
      <formula>55</formula>
    </cfRule>
    <cfRule type="cellIs" priority="2369" operator="greaterThan" aboveAverage="0" equalAverage="0" bottom="0" percent="0" rank="0" text="" dxfId="3">
      <formula>65</formula>
    </cfRule>
  </conditionalFormatting>
  <conditionalFormatting sqref="AD211">
    <cfRule type="cellIs" priority="2370" operator="greaterThan" aboveAverage="0" equalAverage="0" bottom="0" percent="0" rank="0" text="" dxfId="2">
      <formula>55</formula>
    </cfRule>
    <cfRule type="cellIs" priority="2371" operator="greaterThan" aboveAverage="0" equalAverage="0" bottom="0" percent="0" rank="0" text="" dxfId="3">
      <formula>65</formula>
    </cfRule>
  </conditionalFormatting>
  <conditionalFormatting sqref="AE211">
    <cfRule type="cellIs" priority="2372" operator="greaterThan" aboveAverage="0" equalAverage="0" bottom="0" percent="0" rank="0" text="" dxfId="2">
      <formula>55</formula>
    </cfRule>
    <cfRule type="cellIs" priority="2373" operator="greaterThan" aboveAverage="0" equalAverage="0" bottom="0" percent="0" rank="0" text="" dxfId="3">
      <formula>65</formula>
    </cfRule>
  </conditionalFormatting>
  <conditionalFormatting sqref="AF211">
    <cfRule type="cellIs" priority="2374" operator="greaterThan" aboveAverage="0" equalAverage="0" bottom="0" percent="0" rank="0" text="" dxfId="2">
      <formula>40</formula>
    </cfRule>
    <cfRule type="cellIs" priority="2375" operator="greaterThan" aboveAverage="0" equalAverage="0" bottom="0" percent="0" rank="0" text="" dxfId="3">
      <formula>45</formula>
    </cfRule>
  </conditionalFormatting>
  <conditionalFormatting sqref="AG211">
    <cfRule type="cellIs" priority="2376" operator="greaterThan" aboveAverage="0" equalAverage="0" bottom="0" percent="0" rank="0" text="" dxfId="2">
      <formula>40</formula>
    </cfRule>
    <cfRule type="cellIs" priority="2377" operator="greaterThan" aboveAverage="0" equalAverage="0" bottom="0" percent="0" rank="0" text="" dxfId="3">
      <formula>45</formula>
    </cfRule>
  </conditionalFormatting>
  <conditionalFormatting sqref="AH211">
    <cfRule type="cellIs" priority="2378" operator="greaterThan" aboveAverage="0" equalAverage="0" bottom="0" percent="0" rank="0" text="" dxfId="2">
      <formula>40</formula>
    </cfRule>
    <cfRule type="cellIs" priority="2379" operator="greaterThan" aboveAverage="0" equalAverage="0" bottom="0" percent="0" rank="0" text="" dxfId="3">
      <formula>45</formula>
    </cfRule>
  </conditionalFormatting>
  <conditionalFormatting sqref="AI211">
    <cfRule type="cellIs" priority="2380" operator="greaterThan" aboveAverage="0" equalAverage="0" bottom="0" percent="0" rank="0" text="" dxfId="2">
      <formula>40</formula>
    </cfRule>
    <cfRule type="cellIs" priority="2381" operator="greaterThan" aboveAverage="0" equalAverage="0" bottom="0" percent="0" rank="0" text="" dxfId="3">
      <formula>45</formula>
    </cfRule>
  </conditionalFormatting>
  <conditionalFormatting sqref="AJ211">
    <cfRule type="cellIs" priority="2382" operator="greaterThan" aboveAverage="0" equalAverage="0" bottom="0" percent="0" rank="0" text="" dxfId="2">
      <formula>40</formula>
    </cfRule>
    <cfRule type="cellIs" priority="2383" operator="greaterThan" aboveAverage="0" equalAverage="0" bottom="0" percent="0" rank="0" text="" dxfId="3">
      <formula>45</formula>
    </cfRule>
  </conditionalFormatting>
  <conditionalFormatting sqref="AK211">
    <cfRule type="cellIs" priority="2384" operator="greaterThan" aboveAverage="0" equalAverage="0" bottom="0" percent="0" rank="0" text="" dxfId="2">
      <formula>40</formula>
    </cfRule>
    <cfRule type="cellIs" priority="2385" operator="greaterThan" aboveAverage="0" equalAverage="0" bottom="0" percent="0" rank="0" text="" dxfId="3">
      <formula>45</formula>
    </cfRule>
  </conditionalFormatting>
  <conditionalFormatting sqref="AL211">
    <cfRule type="cellIs" priority="2386" operator="greaterThan" aboveAverage="0" equalAverage="0" bottom="0" percent="0" rank="0" text="" dxfId="2">
      <formula>40</formula>
    </cfRule>
    <cfRule type="cellIs" priority="2387" operator="greaterThan" aboveAverage="0" equalAverage="0" bottom="0" percent="0" rank="0" text="" dxfId="3">
      <formula>45</formula>
    </cfRule>
  </conditionalFormatting>
  <conditionalFormatting sqref="AM211">
    <cfRule type="cellIs" priority="2388" operator="greaterThan" aboveAverage="0" equalAverage="0" bottom="0" percent="0" rank="0" text="" dxfId="2">
      <formula>40</formula>
    </cfRule>
    <cfRule type="cellIs" priority="2389" operator="greaterThan" aboveAverage="0" equalAverage="0" bottom="0" percent="0" rank="0" text="" dxfId="3">
      <formula>45</formula>
    </cfRule>
  </conditionalFormatting>
  <conditionalFormatting sqref="AN211">
    <cfRule type="cellIs" priority="2390" operator="greaterThan" aboveAverage="0" equalAverage="0" bottom="0" percent="0" rank="0" text="" dxfId="2">
      <formula>40</formula>
    </cfRule>
    <cfRule type="cellIs" priority="2391" operator="greaterThan" aboveAverage="0" equalAverage="0" bottom="0" percent="0" rank="0" text="" dxfId="3">
      <formula>45</formula>
    </cfRule>
  </conditionalFormatting>
  <conditionalFormatting sqref="AO211">
    <cfRule type="cellIs" priority="2392" operator="greaterThan" aboveAverage="0" equalAverage="0" bottom="0" percent="0" rank="0" text="" dxfId="2">
      <formula>40</formula>
    </cfRule>
    <cfRule type="cellIs" priority="2393" operator="greaterThan" aboveAverage="0" equalAverage="0" bottom="0" percent="0" rank="0" text="" dxfId="3">
      <formula>45</formula>
    </cfRule>
  </conditionalFormatting>
  <conditionalFormatting sqref="AP211">
    <cfRule type="cellIs" priority="2394" operator="greaterThan" aboveAverage="0" equalAverage="0" bottom="0" percent="0" rank="0" text="" dxfId="2">
      <formula>40</formula>
    </cfRule>
    <cfRule type="cellIs" priority="2395" operator="greaterThan" aboveAverage="0" equalAverage="0" bottom="0" percent="0" rank="0" text="" dxfId="3">
      <formula>45</formula>
    </cfRule>
  </conditionalFormatting>
  <conditionalFormatting sqref="AQ211">
    <cfRule type="cellIs" priority="2396" operator="greaterThan" aboveAverage="0" equalAverage="0" bottom="0" percent="0" rank="0" text="" dxfId="2">
      <formula>40</formula>
    </cfRule>
    <cfRule type="cellIs" priority="2397" operator="greaterThan" aboveAverage="0" equalAverage="0" bottom="0" percent="0" rank="0" text="" dxfId="3">
      <formula>45</formula>
    </cfRule>
  </conditionalFormatting>
  <conditionalFormatting sqref="AR211">
    <cfRule type="cellIs" priority="2398" operator="greaterThan" aboveAverage="0" equalAverage="0" bottom="0" percent="0" rank="0" text="" dxfId="2">
      <formula>40</formula>
    </cfRule>
    <cfRule type="cellIs" priority="2399" operator="greaterThan" aboveAverage="0" equalAverage="0" bottom="0" percent="0" rank="0" text="" dxfId="3">
      <formula>45</formula>
    </cfRule>
  </conditionalFormatting>
  <conditionalFormatting sqref="AS211">
    <cfRule type="cellIs" priority="2400" operator="greaterThan" aboveAverage="0" equalAverage="0" bottom="0" percent="0" rank="0" text="" dxfId="2">
      <formula>40</formula>
    </cfRule>
    <cfRule type="cellIs" priority="2401" operator="greaterThan" aboveAverage="0" equalAverage="0" bottom="0" percent="0" rank="0" text="" dxfId="3">
      <formula>45</formula>
    </cfRule>
  </conditionalFormatting>
  <conditionalFormatting sqref="F213">
    <cfRule type="cellIs" priority="2402" operator="greaterThan" aboveAverage="0" equalAverage="0" bottom="0" percent="0" rank="0" text="" dxfId="2">
      <formula>40</formula>
    </cfRule>
    <cfRule type="cellIs" priority="2403" operator="greaterThan" aboveAverage="0" equalAverage="0" bottom="0" percent="0" rank="0" text="" dxfId="3">
      <formula>45</formula>
    </cfRule>
  </conditionalFormatting>
  <conditionalFormatting sqref="G213">
    <cfRule type="cellIs" priority="2404" operator="greaterThan" aboveAverage="0" equalAverage="0" bottom="0" percent="0" rank="0" text="" dxfId="2">
      <formula>40</formula>
    </cfRule>
    <cfRule type="cellIs" priority="2405" operator="greaterThan" aboveAverage="0" equalAverage="0" bottom="0" percent="0" rank="0" text="" dxfId="3">
      <formula>45</formula>
    </cfRule>
  </conditionalFormatting>
  <conditionalFormatting sqref="H213">
    <cfRule type="cellIs" priority="2406" operator="greaterThan" aboveAverage="0" equalAverage="0" bottom="0" percent="0" rank="0" text="" dxfId="2">
      <formula>40</formula>
    </cfRule>
    <cfRule type="cellIs" priority="2407" operator="greaterThan" aboveAverage="0" equalAverage="0" bottom="0" percent="0" rank="0" text="" dxfId="3">
      <formula>45</formula>
    </cfRule>
  </conditionalFormatting>
  <conditionalFormatting sqref="I213">
    <cfRule type="cellIs" priority="2408" operator="greaterThan" aboveAverage="0" equalAverage="0" bottom="0" percent="0" rank="0" text="" dxfId="2">
      <formula>40</formula>
    </cfRule>
    <cfRule type="cellIs" priority="2409" operator="greaterThan" aboveAverage="0" equalAverage="0" bottom="0" percent="0" rank="0" text="" dxfId="3">
      <formula>45</formula>
    </cfRule>
  </conditionalFormatting>
  <conditionalFormatting sqref="J213">
    <cfRule type="cellIs" priority="2410" operator="greaterThan" aboveAverage="0" equalAverage="0" bottom="0" percent="0" rank="0" text="" dxfId="2">
      <formula>40</formula>
    </cfRule>
    <cfRule type="cellIs" priority="2411" operator="greaterThan" aboveAverage="0" equalAverage="0" bottom="0" percent="0" rank="0" text="" dxfId="3">
      <formula>45</formula>
    </cfRule>
  </conditionalFormatting>
  <conditionalFormatting sqref="K213">
    <cfRule type="cellIs" priority="2412" operator="greaterThan" aboveAverage="0" equalAverage="0" bottom="0" percent="0" rank="0" text="" dxfId="2">
      <formula>40</formula>
    </cfRule>
    <cfRule type="cellIs" priority="2413" operator="greaterThan" aboveAverage="0" equalAverage="0" bottom="0" percent="0" rank="0" text="" dxfId="3">
      <formula>45</formula>
    </cfRule>
  </conditionalFormatting>
  <conditionalFormatting sqref="L213">
    <cfRule type="cellIs" priority="2414" operator="greaterThan" aboveAverage="0" equalAverage="0" bottom="0" percent="0" rank="0" text="" dxfId="2">
      <formula>40</formula>
    </cfRule>
    <cfRule type="cellIs" priority="2415" operator="greaterThan" aboveAverage="0" equalAverage="0" bottom="0" percent="0" rank="0" text="" dxfId="3">
      <formula>45</formula>
    </cfRule>
  </conditionalFormatting>
  <conditionalFormatting sqref="M213">
    <cfRule type="cellIs" priority="2416" operator="greaterThan" aboveAverage="0" equalAverage="0" bottom="0" percent="0" rank="0" text="" dxfId="2">
      <formula>40</formula>
    </cfRule>
    <cfRule type="cellIs" priority="2417" operator="greaterThan" aboveAverage="0" equalAverage="0" bottom="0" percent="0" rank="0" text="" dxfId="3">
      <formula>45</formula>
    </cfRule>
  </conditionalFormatting>
  <conditionalFormatting sqref="N213">
    <cfRule type="cellIs" priority="2418" operator="greaterThan" aboveAverage="0" equalAverage="0" bottom="0" percent="0" rank="0" text="" dxfId="2">
      <formula>40</formula>
    </cfRule>
    <cfRule type="cellIs" priority="2419" operator="greaterThan" aboveAverage="0" equalAverage="0" bottom="0" percent="0" rank="0" text="" dxfId="3">
      <formula>45</formula>
    </cfRule>
  </conditionalFormatting>
  <conditionalFormatting sqref="O213">
    <cfRule type="cellIs" priority="2420" operator="greaterThan" aboveAverage="0" equalAverage="0" bottom="0" percent="0" rank="0" text="" dxfId="2">
      <formula>40</formula>
    </cfRule>
    <cfRule type="cellIs" priority="2421" operator="greaterThan" aboveAverage="0" equalAverage="0" bottom="0" percent="0" rank="0" text="" dxfId="3">
      <formula>45</formula>
    </cfRule>
  </conditionalFormatting>
  <conditionalFormatting sqref="P213">
    <cfRule type="cellIs" priority="2422" operator="greaterThan" aboveAverage="0" equalAverage="0" bottom="0" percent="0" rank="0" text="" dxfId="2">
      <formula>40</formula>
    </cfRule>
    <cfRule type="cellIs" priority="2423" operator="greaterThan" aboveAverage="0" equalAverage="0" bottom="0" percent="0" rank="0" text="" dxfId="3">
      <formula>45</formula>
    </cfRule>
  </conditionalFormatting>
  <conditionalFormatting sqref="Q213">
    <cfRule type="cellIs" priority="2424" operator="greaterThan" aboveAverage="0" equalAverage="0" bottom="0" percent="0" rank="0" text="" dxfId="2">
      <formula>40</formula>
    </cfRule>
    <cfRule type="cellIs" priority="2425" operator="greaterThan" aboveAverage="0" equalAverage="0" bottom="0" percent="0" rank="0" text="" dxfId="3">
      <formula>45</formula>
    </cfRule>
  </conditionalFormatting>
  <conditionalFormatting sqref="R213">
    <cfRule type="cellIs" priority="2426" operator="greaterThan" aboveAverage="0" equalAverage="0" bottom="0" percent="0" rank="0" text="" dxfId="2">
      <formula>40</formula>
    </cfRule>
    <cfRule type="cellIs" priority="2427" operator="greaterThan" aboveAverage="0" equalAverage="0" bottom="0" percent="0" rank="0" text="" dxfId="3">
      <formula>45</formula>
    </cfRule>
  </conditionalFormatting>
  <conditionalFormatting sqref="S213">
    <cfRule type="cellIs" priority="2428" operator="greaterThan" aboveAverage="0" equalAverage="0" bottom="0" percent="0" rank="0" text="" dxfId="2">
      <formula>40</formula>
    </cfRule>
    <cfRule type="cellIs" priority="2429" operator="greaterThan" aboveAverage="0" equalAverage="0" bottom="0" percent="0" rank="0" text="" dxfId="3">
      <formula>45</formula>
    </cfRule>
  </conditionalFormatting>
  <conditionalFormatting sqref="T213">
    <cfRule type="cellIs" priority="2430" operator="greaterThan" aboveAverage="0" equalAverage="0" bottom="0" percent="0" rank="0" text="" dxfId="2">
      <formula>40</formula>
    </cfRule>
    <cfRule type="cellIs" priority="2431" operator="greaterThan" aboveAverage="0" equalAverage="0" bottom="0" percent="0" rank="0" text="" dxfId="3">
      <formula>45</formula>
    </cfRule>
  </conditionalFormatting>
  <conditionalFormatting sqref="U213">
    <cfRule type="cellIs" priority="2432" operator="greaterThan" aboveAverage="0" equalAverage="0" bottom="0" percent="0" rank="0" text="" dxfId="2">
      <formula>40</formula>
    </cfRule>
    <cfRule type="cellIs" priority="2433" operator="greaterThan" aboveAverage="0" equalAverage="0" bottom="0" percent="0" rank="0" text="" dxfId="3">
      <formula>45</formula>
    </cfRule>
  </conditionalFormatting>
  <conditionalFormatting sqref="V213">
    <cfRule type="cellIs" priority="2434" operator="greaterThan" aboveAverage="0" equalAverage="0" bottom="0" percent="0" rank="0" text="" dxfId="2">
      <formula>40</formula>
    </cfRule>
    <cfRule type="cellIs" priority="2435" operator="greaterThan" aboveAverage="0" equalAverage="0" bottom="0" percent="0" rank="0" text="" dxfId="3">
      <formula>45</formula>
    </cfRule>
  </conditionalFormatting>
  <conditionalFormatting sqref="W213">
    <cfRule type="cellIs" priority="2436" operator="greaterThan" aboveAverage="0" equalAverage="0" bottom="0" percent="0" rank="0" text="" dxfId="2">
      <formula>40</formula>
    </cfRule>
    <cfRule type="cellIs" priority="2437" operator="greaterThan" aboveAverage="0" equalAverage="0" bottom="0" percent="0" rank="0" text="" dxfId="3">
      <formula>45</formula>
    </cfRule>
  </conditionalFormatting>
  <conditionalFormatting sqref="X213">
    <cfRule type="cellIs" priority="2438" operator="greaterThan" aboveAverage="0" equalAverage="0" bottom="0" percent="0" rank="0" text="" dxfId="2">
      <formula>55</formula>
    </cfRule>
    <cfRule type="cellIs" priority="2439" operator="greaterThan" aboveAverage="0" equalAverage="0" bottom="0" percent="0" rank="0" text="" dxfId="3">
      <formula>65</formula>
    </cfRule>
  </conditionalFormatting>
  <conditionalFormatting sqref="Y213">
    <cfRule type="cellIs" priority="2440" operator="greaterThan" aboveAverage="0" equalAverage="0" bottom="0" percent="0" rank="0" text="" dxfId="2">
      <formula>55</formula>
    </cfRule>
    <cfRule type="cellIs" priority="2441" operator="greaterThan" aboveAverage="0" equalAverage="0" bottom="0" percent="0" rank="0" text="" dxfId="3">
      <formula>65</formula>
    </cfRule>
  </conditionalFormatting>
  <conditionalFormatting sqref="Z213">
    <cfRule type="cellIs" priority="2442" operator="greaterThan" aboveAverage="0" equalAverage="0" bottom="0" percent="0" rank="0" text="" dxfId="2">
      <formula>55</formula>
    </cfRule>
    <cfRule type="cellIs" priority="2443" operator="greaterThan" aboveAverage="0" equalAverage="0" bottom="0" percent="0" rank="0" text="" dxfId="3">
      <formula>65</formula>
    </cfRule>
  </conditionalFormatting>
  <conditionalFormatting sqref="AA213">
    <cfRule type="cellIs" priority="2444" operator="greaterThan" aboveAverage="0" equalAverage="0" bottom="0" percent="0" rank="0" text="" dxfId="2">
      <formula>55</formula>
    </cfRule>
    <cfRule type="cellIs" priority="2445" operator="greaterThan" aboveAverage="0" equalAverage="0" bottom="0" percent="0" rank="0" text="" dxfId="3">
      <formula>65</formula>
    </cfRule>
  </conditionalFormatting>
  <conditionalFormatting sqref="AB213">
    <cfRule type="cellIs" priority="2446" operator="greaterThan" aboveAverage="0" equalAverage="0" bottom="0" percent="0" rank="0" text="" dxfId="2">
      <formula>55</formula>
    </cfRule>
    <cfRule type="cellIs" priority="2447" operator="greaterThan" aboveAverage="0" equalAverage="0" bottom="0" percent="0" rank="0" text="" dxfId="3">
      <formula>65</formula>
    </cfRule>
  </conditionalFormatting>
  <conditionalFormatting sqref="AC213">
    <cfRule type="cellIs" priority="2448" operator="greaterThan" aboveAverage="0" equalAverage="0" bottom="0" percent="0" rank="0" text="" dxfId="2">
      <formula>55</formula>
    </cfRule>
    <cfRule type="cellIs" priority="2449" operator="greaterThan" aboveAverage="0" equalAverage="0" bottom="0" percent="0" rank="0" text="" dxfId="3">
      <formula>65</formula>
    </cfRule>
  </conditionalFormatting>
  <conditionalFormatting sqref="AD213">
    <cfRule type="cellIs" priority="2450" operator="greaterThan" aboveAverage="0" equalAverage="0" bottom="0" percent="0" rank="0" text="" dxfId="2">
      <formula>55</formula>
    </cfRule>
    <cfRule type="cellIs" priority="2451" operator="greaterThan" aboveAverage="0" equalAverage="0" bottom="0" percent="0" rank="0" text="" dxfId="3">
      <formula>65</formula>
    </cfRule>
  </conditionalFormatting>
  <conditionalFormatting sqref="AE213">
    <cfRule type="cellIs" priority="2452" operator="greaterThan" aboveAverage="0" equalAverage="0" bottom="0" percent="0" rank="0" text="" dxfId="2">
      <formula>55</formula>
    </cfRule>
    <cfRule type="cellIs" priority="2453" operator="greaterThan" aboveAverage="0" equalAverage="0" bottom="0" percent="0" rank="0" text="" dxfId="3">
      <formula>65</formula>
    </cfRule>
  </conditionalFormatting>
  <conditionalFormatting sqref="AF213">
    <cfRule type="cellIs" priority="2454" operator="greaterThan" aboveAverage="0" equalAverage="0" bottom="0" percent="0" rank="0" text="" dxfId="2">
      <formula>40</formula>
    </cfRule>
    <cfRule type="cellIs" priority="2455" operator="greaterThan" aboveAverage="0" equalAverage="0" bottom="0" percent="0" rank="0" text="" dxfId="3">
      <formula>45</formula>
    </cfRule>
  </conditionalFormatting>
  <conditionalFormatting sqref="AG213">
    <cfRule type="cellIs" priority="2456" operator="greaterThan" aboveAverage="0" equalAverage="0" bottom="0" percent="0" rank="0" text="" dxfId="2">
      <formula>40</formula>
    </cfRule>
    <cfRule type="cellIs" priority="2457" operator="greaterThan" aboveAverage="0" equalAverage="0" bottom="0" percent="0" rank="0" text="" dxfId="3">
      <formula>45</formula>
    </cfRule>
  </conditionalFormatting>
  <conditionalFormatting sqref="AH213">
    <cfRule type="cellIs" priority="2458" operator="greaterThan" aboveAverage="0" equalAverage="0" bottom="0" percent="0" rank="0" text="" dxfId="2">
      <formula>40</formula>
    </cfRule>
    <cfRule type="cellIs" priority="2459" operator="greaterThan" aboveAverage="0" equalAverage="0" bottom="0" percent="0" rank="0" text="" dxfId="3">
      <formula>45</formula>
    </cfRule>
  </conditionalFormatting>
  <conditionalFormatting sqref="AI213">
    <cfRule type="cellIs" priority="2460" operator="greaterThan" aboveAverage="0" equalAverage="0" bottom="0" percent="0" rank="0" text="" dxfId="2">
      <formula>40</formula>
    </cfRule>
    <cfRule type="cellIs" priority="2461" operator="greaterThan" aboveAverage="0" equalAverage="0" bottom="0" percent="0" rank="0" text="" dxfId="3">
      <formula>45</formula>
    </cfRule>
  </conditionalFormatting>
  <conditionalFormatting sqref="AJ213">
    <cfRule type="cellIs" priority="2462" operator="greaterThan" aboveAverage="0" equalAverage="0" bottom="0" percent="0" rank="0" text="" dxfId="2">
      <formula>40</formula>
    </cfRule>
    <cfRule type="cellIs" priority="2463" operator="greaterThan" aboveAverage="0" equalAverage="0" bottom="0" percent="0" rank="0" text="" dxfId="3">
      <formula>45</formula>
    </cfRule>
  </conditionalFormatting>
  <conditionalFormatting sqref="AK213">
    <cfRule type="cellIs" priority="2464" operator="greaterThan" aboveAverage="0" equalAverage="0" bottom="0" percent="0" rank="0" text="" dxfId="2">
      <formula>40</formula>
    </cfRule>
    <cfRule type="cellIs" priority="2465" operator="greaterThan" aboveAverage="0" equalAverage="0" bottom="0" percent="0" rank="0" text="" dxfId="3">
      <formula>45</formula>
    </cfRule>
  </conditionalFormatting>
  <conditionalFormatting sqref="AL213">
    <cfRule type="cellIs" priority="2466" operator="greaterThan" aboveAverage="0" equalAverage="0" bottom="0" percent="0" rank="0" text="" dxfId="2">
      <formula>40</formula>
    </cfRule>
    <cfRule type="cellIs" priority="2467" operator="greaterThan" aboveAverage="0" equalAverage="0" bottom="0" percent="0" rank="0" text="" dxfId="3">
      <formula>45</formula>
    </cfRule>
  </conditionalFormatting>
  <conditionalFormatting sqref="AM213">
    <cfRule type="cellIs" priority="2468" operator="greaterThan" aboveAverage="0" equalAverage="0" bottom="0" percent="0" rank="0" text="" dxfId="2">
      <formula>40</formula>
    </cfRule>
    <cfRule type="cellIs" priority="2469" operator="greaterThan" aboveAverage="0" equalAverage="0" bottom="0" percent="0" rank="0" text="" dxfId="3">
      <formula>45</formula>
    </cfRule>
  </conditionalFormatting>
  <conditionalFormatting sqref="AN213">
    <cfRule type="cellIs" priority="2470" operator="greaterThan" aboveAverage="0" equalAverage="0" bottom="0" percent="0" rank="0" text="" dxfId="2">
      <formula>40</formula>
    </cfRule>
    <cfRule type="cellIs" priority="2471" operator="greaterThan" aboveAverage="0" equalAverage="0" bottom="0" percent="0" rank="0" text="" dxfId="3">
      <formula>45</formula>
    </cfRule>
  </conditionalFormatting>
  <conditionalFormatting sqref="AO213">
    <cfRule type="cellIs" priority="2472" operator="greaterThan" aboveAverage="0" equalAverage="0" bottom="0" percent="0" rank="0" text="" dxfId="2">
      <formula>40</formula>
    </cfRule>
    <cfRule type="cellIs" priority="2473" operator="greaterThan" aboveAverage="0" equalAverage="0" bottom="0" percent="0" rank="0" text="" dxfId="3">
      <formula>45</formula>
    </cfRule>
  </conditionalFormatting>
  <conditionalFormatting sqref="AP213">
    <cfRule type="cellIs" priority="2474" operator="greaterThan" aboveAverage="0" equalAverage="0" bottom="0" percent="0" rank="0" text="" dxfId="2">
      <formula>40</formula>
    </cfRule>
    <cfRule type="cellIs" priority="2475" operator="greaterThan" aboveAverage="0" equalAverage="0" bottom="0" percent="0" rank="0" text="" dxfId="3">
      <formula>45</formula>
    </cfRule>
  </conditionalFormatting>
  <conditionalFormatting sqref="AQ213">
    <cfRule type="cellIs" priority="2476" operator="greaterThan" aboveAverage="0" equalAverage="0" bottom="0" percent="0" rank="0" text="" dxfId="2">
      <formula>40</formula>
    </cfRule>
    <cfRule type="cellIs" priority="2477" operator="greaterThan" aboveAverage="0" equalAverage="0" bottom="0" percent="0" rank="0" text="" dxfId="3">
      <formula>45</formula>
    </cfRule>
  </conditionalFormatting>
  <conditionalFormatting sqref="AR213">
    <cfRule type="cellIs" priority="2478" operator="greaterThan" aboveAverage="0" equalAverage="0" bottom="0" percent="0" rank="0" text="" dxfId="2">
      <formula>40</formula>
    </cfRule>
    <cfRule type="cellIs" priority="2479" operator="greaterThan" aboveAverage="0" equalAverage="0" bottom="0" percent="0" rank="0" text="" dxfId="3">
      <formula>45</formula>
    </cfRule>
  </conditionalFormatting>
  <conditionalFormatting sqref="AS213">
    <cfRule type="cellIs" priority="2480" operator="greaterThan" aboveAverage="0" equalAverage="0" bottom="0" percent="0" rank="0" text="" dxfId="2">
      <formula>40</formula>
    </cfRule>
    <cfRule type="cellIs" priority="2481" operator="greaterThan" aboveAverage="0" equalAverage="0" bottom="0" percent="0" rank="0" text="" dxfId="3">
      <formula>45</formula>
    </cfRule>
  </conditionalFormatting>
  <conditionalFormatting sqref="F217">
    <cfRule type="cellIs" priority="2482" operator="greaterThan" aboveAverage="0" equalAverage="0" bottom="0" percent="0" rank="0" text="" dxfId="2">
      <formula>40</formula>
    </cfRule>
    <cfRule type="cellIs" priority="2483" operator="greaterThan" aboveAverage="0" equalAverage="0" bottom="0" percent="0" rank="0" text="" dxfId="3">
      <formula>45</formula>
    </cfRule>
  </conditionalFormatting>
  <conditionalFormatting sqref="G217">
    <cfRule type="cellIs" priority="2484" operator="greaterThan" aboveAverage="0" equalAverage="0" bottom="0" percent="0" rank="0" text="" dxfId="2">
      <formula>40</formula>
    </cfRule>
    <cfRule type="cellIs" priority="2485" operator="greaterThan" aboveAverage="0" equalAverage="0" bottom="0" percent="0" rank="0" text="" dxfId="3">
      <formula>45</formula>
    </cfRule>
  </conditionalFormatting>
  <conditionalFormatting sqref="H217">
    <cfRule type="cellIs" priority="2486" operator="greaterThan" aboveAverage="0" equalAverage="0" bottom="0" percent="0" rank="0" text="" dxfId="2">
      <formula>40</formula>
    </cfRule>
    <cfRule type="cellIs" priority="2487" operator="greaterThan" aboveAverage="0" equalAverage="0" bottom="0" percent="0" rank="0" text="" dxfId="3">
      <formula>45</formula>
    </cfRule>
  </conditionalFormatting>
  <conditionalFormatting sqref="I217">
    <cfRule type="cellIs" priority="2488" operator="greaterThan" aboveAverage="0" equalAverage="0" bottom="0" percent="0" rank="0" text="" dxfId="2">
      <formula>40</formula>
    </cfRule>
    <cfRule type="cellIs" priority="2489" operator="greaterThan" aboveAverage="0" equalAverage="0" bottom="0" percent="0" rank="0" text="" dxfId="3">
      <formula>45</formula>
    </cfRule>
  </conditionalFormatting>
  <conditionalFormatting sqref="J217">
    <cfRule type="cellIs" priority="2490" operator="greaterThan" aboveAverage="0" equalAverage="0" bottom="0" percent="0" rank="0" text="" dxfId="2">
      <formula>40</formula>
    </cfRule>
    <cfRule type="cellIs" priority="2491" operator="greaterThan" aboveAverage="0" equalAverage="0" bottom="0" percent="0" rank="0" text="" dxfId="3">
      <formula>45</formula>
    </cfRule>
  </conditionalFormatting>
  <conditionalFormatting sqref="K217">
    <cfRule type="cellIs" priority="2492" operator="greaterThan" aboveAverage="0" equalAverage="0" bottom="0" percent="0" rank="0" text="" dxfId="2">
      <formula>40</formula>
    </cfRule>
    <cfRule type="cellIs" priority="2493" operator="greaterThan" aboveAverage="0" equalAverage="0" bottom="0" percent="0" rank="0" text="" dxfId="3">
      <formula>45</formula>
    </cfRule>
  </conditionalFormatting>
  <conditionalFormatting sqref="L217">
    <cfRule type="cellIs" priority="2494" operator="greaterThan" aboveAverage="0" equalAverage="0" bottom="0" percent="0" rank="0" text="" dxfId="2">
      <formula>40</formula>
    </cfRule>
    <cfRule type="cellIs" priority="2495" operator="greaterThan" aboveAverage="0" equalAverage="0" bottom="0" percent="0" rank="0" text="" dxfId="3">
      <formula>45</formula>
    </cfRule>
  </conditionalFormatting>
  <conditionalFormatting sqref="M217">
    <cfRule type="cellIs" priority="2496" operator="greaterThan" aboveAverage="0" equalAverage="0" bottom="0" percent="0" rank="0" text="" dxfId="2">
      <formula>40</formula>
    </cfRule>
    <cfRule type="cellIs" priority="2497" operator="greaterThan" aboveAverage="0" equalAverage="0" bottom="0" percent="0" rank="0" text="" dxfId="3">
      <formula>45</formula>
    </cfRule>
  </conditionalFormatting>
  <conditionalFormatting sqref="N217">
    <cfRule type="cellIs" priority="2498" operator="greaterThan" aboveAverage="0" equalAverage="0" bottom="0" percent="0" rank="0" text="" dxfId="2">
      <formula>40</formula>
    </cfRule>
    <cfRule type="cellIs" priority="2499" operator="greaterThan" aboveAverage="0" equalAverage="0" bottom="0" percent="0" rank="0" text="" dxfId="3">
      <formula>45</formula>
    </cfRule>
  </conditionalFormatting>
  <conditionalFormatting sqref="O217">
    <cfRule type="cellIs" priority="2500" operator="greaterThan" aboveAverage="0" equalAverage="0" bottom="0" percent="0" rank="0" text="" dxfId="2">
      <formula>40</formula>
    </cfRule>
    <cfRule type="cellIs" priority="2501" operator="greaterThan" aboveAverage="0" equalAverage="0" bottom="0" percent="0" rank="0" text="" dxfId="3">
      <formula>45</formula>
    </cfRule>
  </conditionalFormatting>
  <conditionalFormatting sqref="P217">
    <cfRule type="cellIs" priority="2502" operator="greaterThan" aboveAverage="0" equalAverage="0" bottom="0" percent="0" rank="0" text="" dxfId="2">
      <formula>40</formula>
    </cfRule>
    <cfRule type="cellIs" priority="2503" operator="greaterThan" aboveAverage="0" equalAverage="0" bottom="0" percent="0" rank="0" text="" dxfId="3">
      <formula>45</formula>
    </cfRule>
  </conditionalFormatting>
  <conditionalFormatting sqref="Q217">
    <cfRule type="cellIs" priority="2504" operator="greaterThan" aboveAverage="0" equalAverage="0" bottom="0" percent="0" rank="0" text="" dxfId="2">
      <formula>40</formula>
    </cfRule>
    <cfRule type="cellIs" priority="2505" operator="greaterThan" aboveAverage="0" equalAverage="0" bottom="0" percent="0" rank="0" text="" dxfId="3">
      <formula>45</formula>
    </cfRule>
  </conditionalFormatting>
  <conditionalFormatting sqref="R217">
    <cfRule type="cellIs" priority="2506" operator="greaterThan" aboveAverage="0" equalAverage="0" bottom="0" percent="0" rank="0" text="" dxfId="2">
      <formula>40</formula>
    </cfRule>
    <cfRule type="cellIs" priority="2507" operator="greaterThan" aboveAverage="0" equalAverage="0" bottom="0" percent="0" rank="0" text="" dxfId="3">
      <formula>45</formula>
    </cfRule>
  </conditionalFormatting>
  <conditionalFormatting sqref="S217">
    <cfRule type="cellIs" priority="2508" operator="greaterThan" aboveAverage="0" equalAverage="0" bottom="0" percent="0" rank="0" text="" dxfId="2">
      <formula>40</formula>
    </cfRule>
    <cfRule type="cellIs" priority="2509" operator="greaterThan" aboveAverage="0" equalAverage="0" bottom="0" percent="0" rank="0" text="" dxfId="3">
      <formula>45</formula>
    </cfRule>
  </conditionalFormatting>
  <conditionalFormatting sqref="T217">
    <cfRule type="cellIs" priority="2510" operator="greaterThan" aboveAverage="0" equalAverage="0" bottom="0" percent="0" rank="0" text="" dxfId="2">
      <formula>40</formula>
    </cfRule>
    <cfRule type="cellIs" priority="2511" operator="greaterThan" aboveAverage="0" equalAverage="0" bottom="0" percent="0" rank="0" text="" dxfId="3">
      <formula>45</formula>
    </cfRule>
  </conditionalFormatting>
  <conditionalFormatting sqref="U217">
    <cfRule type="cellIs" priority="2512" operator="greaterThan" aboveAverage="0" equalAverage="0" bottom="0" percent="0" rank="0" text="" dxfId="2">
      <formula>40</formula>
    </cfRule>
    <cfRule type="cellIs" priority="2513" operator="greaterThan" aboveAverage="0" equalAverage="0" bottom="0" percent="0" rank="0" text="" dxfId="3">
      <formula>45</formula>
    </cfRule>
  </conditionalFormatting>
  <conditionalFormatting sqref="V217">
    <cfRule type="cellIs" priority="2514" operator="greaterThan" aboveAverage="0" equalAverage="0" bottom="0" percent="0" rank="0" text="" dxfId="2">
      <formula>40</formula>
    </cfRule>
    <cfRule type="cellIs" priority="2515" operator="greaterThan" aboveAverage="0" equalAverage="0" bottom="0" percent="0" rank="0" text="" dxfId="3">
      <formula>45</formula>
    </cfRule>
  </conditionalFormatting>
  <conditionalFormatting sqref="W217">
    <cfRule type="cellIs" priority="2516" operator="greaterThan" aboveAverage="0" equalAverage="0" bottom="0" percent="0" rank="0" text="" dxfId="2">
      <formula>40</formula>
    </cfRule>
    <cfRule type="cellIs" priority="2517" operator="greaterThan" aboveAverage="0" equalAverage="0" bottom="0" percent="0" rank="0" text="" dxfId="3">
      <formula>45</formula>
    </cfRule>
  </conditionalFormatting>
  <conditionalFormatting sqref="X217">
    <cfRule type="cellIs" priority="2518" operator="greaterThan" aboveAverage="0" equalAverage="0" bottom="0" percent="0" rank="0" text="" dxfId="2">
      <formula>55</formula>
    </cfRule>
    <cfRule type="cellIs" priority="2519" operator="greaterThan" aboveAverage="0" equalAverage="0" bottom="0" percent="0" rank="0" text="" dxfId="3">
      <formula>65</formula>
    </cfRule>
  </conditionalFormatting>
  <conditionalFormatting sqref="Y217">
    <cfRule type="cellIs" priority="2520" operator="greaterThan" aboveAverage="0" equalAverage="0" bottom="0" percent="0" rank="0" text="" dxfId="2">
      <formula>55</formula>
    </cfRule>
    <cfRule type="cellIs" priority="2521" operator="greaterThan" aboveAverage="0" equalAverage="0" bottom="0" percent="0" rank="0" text="" dxfId="3">
      <formula>65</formula>
    </cfRule>
  </conditionalFormatting>
  <conditionalFormatting sqref="Z217">
    <cfRule type="cellIs" priority="2522" operator="greaterThan" aboveAverage="0" equalAverage="0" bottom="0" percent="0" rank="0" text="" dxfId="2">
      <formula>55</formula>
    </cfRule>
    <cfRule type="cellIs" priority="2523" operator="greaterThan" aboveAverage="0" equalAverage="0" bottom="0" percent="0" rank="0" text="" dxfId="3">
      <formula>65</formula>
    </cfRule>
  </conditionalFormatting>
  <conditionalFormatting sqref="AA217">
    <cfRule type="cellIs" priority="2524" operator="greaterThan" aboveAverage="0" equalAverage="0" bottom="0" percent="0" rank="0" text="" dxfId="2">
      <formula>55</formula>
    </cfRule>
    <cfRule type="cellIs" priority="2525" operator="greaterThan" aboveAverage="0" equalAverage="0" bottom="0" percent="0" rank="0" text="" dxfId="3">
      <formula>65</formula>
    </cfRule>
  </conditionalFormatting>
  <conditionalFormatting sqref="AB217">
    <cfRule type="cellIs" priority="2526" operator="greaterThan" aboveAverage="0" equalAverage="0" bottom="0" percent="0" rank="0" text="" dxfId="2">
      <formula>55</formula>
    </cfRule>
    <cfRule type="cellIs" priority="2527" operator="greaterThan" aboveAverage="0" equalAverage="0" bottom="0" percent="0" rank="0" text="" dxfId="3">
      <formula>65</formula>
    </cfRule>
  </conditionalFormatting>
  <conditionalFormatting sqref="AC217">
    <cfRule type="cellIs" priority="2528" operator="greaterThan" aboveAverage="0" equalAverage="0" bottom="0" percent="0" rank="0" text="" dxfId="2">
      <formula>55</formula>
    </cfRule>
    <cfRule type="cellIs" priority="2529" operator="greaterThan" aboveAverage="0" equalAverage="0" bottom="0" percent="0" rank="0" text="" dxfId="3">
      <formula>65</formula>
    </cfRule>
  </conditionalFormatting>
  <conditionalFormatting sqref="AD217">
    <cfRule type="cellIs" priority="2530" operator="greaterThan" aboveAverage="0" equalAverage="0" bottom="0" percent="0" rank="0" text="" dxfId="2">
      <formula>55</formula>
    </cfRule>
    <cfRule type="cellIs" priority="2531" operator="greaterThan" aboveAverage="0" equalAverage="0" bottom="0" percent="0" rank="0" text="" dxfId="3">
      <formula>65</formula>
    </cfRule>
  </conditionalFormatting>
  <conditionalFormatting sqref="AE217">
    <cfRule type="cellIs" priority="2532" operator="greaterThan" aboveAverage="0" equalAverage="0" bottom="0" percent="0" rank="0" text="" dxfId="2">
      <formula>55</formula>
    </cfRule>
    <cfRule type="cellIs" priority="2533" operator="greaterThan" aboveAverage="0" equalAverage="0" bottom="0" percent="0" rank="0" text="" dxfId="3">
      <formula>65</formula>
    </cfRule>
  </conditionalFormatting>
  <conditionalFormatting sqref="AF217">
    <cfRule type="cellIs" priority="2534" operator="greaterThan" aboveAverage="0" equalAverage="0" bottom="0" percent="0" rank="0" text="" dxfId="2">
      <formula>40</formula>
    </cfRule>
    <cfRule type="cellIs" priority="2535" operator="greaterThan" aboveAverage="0" equalAverage="0" bottom="0" percent="0" rank="0" text="" dxfId="3">
      <formula>45</formula>
    </cfRule>
  </conditionalFormatting>
  <conditionalFormatting sqref="AG217">
    <cfRule type="cellIs" priority="2536" operator="greaterThan" aboveAverage="0" equalAverage="0" bottom="0" percent="0" rank="0" text="" dxfId="2">
      <formula>40</formula>
    </cfRule>
    <cfRule type="cellIs" priority="2537" operator="greaterThan" aboveAverage="0" equalAverage="0" bottom="0" percent="0" rank="0" text="" dxfId="3">
      <formula>45</formula>
    </cfRule>
  </conditionalFormatting>
  <conditionalFormatting sqref="AH217">
    <cfRule type="cellIs" priority="2538" operator="greaterThan" aboveAverage="0" equalAverage="0" bottom="0" percent="0" rank="0" text="" dxfId="2">
      <formula>40</formula>
    </cfRule>
    <cfRule type="cellIs" priority="2539" operator="greaterThan" aboveAverage="0" equalAverage="0" bottom="0" percent="0" rank="0" text="" dxfId="3">
      <formula>45</formula>
    </cfRule>
  </conditionalFormatting>
  <conditionalFormatting sqref="AI217">
    <cfRule type="cellIs" priority="2540" operator="greaterThan" aboveAverage="0" equalAverage="0" bottom="0" percent="0" rank="0" text="" dxfId="2">
      <formula>40</formula>
    </cfRule>
    <cfRule type="cellIs" priority="2541" operator="greaterThan" aboveAverage="0" equalAverage="0" bottom="0" percent="0" rank="0" text="" dxfId="3">
      <formula>45</formula>
    </cfRule>
  </conditionalFormatting>
  <conditionalFormatting sqref="AJ217">
    <cfRule type="cellIs" priority="2542" operator="greaterThan" aboveAverage="0" equalAverage="0" bottom="0" percent="0" rank="0" text="" dxfId="2">
      <formula>40</formula>
    </cfRule>
    <cfRule type="cellIs" priority="2543" operator="greaterThan" aboveAverage="0" equalAverage="0" bottom="0" percent="0" rank="0" text="" dxfId="3">
      <formula>45</formula>
    </cfRule>
  </conditionalFormatting>
  <conditionalFormatting sqref="AK217">
    <cfRule type="cellIs" priority="2544" operator="greaterThan" aboveAverage="0" equalAverage="0" bottom="0" percent="0" rank="0" text="" dxfId="2">
      <formula>40</formula>
    </cfRule>
    <cfRule type="cellIs" priority="2545" operator="greaterThan" aboveAverage="0" equalAverage="0" bottom="0" percent="0" rank="0" text="" dxfId="3">
      <formula>45</formula>
    </cfRule>
  </conditionalFormatting>
  <conditionalFormatting sqref="AL217">
    <cfRule type="cellIs" priority="2546" operator="greaterThan" aboveAverage="0" equalAverage="0" bottom="0" percent="0" rank="0" text="" dxfId="2">
      <formula>40</formula>
    </cfRule>
    <cfRule type="cellIs" priority="2547" operator="greaterThan" aboveAverage="0" equalAverage="0" bottom="0" percent="0" rank="0" text="" dxfId="3">
      <formula>45</formula>
    </cfRule>
  </conditionalFormatting>
  <conditionalFormatting sqref="AM217">
    <cfRule type="cellIs" priority="2548" operator="greaterThan" aboveAverage="0" equalAverage="0" bottom="0" percent="0" rank="0" text="" dxfId="2">
      <formula>40</formula>
    </cfRule>
    <cfRule type="cellIs" priority="2549" operator="greaterThan" aboveAverage="0" equalAverage="0" bottom="0" percent="0" rank="0" text="" dxfId="3">
      <formula>45</formula>
    </cfRule>
  </conditionalFormatting>
  <conditionalFormatting sqref="AN217">
    <cfRule type="cellIs" priority="2550" operator="greaterThan" aboveAverage="0" equalAverage="0" bottom="0" percent="0" rank="0" text="" dxfId="2">
      <formula>40</formula>
    </cfRule>
    <cfRule type="cellIs" priority="2551" operator="greaterThan" aboveAverage="0" equalAverage="0" bottom="0" percent="0" rank="0" text="" dxfId="3">
      <formula>45</formula>
    </cfRule>
  </conditionalFormatting>
  <conditionalFormatting sqref="AO217">
    <cfRule type="cellIs" priority="2552" operator="greaterThan" aboveAverage="0" equalAverage="0" bottom="0" percent="0" rank="0" text="" dxfId="2">
      <formula>40</formula>
    </cfRule>
    <cfRule type="cellIs" priority="2553" operator="greaterThan" aboveAverage="0" equalAverage="0" bottom="0" percent="0" rank="0" text="" dxfId="3">
      <formula>45</formula>
    </cfRule>
  </conditionalFormatting>
  <conditionalFormatting sqref="AP217">
    <cfRule type="cellIs" priority="2554" operator="greaterThan" aboveAverage="0" equalAverage="0" bottom="0" percent="0" rank="0" text="" dxfId="2">
      <formula>40</formula>
    </cfRule>
    <cfRule type="cellIs" priority="2555" operator="greaterThan" aboveAverage="0" equalAverage="0" bottom="0" percent="0" rank="0" text="" dxfId="3">
      <formula>45</formula>
    </cfRule>
  </conditionalFormatting>
  <conditionalFormatting sqref="AQ217">
    <cfRule type="cellIs" priority="2556" operator="greaterThan" aboveAverage="0" equalAverage="0" bottom="0" percent="0" rank="0" text="" dxfId="2">
      <formula>40</formula>
    </cfRule>
    <cfRule type="cellIs" priority="2557" operator="greaterThan" aboveAverage="0" equalAverage="0" bottom="0" percent="0" rank="0" text="" dxfId="3">
      <formula>45</formula>
    </cfRule>
  </conditionalFormatting>
  <conditionalFormatting sqref="AR217">
    <cfRule type="cellIs" priority="2558" operator="greaterThan" aboveAverage="0" equalAverage="0" bottom="0" percent="0" rank="0" text="" dxfId="2">
      <formula>40</formula>
    </cfRule>
    <cfRule type="cellIs" priority="2559" operator="greaterThan" aboveAverage="0" equalAverage="0" bottom="0" percent="0" rank="0" text="" dxfId="3">
      <formula>45</formula>
    </cfRule>
  </conditionalFormatting>
  <conditionalFormatting sqref="AS217">
    <cfRule type="cellIs" priority="2560" operator="greaterThan" aboveAverage="0" equalAverage="0" bottom="0" percent="0" rank="0" text="" dxfId="2">
      <formula>40</formula>
    </cfRule>
    <cfRule type="cellIs" priority="2561" operator="greaterThan" aboveAverage="0" equalAverage="0" bottom="0" percent="0" rank="0" text="" dxfId="3">
      <formula>45</formula>
    </cfRule>
  </conditionalFormatting>
  <conditionalFormatting sqref="F220">
    <cfRule type="cellIs" priority="2562" operator="greaterThan" aboveAverage="0" equalAverage="0" bottom="0" percent="0" rank="0" text="" dxfId="2">
      <formula>40</formula>
    </cfRule>
    <cfRule type="cellIs" priority="2563" operator="greaterThan" aboveAverage="0" equalAverage="0" bottom="0" percent="0" rank="0" text="" dxfId="3">
      <formula>45</formula>
    </cfRule>
  </conditionalFormatting>
  <conditionalFormatting sqref="G220">
    <cfRule type="cellIs" priority="2564" operator="greaterThan" aboveAverage="0" equalAverage="0" bottom="0" percent="0" rank="0" text="" dxfId="2">
      <formula>40</formula>
    </cfRule>
    <cfRule type="cellIs" priority="2565" operator="greaterThan" aboveAverage="0" equalAverage="0" bottom="0" percent="0" rank="0" text="" dxfId="3">
      <formula>45</formula>
    </cfRule>
  </conditionalFormatting>
  <conditionalFormatting sqref="H220">
    <cfRule type="cellIs" priority="2566" operator="greaterThan" aboveAverage="0" equalAverage="0" bottom="0" percent="0" rank="0" text="" dxfId="2">
      <formula>40</formula>
    </cfRule>
    <cfRule type="cellIs" priority="2567" operator="greaterThan" aboveAverage="0" equalAverage="0" bottom="0" percent="0" rank="0" text="" dxfId="3">
      <formula>45</formula>
    </cfRule>
  </conditionalFormatting>
  <conditionalFormatting sqref="I220">
    <cfRule type="cellIs" priority="2568" operator="greaterThan" aboveAverage="0" equalAverage="0" bottom="0" percent="0" rank="0" text="" dxfId="2">
      <formula>40</formula>
    </cfRule>
    <cfRule type="cellIs" priority="2569" operator="greaterThan" aboveAverage="0" equalAverage="0" bottom="0" percent="0" rank="0" text="" dxfId="3">
      <formula>45</formula>
    </cfRule>
  </conditionalFormatting>
  <conditionalFormatting sqref="J220">
    <cfRule type="cellIs" priority="2570" operator="greaterThan" aboveAverage="0" equalAverage="0" bottom="0" percent="0" rank="0" text="" dxfId="2">
      <formula>40</formula>
    </cfRule>
    <cfRule type="cellIs" priority="2571" operator="greaterThan" aboveAverage="0" equalAverage="0" bottom="0" percent="0" rank="0" text="" dxfId="3">
      <formula>45</formula>
    </cfRule>
  </conditionalFormatting>
  <conditionalFormatting sqref="K220">
    <cfRule type="cellIs" priority="2572" operator="greaterThan" aboveAverage="0" equalAverage="0" bottom="0" percent="0" rank="0" text="" dxfId="2">
      <formula>40</formula>
    </cfRule>
    <cfRule type="cellIs" priority="2573" operator="greaterThan" aboveAverage="0" equalAverage="0" bottom="0" percent="0" rank="0" text="" dxfId="3">
      <formula>45</formula>
    </cfRule>
  </conditionalFormatting>
  <conditionalFormatting sqref="L220">
    <cfRule type="cellIs" priority="2574" operator="greaterThan" aboveAverage="0" equalAverage="0" bottom="0" percent="0" rank="0" text="" dxfId="2">
      <formula>40</formula>
    </cfRule>
    <cfRule type="cellIs" priority="2575" operator="greaterThan" aboveAverage="0" equalAverage="0" bottom="0" percent="0" rank="0" text="" dxfId="3">
      <formula>45</formula>
    </cfRule>
  </conditionalFormatting>
  <conditionalFormatting sqref="M220">
    <cfRule type="cellIs" priority="2576" operator="greaterThan" aboveAverage="0" equalAverage="0" bottom="0" percent="0" rank="0" text="" dxfId="2">
      <formula>40</formula>
    </cfRule>
    <cfRule type="cellIs" priority="2577" operator="greaterThan" aboveAverage="0" equalAverage="0" bottom="0" percent="0" rank="0" text="" dxfId="3">
      <formula>45</formula>
    </cfRule>
  </conditionalFormatting>
  <conditionalFormatting sqref="N220">
    <cfRule type="cellIs" priority="2578" operator="greaterThan" aboveAverage="0" equalAverage="0" bottom="0" percent="0" rank="0" text="" dxfId="2">
      <formula>40</formula>
    </cfRule>
    <cfRule type="cellIs" priority="2579" operator="greaterThan" aboveAverage="0" equalAverage="0" bottom="0" percent="0" rank="0" text="" dxfId="3">
      <formula>45</formula>
    </cfRule>
  </conditionalFormatting>
  <conditionalFormatting sqref="O220">
    <cfRule type="cellIs" priority="2580" operator="greaterThan" aboveAverage="0" equalAverage="0" bottom="0" percent="0" rank="0" text="" dxfId="2">
      <formula>40</formula>
    </cfRule>
    <cfRule type="cellIs" priority="2581" operator="greaterThan" aboveAverage="0" equalAverage="0" bottom="0" percent="0" rank="0" text="" dxfId="3">
      <formula>45</formula>
    </cfRule>
  </conditionalFormatting>
  <conditionalFormatting sqref="P220">
    <cfRule type="cellIs" priority="2582" operator="greaterThan" aboveAverage="0" equalAverage="0" bottom="0" percent="0" rank="0" text="" dxfId="2">
      <formula>40</formula>
    </cfRule>
    <cfRule type="cellIs" priority="2583" operator="greaterThan" aboveAverage="0" equalAverage="0" bottom="0" percent="0" rank="0" text="" dxfId="3">
      <formula>45</formula>
    </cfRule>
  </conditionalFormatting>
  <conditionalFormatting sqref="Q220">
    <cfRule type="cellIs" priority="2584" operator="greaterThan" aboveAverage="0" equalAverage="0" bottom="0" percent="0" rank="0" text="" dxfId="2">
      <formula>40</formula>
    </cfRule>
    <cfRule type="cellIs" priority="2585" operator="greaterThan" aboveAverage="0" equalAverage="0" bottom="0" percent="0" rank="0" text="" dxfId="3">
      <formula>45</formula>
    </cfRule>
  </conditionalFormatting>
  <conditionalFormatting sqref="R220">
    <cfRule type="cellIs" priority="2586" operator="greaterThan" aboveAverage="0" equalAverage="0" bottom="0" percent="0" rank="0" text="" dxfId="2">
      <formula>40</formula>
    </cfRule>
    <cfRule type="cellIs" priority="2587" operator="greaterThan" aboveAverage="0" equalAverage="0" bottom="0" percent="0" rank="0" text="" dxfId="3">
      <formula>45</formula>
    </cfRule>
  </conditionalFormatting>
  <conditionalFormatting sqref="S220">
    <cfRule type="cellIs" priority="2588" operator="greaterThan" aboveAverage="0" equalAverage="0" bottom="0" percent="0" rank="0" text="" dxfId="2">
      <formula>40</formula>
    </cfRule>
    <cfRule type="cellIs" priority="2589" operator="greaterThan" aboveAverage="0" equalAverage="0" bottom="0" percent="0" rank="0" text="" dxfId="3">
      <formula>45</formula>
    </cfRule>
  </conditionalFormatting>
  <conditionalFormatting sqref="T220">
    <cfRule type="cellIs" priority="2590" operator="greaterThan" aboveAverage="0" equalAverage="0" bottom="0" percent="0" rank="0" text="" dxfId="2">
      <formula>40</formula>
    </cfRule>
    <cfRule type="cellIs" priority="2591" operator="greaterThan" aboveAverage="0" equalAverage="0" bottom="0" percent="0" rank="0" text="" dxfId="3">
      <formula>45</formula>
    </cfRule>
  </conditionalFormatting>
  <conditionalFormatting sqref="U220">
    <cfRule type="cellIs" priority="2592" operator="greaterThan" aboveAverage="0" equalAverage="0" bottom="0" percent="0" rank="0" text="" dxfId="2">
      <formula>40</formula>
    </cfRule>
    <cfRule type="cellIs" priority="2593" operator="greaterThan" aboveAverage="0" equalAverage="0" bottom="0" percent="0" rank="0" text="" dxfId="3">
      <formula>45</formula>
    </cfRule>
  </conditionalFormatting>
  <conditionalFormatting sqref="V220">
    <cfRule type="cellIs" priority="2594" operator="greaterThan" aboveAverage="0" equalAverage="0" bottom="0" percent="0" rank="0" text="" dxfId="2">
      <formula>40</formula>
    </cfRule>
    <cfRule type="cellIs" priority="2595" operator="greaterThan" aboveAverage="0" equalAverage="0" bottom="0" percent="0" rank="0" text="" dxfId="3">
      <formula>45</formula>
    </cfRule>
  </conditionalFormatting>
  <conditionalFormatting sqref="W220">
    <cfRule type="cellIs" priority="2596" operator="greaterThan" aboveAverage="0" equalAverage="0" bottom="0" percent="0" rank="0" text="" dxfId="2">
      <formula>40</formula>
    </cfRule>
    <cfRule type="cellIs" priority="2597" operator="greaterThan" aboveAverage="0" equalAverage="0" bottom="0" percent="0" rank="0" text="" dxfId="3">
      <formula>45</formula>
    </cfRule>
  </conditionalFormatting>
  <conditionalFormatting sqref="X220">
    <cfRule type="cellIs" priority="2598" operator="greaterThan" aboveAverage="0" equalAverage="0" bottom="0" percent="0" rank="0" text="" dxfId="2">
      <formula>55</formula>
    </cfRule>
    <cfRule type="cellIs" priority="2599" operator="greaterThan" aboveAverage="0" equalAverage="0" bottom="0" percent="0" rank="0" text="" dxfId="3">
      <formula>65</formula>
    </cfRule>
  </conditionalFormatting>
  <conditionalFormatting sqref="Y220">
    <cfRule type="cellIs" priority="2600" operator="greaterThan" aboveAverage="0" equalAverage="0" bottom="0" percent="0" rank="0" text="" dxfId="2">
      <formula>55</formula>
    </cfRule>
    <cfRule type="cellIs" priority="2601" operator="greaterThan" aboveAverage="0" equalAverage="0" bottom="0" percent="0" rank="0" text="" dxfId="3">
      <formula>65</formula>
    </cfRule>
  </conditionalFormatting>
  <conditionalFormatting sqref="Z220">
    <cfRule type="cellIs" priority="2602" operator="greaterThan" aboveAverage="0" equalAverage="0" bottom="0" percent="0" rank="0" text="" dxfId="2">
      <formula>55</formula>
    </cfRule>
    <cfRule type="cellIs" priority="2603" operator="greaterThan" aboveAverage="0" equalAverage="0" bottom="0" percent="0" rank="0" text="" dxfId="3">
      <formula>65</formula>
    </cfRule>
  </conditionalFormatting>
  <conditionalFormatting sqref="AA220">
    <cfRule type="cellIs" priority="2604" operator="greaterThan" aboveAverage="0" equalAverage="0" bottom="0" percent="0" rank="0" text="" dxfId="2">
      <formula>55</formula>
    </cfRule>
    <cfRule type="cellIs" priority="2605" operator="greaterThan" aboveAverage="0" equalAverage="0" bottom="0" percent="0" rank="0" text="" dxfId="3">
      <formula>65</formula>
    </cfRule>
  </conditionalFormatting>
  <conditionalFormatting sqref="AB220">
    <cfRule type="cellIs" priority="2606" operator="greaterThan" aboveAverage="0" equalAverage="0" bottom="0" percent="0" rank="0" text="" dxfId="2">
      <formula>55</formula>
    </cfRule>
    <cfRule type="cellIs" priority="2607" operator="greaterThan" aboveAverage="0" equalAverage="0" bottom="0" percent="0" rank="0" text="" dxfId="3">
      <formula>65</formula>
    </cfRule>
  </conditionalFormatting>
  <conditionalFormatting sqref="AC220">
    <cfRule type="cellIs" priority="2608" operator="greaterThan" aboveAverage="0" equalAverage="0" bottom="0" percent="0" rank="0" text="" dxfId="2">
      <formula>55</formula>
    </cfRule>
    <cfRule type="cellIs" priority="2609" operator="greaterThan" aboveAverage="0" equalAverage="0" bottom="0" percent="0" rank="0" text="" dxfId="3">
      <formula>65</formula>
    </cfRule>
  </conditionalFormatting>
  <conditionalFormatting sqref="AD220">
    <cfRule type="cellIs" priority="2610" operator="greaterThan" aboveAverage="0" equalAverage="0" bottom="0" percent="0" rank="0" text="" dxfId="2">
      <formula>55</formula>
    </cfRule>
    <cfRule type="cellIs" priority="2611" operator="greaterThan" aboveAverage="0" equalAverage="0" bottom="0" percent="0" rank="0" text="" dxfId="3">
      <formula>65</formula>
    </cfRule>
  </conditionalFormatting>
  <conditionalFormatting sqref="AE220">
    <cfRule type="cellIs" priority="2612" operator="greaterThan" aboveAverage="0" equalAverage="0" bottom="0" percent="0" rank="0" text="" dxfId="2">
      <formula>55</formula>
    </cfRule>
    <cfRule type="cellIs" priority="2613" operator="greaterThan" aboveAverage="0" equalAverage="0" bottom="0" percent="0" rank="0" text="" dxfId="3">
      <formula>65</formula>
    </cfRule>
  </conditionalFormatting>
  <conditionalFormatting sqref="AF220">
    <cfRule type="cellIs" priority="2614" operator="greaterThan" aboveAverage="0" equalAverage="0" bottom="0" percent="0" rank="0" text="" dxfId="2">
      <formula>40</formula>
    </cfRule>
    <cfRule type="cellIs" priority="2615" operator="greaterThan" aboveAverage="0" equalAverage="0" bottom="0" percent="0" rank="0" text="" dxfId="3">
      <formula>45</formula>
    </cfRule>
  </conditionalFormatting>
  <conditionalFormatting sqref="AG220">
    <cfRule type="cellIs" priority="2616" operator="greaterThan" aboveAverage="0" equalAverage="0" bottom="0" percent="0" rank="0" text="" dxfId="2">
      <formula>40</formula>
    </cfRule>
    <cfRule type="cellIs" priority="2617" operator="greaterThan" aboveAverage="0" equalAverage="0" bottom="0" percent="0" rank="0" text="" dxfId="3">
      <formula>45</formula>
    </cfRule>
  </conditionalFormatting>
  <conditionalFormatting sqref="AH220">
    <cfRule type="cellIs" priority="2618" operator="greaterThan" aboveAverage="0" equalAverage="0" bottom="0" percent="0" rank="0" text="" dxfId="2">
      <formula>40</formula>
    </cfRule>
    <cfRule type="cellIs" priority="2619" operator="greaterThan" aboveAverage="0" equalAverage="0" bottom="0" percent="0" rank="0" text="" dxfId="3">
      <formula>45</formula>
    </cfRule>
  </conditionalFormatting>
  <conditionalFormatting sqref="AI220">
    <cfRule type="cellIs" priority="2620" operator="greaterThan" aboveAverage="0" equalAverage="0" bottom="0" percent="0" rank="0" text="" dxfId="2">
      <formula>40</formula>
    </cfRule>
    <cfRule type="cellIs" priority="2621" operator="greaterThan" aboveAverage="0" equalAverage="0" bottom="0" percent="0" rank="0" text="" dxfId="3">
      <formula>45</formula>
    </cfRule>
  </conditionalFormatting>
  <conditionalFormatting sqref="AJ220">
    <cfRule type="cellIs" priority="2622" operator="greaterThan" aboveAverage="0" equalAverage="0" bottom="0" percent="0" rank="0" text="" dxfId="2">
      <formula>40</formula>
    </cfRule>
    <cfRule type="cellIs" priority="2623" operator="greaterThan" aboveAverage="0" equalAverage="0" bottom="0" percent="0" rank="0" text="" dxfId="3">
      <formula>45</formula>
    </cfRule>
  </conditionalFormatting>
  <conditionalFormatting sqref="AK220">
    <cfRule type="cellIs" priority="2624" operator="greaterThan" aboveAverage="0" equalAverage="0" bottom="0" percent="0" rank="0" text="" dxfId="2">
      <formula>40</formula>
    </cfRule>
    <cfRule type="cellIs" priority="2625" operator="greaterThan" aboveAverage="0" equalAverage="0" bottom="0" percent="0" rank="0" text="" dxfId="3">
      <formula>45</formula>
    </cfRule>
  </conditionalFormatting>
  <conditionalFormatting sqref="AL220">
    <cfRule type="cellIs" priority="2626" operator="greaterThan" aboveAverage="0" equalAverage="0" bottom="0" percent="0" rank="0" text="" dxfId="2">
      <formula>40</formula>
    </cfRule>
    <cfRule type="cellIs" priority="2627" operator="greaterThan" aboveAverage="0" equalAverage="0" bottom="0" percent="0" rank="0" text="" dxfId="3">
      <formula>45</formula>
    </cfRule>
  </conditionalFormatting>
  <conditionalFormatting sqref="AM220">
    <cfRule type="cellIs" priority="2628" operator="greaterThan" aboveAverage="0" equalAverage="0" bottom="0" percent="0" rank="0" text="" dxfId="2">
      <formula>40</formula>
    </cfRule>
    <cfRule type="cellIs" priority="2629" operator="greaterThan" aboveAverage="0" equalAverage="0" bottom="0" percent="0" rank="0" text="" dxfId="3">
      <formula>45</formula>
    </cfRule>
  </conditionalFormatting>
  <conditionalFormatting sqref="AN220">
    <cfRule type="cellIs" priority="2630" operator="greaterThan" aboveAverage="0" equalAverage="0" bottom="0" percent="0" rank="0" text="" dxfId="2">
      <formula>40</formula>
    </cfRule>
    <cfRule type="cellIs" priority="2631" operator="greaterThan" aboveAverage="0" equalAverage="0" bottom="0" percent="0" rank="0" text="" dxfId="3">
      <formula>45</formula>
    </cfRule>
  </conditionalFormatting>
  <conditionalFormatting sqref="AO220">
    <cfRule type="cellIs" priority="2632" operator="greaterThan" aboveAverage="0" equalAverage="0" bottom="0" percent="0" rank="0" text="" dxfId="2">
      <formula>40</formula>
    </cfRule>
    <cfRule type="cellIs" priority="2633" operator="greaterThan" aboveAverage="0" equalAverage="0" bottom="0" percent="0" rank="0" text="" dxfId="3">
      <formula>45</formula>
    </cfRule>
  </conditionalFormatting>
  <conditionalFormatting sqref="AP220">
    <cfRule type="cellIs" priority="2634" operator="greaterThan" aboveAverage="0" equalAverage="0" bottom="0" percent="0" rank="0" text="" dxfId="2">
      <formula>40</formula>
    </cfRule>
    <cfRule type="cellIs" priority="2635" operator="greaterThan" aboveAverage="0" equalAverage="0" bottom="0" percent="0" rank="0" text="" dxfId="3">
      <formula>45</formula>
    </cfRule>
  </conditionalFormatting>
  <conditionalFormatting sqref="AQ220">
    <cfRule type="cellIs" priority="2636" operator="greaterThan" aboveAverage="0" equalAverage="0" bottom="0" percent="0" rank="0" text="" dxfId="2">
      <formula>40</formula>
    </cfRule>
    <cfRule type="cellIs" priority="2637" operator="greaterThan" aboveAverage="0" equalAverage="0" bottom="0" percent="0" rank="0" text="" dxfId="3">
      <formula>45</formula>
    </cfRule>
  </conditionalFormatting>
  <conditionalFormatting sqref="AR220">
    <cfRule type="cellIs" priority="2638" operator="greaterThan" aboveAverage="0" equalAverage="0" bottom="0" percent="0" rank="0" text="" dxfId="2">
      <formula>40</formula>
    </cfRule>
    <cfRule type="cellIs" priority="2639" operator="greaterThan" aboveAverage="0" equalAverage="0" bottom="0" percent="0" rank="0" text="" dxfId="3">
      <formula>45</formula>
    </cfRule>
  </conditionalFormatting>
  <conditionalFormatting sqref="AS220">
    <cfRule type="cellIs" priority="2640" operator="greaterThan" aboveAverage="0" equalAverage="0" bottom="0" percent="0" rank="0" text="" dxfId="2">
      <formula>40</formula>
    </cfRule>
    <cfRule type="cellIs" priority="2641" operator="greaterThan" aboveAverage="0" equalAverage="0" bottom="0" percent="0" rank="0" text="" dxfId="3">
      <formula>45</formula>
    </cfRule>
  </conditionalFormatting>
  <conditionalFormatting sqref="F223">
    <cfRule type="cellIs" priority="2642" operator="greaterThan" aboveAverage="0" equalAverage="0" bottom="0" percent="0" rank="0" text="" dxfId="2">
      <formula>40</formula>
    </cfRule>
    <cfRule type="cellIs" priority="2643" operator="greaterThan" aboveAverage="0" equalAverage="0" bottom="0" percent="0" rank="0" text="" dxfId="3">
      <formula>45</formula>
    </cfRule>
  </conditionalFormatting>
  <conditionalFormatting sqref="G223">
    <cfRule type="cellIs" priority="2644" operator="greaterThan" aboveAverage="0" equalAverage="0" bottom="0" percent="0" rank="0" text="" dxfId="2">
      <formula>40</formula>
    </cfRule>
    <cfRule type="cellIs" priority="2645" operator="greaterThan" aboveAverage="0" equalAverage="0" bottom="0" percent="0" rank="0" text="" dxfId="3">
      <formula>45</formula>
    </cfRule>
  </conditionalFormatting>
  <conditionalFormatting sqref="H223">
    <cfRule type="cellIs" priority="2646" operator="greaterThan" aboveAverage="0" equalAverage="0" bottom="0" percent="0" rank="0" text="" dxfId="2">
      <formula>40</formula>
    </cfRule>
    <cfRule type="cellIs" priority="2647" operator="greaterThan" aboveAverage="0" equalAverage="0" bottom="0" percent="0" rank="0" text="" dxfId="3">
      <formula>45</formula>
    </cfRule>
  </conditionalFormatting>
  <conditionalFormatting sqref="I223">
    <cfRule type="cellIs" priority="2648" operator="greaterThan" aboveAverage="0" equalAverage="0" bottom="0" percent="0" rank="0" text="" dxfId="2">
      <formula>40</formula>
    </cfRule>
    <cfRule type="cellIs" priority="2649" operator="greaterThan" aboveAverage="0" equalAverage="0" bottom="0" percent="0" rank="0" text="" dxfId="3">
      <formula>45</formula>
    </cfRule>
  </conditionalFormatting>
  <conditionalFormatting sqref="J223">
    <cfRule type="cellIs" priority="2650" operator="greaterThan" aboveAverage="0" equalAverage="0" bottom="0" percent="0" rank="0" text="" dxfId="2">
      <formula>40</formula>
    </cfRule>
    <cfRule type="cellIs" priority="2651" operator="greaterThan" aboveAverage="0" equalAverage="0" bottom="0" percent="0" rank="0" text="" dxfId="3">
      <formula>45</formula>
    </cfRule>
  </conditionalFormatting>
  <conditionalFormatting sqref="K223">
    <cfRule type="cellIs" priority="2652" operator="greaterThan" aboveAverage="0" equalAverage="0" bottom="0" percent="0" rank="0" text="" dxfId="2">
      <formula>40</formula>
    </cfRule>
    <cfRule type="cellIs" priority="2653" operator="greaterThan" aboveAverage="0" equalAverage="0" bottom="0" percent="0" rank="0" text="" dxfId="3">
      <formula>45</formula>
    </cfRule>
  </conditionalFormatting>
  <conditionalFormatting sqref="L223">
    <cfRule type="cellIs" priority="2654" operator="greaterThan" aboveAverage="0" equalAverage="0" bottom="0" percent="0" rank="0" text="" dxfId="2">
      <formula>40</formula>
    </cfRule>
    <cfRule type="cellIs" priority="2655" operator="greaterThan" aboveAverage="0" equalAverage="0" bottom="0" percent="0" rank="0" text="" dxfId="3">
      <formula>45</formula>
    </cfRule>
  </conditionalFormatting>
  <conditionalFormatting sqref="M223">
    <cfRule type="cellIs" priority="2656" operator="greaterThan" aboveAverage="0" equalAverage="0" bottom="0" percent="0" rank="0" text="" dxfId="2">
      <formula>40</formula>
    </cfRule>
    <cfRule type="cellIs" priority="2657" operator="greaterThan" aboveAverage="0" equalAverage="0" bottom="0" percent="0" rank="0" text="" dxfId="3">
      <formula>45</formula>
    </cfRule>
  </conditionalFormatting>
  <conditionalFormatting sqref="N223">
    <cfRule type="cellIs" priority="2658" operator="greaterThan" aboveAverage="0" equalAverage="0" bottom="0" percent="0" rank="0" text="" dxfId="2">
      <formula>40</formula>
    </cfRule>
    <cfRule type="cellIs" priority="2659" operator="greaterThan" aboveAverage="0" equalAverage="0" bottom="0" percent="0" rank="0" text="" dxfId="3">
      <formula>45</formula>
    </cfRule>
  </conditionalFormatting>
  <conditionalFormatting sqref="O223">
    <cfRule type="cellIs" priority="2660" operator="greaterThan" aboveAverage="0" equalAverage="0" bottom="0" percent="0" rank="0" text="" dxfId="2">
      <formula>40</formula>
    </cfRule>
    <cfRule type="cellIs" priority="2661" operator="greaterThan" aboveAverage="0" equalAverage="0" bottom="0" percent="0" rank="0" text="" dxfId="3">
      <formula>45</formula>
    </cfRule>
  </conditionalFormatting>
  <conditionalFormatting sqref="P223">
    <cfRule type="cellIs" priority="2662" operator="greaterThan" aboveAverage="0" equalAverage="0" bottom="0" percent="0" rank="0" text="" dxfId="2">
      <formula>40</formula>
    </cfRule>
    <cfRule type="cellIs" priority="2663" operator="greaterThan" aboveAverage="0" equalAverage="0" bottom="0" percent="0" rank="0" text="" dxfId="3">
      <formula>45</formula>
    </cfRule>
  </conditionalFormatting>
  <conditionalFormatting sqref="Q223">
    <cfRule type="cellIs" priority="2664" operator="greaterThan" aboveAverage="0" equalAverage="0" bottom="0" percent="0" rank="0" text="" dxfId="2">
      <formula>40</formula>
    </cfRule>
    <cfRule type="cellIs" priority="2665" operator="greaterThan" aboveAverage="0" equalAverage="0" bottom="0" percent="0" rank="0" text="" dxfId="3">
      <formula>45</formula>
    </cfRule>
  </conditionalFormatting>
  <conditionalFormatting sqref="R223">
    <cfRule type="cellIs" priority="2666" operator="greaterThan" aboveAverage="0" equalAverage="0" bottom="0" percent="0" rank="0" text="" dxfId="2">
      <formula>40</formula>
    </cfRule>
    <cfRule type="cellIs" priority="2667" operator="greaterThan" aboveAverage="0" equalAverage="0" bottom="0" percent="0" rank="0" text="" dxfId="3">
      <formula>45</formula>
    </cfRule>
  </conditionalFormatting>
  <conditionalFormatting sqref="S223">
    <cfRule type="cellIs" priority="2668" operator="greaterThan" aboveAverage="0" equalAverage="0" bottom="0" percent="0" rank="0" text="" dxfId="2">
      <formula>40</formula>
    </cfRule>
    <cfRule type="cellIs" priority="2669" operator="greaterThan" aboveAverage="0" equalAverage="0" bottom="0" percent="0" rank="0" text="" dxfId="3">
      <formula>45</formula>
    </cfRule>
  </conditionalFormatting>
  <conditionalFormatting sqref="T223">
    <cfRule type="cellIs" priority="2670" operator="greaterThan" aboveAverage="0" equalAverage="0" bottom="0" percent="0" rank="0" text="" dxfId="2">
      <formula>40</formula>
    </cfRule>
    <cfRule type="cellIs" priority="2671" operator="greaterThan" aboveAverage="0" equalAverage="0" bottom="0" percent="0" rank="0" text="" dxfId="3">
      <formula>45</formula>
    </cfRule>
  </conditionalFormatting>
  <conditionalFormatting sqref="U223">
    <cfRule type="cellIs" priority="2672" operator="greaterThan" aboveAverage="0" equalAverage="0" bottom="0" percent="0" rank="0" text="" dxfId="2">
      <formula>40</formula>
    </cfRule>
    <cfRule type="cellIs" priority="2673" operator="greaterThan" aboveAverage="0" equalAverage="0" bottom="0" percent="0" rank="0" text="" dxfId="3">
      <formula>45</formula>
    </cfRule>
  </conditionalFormatting>
  <conditionalFormatting sqref="V223">
    <cfRule type="cellIs" priority="2674" operator="greaterThan" aboveAverage="0" equalAverage="0" bottom="0" percent="0" rank="0" text="" dxfId="2">
      <formula>40</formula>
    </cfRule>
    <cfRule type="cellIs" priority="2675" operator="greaterThan" aboveAverage="0" equalAverage="0" bottom="0" percent="0" rank="0" text="" dxfId="3">
      <formula>45</formula>
    </cfRule>
  </conditionalFormatting>
  <conditionalFormatting sqref="W223">
    <cfRule type="cellIs" priority="2676" operator="greaterThan" aboveAverage="0" equalAverage="0" bottom="0" percent="0" rank="0" text="" dxfId="2">
      <formula>40</formula>
    </cfRule>
    <cfRule type="cellIs" priority="2677" operator="greaterThan" aboveAverage="0" equalAverage="0" bottom="0" percent="0" rank="0" text="" dxfId="3">
      <formula>45</formula>
    </cfRule>
  </conditionalFormatting>
  <conditionalFormatting sqref="X223">
    <cfRule type="cellIs" priority="2678" operator="greaterThan" aboveAverage="0" equalAverage="0" bottom="0" percent="0" rank="0" text="" dxfId="2">
      <formula>55</formula>
    </cfRule>
    <cfRule type="cellIs" priority="2679" operator="greaterThan" aboveAverage="0" equalAverage="0" bottom="0" percent="0" rank="0" text="" dxfId="3">
      <formula>65</formula>
    </cfRule>
  </conditionalFormatting>
  <conditionalFormatting sqref="Y223">
    <cfRule type="cellIs" priority="2680" operator="greaterThan" aboveAverage="0" equalAverage="0" bottom="0" percent="0" rank="0" text="" dxfId="2">
      <formula>55</formula>
    </cfRule>
    <cfRule type="cellIs" priority="2681" operator="greaterThan" aboveAverage="0" equalAverage="0" bottom="0" percent="0" rank="0" text="" dxfId="3">
      <formula>65</formula>
    </cfRule>
  </conditionalFormatting>
  <conditionalFormatting sqref="Z223">
    <cfRule type="cellIs" priority="2682" operator="greaterThan" aboveAverage="0" equalAverage="0" bottom="0" percent="0" rank="0" text="" dxfId="2">
      <formula>55</formula>
    </cfRule>
    <cfRule type="cellIs" priority="2683" operator="greaterThan" aboveAverage="0" equalAverage="0" bottom="0" percent="0" rank="0" text="" dxfId="3">
      <formula>65</formula>
    </cfRule>
  </conditionalFormatting>
  <conditionalFormatting sqref="AA223">
    <cfRule type="cellIs" priority="2684" operator="greaterThan" aboveAverage="0" equalAverage="0" bottom="0" percent="0" rank="0" text="" dxfId="2">
      <formula>55</formula>
    </cfRule>
    <cfRule type="cellIs" priority="2685" operator="greaterThan" aboveAverage="0" equalAverage="0" bottom="0" percent="0" rank="0" text="" dxfId="3">
      <formula>65</formula>
    </cfRule>
  </conditionalFormatting>
  <conditionalFormatting sqref="AB223">
    <cfRule type="cellIs" priority="2686" operator="greaterThan" aboveAverage="0" equalAverage="0" bottom="0" percent="0" rank="0" text="" dxfId="2">
      <formula>55</formula>
    </cfRule>
    <cfRule type="cellIs" priority="2687" operator="greaterThan" aboveAverage="0" equalAverage="0" bottom="0" percent="0" rank="0" text="" dxfId="3">
      <formula>65</formula>
    </cfRule>
  </conditionalFormatting>
  <conditionalFormatting sqref="AC223">
    <cfRule type="cellIs" priority="2688" operator="greaterThan" aboveAverage="0" equalAverage="0" bottom="0" percent="0" rank="0" text="" dxfId="2">
      <formula>55</formula>
    </cfRule>
    <cfRule type="cellIs" priority="2689" operator="greaterThan" aboveAverage="0" equalAverage="0" bottom="0" percent="0" rank="0" text="" dxfId="3">
      <formula>65</formula>
    </cfRule>
  </conditionalFormatting>
  <conditionalFormatting sqref="AD223">
    <cfRule type="cellIs" priority="2690" operator="greaterThan" aboveAverage="0" equalAverage="0" bottom="0" percent="0" rank="0" text="" dxfId="2">
      <formula>55</formula>
    </cfRule>
    <cfRule type="cellIs" priority="2691" operator="greaterThan" aboveAverage="0" equalAverage="0" bottom="0" percent="0" rank="0" text="" dxfId="3">
      <formula>65</formula>
    </cfRule>
  </conditionalFormatting>
  <conditionalFormatting sqref="AE223">
    <cfRule type="cellIs" priority="2692" operator="greaterThan" aboveAverage="0" equalAverage="0" bottom="0" percent="0" rank="0" text="" dxfId="2">
      <formula>55</formula>
    </cfRule>
    <cfRule type="cellIs" priority="2693" operator="greaterThan" aboveAverage="0" equalAverage="0" bottom="0" percent="0" rank="0" text="" dxfId="3">
      <formula>65</formula>
    </cfRule>
  </conditionalFormatting>
  <conditionalFormatting sqref="AF223">
    <cfRule type="cellIs" priority="2694" operator="greaterThan" aboveAverage="0" equalAverage="0" bottom="0" percent="0" rank="0" text="" dxfId="2">
      <formula>40</formula>
    </cfRule>
    <cfRule type="cellIs" priority="2695" operator="greaterThan" aboveAverage="0" equalAverage="0" bottom="0" percent="0" rank="0" text="" dxfId="3">
      <formula>45</formula>
    </cfRule>
  </conditionalFormatting>
  <conditionalFormatting sqref="AG223">
    <cfRule type="cellIs" priority="2696" operator="greaterThan" aboveAverage="0" equalAverage="0" bottom="0" percent="0" rank="0" text="" dxfId="2">
      <formula>40</formula>
    </cfRule>
    <cfRule type="cellIs" priority="2697" operator="greaterThan" aboveAverage="0" equalAverage="0" bottom="0" percent="0" rank="0" text="" dxfId="3">
      <formula>45</formula>
    </cfRule>
  </conditionalFormatting>
  <conditionalFormatting sqref="AH223">
    <cfRule type="cellIs" priority="2698" operator="greaterThan" aboveAverage="0" equalAverage="0" bottom="0" percent="0" rank="0" text="" dxfId="2">
      <formula>40</formula>
    </cfRule>
    <cfRule type="cellIs" priority="2699" operator="greaterThan" aboveAverage="0" equalAverage="0" bottom="0" percent="0" rank="0" text="" dxfId="3">
      <formula>45</formula>
    </cfRule>
  </conditionalFormatting>
  <conditionalFormatting sqref="AI223">
    <cfRule type="cellIs" priority="2700" operator="greaterThan" aboveAverage="0" equalAverage="0" bottom="0" percent="0" rank="0" text="" dxfId="2">
      <formula>40</formula>
    </cfRule>
    <cfRule type="cellIs" priority="2701" operator="greaterThan" aboveAverage="0" equalAverage="0" bottom="0" percent="0" rank="0" text="" dxfId="3">
      <formula>45</formula>
    </cfRule>
  </conditionalFormatting>
  <conditionalFormatting sqref="AJ223">
    <cfRule type="cellIs" priority="2702" operator="greaterThan" aboveAverage="0" equalAverage="0" bottom="0" percent="0" rank="0" text="" dxfId="2">
      <formula>40</formula>
    </cfRule>
    <cfRule type="cellIs" priority="2703" operator="greaterThan" aboveAverage="0" equalAverage="0" bottom="0" percent="0" rank="0" text="" dxfId="3">
      <formula>45</formula>
    </cfRule>
  </conditionalFormatting>
  <conditionalFormatting sqref="AK223">
    <cfRule type="cellIs" priority="2704" operator="greaterThan" aboveAverage="0" equalAverage="0" bottom="0" percent="0" rank="0" text="" dxfId="2">
      <formula>40</formula>
    </cfRule>
    <cfRule type="cellIs" priority="2705" operator="greaterThan" aboveAverage="0" equalAverage="0" bottom="0" percent="0" rank="0" text="" dxfId="3">
      <formula>45</formula>
    </cfRule>
  </conditionalFormatting>
  <conditionalFormatting sqref="AL223">
    <cfRule type="cellIs" priority="2706" operator="greaterThan" aboveAverage="0" equalAverage="0" bottom="0" percent="0" rank="0" text="" dxfId="2">
      <formula>40</formula>
    </cfRule>
    <cfRule type="cellIs" priority="2707" operator="greaterThan" aboveAverage="0" equalAverage="0" bottom="0" percent="0" rank="0" text="" dxfId="3">
      <formula>45</formula>
    </cfRule>
  </conditionalFormatting>
  <conditionalFormatting sqref="AM223">
    <cfRule type="cellIs" priority="2708" operator="greaterThan" aboveAverage="0" equalAverage="0" bottom="0" percent="0" rank="0" text="" dxfId="2">
      <formula>40</formula>
    </cfRule>
    <cfRule type="cellIs" priority="2709" operator="greaterThan" aboveAverage="0" equalAverage="0" bottom="0" percent="0" rank="0" text="" dxfId="3">
      <formula>45</formula>
    </cfRule>
  </conditionalFormatting>
  <conditionalFormatting sqref="AN223">
    <cfRule type="cellIs" priority="2710" operator="greaterThan" aboveAverage="0" equalAverage="0" bottom="0" percent="0" rank="0" text="" dxfId="2">
      <formula>40</formula>
    </cfRule>
    <cfRule type="cellIs" priority="2711" operator="greaterThan" aboveAverage="0" equalAverage="0" bottom="0" percent="0" rank="0" text="" dxfId="3">
      <formula>45</formula>
    </cfRule>
  </conditionalFormatting>
  <conditionalFormatting sqref="AO223">
    <cfRule type="cellIs" priority="2712" operator="greaterThan" aboveAverage="0" equalAverage="0" bottom="0" percent="0" rank="0" text="" dxfId="2">
      <formula>40</formula>
    </cfRule>
    <cfRule type="cellIs" priority="2713" operator="greaterThan" aboveAverage="0" equalAverage="0" bottom="0" percent="0" rank="0" text="" dxfId="3">
      <formula>45</formula>
    </cfRule>
  </conditionalFormatting>
  <conditionalFormatting sqref="AP223">
    <cfRule type="cellIs" priority="2714" operator="greaterThan" aboveAverage="0" equalAverage="0" bottom="0" percent="0" rank="0" text="" dxfId="2">
      <formula>40</formula>
    </cfRule>
    <cfRule type="cellIs" priority="2715" operator="greaterThan" aboveAverage="0" equalAverage="0" bottom="0" percent="0" rank="0" text="" dxfId="3">
      <formula>45</formula>
    </cfRule>
  </conditionalFormatting>
  <conditionalFormatting sqref="AQ223">
    <cfRule type="cellIs" priority="2716" operator="greaterThan" aboveAverage="0" equalAverage="0" bottom="0" percent="0" rank="0" text="" dxfId="2">
      <formula>40</formula>
    </cfRule>
    <cfRule type="cellIs" priority="2717" operator="greaterThan" aboveAverage="0" equalAverage="0" bottom="0" percent="0" rank="0" text="" dxfId="3">
      <formula>45</formula>
    </cfRule>
  </conditionalFormatting>
  <conditionalFormatting sqref="AR223">
    <cfRule type="cellIs" priority="2718" operator="greaterThan" aboveAverage="0" equalAverage="0" bottom="0" percent="0" rank="0" text="" dxfId="2">
      <formula>40</formula>
    </cfRule>
    <cfRule type="cellIs" priority="2719" operator="greaterThan" aboveAverage="0" equalAverage="0" bottom="0" percent="0" rank="0" text="" dxfId="3">
      <formula>45</formula>
    </cfRule>
  </conditionalFormatting>
  <conditionalFormatting sqref="AS223">
    <cfRule type="cellIs" priority="2720" operator="greaterThan" aboveAverage="0" equalAverage="0" bottom="0" percent="0" rank="0" text="" dxfId="2">
      <formula>40</formula>
    </cfRule>
    <cfRule type="cellIs" priority="2721" operator="greaterThan" aboveAverage="0" equalAverage="0" bottom="0" percent="0" rank="0" text="" dxfId="3">
      <formula>45</formula>
    </cfRule>
  </conditionalFormatting>
  <conditionalFormatting sqref="F226">
    <cfRule type="cellIs" priority="2722" operator="greaterThan" aboveAverage="0" equalAverage="0" bottom="0" percent="0" rank="0" text="" dxfId="2">
      <formula>40</formula>
    </cfRule>
    <cfRule type="cellIs" priority="2723" operator="greaterThan" aboveAverage="0" equalAverage="0" bottom="0" percent="0" rank="0" text="" dxfId="3">
      <formula>45</formula>
    </cfRule>
  </conditionalFormatting>
  <conditionalFormatting sqref="G226">
    <cfRule type="cellIs" priority="2724" operator="greaterThan" aboveAverage="0" equalAverage="0" bottom="0" percent="0" rank="0" text="" dxfId="2">
      <formula>40</formula>
    </cfRule>
    <cfRule type="cellIs" priority="2725" operator="greaterThan" aboveAverage="0" equalAverage="0" bottom="0" percent="0" rank="0" text="" dxfId="3">
      <formula>45</formula>
    </cfRule>
  </conditionalFormatting>
  <conditionalFormatting sqref="H226">
    <cfRule type="cellIs" priority="2726" operator="greaterThan" aboveAverage="0" equalAverage="0" bottom="0" percent="0" rank="0" text="" dxfId="2">
      <formula>40</formula>
    </cfRule>
    <cfRule type="cellIs" priority="2727" operator="greaterThan" aboveAverage="0" equalAverage="0" bottom="0" percent="0" rank="0" text="" dxfId="3">
      <formula>45</formula>
    </cfRule>
  </conditionalFormatting>
  <conditionalFormatting sqref="I226">
    <cfRule type="cellIs" priority="2728" operator="greaterThan" aboveAverage="0" equalAverage="0" bottom="0" percent="0" rank="0" text="" dxfId="2">
      <formula>40</formula>
    </cfRule>
    <cfRule type="cellIs" priority="2729" operator="greaterThan" aboveAverage="0" equalAverage="0" bottom="0" percent="0" rank="0" text="" dxfId="3">
      <formula>45</formula>
    </cfRule>
  </conditionalFormatting>
  <conditionalFormatting sqref="J226">
    <cfRule type="cellIs" priority="2730" operator="greaterThan" aboveAverage="0" equalAverage="0" bottom="0" percent="0" rank="0" text="" dxfId="2">
      <formula>40</formula>
    </cfRule>
    <cfRule type="cellIs" priority="2731" operator="greaterThan" aboveAverage="0" equalAverage="0" bottom="0" percent="0" rank="0" text="" dxfId="3">
      <formula>45</formula>
    </cfRule>
  </conditionalFormatting>
  <conditionalFormatting sqref="K226">
    <cfRule type="cellIs" priority="2732" operator="greaterThan" aboveAverage="0" equalAverage="0" bottom="0" percent="0" rank="0" text="" dxfId="2">
      <formula>40</formula>
    </cfRule>
    <cfRule type="cellIs" priority="2733" operator="greaterThan" aboveAverage="0" equalAverage="0" bottom="0" percent="0" rank="0" text="" dxfId="3">
      <formula>45</formula>
    </cfRule>
  </conditionalFormatting>
  <conditionalFormatting sqref="L226">
    <cfRule type="cellIs" priority="2734" operator="greaterThan" aboveAverage="0" equalAverage="0" bottom="0" percent="0" rank="0" text="" dxfId="2">
      <formula>40</formula>
    </cfRule>
    <cfRule type="cellIs" priority="2735" operator="greaterThan" aboveAverage="0" equalAverage="0" bottom="0" percent="0" rank="0" text="" dxfId="3">
      <formula>45</formula>
    </cfRule>
  </conditionalFormatting>
  <conditionalFormatting sqref="M226">
    <cfRule type="cellIs" priority="2736" operator="greaterThan" aboveAverage="0" equalAverage="0" bottom="0" percent="0" rank="0" text="" dxfId="2">
      <formula>40</formula>
    </cfRule>
    <cfRule type="cellIs" priority="2737" operator="greaterThan" aboveAverage="0" equalAverage="0" bottom="0" percent="0" rank="0" text="" dxfId="3">
      <formula>45</formula>
    </cfRule>
  </conditionalFormatting>
  <conditionalFormatting sqref="N226">
    <cfRule type="cellIs" priority="2738" operator="greaterThan" aboveAverage="0" equalAverage="0" bottom="0" percent="0" rank="0" text="" dxfId="2">
      <formula>40</formula>
    </cfRule>
    <cfRule type="cellIs" priority="2739" operator="greaterThan" aboveAverage="0" equalAverage="0" bottom="0" percent="0" rank="0" text="" dxfId="3">
      <formula>45</formula>
    </cfRule>
  </conditionalFormatting>
  <conditionalFormatting sqref="O226">
    <cfRule type="cellIs" priority="2740" operator="greaterThan" aboveAverage="0" equalAverage="0" bottom="0" percent="0" rank="0" text="" dxfId="2">
      <formula>40</formula>
    </cfRule>
    <cfRule type="cellIs" priority="2741" operator="greaterThan" aboveAverage="0" equalAverage="0" bottom="0" percent="0" rank="0" text="" dxfId="3">
      <formula>45</formula>
    </cfRule>
  </conditionalFormatting>
  <conditionalFormatting sqref="P226">
    <cfRule type="cellIs" priority="2742" operator="greaterThan" aboveAverage="0" equalAverage="0" bottom="0" percent="0" rank="0" text="" dxfId="2">
      <formula>40</formula>
    </cfRule>
    <cfRule type="cellIs" priority="2743" operator="greaterThan" aboveAverage="0" equalAverage="0" bottom="0" percent="0" rank="0" text="" dxfId="3">
      <formula>45</formula>
    </cfRule>
  </conditionalFormatting>
  <conditionalFormatting sqref="Q226">
    <cfRule type="cellIs" priority="2744" operator="greaterThan" aboveAverage="0" equalAverage="0" bottom="0" percent="0" rank="0" text="" dxfId="2">
      <formula>40</formula>
    </cfRule>
    <cfRule type="cellIs" priority="2745" operator="greaterThan" aboveAverage="0" equalAverage="0" bottom="0" percent="0" rank="0" text="" dxfId="3">
      <formula>45</formula>
    </cfRule>
  </conditionalFormatting>
  <conditionalFormatting sqref="R226">
    <cfRule type="cellIs" priority="2746" operator="greaterThan" aboveAverage="0" equalAverage="0" bottom="0" percent="0" rank="0" text="" dxfId="2">
      <formula>40</formula>
    </cfRule>
    <cfRule type="cellIs" priority="2747" operator="greaterThan" aboveAverage="0" equalAverage="0" bottom="0" percent="0" rank="0" text="" dxfId="3">
      <formula>45</formula>
    </cfRule>
  </conditionalFormatting>
  <conditionalFormatting sqref="S226">
    <cfRule type="cellIs" priority="2748" operator="greaterThan" aboveAverage="0" equalAverage="0" bottom="0" percent="0" rank="0" text="" dxfId="2">
      <formula>40</formula>
    </cfRule>
    <cfRule type="cellIs" priority="2749" operator="greaterThan" aboveAverage="0" equalAverage="0" bottom="0" percent="0" rank="0" text="" dxfId="3">
      <formula>45</formula>
    </cfRule>
  </conditionalFormatting>
  <conditionalFormatting sqref="T226">
    <cfRule type="cellIs" priority="2750" operator="greaterThan" aboveAverage="0" equalAverage="0" bottom="0" percent="0" rank="0" text="" dxfId="2">
      <formula>40</formula>
    </cfRule>
    <cfRule type="cellIs" priority="2751" operator="greaterThan" aboveAverage="0" equalAverage="0" bottom="0" percent="0" rank="0" text="" dxfId="3">
      <formula>45</formula>
    </cfRule>
  </conditionalFormatting>
  <conditionalFormatting sqref="U226">
    <cfRule type="cellIs" priority="2752" operator="greaterThan" aboveAverage="0" equalAverage="0" bottom="0" percent="0" rank="0" text="" dxfId="2">
      <formula>40</formula>
    </cfRule>
    <cfRule type="cellIs" priority="2753" operator="greaterThan" aboveAverage="0" equalAverage="0" bottom="0" percent="0" rank="0" text="" dxfId="3">
      <formula>45</formula>
    </cfRule>
  </conditionalFormatting>
  <conditionalFormatting sqref="V226">
    <cfRule type="cellIs" priority="2754" operator="greaterThan" aboveAverage="0" equalAverage="0" bottom="0" percent="0" rank="0" text="" dxfId="2">
      <formula>40</formula>
    </cfRule>
    <cfRule type="cellIs" priority="2755" operator="greaterThan" aboveAverage="0" equalAverage="0" bottom="0" percent="0" rank="0" text="" dxfId="3">
      <formula>45</formula>
    </cfRule>
  </conditionalFormatting>
  <conditionalFormatting sqref="W226">
    <cfRule type="cellIs" priority="2756" operator="greaterThan" aboveAverage="0" equalAverage="0" bottom="0" percent="0" rank="0" text="" dxfId="2">
      <formula>40</formula>
    </cfRule>
    <cfRule type="cellIs" priority="2757" operator="greaterThan" aboveAverage="0" equalAverage="0" bottom="0" percent="0" rank="0" text="" dxfId="3">
      <formula>45</formula>
    </cfRule>
  </conditionalFormatting>
  <conditionalFormatting sqref="X226">
    <cfRule type="cellIs" priority="2758" operator="greaterThan" aboveAverage="0" equalAverage="0" bottom="0" percent="0" rank="0" text="" dxfId="2">
      <formula>55</formula>
    </cfRule>
    <cfRule type="cellIs" priority="2759" operator="greaterThan" aboveAverage="0" equalAverage="0" bottom="0" percent="0" rank="0" text="" dxfId="3">
      <formula>65</formula>
    </cfRule>
  </conditionalFormatting>
  <conditionalFormatting sqref="Y226">
    <cfRule type="cellIs" priority="2760" operator="greaterThan" aboveAverage="0" equalAverage="0" bottom="0" percent="0" rank="0" text="" dxfId="2">
      <formula>55</formula>
    </cfRule>
    <cfRule type="cellIs" priority="2761" operator="greaterThan" aboveAverage="0" equalAverage="0" bottom="0" percent="0" rank="0" text="" dxfId="3">
      <formula>65</formula>
    </cfRule>
  </conditionalFormatting>
  <conditionalFormatting sqref="Z226">
    <cfRule type="cellIs" priority="2762" operator="greaterThan" aboveAverage="0" equalAverage="0" bottom="0" percent="0" rank="0" text="" dxfId="2">
      <formula>55</formula>
    </cfRule>
    <cfRule type="cellIs" priority="2763" operator="greaterThan" aboveAverage="0" equalAverage="0" bottom="0" percent="0" rank="0" text="" dxfId="3">
      <formula>65</formula>
    </cfRule>
  </conditionalFormatting>
  <conditionalFormatting sqref="AA226">
    <cfRule type="cellIs" priority="2764" operator="greaterThan" aboveAverage="0" equalAverage="0" bottom="0" percent="0" rank="0" text="" dxfId="2">
      <formula>55</formula>
    </cfRule>
    <cfRule type="cellIs" priority="2765" operator="greaterThan" aboveAverage="0" equalAverage="0" bottom="0" percent="0" rank="0" text="" dxfId="3">
      <formula>65</formula>
    </cfRule>
  </conditionalFormatting>
  <conditionalFormatting sqref="AB226">
    <cfRule type="cellIs" priority="2766" operator="greaterThan" aboveAverage="0" equalAverage="0" bottom="0" percent="0" rank="0" text="" dxfId="2">
      <formula>55</formula>
    </cfRule>
    <cfRule type="cellIs" priority="2767" operator="greaterThan" aboveAverage="0" equalAverage="0" bottom="0" percent="0" rank="0" text="" dxfId="3">
      <formula>65</formula>
    </cfRule>
  </conditionalFormatting>
  <conditionalFormatting sqref="AC226">
    <cfRule type="cellIs" priority="2768" operator="greaterThan" aboveAverage="0" equalAverage="0" bottom="0" percent="0" rank="0" text="" dxfId="2">
      <formula>55</formula>
    </cfRule>
    <cfRule type="cellIs" priority="2769" operator="greaterThan" aboveAverage="0" equalAverage="0" bottom="0" percent="0" rank="0" text="" dxfId="3">
      <formula>65</formula>
    </cfRule>
  </conditionalFormatting>
  <conditionalFormatting sqref="AD226">
    <cfRule type="cellIs" priority="2770" operator="greaterThan" aboveAverage="0" equalAverage="0" bottom="0" percent="0" rank="0" text="" dxfId="2">
      <formula>55</formula>
    </cfRule>
    <cfRule type="cellIs" priority="2771" operator="greaterThan" aboveAverage="0" equalAverage="0" bottom="0" percent="0" rank="0" text="" dxfId="3">
      <formula>65</formula>
    </cfRule>
  </conditionalFormatting>
  <conditionalFormatting sqref="AE226">
    <cfRule type="cellIs" priority="2772" operator="greaterThan" aboveAverage="0" equalAverage="0" bottom="0" percent="0" rank="0" text="" dxfId="2">
      <formula>55</formula>
    </cfRule>
    <cfRule type="cellIs" priority="2773" operator="greaterThan" aboveAverage="0" equalAverage="0" bottom="0" percent="0" rank="0" text="" dxfId="3">
      <formula>65</formula>
    </cfRule>
  </conditionalFormatting>
  <conditionalFormatting sqref="AF226">
    <cfRule type="cellIs" priority="2774" operator="greaterThan" aboveAverage="0" equalAverage="0" bottom="0" percent="0" rank="0" text="" dxfId="2">
      <formula>40</formula>
    </cfRule>
    <cfRule type="cellIs" priority="2775" operator="greaterThan" aboveAverage="0" equalAverage="0" bottom="0" percent="0" rank="0" text="" dxfId="3">
      <formula>45</formula>
    </cfRule>
  </conditionalFormatting>
  <conditionalFormatting sqref="AG226">
    <cfRule type="cellIs" priority="2776" operator="greaterThan" aboveAverage="0" equalAverage="0" bottom="0" percent="0" rank="0" text="" dxfId="2">
      <formula>40</formula>
    </cfRule>
    <cfRule type="cellIs" priority="2777" operator="greaterThan" aboveAverage="0" equalAverage="0" bottom="0" percent="0" rank="0" text="" dxfId="3">
      <formula>45</formula>
    </cfRule>
  </conditionalFormatting>
  <conditionalFormatting sqref="AH226">
    <cfRule type="cellIs" priority="2778" operator="greaterThan" aboveAverage="0" equalAverage="0" bottom="0" percent="0" rank="0" text="" dxfId="2">
      <formula>40</formula>
    </cfRule>
    <cfRule type="cellIs" priority="2779" operator="greaterThan" aboveAverage="0" equalAverage="0" bottom="0" percent="0" rank="0" text="" dxfId="3">
      <formula>45</formula>
    </cfRule>
  </conditionalFormatting>
  <conditionalFormatting sqref="AI226">
    <cfRule type="cellIs" priority="2780" operator="greaterThan" aboveAverage="0" equalAverage="0" bottom="0" percent="0" rank="0" text="" dxfId="2">
      <formula>40</formula>
    </cfRule>
    <cfRule type="cellIs" priority="2781" operator="greaterThan" aboveAverage="0" equalAverage="0" bottom="0" percent="0" rank="0" text="" dxfId="3">
      <formula>45</formula>
    </cfRule>
  </conditionalFormatting>
  <conditionalFormatting sqref="AJ226">
    <cfRule type="cellIs" priority="2782" operator="greaterThan" aboveAverage="0" equalAverage="0" bottom="0" percent="0" rank="0" text="" dxfId="2">
      <formula>40</formula>
    </cfRule>
    <cfRule type="cellIs" priority="2783" operator="greaterThan" aboveAverage="0" equalAverage="0" bottom="0" percent="0" rank="0" text="" dxfId="3">
      <formula>45</formula>
    </cfRule>
  </conditionalFormatting>
  <conditionalFormatting sqref="AK226">
    <cfRule type="cellIs" priority="2784" operator="greaterThan" aboveAverage="0" equalAverage="0" bottom="0" percent="0" rank="0" text="" dxfId="2">
      <formula>40</formula>
    </cfRule>
    <cfRule type="cellIs" priority="2785" operator="greaterThan" aboveAverage="0" equalAverage="0" bottom="0" percent="0" rank="0" text="" dxfId="3">
      <formula>45</formula>
    </cfRule>
  </conditionalFormatting>
  <conditionalFormatting sqref="AL226">
    <cfRule type="cellIs" priority="2786" operator="greaterThan" aboveAverage="0" equalAverage="0" bottom="0" percent="0" rank="0" text="" dxfId="2">
      <formula>40</formula>
    </cfRule>
    <cfRule type="cellIs" priority="2787" operator="greaterThan" aboveAverage="0" equalAverage="0" bottom="0" percent="0" rank="0" text="" dxfId="3">
      <formula>45</formula>
    </cfRule>
  </conditionalFormatting>
  <conditionalFormatting sqref="AM226">
    <cfRule type="cellIs" priority="2788" operator="greaterThan" aboveAverage="0" equalAverage="0" bottom="0" percent="0" rank="0" text="" dxfId="2">
      <formula>40</formula>
    </cfRule>
    <cfRule type="cellIs" priority="2789" operator="greaterThan" aboveAverage="0" equalAverage="0" bottom="0" percent="0" rank="0" text="" dxfId="3">
      <formula>45</formula>
    </cfRule>
  </conditionalFormatting>
  <conditionalFormatting sqref="AN226">
    <cfRule type="cellIs" priority="2790" operator="greaterThan" aboveAverage="0" equalAverage="0" bottom="0" percent="0" rank="0" text="" dxfId="2">
      <formula>40</formula>
    </cfRule>
    <cfRule type="cellIs" priority="2791" operator="greaterThan" aboveAverage="0" equalAverage="0" bottom="0" percent="0" rank="0" text="" dxfId="3">
      <formula>45</formula>
    </cfRule>
  </conditionalFormatting>
  <conditionalFormatting sqref="AO226">
    <cfRule type="cellIs" priority="2792" operator="greaterThan" aboveAverage="0" equalAverage="0" bottom="0" percent="0" rank="0" text="" dxfId="2">
      <formula>40</formula>
    </cfRule>
    <cfRule type="cellIs" priority="2793" operator="greaterThan" aboveAverage="0" equalAverage="0" bottom="0" percent="0" rank="0" text="" dxfId="3">
      <formula>45</formula>
    </cfRule>
  </conditionalFormatting>
  <conditionalFormatting sqref="AP226">
    <cfRule type="cellIs" priority="2794" operator="greaterThan" aboveAverage="0" equalAverage="0" bottom="0" percent="0" rank="0" text="" dxfId="2">
      <formula>40</formula>
    </cfRule>
    <cfRule type="cellIs" priority="2795" operator="greaterThan" aboveAverage="0" equalAverage="0" bottom="0" percent="0" rank="0" text="" dxfId="3">
      <formula>45</formula>
    </cfRule>
  </conditionalFormatting>
  <conditionalFormatting sqref="AQ226">
    <cfRule type="cellIs" priority="2796" operator="greaterThan" aboveAverage="0" equalAverage="0" bottom="0" percent="0" rank="0" text="" dxfId="2">
      <formula>40</formula>
    </cfRule>
    <cfRule type="cellIs" priority="2797" operator="greaterThan" aboveAverage="0" equalAverage="0" bottom="0" percent="0" rank="0" text="" dxfId="3">
      <formula>45</formula>
    </cfRule>
  </conditionalFormatting>
  <conditionalFormatting sqref="AR226">
    <cfRule type="cellIs" priority="2798" operator="greaterThan" aboveAverage="0" equalAverage="0" bottom="0" percent="0" rank="0" text="" dxfId="2">
      <formula>40</formula>
    </cfRule>
    <cfRule type="cellIs" priority="2799" operator="greaterThan" aboveAverage="0" equalAverage="0" bottom="0" percent="0" rank="0" text="" dxfId="3">
      <formula>45</formula>
    </cfRule>
  </conditionalFormatting>
  <conditionalFormatting sqref="AS226">
    <cfRule type="cellIs" priority="2800" operator="greaterThan" aboveAverage="0" equalAverage="0" bottom="0" percent="0" rank="0" text="" dxfId="2">
      <formula>40</formula>
    </cfRule>
    <cfRule type="cellIs" priority="2801" operator="greaterThan" aboveAverage="0" equalAverage="0" bottom="0" percent="0" rank="0" text="" dxfId="3">
      <formula>45</formula>
    </cfRule>
  </conditionalFormatting>
  <conditionalFormatting sqref="F229">
    <cfRule type="cellIs" priority="2802" operator="greaterThan" aboveAverage="0" equalAverage="0" bottom="0" percent="0" rank="0" text="" dxfId="2">
      <formula>40</formula>
    </cfRule>
    <cfRule type="cellIs" priority="2803" operator="greaterThan" aboveAverage="0" equalAverage="0" bottom="0" percent="0" rank="0" text="" dxfId="3">
      <formula>45</formula>
    </cfRule>
  </conditionalFormatting>
  <conditionalFormatting sqref="G229">
    <cfRule type="cellIs" priority="2804" operator="greaterThan" aboveAverage="0" equalAverage="0" bottom="0" percent="0" rank="0" text="" dxfId="2">
      <formula>40</formula>
    </cfRule>
    <cfRule type="cellIs" priority="2805" operator="greaterThan" aboveAverage="0" equalAverage="0" bottom="0" percent="0" rank="0" text="" dxfId="3">
      <formula>45</formula>
    </cfRule>
  </conditionalFormatting>
  <conditionalFormatting sqref="H229">
    <cfRule type="cellIs" priority="2806" operator="greaterThan" aboveAverage="0" equalAverage="0" bottom="0" percent="0" rank="0" text="" dxfId="2">
      <formula>40</formula>
    </cfRule>
    <cfRule type="cellIs" priority="2807" operator="greaterThan" aboveAverage="0" equalAverage="0" bottom="0" percent="0" rank="0" text="" dxfId="3">
      <formula>45</formula>
    </cfRule>
  </conditionalFormatting>
  <conditionalFormatting sqref="I229">
    <cfRule type="cellIs" priority="2808" operator="greaterThan" aboveAverage="0" equalAverage="0" bottom="0" percent="0" rank="0" text="" dxfId="2">
      <formula>40</formula>
    </cfRule>
    <cfRule type="cellIs" priority="2809" operator="greaterThan" aboveAverage="0" equalAverage="0" bottom="0" percent="0" rank="0" text="" dxfId="3">
      <formula>45</formula>
    </cfRule>
  </conditionalFormatting>
  <conditionalFormatting sqref="J229">
    <cfRule type="cellIs" priority="2810" operator="greaterThan" aboveAverage="0" equalAverage="0" bottom="0" percent="0" rank="0" text="" dxfId="2">
      <formula>40</formula>
    </cfRule>
    <cfRule type="cellIs" priority="2811" operator="greaterThan" aboveAverage="0" equalAverage="0" bottom="0" percent="0" rank="0" text="" dxfId="3">
      <formula>45</formula>
    </cfRule>
  </conditionalFormatting>
  <conditionalFormatting sqref="K229">
    <cfRule type="cellIs" priority="2812" operator="greaterThan" aboveAverage="0" equalAverage="0" bottom="0" percent="0" rank="0" text="" dxfId="2">
      <formula>40</formula>
    </cfRule>
    <cfRule type="cellIs" priority="2813" operator="greaterThan" aboveAverage="0" equalAverage="0" bottom="0" percent="0" rank="0" text="" dxfId="3">
      <formula>45</formula>
    </cfRule>
  </conditionalFormatting>
  <conditionalFormatting sqref="L229">
    <cfRule type="cellIs" priority="2814" operator="greaterThan" aboveAverage="0" equalAverage="0" bottom="0" percent="0" rank="0" text="" dxfId="2">
      <formula>40</formula>
    </cfRule>
    <cfRule type="cellIs" priority="2815" operator="greaterThan" aboveAverage="0" equalAverage="0" bottom="0" percent="0" rank="0" text="" dxfId="3">
      <formula>45</formula>
    </cfRule>
  </conditionalFormatting>
  <conditionalFormatting sqref="M229">
    <cfRule type="cellIs" priority="2816" operator="greaterThan" aboveAverage="0" equalAverage="0" bottom="0" percent="0" rank="0" text="" dxfId="2">
      <formula>40</formula>
    </cfRule>
    <cfRule type="cellIs" priority="2817" operator="greaterThan" aboveAverage="0" equalAverage="0" bottom="0" percent="0" rank="0" text="" dxfId="3">
      <formula>45</formula>
    </cfRule>
  </conditionalFormatting>
  <conditionalFormatting sqref="N229">
    <cfRule type="cellIs" priority="2818" operator="greaterThan" aboveAverage="0" equalAverage="0" bottom="0" percent="0" rank="0" text="" dxfId="2">
      <formula>40</formula>
    </cfRule>
    <cfRule type="cellIs" priority="2819" operator="greaterThan" aboveAverage="0" equalAverage="0" bottom="0" percent="0" rank="0" text="" dxfId="3">
      <formula>45</formula>
    </cfRule>
  </conditionalFormatting>
  <conditionalFormatting sqref="O229">
    <cfRule type="cellIs" priority="2820" operator="greaterThan" aboveAverage="0" equalAverage="0" bottom="0" percent="0" rank="0" text="" dxfId="2">
      <formula>40</formula>
    </cfRule>
    <cfRule type="cellIs" priority="2821" operator="greaterThan" aboveAverage="0" equalAverage="0" bottom="0" percent="0" rank="0" text="" dxfId="3">
      <formula>45</formula>
    </cfRule>
  </conditionalFormatting>
  <conditionalFormatting sqref="P229">
    <cfRule type="cellIs" priority="2822" operator="greaterThan" aboveAverage="0" equalAverage="0" bottom="0" percent="0" rank="0" text="" dxfId="2">
      <formula>40</formula>
    </cfRule>
    <cfRule type="cellIs" priority="2823" operator="greaterThan" aboveAverage="0" equalAverage="0" bottom="0" percent="0" rank="0" text="" dxfId="3">
      <formula>45</formula>
    </cfRule>
  </conditionalFormatting>
  <conditionalFormatting sqref="Q229">
    <cfRule type="cellIs" priority="2824" operator="greaterThan" aboveAverage="0" equalAverage="0" bottom="0" percent="0" rank="0" text="" dxfId="2">
      <formula>40</formula>
    </cfRule>
    <cfRule type="cellIs" priority="2825" operator="greaterThan" aboveAverage="0" equalAverage="0" bottom="0" percent="0" rank="0" text="" dxfId="3">
      <formula>45</formula>
    </cfRule>
  </conditionalFormatting>
  <conditionalFormatting sqref="R229">
    <cfRule type="cellIs" priority="2826" operator="greaterThan" aboveAverage="0" equalAverage="0" bottom="0" percent="0" rank="0" text="" dxfId="2">
      <formula>40</formula>
    </cfRule>
    <cfRule type="cellIs" priority="2827" operator="greaterThan" aboveAverage="0" equalAverage="0" bottom="0" percent="0" rank="0" text="" dxfId="3">
      <formula>45</formula>
    </cfRule>
  </conditionalFormatting>
  <conditionalFormatting sqref="S229">
    <cfRule type="cellIs" priority="2828" operator="greaterThan" aboveAverage="0" equalAverage="0" bottom="0" percent="0" rank="0" text="" dxfId="2">
      <formula>40</formula>
    </cfRule>
    <cfRule type="cellIs" priority="2829" operator="greaterThan" aboveAverage="0" equalAverage="0" bottom="0" percent="0" rank="0" text="" dxfId="3">
      <formula>45</formula>
    </cfRule>
  </conditionalFormatting>
  <conditionalFormatting sqref="T229">
    <cfRule type="cellIs" priority="2830" operator="greaterThan" aboveAverage="0" equalAverage="0" bottom="0" percent="0" rank="0" text="" dxfId="2">
      <formula>40</formula>
    </cfRule>
    <cfRule type="cellIs" priority="2831" operator="greaterThan" aboveAverage="0" equalAverage="0" bottom="0" percent="0" rank="0" text="" dxfId="3">
      <formula>45</formula>
    </cfRule>
  </conditionalFormatting>
  <conditionalFormatting sqref="U229">
    <cfRule type="cellIs" priority="2832" operator="greaterThan" aboveAverage="0" equalAverage="0" bottom="0" percent="0" rank="0" text="" dxfId="2">
      <formula>40</formula>
    </cfRule>
    <cfRule type="cellIs" priority="2833" operator="greaterThan" aboveAverage="0" equalAverage="0" bottom="0" percent="0" rank="0" text="" dxfId="3">
      <formula>45</formula>
    </cfRule>
  </conditionalFormatting>
  <conditionalFormatting sqref="V229">
    <cfRule type="cellIs" priority="2834" operator="greaterThan" aboveAverage="0" equalAverage="0" bottom="0" percent="0" rank="0" text="" dxfId="2">
      <formula>40</formula>
    </cfRule>
    <cfRule type="cellIs" priority="2835" operator="greaterThan" aboveAverage="0" equalAverage="0" bottom="0" percent="0" rank="0" text="" dxfId="3">
      <formula>45</formula>
    </cfRule>
  </conditionalFormatting>
  <conditionalFormatting sqref="W229">
    <cfRule type="cellIs" priority="2836" operator="greaterThan" aboveAverage="0" equalAverage="0" bottom="0" percent="0" rank="0" text="" dxfId="2">
      <formula>40</formula>
    </cfRule>
    <cfRule type="cellIs" priority="2837" operator="greaterThan" aboveAverage="0" equalAverage="0" bottom="0" percent="0" rank="0" text="" dxfId="3">
      <formula>45</formula>
    </cfRule>
  </conditionalFormatting>
  <conditionalFormatting sqref="X229">
    <cfRule type="cellIs" priority="2838" operator="greaterThan" aboveAverage="0" equalAverage="0" bottom="0" percent="0" rank="0" text="" dxfId="2">
      <formula>55</formula>
    </cfRule>
    <cfRule type="cellIs" priority="2839" operator="greaterThan" aboveAverage="0" equalAverage="0" bottom="0" percent="0" rank="0" text="" dxfId="3">
      <formula>65</formula>
    </cfRule>
  </conditionalFormatting>
  <conditionalFormatting sqref="Y229">
    <cfRule type="cellIs" priority="2840" operator="greaterThan" aboveAverage="0" equalAverage="0" bottom="0" percent="0" rank="0" text="" dxfId="2">
      <formula>55</formula>
    </cfRule>
    <cfRule type="cellIs" priority="2841" operator="greaterThan" aboveAverage="0" equalAverage="0" bottom="0" percent="0" rank="0" text="" dxfId="3">
      <formula>65</formula>
    </cfRule>
  </conditionalFormatting>
  <conditionalFormatting sqref="Z229">
    <cfRule type="cellIs" priority="2842" operator="greaterThan" aboveAverage="0" equalAverage="0" bottom="0" percent="0" rank="0" text="" dxfId="2">
      <formula>55</formula>
    </cfRule>
    <cfRule type="cellIs" priority="2843" operator="greaterThan" aboveAverage="0" equalAverage="0" bottom="0" percent="0" rank="0" text="" dxfId="3">
      <formula>65</formula>
    </cfRule>
  </conditionalFormatting>
  <conditionalFormatting sqref="AA229">
    <cfRule type="cellIs" priority="2844" operator="greaterThan" aboveAverage="0" equalAverage="0" bottom="0" percent="0" rank="0" text="" dxfId="2">
      <formula>55</formula>
    </cfRule>
    <cfRule type="cellIs" priority="2845" operator="greaterThan" aboveAverage="0" equalAverage="0" bottom="0" percent="0" rank="0" text="" dxfId="3">
      <formula>65</formula>
    </cfRule>
  </conditionalFormatting>
  <conditionalFormatting sqref="AB229">
    <cfRule type="cellIs" priority="2846" operator="greaterThan" aboveAverage="0" equalAverage="0" bottom="0" percent="0" rank="0" text="" dxfId="2">
      <formula>55</formula>
    </cfRule>
    <cfRule type="cellIs" priority="2847" operator="greaterThan" aboveAverage="0" equalAverage="0" bottom="0" percent="0" rank="0" text="" dxfId="3">
      <formula>65</formula>
    </cfRule>
  </conditionalFormatting>
  <conditionalFormatting sqref="AC229">
    <cfRule type="cellIs" priority="2848" operator="greaterThan" aboveAverage="0" equalAverage="0" bottom="0" percent="0" rank="0" text="" dxfId="2">
      <formula>55</formula>
    </cfRule>
    <cfRule type="cellIs" priority="2849" operator="greaterThan" aboveAverage="0" equalAverage="0" bottom="0" percent="0" rank="0" text="" dxfId="3">
      <formula>65</formula>
    </cfRule>
  </conditionalFormatting>
  <conditionalFormatting sqref="AD229">
    <cfRule type="cellIs" priority="2850" operator="greaterThan" aboveAverage="0" equalAverage="0" bottom="0" percent="0" rank="0" text="" dxfId="2">
      <formula>55</formula>
    </cfRule>
    <cfRule type="cellIs" priority="2851" operator="greaterThan" aboveAverage="0" equalAverage="0" bottom="0" percent="0" rank="0" text="" dxfId="3">
      <formula>65</formula>
    </cfRule>
  </conditionalFormatting>
  <conditionalFormatting sqref="AE229">
    <cfRule type="cellIs" priority="2852" operator="greaterThan" aboveAverage="0" equalAverage="0" bottom="0" percent="0" rank="0" text="" dxfId="2">
      <formula>55</formula>
    </cfRule>
    <cfRule type="cellIs" priority="2853" operator="greaterThan" aboveAverage="0" equalAverage="0" bottom="0" percent="0" rank="0" text="" dxfId="3">
      <formula>65</formula>
    </cfRule>
  </conditionalFormatting>
  <conditionalFormatting sqref="AF229">
    <cfRule type="cellIs" priority="2854" operator="greaterThan" aboveAverage="0" equalAverage="0" bottom="0" percent="0" rank="0" text="" dxfId="2">
      <formula>40</formula>
    </cfRule>
    <cfRule type="cellIs" priority="2855" operator="greaterThan" aboveAverage="0" equalAverage="0" bottom="0" percent="0" rank="0" text="" dxfId="3">
      <formula>45</formula>
    </cfRule>
  </conditionalFormatting>
  <conditionalFormatting sqref="AG229">
    <cfRule type="cellIs" priority="2856" operator="greaterThan" aboveAverage="0" equalAverage="0" bottom="0" percent="0" rank="0" text="" dxfId="2">
      <formula>40</formula>
    </cfRule>
    <cfRule type="cellIs" priority="2857" operator="greaterThan" aboveAverage="0" equalAverage="0" bottom="0" percent="0" rank="0" text="" dxfId="3">
      <formula>45</formula>
    </cfRule>
  </conditionalFormatting>
  <conditionalFormatting sqref="AH229">
    <cfRule type="cellIs" priority="2858" operator="greaterThan" aboveAverage="0" equalAverage="0" bottom="0" percent="0" rank="0" text="" dxfId="2">
      <formula>40</formula>
    </cfRule>
    <cfRule type="cellIs" priority="2859" operator="greaterThan" aboveAverage="0" equalAverage="0" bottom="0" percent="0" rank="0" text="" dxfId="3">
      <formula>45</formula>
    </cfRule>
  </conditionalFormatting>
  <conditionalFormatting sqref="AI229">
    <cfRule type="cellIs" priority="2860" operator="greaterThan" aboveAverage="0" equalAverage="0" bottom="0" percent="0" rank="0" text="" dxfId="2">
      <formula>40</formula>
    </cfRule>
    <cfRule type="cellIs" priority="2861" operator="greaterThan" aboveAverage="0" equalAverage="0" bottom="0" percent="0" rank="0" text="" dxfId="3">
      <formula>45</formula>
    </cfRule>
  </conditionalFormatting>
  <conditionalFormatting sqref="AJ229">
    <cfRule type="cellIs" priority="2862" operator="greaterThan" aboveAverage="0" equalAverage="0" bottom="0" percent="0" rank="0" text="" dxfId="2">
      <formula>40</formula>
    </cfRule>
    <cfRule type="cellIs" priority="2863" operator="greaterThan" aboveAverage="0" equalAverage="0" bottom="0" percent="0" rank="0" text="" dxfId="3">
      <formula>45</formula>
    </cfRule>
  </conditionalFormatting>
  <conditionalFormatting sqref="AK229">
    <cfRule type="cellIs" priority="2864" operator="greaterThan" aboveAverage="0" equalAverage="0" bottom="0" percent="0" rank="0" text="" dxfId="2">
      <formula>40</formula>
    </cfRule>
    <cfRule type="cellIs" priority="2865" operator="greaterThan" aboveAverage="0" equalAverage="0" bottom="0" percent="0" rank="0" text="" dxfId="3">
      <formula>45</formula>
    </cfRule>
  </conditionalFormatting>
  <conditionalFormatting sqref="AL229">
    <cfRule type="cellIs" priority="2866" operator="greaterThan" aboveAverage="0" equalAverage="0" bottom="0" percent="0" rank="0" text="" dxfId="2">
      <formula>40</formula>
    </cfRule>
    <cfRule type="cellIs" priority="2867" operator="greaterThan" aboveAverage="0" equalAverage="0" bottom="0" percent="0" rank="0" text="" dxfId="3">
      <formula>45</formula>
    </cfRule>
  </conditionalFormatting>
  <conditionalFormatting sqref="AM229">
    <cfRule type="cellIs" priority="2868" operator="greaterThan" aboveAverage="0" equalAverage="0" bottom="0" percent="0" rank="0" text="" dxfId="2">
      <formula>40</formula>
    </cfRule>
    <cfRule type="cellIs" priority="2869" operator="greaterThan" aboveAverage="0" equalAverage="0" bottom="0" percent="0" rank="0" text="" dxfId="3">
      <formula>45</formula>
    </cfRule>
  </conditionalFormatting>
  <conditionalFormatting sqref="AN229">
    <cfRule type="cellIs" priority="2870" operator="greaterThan" aboveAverage="0" equalAverage="0" bottom="0" percent="0" rank="0" text="" dxfId="2">
      <formula>40</formula>
    </cfRule>
    <cfRule type="cellIs" priority="2871" operator="greaterThan" aboveAverage="0" equalAverage="0" bottom="0" percent="0" rank="0" text="" dxfId="3">
      <formula>45</formula>
    </cfRule>
  </conditionalFormatting>
  <conditionalFormatting sqref="AO229">
    <cfRule type="cellIs" priority="2872" operator="greaterThan" aboveAverage="0" equalAverage="0" bottom="0" percent="0" rank="0" text="" dxfId="2">
      <formula>40</formula>
    </cfRule>
    <cfRule type="cellIs" priority="2873" operator="greaterThan" aboveAverage="0" equalAverage="0" bottom="0" percent="0" rank="0" text="" dxfId="3">
      <formula>45</formula>
    </cfRule>
  </conditionalFormatting>
  <conditionalFormatting sqref="AP229">
    <cfRule type="cellIs" priority="2874" operator="greaterThan" aboveAverage="0" equalAverage="0" bottom="0" percent="0" rank="0" text="" dxfId="2">
      <formula>40</formula>
    </cfRule>
    <cfRule type="cellIs" priority="2875" operator="greaterThan" aboveAverage="0" equalAverage="0" bottom="0" percent="0" rank="0" text="" dxfId="3">
      <formula>45</formula>
    </cfRule>
  </conditionalFormatting>
  <conditionalFormatting sqref="AQ229">
    <cfRule type="cellIs" priority="2876" operator="greaterThan" aboveAverage="0" equalAverage="0" bottom="0" percent="0" rank="0" text="" dxfId="2">
      <formula>40</formula>
    </cfRule>
    <cfRule type="cellIs" priority="2877" operator="greaterThan" aboveAverage="0" equalAverage="0" bottom="0" percent="0" rank="0" text="" dxfId="3">
      <formula>45</formula>
    </cfRule>
  </conditionalFormatting>
  <conditionalFormatting sqref="AR229">
    <cfRule type="cellIs" priority="2878" operator="greaterThan" aboveAverage="0" equalAverage="0" bottom="0" percent="0" rank="0" text="" dxfId="2">
      <formula>40</formula>
    </cfRule>
    <cfRule type="cellIs" priority="2879" operator="greaterThan" aboveAverage="0" equalAverage="0" bottom="0" percent="0" rank="0" text="" dxfId="3">
      <formula>45</formula>
    </cfRule>
  </conditionalFormatting>
  <conditionalFormatting sqref="AS229">
    <cfRule type="cellIs" priority="2880" operator="greaterThan" aboveAverage="0" equalAverage="0" bottom="0" percent="0" rank="0" text="" dxfId="2">
      <formula>40</formula>
    </cfRule>
    <cfRule type="cellIs" priority="2881" operator="greaterThan" aboveAverage="0" equalAverage="0" bottom="0" percent="0" rank="0" text="" dxfId="3">
      <formula>45</formula>
    </cfRule>
  </conditionalFormatting>
  <conditionalFormatting sqref="F232">
    <cfRule type="cellIs" priority="2882" operator="greaterThan" aboveAverage="0" equalAverage="0" bottom="0" percent="0" rank="0" text="" dxfId="2">
      <formula>40</formula>
    </cfRule>
    <cfRule type="cellIs" priority="2883" operator="greaterThan" aboveAverage="0" equalAverage="0" bottom="0" percent="0" rank="0" text="" dxfId="3">
      <formula>45</formula>
    </cfRule>
  </conditionalFormatting>
  <conditionalFormatting sqref="G232">
    <cfRule type="cellIs" priority="2884" operator="greaterThan" aboveAverage="0" equalAverage="0" bottom="0" percent="0" rank="0" text="" dxfId="2">
      <formula>40</formula>
    </cfRule>
    <cfRule type="cellIs" priority="2885" operator="greaterThan" aboveAverage="0" equalAverage="0" bottom="0" percent="0" rank="0" text="" dxfId="3">
      <formula>45</formula>
    </cfRule>
  </conditionalFormatting>
  <conditionalFormatting sqref="H232">
    <cfRule type="cellIs" priority="2886" operator="greaterThan" aboveAverage="0" equalAverage="0" bottom="0" percent="0" rank="0" text="" dxfId="2">
      <formula>40</formula>
    </cfRule>
    <cfRule type="cellIs" priority="2887" operator="greaterThan" aboveAverage="0" equalAverage="0" bottom="0" percent="0" rank="0" text="" dxfId="3">
      <formula>45</formula>
    </cfRule>
  </conditionalFormatting>
  <conditionalFormatting sqref="I232">
    <cfRule type="cellIs" priority="2888" operator="greaterThan" aboveAverage="0" equalAverage="0" bottom="0" percent="0" rank="0" text="" dxfId="2">
      <formula>40</formula>
    </cfRule>
    <cfRule type="cellIs" priority="2889" operator="greaterThan" aboveAverage="0" equalAverage="0" bottom="0" percent="0" rank="0" text="" dxfId="3">
      <formula>45</formula>
    </cfRule>
  </conditionalFormatting>
  <conditionalFormatting sqref="J232">
    <cfRule type="cellIs" priority="2890" operator="greaterThan" aboveAverage="0" equalAverage="0" bottom="0" percent="0" rank="0" text="" dxfId="2">
      <formula>40</formula>
    </cfRule>
    <cfRule type="cellIs" priority="2891" operator="greaterThan" aboveAverage="0" equalAverage="0" bottom="0" percent="0" rank="0" text="" dxfId="3">
      <formula>45</formula>
    </cfRule>
  </conditionalFormatting>
  <conditionalFormatting sqref="K232">
    <cfRule type="cellIs" priority="2892" operator="greaterThan" aboveAverage="0" equalAverage="0" bottom="0" percent="0" rank="0" text="" dxfId="2">
      <formula>40</formula>
    </cfRule>
    <cfRule type="cellIs" priority="2893" operator="greaterThan" aboveAverage="0" equalAverage="0" bottom="0" percent="0" rank="0" text="" dxfId="3">
      <formula>45</formula>
    </cfRule>
  </conditionalFormatting>
  <conditionalFormatting sqref="L232">
    <cfRule type="cellIs" priority="2894" operator="greaterThan" aboveAverage="0" equalAverage="0" bottom="0" percent="0" rank="0" text="" dxfId="2">
      <formula>40</formula>
    </cfRule>
    <cfRule type="cellIs" priority="2895" operator="greaterThan" aboveAverage="0" equalAverage="0" bottom="0" percent="0" rank="0" text="" dxfId="3">
      <formula>45</formula>
    </cfRule>
  </conditionalFormatting>
  <conditionalFormatting sqref="M232">
    <cfRule type="cellIs" priority="2896" operator="greaterThan" aboveAverage="0" equalAverage="0" bottom="0" percent="0" rank="0" text="" dxfId="2">
      <formula>40</formula>
    </cfRule>
    <cfRule type="cellIs" priority="2897" operator="greaterThan" aboveAverage="0" equalAverage="0" bottom="0" percent="0" rank="0" text="" dxfId="3">
      <formula>45</formula>
    </cfRule>
  </conditionalFormatting>
  <conditionalFormatting sqref="N232">
    <cfRule type="cellIs" priority="2898" operator="greaterThan" aboveAverage="0" equalAverage="0" bottom="0" percent="0" rank="0" text="" dxfId="2">
      <formula>40</formula>
    </cfRule>
    <cfRule type="cellIs" priority="2899" operator="greaterThan" aboveAverage="0" equalAverage="0" bottom="0" percent="0" rank="0" text="" dxfId="3">
      <formula>45</formula>
    </cfRule>
  </conditionalFormatting>
  <conditionalFormatting sqref="O232">
    <cfRule type="cellIs" priority="2900" operator="greaterThan" aboveAverage="0" equalAverage="0" bottom="0" percent="0" rank="0" text="" dxfId="2">
      <formula>40</formula>
    </cfRule>
    <cfRule type="cellIs" priority="2901" operator="greaterThan" aboveAverage="0" equalAverage="0" bottom="0" percent="0" rank="0" text="" dxfId="3">
      <formula>45</formula>
    </cfRule>
  </conditionalFormatting>
  <conditionalFormatting sqref="P232">
    <cfRule type="cellIs" priority="2902" operator="greaterThan" aboveAverage="0" equalAverage="0" bottom="0" percent="0" rank="0" text="" dxfId="2">
      <formula>40</formula>
    </cfRule>
    <cfRule type="cellIs" priority="2903" operator="greaterThan" aboveAverage="0" equalAverage="0" bottom="0" percent="0" rank="0" text="" dxfId="3">
      <formula>45</formula>
    </cfRule>
  </conditionalFormatting>
  <conditionalFormatting sqref="Q232">
    <cfRule type="cellIs" priority="2904" operator="greaterThan" aboveAverage="0" equalAverage="0" bottom="0" percent="0" rank="0" text="" dxfId="2">
      <formula>40</formula>
    </cfRule>
    <cfRule type="cellIs" priority="2905" operator="greaterThan" aboveAverage="0" equalAverage="0" bottom="0" percent="0" rank="0" text="" dxfId="3">
      <formula>45</formula>
    </cfRule>
  </conditionalFormatting>
  <conditionalFormatting sqref="R232">
    <cfRule type="cellIs" priority="2906" operator="greaterThan" aboveAverage="0" equalAverage="0" bottom="0" percent="0" rank="0" text="" dxfId="2">
      <formula>40</formula>
    </cfRule>
    <cfRule type="cellIs" priority="2907" operator="greaterThan" aboveAverage="0" equalAverage="0" bottom="0" percent="0" rank="0" text="" dxfId="3">
      <formula>45</formula>
    </cfRule>
  </conditionalFormatting>
  <conditionalFormatting sqref="S232">
    <cfRule type="cellIs" priority="2908" operator="greaterThan" aboveAverage="0" equalAverage="0" bottom="0" percent="0" rank="0" text="" dxfId="2">
      <formula>40</formula>
    </cfRule>
    <cfRule type="cellIs" priority="2909" operator="greaterThan" aboveAverage="0" equalAverage="0" bottom="0" percent="0" rank="0" text="" dxfId="3">
      <formula>45</formula>
    </cfRule>
  </conditionalFormatting>
  <conditionalFormatting sqref="T232">
    <cfRule type="cellIs" priority="2910" operator="greaterThan" aboveAverage="0" equalAverage="0" bottom="0" percent="0" rank="0" text="" dxfId="2">
      <formula>40</formula>
    </cfRule>
    <cfRule type="cellIs" priority="2911" operator="greaterThan" aboveAverage="0" equalAverage="0" bottom="0" percent="0" rank="0" text="" dxfId="3">
      <formula>45</formula>
    </cfRule>
  </conditionalFormatting>
  <conditionalFormatting sqref="U232">
    <cfRule type="cellIs" priority="2912" operator="greaterThan" aboveAverage="0" equalAverage="0" bottom="0" percent="0" rank="0" text="" dxfId="2">
      <formula>40</formula>
    </cfRule>
    <cfRule type="cellIs" priority="2913" operator="greaterThan" aboveAverage="0" equalAverage="0" bottom="0" percent="0" rank="0" text="" dxfId="3">
      <formula>45</formula>
    </cfRule>
  </conditionalFormatting>
  <conditionalFormatting sqref="V232">
    <cfRule type="cellIs" priority="2914" operator="greaterThan" aboveAverage="0" equalAverage="0" bottom="0" percent="0" rank="0" text="" dxfId="2">
      <formula>40</formula>
    </cfRule>
    <cfRule type="cellIs" priority="2915" operator="greaterThan" aboveAverage="0" equalAverage="0" bottom="0" percent="0" rank="0" text="" dxfId="3">
      <formula>45</formula>
    </cfRule>
  </conditionalFormatting>
  <conditionalFormatting sqref="W232">
    <cfRule type="cellIs" priority="2916" operator="greaterThan" aboveAverage="0" equalAverage="0" bottom="0" percent="0" rank="0" text="" dxfId="2">
      <formula>40</formula>
    </cfRule>
    <cfRule type="cellIs" priority="2917" operator="greaterThan" aboveAverage="0" equalAverage="0" bottom="0" percent="0" rank="0" text="" dxfId="3">
      <formula>45</formula>
    </cfRule>
  </conditionalFormatting>
  <conditionalFormatting sqref="X232">
    <cfRule type="cellIs" priority="2918" operator="greaterThan" aboveAverage="0" equalAverage="0" bottom="0" percent="0" rank="0" text="" dxfId="2">
      <formula>55</formula>
    </cfRule>
    <cfRule type="cellIs" priority="2919" operator="greaterThan" aboveAverage="0" equalAverage="0" bottom="0" percent="0" rank="0" text="" dxfId="3">
      <formula>65</formula>
    </cfRule>
  </conditionalFormatting>
  <conditionalFormatting sqref="Y232">
    <cfRule type="cellIs" priority="2920" operator="greaterThan" aboveAverage="0" equalAverage="0" bottom="0" percent="0" rank="0" text="" dxfId="2">
      <formula>55</formula>
    </cfRule>
    <cfRule type="cellIs" priority="2921" operator="greaterThan" aboveAverage="0" equalAverage="0" bottom="0" percent="0" rank="0" text="" dxfId="3">
      <formula>65</formula>
    </cfRule>
  </conditionalFormatting>
  <conditionalFormatting sqref="Z232">
    <cfRule type="cellIs" priority="2922" operator="greaterThan" aboveAverage="0" equalAverage="0" bottom="0" percent="0" rank="0" text="" dxfId="2">
      <formula>55</formula>
    </cfRule>
    <cfRule type="cellIs" priority="2923" operator="greaterThan" aboveAverage="0" equalAverage="0" bottom="0" percent="0" rank="0" text="" dxfId="3">
      <formula>65</formula>
    </cfRule>
  </conditionalFormatting>
  <conditionalFormatting sqref="AA232">
    <cfRule type="cellIs" priority="2924" operator="greaterThan" aboveAverage="0" equalAverage="0" bottom="0" percent="0" rank="0" text="" dxfId="2">
      <formula>55</formula>
    </cfRule>
    <cfRule type="cellIs" priority="2925" operator="greaterThan" aboveAverage="0" equalAverage="0" bottom="0" percent="0" rank="0" text="" dxfId="3">
      <formula>65</formula>
    </cfRule>
  </conditionalFormatting>
  <conditionalFormatting sqref="AB232">
    <cfRule type="cellIs" priority="2926" operator="greaterThan" aboveAverage="0" equalAverage="0" bottom="0" percent="0" rank="0" text="" dxfId="2">
      <formula>55</formula>
    </cfRule>
    <cfRule type="cellIs" priority="2927" operator="greaterThan" aboveAverage="0" equalAverage="0" bottom="0" percent="0" rank="0" text="" dxfId="3">
      <formula>65</formula>
    </cfRule>
  </conditionalFormatting>
  <conditionalFormatting sqref="AC232">
    <cfRule type="cellIs" priority="2928" operator="greaterThan" aboveAverage="0" equalAverage="0" bottom="0" percent="0" rank="0" text="" dxfId="2">
      <formula>55</formula>
    </cfRule>
    <cfRule type="cellIs" priority="2929" operator="greaterThan" aboveAverage="0" equalAverage="0" bottom="0" percent="0" rank="0" text="" dxfId="3">
      <formula>65</formula>
    </cfRule>
  </conditionalFormatting>
  <conditionalFormatting sqref="AD232">
    <cfRule type="cellIs" priority="2930" operator="greaterThan" aboveAverage="0" equalAverage="0" bottom="0" percent="0" rank="0" text="" dxfId="2">
      <formula>55</formula>
    </cfRule>
    <cfRule type="cellIs" priority="2931" operator="greaterThan" aboveAverage="0" equalAverage="0" bottom="0" percent="0" rank="0" text="" dxfId="3">
      <formula>65</formula>
    </cfRule>
  </conditionalFormatting>
  <conditionalFormatting sqref="AE232">
    <cfRule type="cellIs" priority="2932" operator="greaterThan" aboveAverage="0" equalAverage="0" bottom="0" percent="0" rank="0" text="" dxfId="2">
      <formula>55</formula>
    </cfRule>
    <cfRule type="cellIs" priority="2933" operator="greaterThan" aboveAverage="0" equalAverage="0" bottom="0" percent="0" rank="0" text="" dxfId="3">
      <formula>65</formula>
    </cfRule>
  </conditionalFormatting>
  <conditionalFormatting sqref="AF232">
    <cfRule type="cellIs" priority="2934" operator="greaterThan" aboveAverage="0" equalAverage="0" bottom="0" percent="0" rank="0" text="" dxfId="2">
      <formula>40</formula>
    </cfRule>
    <cfRule type="cellIs" priority="2935" operator="greaterThan" aboveAverage="0" equalAverage="0" bottom="0" percent="0" rank="0" text="" dxfId="3">
      <formula>45</formula>
    </cfRule>
  </conditionalFormatting>
  <conditionalFormatting sqref="AG232">
    <cfRule type="cellIs" priority="2936" operator="greaterThan" aboveAverage="0" equalAverage="0" bottom="0" percent="0" rank="0" text="" dxfId="2">
      <formula>40</formula>
    </cfRule>
    <cfRule type="cellIs" priority="2937" operator="greaterThan" aboveAverage="0" equalAverage="0" bottom="0" percent="0" rank="0" text="" dxfId="3">
      <formula>45</formula>
    </cfRule>
  </conditionalFormatting>
  <conditionalFormatting sqref="AH232">
    <cfRule type="cellIs" priority="2938" operator="greaterThan" aboveAverage="0" equalAverage="0" bottom="0" percent="0" rank="0" text="" dxfId="2">
      <formula>40</formula>
    </cfRule>
    <cfRule type="cellIs" priority="2939" operator="greaterThan" aboveAverage="0" equalAverage="0" bottom="0" percent="0" rank="0" text="" dxfId="3">
      <formula>45</formula>
    </cfRule>
  </conditionalFormatting>
  <conditionalFormatting sqref="AI232">
    <cfRule type="cellIs" priority="2940" operator="greaterThan" aboveAverage="0" equalAverage="0" bottom="0" percent="0" rank="0" text="" dxfId="2">
      <formula>40</formula>
    </cfRule>
    <cfRule type="cellIs" priority="2941" operator="greaterThan" aboveAverage="0" equalAverage="0" bottom="0" percent="0" rank="0" text="" dxfId="3">
      <formula>45</formula>
    </cfRule>
  </conditionalFormatting>
  <conditionalFormatting sqref="AJ232">
    <cfRule type="cellIs" priority="2942" operator="greaterThan" aboveAverage="0" equalAverage="0" bottom="0" percent="0" rank="0" text="" dxfId="2">
      <formula>40</formula>
    </cfRule>
    <cfRule type="cellIs" priority="2943" operator="greaterThan" aboveAverage="0" equalAverage="0" bottom="0" percent="0" rank="0" text="" dxfId="3">
      <formula>45</formula>
    </cfRule>
  </conditionalFormatting>
  <conditionalFormatting sqref="AK232">
    <cfRule type="cellIs" priority="2944" operator="greaterThan" aboveAverage="0" equalAverage="0" bottom="0" percent="0" rank="0" text="" dxfId="2">
      <formula>40</formula>
    </cfRule>
    <cfRule type="cellIs" priority="2945" operator="greaterThan" aboveAverage="0" equalAverage="0" bottom="0" percent="0" rank="0" text="" dxfId="3">
      <formula>45</formula>
    </cfRule>
  </conditionalFormatting>
  <conditionalFormatting sqref="AL232">
    <cfRule type="cellIs" priority="2946" operator="greaterThan" aboveAverage="0" equalAverage="0" bottom="0" percent="0" rank="0" text="" dxfId="2">
      <formula>40</formula>
    </cfRule>
    <cfRule type="cellIs" priority="2947" operator="greaterThan" aboveAverage="0" equalAverage="0" bottom="0" percent="0" rank="0" text="" dxfId="3">
      <formula>45</formula>
    </cfRule>
  </conditionalFormatting>
  <conditionalFormatting sqref="AM232">
    <cfRule type="cellIs" priority="2948" operator="greaterThan" aboveAverage="0" equalAverage="0" bottom="0" percent="0" rank="0" text="" dxfId="2">
      <formula>40</formula>
    </cfRule>
    <cfRule type="cellIs" priority="2949" operator="greaterThan" aboveAverage="0" equalAverage="0" bottom="0" percent="0" rank="0" text="" dxfId="3">
      <formula>45</formula>
    </cfRule>
  </conditionalFormatting>
  <conditionalFormatting sqref="AN232">
    <cfRule type="cellIs" priority="2950" operator="greaterThan" aboveAverage="0" equalAverage="0" bottom="0" percent="0" rank="0" text="" dxfId="2">
      <formula>40</formula>
    </cfRule>
    <cfRule type="cellIs" priority="2951" operator="greaterThan" aboveAverage="0" equalAverage="0" bottom="0" percent="0" rank="0" text="" dxfId="3">
      <formula>45</formula>
    </cfRule>
  </conditionalFormatting>
  <conditionalFormatting sqref="AO232">
    <cfRule type="cellIs" priority="2952" operator="greaterThan" aboveAverage="0" equalAverage="0" bottom="0" percent="0" rank="0" text="" dxfId="2">
      <formula>40</formula>
    </cfRule>
    <cfRule type="cellIs" priority="2953" operator="greaterThan" aboveAverage="0" equalAverage="0" bottom="0" percent="0" rank="0" text="" dxfId="3">
      <formula>45</formula>
    </cfRule>
  </conditionalFormatting>
  <conditionalFormatting sqref="AP232">
    <cfRule type="cellIs" priority="2954" operator="greaterThan" aboveAverage="0" equalAverage="0" bottom="0" percent="0" rank="0" text="" dxfId="2">
      <formula>40</formula>
    </cfRule>
    <cfRule type="cellIs" priority="2955" operator="greaterThan" aboveAverage="0" equalAverage="0" bottom="0" percent="0" rank="0" text="" dxfId="3">
      <formula>45</formula>
    </cfRule>
  </conditionalFormatting>
  <conditionalFormatting sqref="AQ232">
    <cfRule type="cellIs" priority="2956" operator="greaterThan" aboveAverage="0" equalAverage="0" bottom="0" percent="0" rank="0" text="" dxfId="2">
      <formula>40</formula>
    </cfRule>
    <cfRule type="cellIs" priority="2957" operator="greaterThan" aboveAverage="0" equalAverage="0" bottom="0" percent="0" rank="0" text="" dxfId="3">
      <formula>45</formula>
    </cfRule>
  </conditionalFormatting>
  <conditionalFormatting sqref="AR232">
    <cfRule type="cellIs" priority="2958" operator="greaterThan" aboveAverage="0" equalAverage="0" bottom="0" percent="0" rank="0" text="" dxfId="2">
      <formula>40</formula>
    </cfRule>
    <cfRule type="cellIs" priority="2959" operator="greaterThan" aboveAverage="0" equalAverage="0" bottom="0" percent="0" rank="0" text="" dxfId="3">
      <formula>45</formula>
    </cfRule>
  </conditionalFormatting>
  <conditionalFormatting sqref="AS232">
    <cfRule type="cellIs" priority="2960" operator="greaterThan" aboveAverage="0" equalAverage="0" bottom="0" percent="0" rank="0" text="" dxfId="2">
      <formula>40</formula>
    </cfRule>
    <cfRule type="cellIs" priority="2961" operator="greaterThan" aboveAverage="0" equalAverage="0" bottom="0" percent="0" rank="0" text="" dxfId="3">
      <formula>45</formula>
    </cfRule>
  </conditionalFormatting>
  <conditionalFormatting sqref="F234">
    <cfRule type="cellIs" priority="2962" operator="greaterThan" aboveAverage="0" equalAverage="0" bottom="0" percent="0" rank="0" text="" dxfId="2">
      <formula>40</formula>
    </cfRule>
    <cfRule type="cellIs" priority="2963" operator="greaterThan" aboveAverage="0" equalAverage="0" bottom="0" percent="0" rank="0" text="" dxfId="3">
      <formula>45</formula>
    </cfRule>
  </conditionalFormatting>
  <conditionalFormatting sqref="G234">
    <cfRule type="cellIs" priority="2964" operator="greaterThan" aboveAverage="0" equalAverage="0" bottom="0" percent="0" rank="0" text="" dxfId="2">
      <formula>40</formula>
    </cfRule>
    <cfRule type="cellIs" priority="2965" operator="greaterThan" aboveAverage="0" equalAverage="0" bottom="0" percent="0" rank="0" text="" dxfId="3">
      <formula>45</formula>
    </cfRule>
  </conditionalFormatting>
  <conditionalFormatting sqref="H234">
    <cfRule type="cellIs" priority="2966" operator="greaterThan" aboveAverage="0" equalAverage="0" bottom="0" percent="0" rank="0" text="" dxfId="2">
      <formula>40</formula>
    </cfRule>
    <cfRule type="cellIs" priority="2967" operator="greaterThan" aboveAverage="0" equalAverage="0" bottom="0" percent="0" rank="0" text="" dxfId="3">
      <formula>45</formula>
    </cfRule>
  </conditionalFormatting>
  <conditionalFormatting sqref="I234">
    <cfRule type="cellIs" priority="2968" operator="greaterThan" aboveAverage="0" equalAverage="0" bottom="0" percent="0" rank="0" text="" dxfId="2">
      <formula>40</formula>
    </cfRule>
    <cfRule type="cellIs" priority="2969" operator="greaterThan" aboveAverage="0" equalAverage="0" bottom="0" percent="0" rank="0" text="" dxfId="3">
      <formula>45</formula>
    </cfRule>
  </conditionalFormatting>
  <conditionalFormatting sqref="J234">
    <cfRule type="cellIs" priority="2970" operator="greaterThan" aboveAverage="0" equalAverage="0" bottom="0" percent="0" rank="0" text="" dxfId="2">
      <formula>40</formula>
    </cfRule>
    <cfRule type="cellIs" priority="2971" operator="greaterThan" aboveAverage="0" equalAverage="0" bottom="0" percent="0" rank="0" text="" dxfId="3">
      <formula>45</formula>
    </cfRule>
  </conditionalFormatting>
  <conditionalFormatting sqref="K234">
    <cfRule type="cellIs" priority="2972" operator="greaterThan" aboveAverage="0" equalAverage="0" bottom="0" percent="0" rank="0" text="" dxfId="2">
      <formula>40</formula>
    </cfRule>
    <cfRule type="cellIs" priority="2973" operator="greaterThan" aboveAverage="0" equalAverage="0" bottom="0" percent="0" rank="0" text="" dxfId="3">
      <formula>45</formula>
    </cfRule>
  </conditionalFormatting>
  <conditionalFormatting sqref="L234">
    <cfRule type="cellIs" priority="2974" operator="greaterThan" aboveAverage="0" equalAverage="0" bottom="0" percent="0" rank="0" text="" dxfId="2">
      <formula>40</formula>
    </cfRule>
    <cfRule type="cellIs" priority="2975" operator="greaterThan" aboveAverage="0" equalAverage="0" bottom="0" percent="0" rank="0" text="" dxfId="3">
      <formula>45</formula>
    </cfRule>
  </conditionalFormatting>
  <conditionalFormatting sqref="M234">
    <cfRule type="cellIs" priority="2976" operator="greaterThan" aboveAverage="0" equalAverage="0" bottom="0" percent="0" rank="0" text="" dxfId="2">
      <formula>40</formula>
    </cfRule>
    <cfRule type="cellIs" priority="2977" operator="greaterThan" aboveAverage="0" equalAverage="0" bottom="0" percent="0" rank="0" text="" dxfId="3">
      <formula>45</formula>
    </cfRule>
  </conditionalFormatting>
  <conditionalFormatting sqref="N234">
    <cfRule type="cellIs" priority="2978" operator="greaterThan" aboveAverage="0" equalAverage="0" bottom="0" percent="0" rank="0" text="" dxfId="2">
      <formula>40</formula>
    </cfRule>
    <cfRule type="cellIs" priority="2979" operator="greaterThan" aboveAverage="0" equalAverage="0" bottom="0" percent="0" rank="0" text="" dxfId="3">
      <formula>45</formula>
    </cfRule>
  </conditionalFormatting>
  <conditionalFormatting sqref="O234">
    <cfRule type="cellIs" priority="2980" operator="greaterThan" aboveAverage="0" equalAverage="0" bottom="0" percent="0" rank="0" text="" dxfId="2">
      <formula>40</formula>
    </cfRule>
    <cfRule type="cellIs" priority="2981" operator="greaterThan" aboveAverage="0" equalAverage="0" bottom="0" percent="0" rank="0" text="" dxfId="3">
      <formula>45</formula>
    </cfRule>
  </conditionalFormatting>
  <conditionalFormatting sqref="P234">
    <cfRule type="cellIs" priority="2982" operator="greaterThan" aboveAverage="0" equalAverage="0" bottom="0" percent="0" rank="0" text="" dxfId="2">
      <formula>40</formula>
    </cfRule>
    <cfRule type="cellIs" priority="2983" operator="greaterThan" aboveAverage="0" equalAverage="0" bottom="0" percent="0" rank="0" text="" dxfId="3">
      <formula>45</formula>
    </cfRule>
  </conditionalFormatting>
  <conditionalFormatting sqref="Q234">
    <cfRule type="cellIs" priority="2984" operator="greaterThan" aboveAverage="0" equalAverage="0" bottom="0" percent="0" rank="0" text="" dxfId="2">
      <formula>40</formula>
    </cfRule>
    <cfRule type="cellIs" priority="2985" operator="greaterThan" aboveAverage="0" equalAverage="0" bottom="0" percent="0" rank="0" text="" dxfId="3">
      <formula>45</formula>
    </cfRule>
  </conditionalFormatting>
  <conditionalFormatting sqref="R234">
    <cfRule type="cellIs" priority="2986" operator="greaterThan" aboveAverage="0" equalAverage="0" bottom="0" percent="0" rank="0" text="" dxfId="2">
      <formula>40</formula>
    </cfRule>
    <cfRule type="cellIs" priority="2987" operator="greaterThan" aboveAverage="0" equalAverage="0" bottom="0" percent="0" rank="0" text="" dxfId="3">
      <formula>45</formula>
    </cfRule>
  </conditionalFormatting>
  <conditionalFormatting sqref="S234">
    <cfRule type="cellIs" priority="2988" operator="greaterThan" aboveAverage="0" equalAverage="0" bottom="0" percent="0" rank="0" text="" dxfId="2">
      <formula>40</formula>
    </cfRule>
    <cfRule type="cellIs" priority="2989" operator="greaterThan" aboveAverage="0" equalAverage="0" bottom="0" percent="0" rank="0" text="" dxfId="3">
      <formula>45</formula>
    </cfRule>
  </conditionalFormatting>
  <conditionalFormatting sqref="T234">
    <cfRule type="cellIs" priority="2990" operator="greaterThan" aboveAverage="0" equalAverage="0" bottom="0" percent="0" rank="0" text="" dxfId="2">
      <formula>40</formula>
    </cfRule>
    <cfRule type="cellIs" priority="2991" operator="greaterThan" aboveAverage="0" equalAverage="0" bottom="0" percent="0" rank="0" text="" dxfId="3">
      <formula>45</formula>
    </cfRule>
  </conditionalFormatting>
  <conditionalFormatting sqref="U234">
    <cfRule type="cellIs" priority="2992" operator="greaterThan" aboveAverage="0" equalAverage="0" bottom="0" percent="0" rank="0" text="" dxfId="2">
      <formula>40</formula>
    </cfRule>
    <cfRule type="cellIs" priority="2993" operator="greaterThan" aboveAverage="0" equalAverage="0" bottom="0" percent="0" rank="0" text="" dxfId="3">
      <formula>45</formula>
    </cfRule>
  </conditionalFormatting>
  <conditionalFormatting sqref="V234">
    <cfRule type="cellIs" priority="2994" operator="greaterThan" aboveAverage="0" equalAverage="0" bottom="0" percent="0" rank="0" text="" dxfId="2">
      <formula>40</formula>
    </cfRule>
    <cfRule type="cellIs" priority="2995" operator="greaterThan" aboveAverage="0" equalAverage="0" bottom="0" percent="0" rank="0" text="" dxfId="3">
      <formula>45</formula>
    </cfRule>
  </conditionalFormatting>
  <conditionalFormatting sqref="W234">
    <cfRule type="cellIs" priority="2996" operator="greaterThan" aboveAverage="0" equalAverage="0" bottom="0" percent="0" rank="0" text="" dxfId="2">
      <formula>40</formula>
    </cfRule>
    <cfRule type="cellIs" priority="2997" operator="greaterThan" aboveAverage="0" equalAverage="0" bottom="0" percent="0" rank="0" text="" dxfId="3">
      <formula>45</formula>
    </cfRule>
  </conditionalFormatting>
  <conditionalFormatting sqref="X234">
    <cfRule type="cellIs" priority="2998" operator="greaterThan" aboveAverage="0" equalAverage="0" bottom="0" percent="0" rank="0" text="" dxfId="2">
      <formula>55</formula>
    </cfRule>
    <cfRule type="cellIs" priority="2999" operator="greaterThan" aboveAverage="0" equalAverage="0" bottom="0" percent="0" rank="0" text="" dxfId="3">
      <formula>65</formula>
    </cfRule>
  </conditionalFormatting>
  <conditionalFormatting sqref="Y234">
    <cfRule type="cellIs" priority="3000" operator="greaterThan" aboveAverage="0" equalAverage="0" bottom="0" percent="0" rank="0" text="" dxfId="2">
      <formula>55</formula>
    </cfRule>
    <cfRule type="cellIs" priority="3001" operator="greaterThan" aboveAverage="0" equalAverage="0" bottom="0" percent="0" rank="0" text="" dxfId="3">
      <formula>65</formula>
    </cfRule>
  </conditionalFormatting>
  <conditionalFormatting sqref="Z234">
    <cfRule type="cellIs" priority="3002" operator="greaterThan" aboveAverage="0" equalAverage="0" bottom="0" percent="0" rank="0" text="" dxfId="2">
      <formula>55</formula>
    </cfRule>
    <cfRule type="cellIs" priority="3003" operator="greaterThan" aboveAverage="0" equalAverage="0" bottom="0" percent="0" rank="0" text="" dxfId="3">
      <formula>65</formula>
    </cfRule>
  </conditionalFormatting>
  <conditionalFormatting sqref="AA234">
    <cfRule type="cellIs" priority="3004" operator="greaterThan" aboveAverage="0" equalAverage="0" bottom="0" percent="0" rank="0" text="" dxfId="2">
      <formula>55</formula>
    </cfRule>
    <cfRule type="cellIs" priority="3005" operator="greaterThan" aboveAverage="0" equalAverage="0" bottom="0" percent="0" rank="0" text="" dxfId="3">
      <formula>65</formula>
    </cfRule>
  </conditionalFormatting>
  <conditionalFormatting sqref="AB234">
    <cfRule type="cellIs" priority="3006" operator="greaterThan" aboveAverage="0" equalAverage="0" bottom="0" percent="0" rank="0" text="" dxfId="2">
      <formula>55</formula>
    </cfRule>
    <cfRule type="cellIs" priority="3007" operator="greaterThan" aboveAverage="0" equalAverage="0" bottom="0" percent="0" rank="0" text="" dxfId="3">
      <formula>65</formula>
    </cfRule>
  </conditionalFormatting>
  <conditionalFormatting sqref="AC234">
    <cfRule type="cellIs" priority="3008" operator="greaterThan" aboveAverage="0" equalAverage="0" bottom="0" percent="0" rank="0" text="" dxfId="2">
      <formula>55</formula>
    </cfRule>
    <cfRule type="cellIs" priority="3009" operator="greaterThan" aboveAverage="0" equalAverage="0" bottom="0" percent="0" rank="0" text="" dxfId="3">
      <formula>65</formula>
    </cfRule>
  </conditionalFormatting>
  <conditionalFormatting sqref="AD234">
    <cfRule type="cellIs" priority="3010" operator="greaterThan" aboveAverage="0" equalAverage="0" bottom="0" percent="0" rank="0" text="" dxfId="2">
      <formula>55</formula>
    </cfRule>
    <cfRule type="cellIs" priority="3011" operator="greaterThan" aboveAverage="0" equalAverage="0" bottom="0" percent="0" rank="0" text="" dxfId="3">
      <formula>65</formula>
    </cfRule>
  </conditionalFormatting>
  <conditionalFormatting sqref="AE234">
    <cfRule type="cellIs" priority="3012" operator="greaterThan" aboveAverage="0" equalAverage="0" bottom="0" percent="0" rank="0" text="" dxfId="2">
      <formula>55</formula>
    </cfRule>
    <cfRule type="cellIs" priority="3013" operator="greaterThan" aboveAverage="0" equalAverage="0" bottom="0" percent="0" rank="0" text="" dxfId="3">
      <formula>65</formula>
    </cfRule>
  </conditionalFormatting>
  <conditionalFormatting sqref="AF234">
    <cfRule type="cellIs" priority="3014" operator="greaterThan" aboveAverage="0" equalAverage="0" bottom="0" percent="0" rank="0" text="" dxfId="2">
      <formula>40</formula>
    </cfRule>
    <cfRule type="cellIs" priority="3015" operator="greaterThan" aboveAverage="0" equalAverage="0" bottom="0" percent="0" rank="0" text="" dxfId="3">
      <formula>45</formula>
    </cfRule>
  </conditionalFormatting>
  <conditionalFormatting sqref="AG234">
    <cfRule type="cellIs" priority="3016" operator="greaterThan" aboveAverage="0" equalAverage="0" bottom="0" percent="0" rank="0" text="" dxfId="2">
      <formula>40</formula>
    </cfRule>
    <cfRule type="cellIs" priority="3017" operator="greaterThan" aboveAverage="0" equalAverage="0" bottom="0" percent="0" rank="0" text="" dxfId="3">
      <formula>45</formula>
    </cfRule>
  </conditionalFormatting>
  <conditionalFormatting sqref="AH234">
    <cfRule type="cellIs" priority="3018" operator="greaterThan" aboveAverage="0" equalAverage="0" bottom="0" percent="0" rank="0" text="" dxfId="2">
      <formula>40</formula>
    </cfRule>
    <cfRule type="cellIs" priority="3019" operator="greaterThan" aboveAverage="0" equalAverage="0" bottom="0" percent="0" rank="0" text="" dxfId="3">
      <formula>45</formula>
    </cfRule>
  </conditionalFormatting>
  <conditionalFormatting sqref="AI234">
    <cfRule type="cellIs" priority="3020" operator="greaterThan" aboveAverage="0" equalAverage="0" bottom="0" percent="0" rank="0" text="" dxfId="2">
      <formula>40</formula>
    </cfRule>
    <cfRule type="cellIs" priority="3021" operator="greaterThan" aboveAverage="0" equalAverage="0" bottom="0" percent="0" rank="0" text="" dxfId="3">
      <formula>45</formula>
    </cfRule>
  </conditionalFormatting>
  <conditionalFormatting sqref="AJ234">
    <cfRule type="cellIs" priority="3022" operator="greaterThan" aboveAverage="0" equalAverage="0" bottom="0" percent="0" rank="0" text="" dxfId="2">
      <formula>40</formula>
    </cfRule>
    <cfRule type="cellIs" priority="3023" operator="greaterThan" aboveAverage="0" equalAverage="0" bottom="0" percent="0" rank="0" text="" dxfId="3">
      <formula>45</formula>
    </cfRule>
  </conditionalFormatting>
  <conditionalFormatting sqref="AK234">
    <cfRule type="cellIs" priority="3024" operator="greaterThan" aboveAverage="0" equalAverage="0" bottom="0" percent="0" rank="0" text="" dxfId="2">
      <formula>40</formula>
    </cfRule>
    <cfRule type="cellIs" priority="3025" operator="greaterThan" aboveAverage="0" equalAverage="0" bottom="0" percent="0" rank="0" text="" dxfId="3">
      <formula>45</formula>
    </cfRule>
  </conditionalFormatting>
  <conditionalFormatting sqref="AL234">
    <cfRule type="cellIs" priority="3026" operator="greaterThan" aboveAverage="0" equalAverage="0" bottom="0" percent="0" rank="0" text="" dxfId="2">
      <formula>40</formula>
    </cfRule>
    <cfRule type="cellIs" priority="3027" operator="greaterThan" aboveAverage="0" equalAverage="0" bottom="0" percent="0" rank="0" text="" dxfId="3">
      <formula>45</formula>
    </cfRule>
  </conditionalFormatting>
  <conditionalFormatting sqref="AM234">
    <cfRule type="cellIs" priority="3028" operator="greaterThan" aboveAverage="0" equalAverage="0" bottom="0" percent="0" rank="0" text="" dxfId="2">
      <formula>40</formula>
    </cfRule>
    <cfRule type="cellIs" priority="3029" operator="greaterThan" aboveAverage="0" equalAverage="0" bottom="0" percent="0" rank="0" text="" dxfId="3">
      <formula>45</formula>
    </cfRule>
  </conditionalFormatting>
  <conditionalFormatting sqref="AN234">
    <cfRule type="cellIs" priority="3030" operator="greaterThan" aboveAverage="0" equalAverage="0" bottom="0" percent="0" rank="0" text="" dxfId="2">
      <formula>40</formula>
    </cfRule>
    <cfRule type="cellIs" priority="3031" operator="greaterThan" aboveAverage="0" equalAverage="0" bottom="0" percent="0" rank="0" text="" dxfId="3">
      <formula>45</formula>
    </cfRule>
  </conditionalFormatting>
  <conditionalFormatting sqref="AO234">
    <cfRule type="cellIs" priority="3032" operator="greaterThan" aboveAverage="0" equalAverage="0" bottom="0" percent="0" rank="0" text="" dxfId="2">
      <formula>40</formula>
    </cfRule>
    <cfRule type="cellIs" priority="3033" operator="greaterThan" aboveAverage="0" equalAverage="0" bottom="0" percent="0" rank="0" text="" dxfId="3">
      <formula>45</formula>
    </cfRule>
  </conditionalFormatting>
  <conditionalFormatting sqref="AP234">
    <cfRule type="cellIs" priority="3034" operator="greaterThan" aboveAverage="0" equalAverage="0" bottom="0" percent="0" rank="0" text="" dxfId="2">
      <formula>40</formula>
    </cfRule>
    <cfRule type="cellIs" priority="3035" operator="greaterThan" aboveAverage="0" equalAverage="0" bottom="0" percent="0" rank="0" text="" dxfId="3">
      <formula>45</formula>
    </cfRule>
  </conditionalFormatting>
  <conditionalFormatting sqref="AQ234">
    <cfRule type="cellIs" priority="3036" operator="greaterThan" aboveAverage="0" equalAverage="0" bottom="0" percent="0" rank="0" text="" dxfId="2">
      <formula>40</formula>
    </cfRule>
    <cfRule type="cellIs" priority="3037" operator="greaterThan" aboveAverage="0" equalAverage="0" bottom="0" percent="0" rank="0" text="" dxfId="3">
      <formula>45</formula>
    </cfRule>
  </conditionalFormatting>
  <conditionalFormatting sqref="AR234">
    <cfRule type="cellIs" priority="3038" operator="greaterThan" aboveAverage="0" equalAverage="0" bottom="0" percent="0" rank="0" text="" dxfId="2">
      <formula>40</formula>
    </cfRule>
    <cfRule type="cellIs" priority="3039" operator="greaterThan" aboveAverage="0" equalAverage="0" bottom="0" percent="0" rank="0" text="" dxfId="3">
      <formula>45</formula>
    </cfRule>
  </conditionalFormatting>
  <conditionalFormatting sqref="AS234">
    <cfRule type="cellIs" priority="3040" operator="greaterThan" aboveAverage="0" equalAverage="0" bottom="0" percent="0" rank="0" text="" dxfId="2">
      <formula>40</formula>
    </cfRule>
    <cfRule type="cellIs" priority="3041" operator="greaterThan" aboveAverage="0" equalAverage="0" bottom="0" percent="0" rank="0" text="" dxfId="3">
      <formula>45</formula>
    </cfRule>
  </conditionalFormatting>
  <conditionalFormatting sqref="F248">
    <cfRule type="cellIs" priority="3042" operator="greaterThan" aboveAverage="0" equalAverage="0" bottom="0" percent="0" rank="0" text="" dxfId="2">
      <formula>40</formula>
    </cfRule>
    <cfRule type="cellIs" priority="3043" operator="greaterThan" aboveAverage="0" equalAverage="0" bottom="0" percent="0" rank="0" text="" dxfId="3">
      <formula>45</formula>
    </cfRule>
  </conditionalFormatting>
  <conditionalFormatting sqref="G248">
    <cfRule type="cellIs" priority="3044" operator="greaterThan" aboveAverage="0" equalAverage="0" bottom="0" percent="0" rank="0" text="" dxfId="2">
      <formula>40</formula>
    </cfRule>
    <cfRule type="cellIs" priority="3045" operator="greaterThan" aboveAverage="0" equalAverage="0" bottom="0" percent="0" rank="0" text="" dxfId="3">
      <formula>45</formula>
    </cfRule>
  </conditionalFormatting>
  <conditionalFormatting sqref="H248">
    <cfRule type="cellIs" priority="3046" operator="greaterThan" aboveAverage="0" equalAverage="0" bottom="0" percent="0" rank="0" text="" dxfId="2">
      <formula>40</formula>
    </cfRule>
    <cfRule type="cellIs" priority="3047" operator="greaterThan" aboveAverage="0" equalAverage="0" bottom="0" percent="0" rank="0" text="" dxfId="3">
      <formula>45</formula>
    </cfRule>
  </conditionalFormatting>
  <conditionalFormatting sqref="I248">
    <cfRule type="cellIs" priority="3048" operator="greaterThan" aboveAverage="0" equalAverage="0" bottom="0" percent="0" rank="0" text="" dxfId="2">
      <formula>40</formula>
    </cfRule>
    <cfRule type="cellIs" priority="3049" operator="greaterThan" aboveAverage="0" equalAverage="0" bottom="0" percent="0" rank="0" text="" dxfId="3">
      <formula>45</formula>
    </cfRule>
  </conditionalFormatting>
  <conditionalFormatting sqref="J248">
    <cfRule type="cellIs" priority="3050" operator="greaterThan" aboveAverage="0" equalAverage="0" bottom="0" percent="0" rank="0" text="" dxfId="2">
      <formula>40</formula>
    </cfRule>
    <cfRule type="cellIs" priority="3051" operator="greaterThan" aboveAverage="0" equalAverage="0" bottom="0" percent="0" rank="0" text="" dxfId="3">
      <formula>45</formula>
    </cfRule>
  </conditionalFormatting>
  <conditionalFormatting sqref="K248">
    <cfRule type="cellIs" priority="3052" operator="greaterThan" aboveAverage="0" equalAverage="0" bottom="0" percent="0" rank="0" text="" dxfId="2">
      <formula>40</formula>
    </cfRule>
    <cfRule type="cellIs" priority="3053" operator="greaterThan" aboveAverage="0" equalAverage="0" bottom="0" percent="0" rank="0" text="" dxfId="3">
      <formula>45</formula>
    </cfRule>
  </conditionalFormatting>
  <conditionalFormatting sqref="L248">
    <cfRule type="cellIs" priority="3054" operator="greaterThan" aboveAverage="0" equalAverage="0" bottom="0" percent="0" rank="0" text="" dxfId="2">
      <formula>40</formula>
    </cfRule>
    <cfRule type="cellIs" priority="3055" operator="greaterThan" aboveAverage="0" equalAverage="0" bottom="0" percent="0" rank="0" text="" dxfId="3">
      <formula>45</formula>
    </cfRule>
  </conditionalFormatting>
  <conditionalFormatting sqref="M248">
    <cfRule type="cellIs" priority="3056" operator="greaterThan" aboveAverage="0" equalAverage="0" bottom="0" percent="0" rank="0" text="" dxfId="2">
      <formula>40</formula>
    </cfRule>
    <cfRule type="cellIs" priority="3057" operator="greaterThan" aboveAverage="0" equalAverage="0" bottom="0" percent="0" rank="0" text="" dxfId="3">
      <formula>45</formula>
    </cfRule>
  </conditionalFormatting>
  <conditionalFormatting sqref="N248">
    <cfRule type="cellIs" priority="3058" operator="greaterThan" aboveAverage="0" equalAverage="0" bottom="0" percent="0" rank="0" text="" dxfId="2">
      <formula>40</formula>
    </cfRule>
    <cfRule type="cellIs" priority="3059" operator="greaterThan" aboveAverage="0" equalAverage="0" bottom="0" percent="0" rank="0" text="" dxfId="3">
      <formula>45</formula>
    </cfRule>
  </conditionalFormatting>
  <conditionalFormatting sqref="O248">
    <cfRule type="cellIs" priority="3060" operator="greaterThan" aboveAverage="0" equalAverage="0" bottom="0" percent="0" rank="0" text="" dxfId="2">
      <formula>40</formula>
    </cfRule>
    <cfRule type="cellIs" priority="3061" operator="greaterThan" aboveAverage="0" equalAverage="0" bottom="0" percent="0" rank="0" text="" dxfId="3">
      <formula>45</formula>
    </cfRule>
  </conditionalFormatting>
  <conditionalFormatting sqref="P248">
    <cfRule type="cellIs" priority="3062" operator="greaterThan" aboveAverage="0" equalAverage="0" bottom="0" percent="0" rank="0" text="" dxfId="2">
      <formula>40</formula>
    </cfRule>
    <cfRule type="cellIs" priority="3063" operator="greaterThan" aboveAverage="0" equalAverage="0" bottom="0" percent="0" rank="0" text="" dxfId="3">
      <formula>45</formula>
    </cfRule>
  </conditionalFormatting>
  <conditionalFormatting sqref="Q248">
    <cfRule type="cellIs" priority="3064" operator="greaterThan" aboveAverage="0" equalAverage="0" bottom="0" percent="0" rank="0" text="" dxfId="2">
      <formula>40</formula>
    </cfRule>
    <cfRule type="cellIs" priority="3065" operator="greaterThan" aboveAverage="0" equalAverage="0" bottom="0" percent="0" rank="0" text="" dxfId="3">
      <formula>45</formula>
    </cfRule>
  </conditionalFormatting>
  <conditionalFormatting sqref="R248">
    <cfRule type="cellIs" priority="3066" operator="greaterThan" aboveAverage="0" equalAverage="0" bottom="0" percent="0" rank="0" text="" dxfId="2">
      <formula>40</formula>
    </cfRule>
    <cfRule type="cellIs" priority="3067" operator="greaterThan" aboveAverage="0" equalAverage="0" bottom="0" percent="0" rank="0" text="" dxfId="3">
      <formula>45</formula>
    </cfRule>
  </conditionalFormatting>
  <conditionalFormatting sqref="S248">
    <cfRule type="cellIs" priority="3068" operator="greaterThan" aboveAverage="0" equalAverage="0" bottom="0" percent="0" rank="0" text="" dxfId="2">
      <formula>40</formula>
    </cfRule>
    <cfRule type="cellIs" priority="3069" operator="greaterThan" aboveAverage="0" equalAverage="0" bottom="0" percent="0" rank="0" text="" dxfId="3">
      <formula>45</formula>
    </cfRule>
  </conditionalFormatting>
  <conditionalFormatting sqref="T248">
    <cfRule type="cellIs" priority="3070" operator="greaterThan" aboveAverage="0" equalAverage="0" bottom="0" percent="0" rank="0" text="" dxfId="2">
      <formula>40</formula>
    </cfRule>
    <cfRule type="cellIs" priority="3071" operator="greaterThan" aboveAverage="0" equalAverage="0" bottom="0" percent="0" rank="0" text="" dxfId="3">
      <formula>45</formula>
    </cfRule>
  </conditionalFormatting>
  <conditionalFormatting sqref="U248">
    <cfRule type="cellIs" priority="3072" operator="greaterThan" aboveAverage="0" equalAverage="0" bottom="0" percent="0" rank="0" text="" dxfId="2">
      <formula>40</formula>
    </cfRule>
    <cfRule type="cellIs" priority="3073" operator="greaterThan" aboveAverage="0" equalAverage="0" bottom="0" percent="0" rank="0" text="" dxfId="3">
      <formula>45</formula>
    </cfRule>
  </conditionalFormatting>
  <conditionalFormatting sqref="V248">
    <cfRule type="cellIs" priority="3074" operator="greaterThan" aboveAverage="0" equalAverage="0" bottom="0" percent="0" rank="0" text="" dxfId="2">
      <formula>40</formula>
    </cfRule>
    <cfRule type="cellIs" priority="3075" operator="greaterThan" aboveAverage="0" equalAverage="0" bottom="0" percent="0" rank="0" text="" dxfId="3">
      <formula>45</formula>
    </cfRule>
  </conditionalFormatting>
  <conditionalFormatting sqref="W248">
    <cfRule type="cellIs" priority="3076" operator="greaterThan" aboveAverage="0" equalAverage="0" bottom="0" percent="0" rank="0" text="" dxfId="2">
      <formula>40</formula>
    </cfRule>
    <cfRule type="cellIs" priority="3077" operator="greaterThan" aboveAverage="0" equalAverage="0" bottom="0" percent="0" rank="0" text="" dxfId="3">
      <formula>45</formula>
    </cfRule>
  </conditionalFormatting>
  <conditionalFormatting sqref="X248">
    <cfRule type="cellIs" priority="3078" operator="greaterThan" aboveAverage="0" equalAverage="0" bottom="0" percent="0" rank="0" text="" dxfId="2">
      <formula>55</formula>
    </cfRule>
    <cfRule type="cellIs" priority="3079" operator="greaterThan" aboveAverage="0" equalAverage="0" bottom="0" percent="0" rank="0" text="" dxfId="3">
      <formula>65</formula>
    </cfRule>
  </conditionalFormatting>
  <conditionalFormatting sqref="Y248">
    <cfRule type="cellIs" priority="3080" operator="greaterThan" aboveAverage="0" equalAverage="0" bottom="0" percent="0" rank="0" text="" dxfId="2">
      <formula>55</formula>
    </cfRule>
    <cfRule type="cellIs" priority="3081" operator="greaterThan" aboveAverage="0" equalAverage="0" bottom="0" percent="0" rank="0" text="" dxfId="3">
      <formula>65</formula>
    </cfRule>
  </conditionalFormatting>
  <conditionalFormatting sqref="Z248">
    <cfRule type="cellIs" priority="3082" operator="greaterThan" aboveAverage="0" equalAverage="0" bottom="0" percent="0" rank="0" text="" dxfId="2">
      <formula>55</formula>
    </cfRule>
    <cfRule type="cellIs" priority="3083" operator="greaterThan" aboveAverage="0" equalAverage="0" bottom="0" percent="0" rank="0" text="" dxfId="3">
      <formula>65</formula>
    </cfRule>
  </conditionalFormatting>
  <conditionalFormatting sqref="AA248">
    <cfRule type="cellIs" priority="3084" operator="greaterThan" aboveAverage="0" equalAverage="0" bottom="0" percent="0" rank="0" text="" dxfId="2">
      <formula>55</formula>
    </cfRule>
    <cfRule type="cellIs" priority="3085" operator="greaterThan" aboveAverage="0" equalAverage="0" bottom="0" percent="0" rank="0" text="" dxfId="3">
      <formula>65</formula>
    </cfRule>
  </conditionalFormatting>
  <conditionalFormatting sqref="AB248">
    <cfRule type="cellIs" priority="3086" operator="greaterThan" aboveAverage="0" equalAverage="0" bottom="0" percent="0" rank="0" text="" dxfId="2">
      <formula>55</formula>
    </cfRule>
    <cfRule type="cellIs" priority="3087" operator="greaterThan" aboveAverage="0" equalAverage="0" bottom="0" percent="0" rank="0" text="" dxfId="3">
      <formula>65</formula>
    </cfRule>
  </conditionalFormatting>
  <conditionalFormatting sqref="AC248">
    <cfRule type="cellIs" priority="3088" operator="greaterThan" aboveAverage="0" equalAverage="0" bottom="0" percent="0" rank="0" text="" dxfId="2">
      <formula>55</formula>
    </cfRule>
    <cfRule type="cellIs" priority="3089" operator="greaterThan" aboveAverage="0" equalAverage="0" bottom="0" percent="0" rank="0" text="" dxfId="3">
      <formula>65</formula>
    </cfRule>
  </conditionalFormatting>
  <conditionalFormatting sqref="AD248">
    <cfRule type="cellIs" priority="3090" operator="greaterThan" aboveAverage="0" equalAverage="0" bottom="0" percent="0" rank="0" text="" dxfId="2">
      <formula>55</formula>
    </cfRule>
    <cfRule type="cellIs" priority="3091" operator="greaterThan" aboveAverage="0" equalAverage="0" bottom="0" percent="0" rank="0" text="" dxfId="3">
      <formula>65</formula>
    </cfRule>
  </conditionalFormatting>
  <conditionalFormatting sqref="AE248">
    <cfRule type="cellIs" priority="3092" operator="greaterThan" aboveAverage="0" equalAverage="0" bottom="0" percent="0" rank="0" text="" dxfId="2">
      <formula>55</formula>
    </cfRule>
    <cfRule type="cellIs" priority="3093" operator="greaterThan" aboveAverage="0" equalAverage="0" bottom="0" percent="0" rank="0" text="" dxfId="3">
      <formula>65</formula>
    </cfRule>
  </conditionalFormatting>
  <conditionalFormatting sqref="AF248">
    <cfRule type="cellIs" priority="3094" operator="greaterThan" aboveAverage="0" equalAverage="0" bottom="0" percent="0" rank="0" text="" dxfId="2">
      <formula>40</formula>
    </cfRule>
    <cfRule type="cellIs" priority="3095" operator="greaterThan" aboveAverage="0" equalAverage="0" bottom="0" percent="0" rank="0" text="" dxfId="3">
      <formula>45</formula>
    </cfRule>
  </conditionalFormatting>
  <conditionalFormatting sqref="AG248">
    <cfRule type="cellIs" priority="3096" operator="greaterThan" aboveAverage="0" equalAverage="0" bottom="0" percent="0" rank="0" text="" dxfId="2">
      <formula>40</formula>
    </cfRule>
    <cfRule type="cellIs" priority="3097" operator="greaterThan" aboveAverage="0" equalAverage="0" bottom="0" percent="0" rank="0" text="" dxfId="3">
      <formula>45</formula>
    </cfRule>
  </conditionalFormatting>
  <conditionalFormatting sqref="AH248">
    <cfRule type="cellIs" priority="3098" operator="greaterThan" aboveAverage="0" equalAverage="0" bottom="0" percent="0" rank="0" text="" dxfId="2">
      <formula>40</formula>
    </cfRule>
    <cfRule type="cellIs" priority="3099" operator="greaterThan" aboveAverage="0" equalAverage="0" bottom="0" percent="0" rank="0" text="" dxfId="3">
      <formula>45</formula>
    </cfRule>
  </conditionalFormatting>
  <conditionalFormatting sqref="AI248">
    <cfRule type="cellIs" priority="3100" operator="greaterThan" aboveAverage="0" equalAverage="0" bottom="0" percent="0" rank="0" text="" dxfId="2">
      <formula>40</formula>
    </cfRule>
    <cfRule type="cellIs" priority="3101" operator="greaterThan" aboveAverage="0" equalAverage="0" bottom="0" percent="0" rank="0" text="" dxfId="3">
      <formula>45</formula>
    </cfRule>
  </conditionalFormatting>
  <conditionalFormatting sqref="AJ248">
    <cfRule type="cellIs" priority="3102" operator="greaterThan" aboveAverage="0" equalAverage="0" bottom="0" percent="0" rank="0" text="" dxfId="2">
      <formula>40</formula>
    </cfRule>
    <cfRule type="cellIs" priority="3103" operator="greaterThan" aboveAverage="0" equalAverage="0" bottom="0" percent="0" rank="0" text="" dxfId="3">
      <formula>45</formula>
    </cfRule>
  </conditionalFormatting>
  <conditionalFormatting sqref="AK248">
    <cfRule type="cellIs" priority="3104" operator="greaterThan" aboveAverage="0" equalAverage="0" bottom="0" percent="0" rank="0" text="" dxfId="2">
      <formula>40</formula>
    </cfRule>
    <cfRule type="cellIs" priority="3105" operator="greaterThan" aboveAverage="0" equalAverage="0" bottom="0" percent="0" rank="0" text="" dxfId="3">
      <formula>45</formula>
    </cfRule>
  </conditionalFormatting>
  <conditionalFormatting sqref="AL248">
    <cfRule type="cellIs" priority="3106" operator="greaterThan" aboveAverage="0" equalAverage="0" bottom="0" percent="0" rank="0" text="" dxfId="2">
      <formula>40</formula>
    </cfRule>
    <cfRule type="cellIs" priority="3107" operator="greaterThan" aboveAverage="0" equalAverage="0" bottom="0" percent="0" rank="0" text="" dxfId="3">
      <formula>45</formula>
    </cfRule>
  </conditionalFormatting>
  <conditionalFormatting sqref="AM248">
    <cfRule type="cellIs" priority="3108" operator="greaterThan" aboveAverage="0" equalAverage="0" bottom="0" percent="0" rank="0" text="" dxfId="2">
      <formula>40</formula>
    </cfRule>
    <cfRule type="cellIs" priority="3109" operator="greaterThan" aboveAverage="0" equalAverage="0" bottom="0" percent="0" rank="0" text="" dxfId="3">
      <formula>45</formula>
    </cfRule>
  </conditionalFormatting>
  <conditionalFormatting sqref="AN248">
    <cfRule type="cellIs" priority="3110" operator="greaterThan" aboveAverage="0" equalAverage="0" bottom="0" percent="0" rank="0" text="" dxfId="2">
      <formula>40</formula>
    </cfRule>
    <cfRule type="cellIs" priority="3111" operator="greaterThan" aboveAverage="0" equalAverage="0" bottom="0" percent="0" rank="0" text="" dxfId="3">
      <formula>45</formula>
    </cfRule>
  </conditionalFormatting>
  <conditionalFormatting sqref="AO248">
    <cfRule type="cellIs" priority="3112" operator="greaterThan" aboveAverage="0" equalAverage="0" bottom="0" percent="0" rank="0" text="" dxfId="2">
      <formula>40</formula>
    </cfRule>
    <cfRule type="cellIs" priority="3113" operator="greaterThan" aboveAverage="0" equalAverage="0" bottom="0" percent="0" rank="0" text="" dxfId="3">
      <formula>45</formula>
    </cfRule>
  </conditionalFormatting>
  <conditionalFormatting sqref="AP248">
    <cfRule type="cellIs" priority="3114" operator="greaterThan" aboveAverage="0" equalAverage="0" bottom="0" percent="0" rank="0" text="" dxfId="2">
      <formula>40</formula>
    </cfRule>
    <cfRule type="cellIs" priority="3115" operator="greaterThan" aboveAverage="0" equalAverage="0" bottom="0" percent="0" rank="0" text="" dxfId="3">
      <formula>45</formula>
    </cfRule>
  </conditionalFormatting>
  <conditionalFormatting sqref="AQ248">
    <cfRule type="cellIs" priority="3116" operator="greaterThan" aboveAverage="0" equalAverage="0" bottom="0" percent="0" rank="0" text="" dxfId="2">
      <formula>40</formula>
    </cfRule>
    <cfRule type="cellIs" priority="3117" operator="greaterThan" aboveAverage="0" equalAverage="0" bottom="0" percent="0" rank="0" text="" dxfId="3">
      <formula>45</formula>
    </cfRule>
  </conditionalFormatting>
  <conditionalFormatting sqref="AR248">
    <cfRule type="cellIs" priority="3118" operator="greaterThan" aboveAverage="0" equalAverage="0" bottom="0" percent="0" rank="0" text="" dxfId="2">
      <formula>40</formula>
    </cfRule>
    <cfRule type="cellIs" priority="3119" operator="greaterThan" aboveAverage="0" equalAverage="0" bottom="0" percent="0" rank="0" text="" dxfId="3">
      <formula>45</formula>
    </cfRule>
  </conditionalFormatting>
  <conditionalFormatting sqref="AS248">
    <cfRule type="cellIs" priority="3120" operator="greaterThan" aboveAverage="0" equalAverage="0" bottom="0" percent="0" rank="0" text="" dxfId="2">
      <formula>40</formula>
    </cfRule>
    <cfRule type="cellIs" priority="3121" operator="greaterThan" aboveAverage="0" equalAverage="0" bottom="0" percent="0" rank="0" text="" dxfId="3">
      <formula>45</formula>
    </cfRule>
  </conditionalFormatting>
  <conditionalFormatting sqref="F252">
    <cfRule type="cellIs" priority="3122" operator="greaterThan" aboveAverage="0" equalAverage="0" bottom="0" percent="0" rank="0" text="" dxfId="2">
      <formula>40</formula>
    </cfRule>
    <cfRule type="cellIs" priority="3123" operator="greaterThan" aboveAverage="0" equalAverage="0" bottom="0" percent="0" rank="0" text="" dxfId="3">
      <formula>45</formula>
    </cfRule>
  </conditionalFormatting>
  <conditionalFormatting sqref="G252">
    <cfRule type="cellIs" priority="3124" operator="greaterThan" aboveAverage="0" equalAverage="0" bottom="0" percent="0" rank="0" text="" dxfId="2">
      <formula>40</formula>
    </cfRule>
    <cfRule type="cellIs" priority="3125" operator="greaterThan" aboveAverage="0" equalAverage="0" bottom="0" percent="0" rank="0" text="" dxfId="3">
      <formula>45</formula>
    </cfRule>
  </conditionalFormatting>
  <conditionalFormatting sqref="H252">
    <cfRule type="cellIs" priority="3126" operator="greaterThan" aboveAverage="0" equalAverage="0" bottom="0" percent="0" rank="0" text="" dxfId="2">
      <formula>40</formula>
    </cfRule>
    <cfRule type="cellIs" priority="3127" operator="greaterThan" aboveAverage="0" equalAverage="0" bottom="0" percent="0" rank="0" text="" dxfId="3">
      <formula>45</formula>
    </cfRule>
  </conditionalFormatting>
  <conditionalFormatting sqref="I252">
    <cfRule type="cellIs" priority="3128" operator="greaterThan" aboveAverage="0" equalAverage="0" bottom="0" percent="0" rank="0" text="" dxfId="2">
      <formula>40</formula>
    </cfRule>
    <cfRule type="cellIs" priority="3129" operator="greaterThan" aboveAverage="0" equalAverage="0" bottom="0" percent="0" rank="0" text="" dxfId="3">
      <formula>45</formula>
    </cfRule>
  </conditionalFormatting>
  <conditionalFormatting sqref="J252">
    <cfRule type="cellIs" priority="3130" operator="greaterThan" aboveAverage="0" equalAverage="0" bottom="0" percent="0" rank="0" text="" dxfId="2">
      <formula>40</formula>
    </cfRule>
    <cfRule type="cellIs" priority="3131" operator="greaterThan" aboveAverage="0" equalAverage="0" bottom="0" percent="0" rank="0" text="" dxfId="3">
      <formula>45</formula>
    </cfRule>
  </conditionalFormatting>
  <conditionalFormatting sqref="K252">
    <cfRule type="cellIs" priority="3132" operator="greaterThan" aboveAverage="0" equalAverage="0" bottom="0" percent="0" rank="0" text="" dxfId="2">
      <formula>40</formula>
    </cfRule>
    <cfRule type="cellIs" priority="3133" operator="greaterThan" aboveAverage="0" equalAverage="0" bottom="0" percent="0" rank="0" text="" dxfId="3">
      <formula>45</formula>
    </cfRule>
  </conditionalFormatting>
  <conditionalFormatting sqref="L252">
    <cfRule type="cellIs" priority="3134" operator="greaterThan" aboveAverage="0" equalAverage="0" bottom="0" percent="0" rank="0" text="" dxfId="2">
      <formula>40</formula>
    </cfRule>
    <cfRule type="cellIs" priority="3135" operator="greaterThan" aboveAverage="0" equalAverage="0" bottom="0" percent="0" rank="0" text="" dxfId="3">
      <formula>45</formula>
    </cfRule>
  </conditionalFormatting>
  <conditionalFormatting sqref="M252">
    <cfRule type="cellIs" priority="3136" operator="greaterThan" aboveAverage="0" equalAverage="0" bottom="0" percent="0" rank="0" text="" dxfId="2">
      <formula>40</formula>
    </cfRule>
    <cfRule type="cellIs" priority="3137" operator="greaterThan" aboveAverage="0" equalAverage="0" bottom="0" percent="0" rank="0" text="" dxfId="3">
      <formula>45</formula>
    </cfRule>
  </conditionalFormatting>
  <conditionalFormatting sqref="N252">
    <cfRule type="cellIs" priority="3138" operator="greaterThan" aboveAverage="0" equalAverage="0" bottom="0" percent="0" rank="0" text="" dxfId="2">
      <formula>40</formula>
    </cfRule>
    <cfRule type="cellIs" priority="3139" operator="greaterThan" aboveAverage="0" equalAverage="0" bottom="0" percent="0" rank="0" text="" dxfId="3">
      <formula>45</formula>
    </cfRule>
  </conditionalFormatting>
  <conditionalFormatting sqref="O252">
    <cfRule type="cellIs" priority="3140" operator="greaterThan" aboveAverage="0" equalAverage="0" bottom="0" percent="0" rank="0" text="" dxfId="2">
      <formula>40</formula>
    </cfRule>
    <cfRule type="cellIs" priority="3141" operator="greaterThan" aboveAverage="0" equalAverage="0" bottom="0" percent="0" rank="0" text="" dxfId="3">
      <formula>45</formula>
    </cfRule>
  </conditionalFormatting>
  <conditionalFormatting sqref="P252">
    <cfRule type="cellIs" priority="3142" operator="greaterThan" aboveAverage="0" equalAverage="0" bottom="0" percent="0" rank="0" text="" dxfId="2">
      <formula>40</formula>
    </cfRule>
    <cfRule type="cellIs" priority="3143" operator="greaterThan" aboveAverage="0" equalAverage="0" bottom="0" percent="0" rank="0" text="" dxfId="3">
      <formula>45</formula>
    </cfRule>
  </conditionalFormatting>
  <conditionalFormatting sqref="Q252">
    <cfRule type="cellIs" priority="3144" operator="greaterThan" aboveAverage="0" equalAverage="0" bottom="0" percent="0" rank="0" text="" dxfId="2">
      <formula>40</formula>
    </cfRule>
    <cfRule type="cellIs" priority="3145" operator="greaterThan" aboveAverage="0" equalAverage="0" bottom="0" percent="0" rank="0" text="" dxfId="3">
      <formula>45</formula>
    </cfRule>
  </conditionalFormatting>
  <conditionalFormatting sqref="R252">
    <cfRule type="cellIs" priority="3146" operator="greaterThan" aboveAverage="0" equalAverage="0" bottom="0" percent="0" rank="0" text="" dxfId="2">
      <formula>40</formula>
    </cfRule>
    <cfRule type="cellIs" priority="3147" operator="greaterThan" aboveAverage="0" equalAverage="0" bottom="0" percent="0" rank="0" text="" dxfId="3">
      <formula>45</formula>
    </cfRule>
  </conditionalFormatting>
  <conditionalFormatting sqref="S252">
    <cfRule type="cellIs" priority="3148" operator="greaterThan" aboveAverage="0" equalAverage="0" bottom="0" percent="0" rank="0" text="" dxfId="2">
      <formula>40</formula>
    </cfRule>
    <cfRule type="cellIs" priority="3149" operator="greaterThan" aboveAverage="0" equalAverage="0" bottom="0" percent="0" rank="0" text="" dxfId="3">
      <formula>45</formula>
    </cfRule>
  </conditionalFormatting>
  <conditionalFormatting sqref="T252">
    <cfRule type="cellIs" priority="3150" operator="greaterThan" aboveAverage="0" equalAverage="0" bottom="0" percent="0" rank="0" text="" dxfId="2">
      <formula>40</formula>
    </cfRule>
    <cfRule type="cellIs" priority="3151" operator="greaterThan" aboveAverage="0" equalAverage="0" bottom="0" percent="0" rank="0" text="" dxfId="3">
      <formula>45</formula>
    </cfRule>
  </conditionalFormatting>
  <conditionalFormatting sqref="U252">
    <cfRule type="cellIs" priority="3152" operator="greaterThan" aboveAverage="0" equalAverage="0" bottom="0" percent="0" rank="0" text="" dxfId="2">
      <formula>40</formula>
    </cfRule>
    <cfRule type="cellIs" priority="3153" operator="greaterThan" aboveAverage="0" equalAverage="0" bottom="0" percent="0" rank="0" text="" dxfId="3">
      <formula>45</formula>
    </cfRule>
  </conditionalFormatting>
  <conditionalFormatting sqref="V252">
    <cfRule type="cellIs" priority="3154" operator="greaterThan" aboveAverage="0" equalAverage="0" bottom="0" percent="0" rank="0" text="" dxfId="2">
      <formula>40</formula>
    </cfRule>
    <cfRule type="cellIs" priority="3155" operator="greaterThan" aboveAverage="0" equalAverage="0" bottom="0" percent="0" rank="0" text="" dxfId="3">
      <formula>45</formula>
    </cfRule>
  </conditionalFormatting>
  <conditionalFormatting sqref="W252">
    <cfRule type="cellIs" priority="3156" operator="greaterThan" aboveAverage="0" equalAverage="0" bottom="0" percent="0" rank="0" text="" dxfId="2">
      <formula>40</formula>
    </cfRule>
    <cfRule type="cellIs" priority="3157" operator="greaterThan" aboveAverage="0" equalAverage="0" bottom="0" percent="0" rank="0" text="" dxfId="3">
      <formula>45</formula>
    </cfRule>
  </conditionalFormatting>
  <conditionalFormatting sqref="X252">
    <cfRule type="cellIs" priority="3158" operator="greaterThan" aboveAverage="0" equalAverage="0" bottom="0" percent="0" rank="0" text="" dxfId="2">
      <formula>55</formula>
    </cfRule>
    <cfRule type="cellIs" priority="3159" operator="greaterThan" aboveAverage="0" equalAverage="0" bottom="0" percent="0" rank="0" text="" dxfId="3">
      <formula>65</formula>
    </cfRule>
  </conditionalFormatting>
  <conditionalFormatting sqref="Y252">
    <cfRule type="cellIs" priority="3160" operator="greaterThan" aboveAverage="0" equalAverage="0" bottom="0" percent="0" rank="0" text="" dxfId="2">
      <formula>55</formula>
    </cfRule>
    <cfRule type="cellIs" priority="3161" operator="greaterThan" aboveAverage="0" equalAverage="0" bottom="0" percent="0" rank="0" text="" dxfId="3">
      <formula>65</formula>
    </cfRule>
  </conditionalFormatting>
  <conditionalFormatting sqref="Z252">
    <cfRule type="cellIs" priority="3162" operator="greaterThan" aboveAverage="0" equalAverage="0" bottom="0" percent="0" rank="0" text="" dxfId="2">
      <formula>55</formula>
    </cfRule>
    <cfRule type="cellIs" priority="3163" operator="greaterThan" aboveAverage="0" equalAverage="0" bottom="0" percent="0" rank="0" text="" dxfId="3">
      <formula>65</formula>
    </cfRule>
  </conditionalFormatting>
  <conditionalFormatting sqref="AA252">
    <cfRule type="cellIs" priority="3164" operator="greaterThan" aboveAverage="0" equalAverage="0" bottom="0" percent="0" rank="0" text="" dxfId="2">
      <formula>55</formula>
    </cfRule>
    <cfRule type="cellIs" priority="3165" operator="greaterThan" aboveAverage="0" equalAverage="0" bottom="0" percent="0" rank="0" text="" dxfId="3">
      <formula>65</formula>
    </cfRule>
  </conditionalFormatting>
  <conditionalFormatting sqref="AB252">
    <cfRule type="cellIs" priority="3166" operator="greaterThan" aboveAverage="0" equalAverage="0" bottom="0" percent="0" rank="0" text="" dxfId="2">
      <formula>55</formula>
    </cfRule>
    <cfRule type="cellIs" priority="3167" operator="greaterThan" aboveAverage="0" equalAverage="0" bottom="0" percent="0" rank="0" text="" dxfId="3">
      <formula>65</formula>
    </cfRule>
  </conditionalFormatting>
  <conditionalFormatting sqref="AC252">
    <cfRule type="cellIs" priority="3168" operator="greaterThan" aboveAverage="0" equalAverage="0" bottom="0" percent="0" rank="0" text="" dxfId="2">
      <formula>55</formula>
    </cfRule>
    <cfRule type="cellIs" priority="3169" operator="greaterThan" aboveAverage="0" equalAverage="0" bottom="0" percent="0" rank="0" text="" dxfId="3">
      <formula>65</formula>
    </cfRule>
  </conditionalFormatting>
  <conditionalFormatting sqref="AD252">
    <cfRule type="cellIs" priority="3170" operator="greaterThan" aboveAverage="0" equalAverage="0" bottom="0" percent="0" rank="0" text="" dxfId="2">
      <formula>55</formula>
    </cfRule>
    <cfRule type="cellIs" priority="3171" operator="greaterThan" aboveAverage="0" equalAverage="0" bottom="0" percent="0" rank="0" text="" dxfId="3">
      <formula>65</formula>
    </cfRule>
  </conditionalFormatting>
  <conditionalFormatting sqref="AE252">
    <cfRule type="cellIs" priority="3172" operator="greaterThan" aboveAverage="0" equalAverage="0" bottom="0" percent="0" rank="0" text="" dxfId="2">
      <formula>55</formula>
    </cfRule>
    <cfRule type="cellIs" priority="3173" operator="greaterThan" aboveAverage="0" equalAverage="0" bottom="0" percent="0" rank="0" text="" dxfId="3">
      <formula>65</formula>
    </cfRule>
  </conditionalFormatting>
  <conditionalFormatting sqref="AF252">
    <cfRule type="cellIs" priority="3174" operator="greaterThan" aboveAverage="0" equalAverage="0" bottom="0" percent="0" rank="0" text="" dxfId="2">
      <formula>40</formula>
    </cfRule>
    <cfRule type="cellIs" priority="3175" operator="greaterThan" aboveAverage="0" equalAverage="0" bottom="0" percent="0" rank="0" text="" dxfId="3">
      <formula>45</formula>
    </cfRule>
  </conditionalFormatting>
  <conditionalFormatting sqref="AG252">
    <cfRule type="cellIs" priority="3176" operator="greaterThan" aboveAverage="0" equalAverage="0" bottom="0" percent="0" rank="0" text="" dxfId="2">
      <formula>40</formula>
    </cfRule>
    <cfRule type="cellIs" priority="3177" operator="greaterThan" aboveAverage="0" equalAverage="0" bottom="0" percent="0" rank="0" text="" dxfId="3">
      <formula>45</formula>
    </cfRule>
  </conditionalFormatting>
  <conditionalFormatting sqref="AH252">
    <cfRule type="cellIs" priority="3178" operator="greaterThan" aboveAverage="0" equalAverage="0" bottom="0" percent="0" rank="0" text="" dxfId="2">
      <formula>40</formula>
    </cfRule>
    <cfRule type="cellIs" priority="3179" operator="greaterThan" aboveAverage="0" equalAverage="0" bottom="0" percent="0" rank="0" text="" dxfId="3">
      <formula>45</formula>
    </cfRule>
  </conditionalFormatting>
  <conditionalFormatting sqref="AI252">
    <cfRule type="cellIs" priority="3180" operator="greaterThan" aboveAverage="0" equalAverage="0" bottom="0" percent="0" rank="0" text="" dxfId="2">
      <formula>40</formula>
    </cfRule>
    <cfRule type="cellIs" priority="3181" operator="greaterThan" aboveAverage="0" equalAverage="0" bottom="0" percent="0" rank="0" text="" dxfId="3">
      <formula>45</formula>
    </cfRule>
  </conditionalFormatting>
  <conditionalFormatting sqref="AJ252">
    <cfRule type="cellIs" priority="3182" operator="greaterThan" aboveAverage="0" equalAverage="0" bottom="0" percent="0" rank="0" text="" dxfId="2">
      <formula>40</formula>
    </cfRule>
    <cfRule type="cellIs" priority="3183" operator="greaterThan" aboveAverage="0" equalAverage="0" bottom="0" percent="0" rank="0" text="" dxfId="3">
      <formula>45</formula>
    </cfRule>
  </conditionalFormatting>
  <conditionalFormatting sqref="AK252">
    <cfRule type="cellIs" priority="3184" operator="greaterThan" aboveAverage="0" equalAverage="0" bottom="0" percent="0" rank="0" text="" dxfId="2">
      <formula>40</formula>
    </cfRule>
    <cfRule type="cellIs" priority="3185" operator="greaterThan" aboveAverage="0" equalAverage="0" bottom="0" percent="0" rank="0" text="" dxfId="3">
      <formula>45</formula>
    </cfRule>
  </conditionalFormatting>
  <conditionalFormatting sqref="AL252">
    <cfRule type="cellIs" priority="3186" operator="greaterThan" aboveAverage="0" equalAverage="0" bottom="0" percent="0" rank="0" text="" dxfId="2">
      <formula>40</formula>
    </cfRule>
    <cfRule type="cellIs" priority="3187" operator="greaterThan" aboveAverage="0" equalAverage="0" bottom="0" percent="0" rank="0" text="" dxfId="3">
      <formula>45</formula>
    </cfRule>
  </conditionalFormatting>
  <conditionalFormatting sqref="AM252">
    <cfRule type="cellIs" priority="3188" operator="greaterThan" aboveAverage="0" equalAverage="0" bottom="0" percent="0" rank="0" text="" dxfId="2">
      <formula>40</formula>
    </cfRule>
    <cfRule type="cellIs" priority="3189" operator="greaterThan" aboveAverage="0" equalAverage="0" bottom="0" percent="0" rank="0" text="" dxfId="3">
      <formula>45</formula>
    </cfRule>
  </conditionalFormatting>
  <conditionalFormatting sqref="AN252">
    <cfRule type="cellIs" priority="3190" operator="greaterThan" aboveAverage="0" equalAverage="0" bottom="0" percent="0" rank="0" text="" dxfId="2">
      <formula>40</formula>
    </cfRule>
    <cfRule type="cellIs" priority="3191" operator="greaterThan" aboveAverage="0" equalAverage="0" bottom="0" percent="0" rank="0" text="" dxfId="3">
      <formula>45</formula>
    </cfRule>
  </conditionalFormatting>
  <conditionalFormatting sqref="AO252">
    <cfRule type="cellIs" priority="3192" operator="greaterThan" aboveAverage="0" equalAverage="0" bottom="0" percent="0" rank="0" text="" dxfId="2">
      <formula>40</formula>
    </cfRule>
    <cfRule type="cellIs" priority="3193" operator="greaterThan" aboveAverage="0" equalAverage="0" bottom="0" percent="0" rank="0" text="" dxfId="3">
      <formula>45</formula>
    </cfRule>
  </conditionalFormatting>
  <conditionalFormatting sqref="AP252">
    <cfRule type="cellIs" priority="3194" operator="greaterThan" aboveAverage="0" equalAverage="0" bottom="0" percent="0" rank="0" text="" dxfId="2">
      <formula>40</formula>
    </cfRule>
    <cfRule type="cellIs" priority="3195" operator="greaterThan" aboveAverage="0" equalAverage="0" bottom="0" percent="0" rank="0" text="" dxfId="3">
      <formula>45</formula>
    </cfRule>
  </conditionalFormatting>
  <conditionalFormatting sqref="AQ252">
    <cfRule type="cellIs" priority="3196" operator="greaterThan" aboveAverage="0" equalAverage="0" bottom="0" percent="0" rank="0" text="" dxfId="2">
      <formula>40</formula>
    </cfRule>
    <cfRule type="cellIs" priority="3197" operator="greaterThan" aboveAverage="0" equalAverage="0" bottom="0" percent="0" rank="0" text="" dxfId="3">
      <formula>45</formula>
    </cfRule>
  </conditionalFormatting>
  <conditionalFormatting sqref="AR252">
    <cfRule type="cellIs" priority="3198" operator="greaterThan" aboveAverage="0" equalAverage="0" bottom="0" percent="0" rank="0" text="" dxfId="2">
      <formula>40</formula>
    </cfRule>
    <cfRule type="cellIs" priority="3199" operator="greaterThan" aboveAverage="0" equalAverage="0" bottom="0" percent="0" rank="0" text="" dxfId="3">
      <formula>45</formula>
    </cfRule>
  </conditionalFormatting>
  <conditionalFormatting sqref="AS252">
    <cfRule type="cellIs" priority="3200" operator="greaterThan" aboveAverage="0" equalAverage="0" bottom="0" percent="0" rank="0" text="" dxfId="2">
      <formula>40</formula>
    </cfRule>
    <cfRule type="cellIs" priority="3201" operator="greaterThan" aboveAverage="0" equalAverage="0" bottom="0" percent="0" rank="0" text="" dxfId="3">
      <formula>45</formula>
    </cfRule>
  </conditionalFormatting>
  <conditionalFormatting sqref="F261">
    <cfRule type="cellIs" priority="3202" operator="greaterThan" aboveAverage="0" equalAverage="0" bottom="0" percent="0" rank="0" text="" dxfId="2">
      <formula>40</formula>
    </cfRule>
    <cfRule type="cellIs" priority="3203" operator="greaterThan" aboveAverage="0" equalAverage="0" bottom="0" percent="0" rank="0" text="" dxfId="3">
      <formula>45</formula>
    </cfRule>
  </conditionalFormatting>
  <conditionalFormatting sqref="G261">
    <cfRule type="cellIs" priority="3204" operator="greaterThan" aboveAverage="0" equalAverage="0" bottom="0" percent="0" rank="0" text="" dxfId="2">
      <formula>40</formula>
    </cfRule>
    <cfRule type="cellIs" priority="3205" operator="greaterThan" aboveAverage="0" equalAverage="0" bottom="0" percent="0" rank="0" text="" dxfId="3">
      <formula>45</formula>
    </cfRule>
  </conditionalFormatting>
  <conditionalFormatting sqref="H261">
    <cfRule type="cellIs" priority="3206" operator="greaterThan" aboveAverage="0" equalAverage="0" bottom="0" percent="0" rank="0" text="" dxfId="2">
      <formula>40</formula>
    </cfRule>
    <cfRule type="cellIs" priority="3207" operator="greaterThan" aboveAverage="0" equalAverage="0" bottom="0" percent="0" rank="0" text="" dxfId="3">
      <formula>45</formula>
    </cfRule>
  </conditionalFormatting>
  <conditionalFormatting sqref="I261">
    <cfRule type="cellIs" priority="3208" operator="greaterThan" aboveAverage="0" equalAverage="0" bottom="0" percent="0" rank="0" text="" dxfId="2">
      <formula>40</formula>
    </cfRule>
    <cfRule type="cellIs" priority="3209" operator="greaterThan" aboveAverage="0" equalAverage="0" bottom="0" percent="0" rank="0" text="" dxfId="3">
      <formula>45</formula>
    </cfRule>
  </conditionalFormatting>
  <conditionalFormatting sqref="J261">
    <cfRule type="cellIs" priority="3210" operator="greaterThan" aboveAverage="0" equalAverage="0" bottom="0" percent="0" rank="0" text="" dxfId="2">
      <formula>40</formula>
    </cfRule>
    <cfRule type="cellIs" priority="3211" operator="greaterThan" aboveAverage="0" equalAverage="0" bottom="0" percent="0" rank="0" text="" dxfId="3">
      <formula>45</formula>
    </cfRule>
  </conditionalFormatting>
  <conditionalFormatting sqref="K261">
    <cfRule type="cellIs" priority="3212" operator="greaterThan" aboveAverage="0" equalAverage="0" bottom="0" percent="0" rank="0" text="" dxfId="2">
      <formula>40</formula>
    </cfRule>
    <cfRule type="cellIs" priority="3213" operator="greaterThan" aboveAverage="0" equalAverage="0" bottom="0" percent="0" rank="0" text="" dxfId="3">
      <formula>45</formula>
    </cfRule>
  </conditionalFormatting>
  <conditionalFormatting sqref="L261">
    <cfRule type="cellIs" priority="3214" operator="greaterThan" aboveAverage="0" equalAverage="0" bottom="0" percent="0" rank="0" text="" dxfId="2">
      <formula>40</formula>
    </cfRule>
    <cfRule type="cellIs" priority="3215" operator="greaterThan" aboveAverage="0" equalAverage="0" bottom="0" percent="0" rank="0" text="" dxfId="3">
      <formula>45</formula>
    </cfRule>
  </conditionalFormatting>
  <conditionalFormatting sqref="M261">
    <cfRule type="cellIs" priority="3216" operator="greaterThan" aboveAverage="0" equalAverage="0" bottom="0" percent="0" rank="0" text="" dxfId="2">
      <formula>40</formula>
    </cfRule>
    <cfRule type="cellIs" priority="3217" operator="greaterThan" aboveAverage="0" equalAverage="0" bottom="0" percent="0" rank="0" text="" dxfId="3">
      <formula>45</formula>
    </cfRule>
  </conditionalFormatting>
  <conditionalFormatting sqref="N261">
    <cfRule type="cellIs" priority="3218" operator="greaterThan" aboveAverage="0" equalAverage="0" bottom="0" percent="0" rank="0" text="" dxfId="2">
      <formula>40</formula>
    </cfRule>
    <cfRule type="cellIs" priority="3219" operator="greaterThan" aboveAverage="0" equalAverage="0" bottom="0" percent="0" rank="0" text="" dxfId="3">
      <formula>45</formula>
    </cfRule>
  </conditionalFormatting>
  <conditionalFormatting sqref="O261">
    <cfRule type="cellIs" priority="3220" operator="greaterThan" aboveAverage="0" equalAverage="0" bottom="0" percent="0" rank="0" text="" dxfId="2">
      <formula>40</formula>
    </cfRule>
    <cfRule type="cellIs" priority="3221" operator="greaterThan" aboveAverage="0" equalAverage="0" bottom="0" percent="0" rank="0" text="" dxfId="3">
      <formula>45</formula>
    </cfRule>
  </conditionalFormatting>
  <conditionalFormatting sqref="P261">
    <cfRule type="cellIs" priority="3222" operator="greaterThan" aboveAverage="0" equalAverage="0" bottom="0" percent="0" rank="0" text="" dxfId="2">
      <formula>40</formula>
    </cfRule>
    <cfRule type="cellIs" priority="3223" operator="greaterThan" aboveAverage="0" equalAverage="0" bottom="0" percent="0" rank="0" text="" dxfId="3">
      <formula>45</formula>
    </cfRule>
  </conditionalFormatting>
  <conditionalFormatting sqref="Q261">
    <cfRule type="cellIs" priority="3224" operator="greaterThan" aboveAverage="0" equalAverage="0" bottom="0" percent="0" rank="0" text="" dxfId="2">
      <formula>40</formula>
    </cfRule>
    <cfRule type="cellIs" priority="3225" operator="greaterThan" aboveAverage="0" equalAverage="0" bottom="0" percent="0" rank="0" text="" dxfId="3">
      <formula>45</formula>
    </cfRule>
  </conditionalFormatting>
  <conditionalFormatting sqref="R261">
    <cfRule type="cellIs" priority="3226" operator="greaterThan" aboveAverage="0" equalAverage="0" bottom="0" percent="0" rank="0" text="" dxfId="2">
      <formula>40</formula>
    </cfRule>
    <cfRule type="cellIs" priority="3227" operator="greaterThan" aboveAverage="0" equalAverage="0" bottom="0" percent="0" rank="0" text="" dxfId="3">
      <formula>45</formula>
    </cfRule>
  </conditionalFormatting>
  <conditionalFormatting sqref="S261">
    <cfRule type="cellIs" priority="3228" operator="greaterThan" aboveAverage="0" equalAverage="0" bottom="0" percent="0" rank="0" text="" dxfId="2">
      <formula>40</formula>
    </cfRule>
    <cfRule type="cellIs" priority="3229" operator="greaterThan" aboveAverage="0" equalAverage="0" bottom="0" percent="0" rank="0" text="" dxfId="3">
      <formula>45</formula>
    </cfRule>
  </conditionalFormatting>
  <conditionalFormatting sqref="T261">
    <cfRule type="cellIs" priority="3230" operator="greaterThan" aboveAverage="0" equalAverage="0" bottom="0" percent="0" rank="0" text="" dxfId="2">
      <formula>40</formula>
    </cfRule>
    <cfRule type="cellIs" priority="3231" operator="greaterThan" aboveAverage="0" equalAverage="0" bottom="0" percent="0" rank="0" text="" dxfId="3">
      <formula>45</formula>
    </cfRule>
  </conditionalFormatting>
  <conditionalFormatting sqref="U261">
    <cfRule type="cellIs" priority="3232" operator="greaterThan" aboveAverage="0" equalAverage="0" bottom="0" percent="0" rank="0" text="" dxfId="2">
      <formula>40</formula>
    </cfRule>
    <cfRule type="cellIs" priority="3233" operator="greaterThan" aboveAverage="0" equalAverage="0" bottom="0" percent="0" rank="0" text="" dxfId="3">
      <formula>45</formula>
    </cfRule>
  </conditionalFormatting>
  <conditionalFormatting sqref="V261">
    <cfRule type="cellIs" priority="3234" operator="greaterThan" aboveAverage="0" equalAverage="0" bottom="0" percent="0" rank="0" text="" dxfId="2">
      <formula>40</formula>
    </cfRule>
    <cfRule type="cellIs" priority="3235" operator="greaterThan" aboveAverage="0" equalAverage="0" bottom="0" percent="0" rank="0" text="" dxfId="3">
      <formula>45</formula>
    </cfRule>
  </conditionalFormatting>
  <conditionalFormatting sqref="W261">
    <cfRule type="cellIs" priority="3236" operator="greaterThan" aboveAverage="0" equalAverage="0" bottom="0" percent="0" rank="0" text="" dxfId="2">
      <formula>40</formula>
    </cfRule>
    <cfRule type="cellIs" priority="3237" operator="greaterThan" aboveAverage="0" equalAverage="0" bottom="0" percent="0" rank="0" text="" dxfId="3">
      <formula>45</formula>
    </cfRule>
  </conditionalFormatting>
  <conditionalFormatting sqref="X261">
    <cfRule type="cellIs" priority="3238" operator="greaterThan" aboveAverage="0" equalAverage="0" bottom="0" percent="0" rank="0" text="" dxfId="2">
      <formula>55</formula>
    </cfRule>
    <cfRule type="cellIs" priority="3239" operator="greaterThan" aboveAverage="0" equalAverage="0" bottom="0" percent="0" rank="0" text="" dxfId="3">
      <formula>65</formula>
    </cfRule>
  </conditionalFormatting>
  <conditionalFormatting sqref="Y261">
    <cfRule type="cellIs" priority="3240" operator="greaterThan" aboveAverage="0" equalAverage="0" bottom="0" percent="0" rank="0" text="" dxfId="2">
      <formula>55</formula>
    </cfRule>
    <cfRule type="cellIs" priority="3241" operator="greaterThan" aboveAverage="0" equalAverage="0" bottom="0" percent="0" rank="0" text="" dxfId="3">
      <formula>65</formula>
    </cfRule>
  </conditionalFormatting>
  <conditionalFormatting sqref="Z261">
    <cfRule type="cellIs" priority="3242" operator="greaterThan" aboveAverage="0" equalAverage="0" bottom="0" percent="0" rank="0" text="" dxfId="2">
      <formula>55</formula>
    </cfRule>
    <cfRule type="cellIs" priority="3243" operator="greaterThan" aboveAverage="0" equalAverage="0" bottom="0" percent="0" rank="0" text="" dxfId="3">
      <formula>65</formula>
    </cfRule>
  </conditionalFormatting>
  <conditionalFormatting sqref="AA261">
    <cfRule type="cellIs" priority="3244" operator="greaterThan" aboveAverage="0" equalAverage="0" bottom="0" percent="0" rank="0" text="" dxfId="2">
      <formula>55</formula>
    </cfRule>
    <cfRule type="cellIs" priority="3245" operator="greaterThan" aboveAverage="0" equalAverage="0" bottom="0" percent="0" rank="0" text="" dxfId="3">
      <formula>65</formula>
    </cfRule>
  </conditionalFormatting>
  <conditionalFormatting sqref="AB261">
    <cfRule type="cellIs" priority="3246" operator="greaterThan" aboveAverage="0" equalAverage="0" bottom="0" percent="0" rank="0" text="" dxfId="2">
      <formula>55</formula>
    </cfRule>
    <cfRule type="cellIs" priority="3247" operator="greaterThan" aboveAverage="0" equalAverage="0" bottom="0" percent="0" rank="0" text="" dxfId="3">
      <formula>65</formula>
    </cfRule>
  </conditionalFormatting>
  <conditionalFormatting sqref="AC261">
    <cfRule type="cellIs" priority="3248" operator="greaterThan" aboveAverage="0" equalAverage="0" bottom="0" percent="0" rank="0" text="" dxfId="2">
      <formula>55</formula>
    </cfRule>
    <cfRule type="cellIs" priority="3249" operator="greaterThan" aboveAverage="0" equalAverage="0" bottom="0" percent="0" rank="0" text="" dxfId="3">
      <formula>65</formula>
    </cfRule>
  </conditionalFormatting>
  <conditionalFormatting sqref="AD261">
    <cfRule type="cellIs" priority="3250" operator="greaterThan" aboveAverage="0" equalAverage="0" bottom="0" percent="0" rank="0" text="" dxfId="2">
      <formula>55</formula>
    </cfRule>
    <cfRule type="cellIs" priority="3251" operator="greaterThan" aboveAverage="0" equalAverage="0" bottom="0" percent="0" rank="0" text="" dxfId="3">
      <formula>65</formula>
    </cfRule>
  </conditionalFormatting>
  <conditionalFormatting sqref="AE261">
    <cfRule type="cellIs" priority="3252" operator="greaterThan" aboveAverage="0" equalAverage="0" bottom="0" percent="0" rank="0" text="" dxfId="2">
      <formula>55</formula>
    </cfRule>
    <cfRule type="cellIs" priority="3253" operator="greaterThan" aboveAverage="0" equalAverage="0" bottom="0" percent="0" rank="0" text="" dxfId="3">
      <formula>65</formula>
    </cfRule>
  </conditionalFormatting>
  <conditionalFormatting sqref="AF261">
    <cfRule type="cellIs" priority="3254" operator="greaterThan" aboveAverage="0" equalAverage="0" bottom="0" percent="0" rank="0" text="" dxfId="2">
      <formula>40</formula>
    </cfRule>
    <cfRule type="cellIs" priority="3255" operator="greaterThan" aboveAverage="0" equalAverage="0" bottom="0" percent="0" rank="0" text="" dxfId="3">
      <formula>45</formula>
    </cfRule>
  </conditionalFormatting>
  <conditionalFormatting sqref="AG261">
    <cfRule type="cellIs" priority="3256" operator="greaterThan" aboveAverage="0" equalAverage="0" bottom="0" percent="0" rank="0" text="" dxfId="2">
      <formula>40</formula>
    </cfRule>
    <cfRule type="cellIs" priority="3257" operator="greaterThan" aboveAverage="0" equalAverage="0" bottom="0" percent="0" rank="0" text="" dxfId="3">
      <formula>45</formula>
    </cfRule>
  </conditionalFormatting>
  <conditionalFormatting sqref="AH261">
    <cfRule type="cellIs" priority="3258" operator="greaterThan" aboveAverage="0" equalAverage="0" bottom="0" percent="0" rank="0" text="" dxfId="2">
      <formula>40</formula>
    </cfRule>
    <cfRule type="cellIs" priority="3259" operator="greaterThan" aboveAverage="0" equalAverage="0" bottom="0" percent="0" rank="0" text="" dxfId="3">
      <formula>45</formula>
    </cfRule>
  </conditionalFormatting>
  <conditionalFormatting sqref="AI261">
    <cfRule type="cellIs" priority="3260" operator="greaterThan" aboveAverage="0" equalAverage="0" bottom="0" percent="0" rank="0" text="" dxfId="2">
      <formula>40</formula>
    </cfRule>
    <cfRule type="cellIs" priority="3261" operator="greaterThan" aboveAverage="0" equalAverage="0" bottom="0" percent="0" rank="0" text="" dxfId="3">
      <formula>45</formula>
    </cfRule>
  </conditionalFormatting>
  <conditionalFormatting sqref="AJ261">
    <cfRule type="cellIs" priority="3262" operator="greaterThan" aboveAverage="0" equalAverage="0" bottom="0" percent="0" rank="0" text="" dxfId="2">
      <formula>40</formula>
    </cfRule>
    <cfRule type="cellIs" priority="3263" operator="greaterThan" aboveAverage="0" equalAverage="0" bottom="0" percent="0" rank="0" text="" dxfId="3">
      <formula>45</formula>
    </cfRule>
  </conditionalFormatting>
  <conditionalFormatting sqref="AK261">
    <cfRule type="cellIs" priority="3264" operator="greaterThan" aboveAverage="0" equalAverage="0" bottom="0" percent="0" rank="0" text="" dxfId="2">
      <formula>40</formula>
    </cfRule>
    <cfRule type="cellIs" priority="3265" operator="greaterThan" aboveAverage="0" equalAverage="0" bottom="0" percent="0" rank="0" text="" dxfId="3">
      <formula>45</formula>
    </cfRule>
  </conditionalFormatting>
  <conditionalFormatting sqref="AL261">
    <cfRule type="cellIs" priority="3266" operator="greaterThan" aboveAverage="0" equalAverage="0" bottom="0" percent="0" rank="0" text="" dxfId="2">
      <formula>40</formula>
    </cfRule>
    <cfRule type="cellIs" priority="3267" operator="greaterThan" aboveAverage="0" equalAverage="0" bottom="0" percent="0" rank="0" text="" dxfId="3">
      <formula>45</formula>
    </cfRule>
  </conditionalFormatting>
  <conditionalFormatting sqref="AM261">
    <cfRule type="cellIs" priority="3268" operator="greaterThan" aboveAverage="0" equalAverage="0" bottom="0" percent="0" rank="0" text="" dxfId="2">
      <formula>40</formula>
    </cfRule>
    <cfRule type="cellIs" priority="3269" operator="greaterThan" aboveAverage="0" equalAverage="0" bottom="0" percent="0" rank="0" text="" dxfId="3">
      <formula>45</formula>
    </cfRule>
  </conditionalFormatting>
  <conditionalFormatting sqref="AN261">
    <cfRule type="cellIs" priority="3270" operator="greaterThan" aboveAverage="0" equalAverage="0" bottom="0" percent="0" rank="0" text="" dxfId="2">
      <formula>40</formula>
    </cfRule>
    <cfRule type="cellIs" priority="3271" operator="greaterThan" aboveAverage="0" equalAverage="0" bottom="0" percent="0" rank="0" text="" dxfId="3">
      <formula>45</formula>
    </cfRule>
  </conditionalFormatting>
  <conditionalFormatting sqref="AO261">
    <cfRule type="cellIs" priority="3272" operator="greaterThan" aboveAverage="0" equalAverage="0" bottom="0" percent="0" rank="0" text="" dxfId="2">
      <formula>40</formula>
    </cfRule>
    <cfRule type="cellIs" priority="3273" operator="greaterThan" aboveAverage="0" equalAverage="0" bottom="0" percent="0" rank="0" text="" dxfId="3">
      <formula>45</formula>
    </cfRule>
  </conditionalFormatting>
  <conditionalFormatting sqref="AP261">
    <cfRule type="cellIs" priority="3274" operator="greaterThan" aboveAverage="0" equalAverage="0" bottom="0" percent="0" rank="0" text="" dxfId="2">
      <formula>40</formula>
    </cfRule>
    <cfRule type="cellIs" priority="3275" operator="greaterThan" aboveAverage="0" equalAverage="0" bottom="0" percent="0" rank="0" text="" dxfId="3">
      <formula>45</formula>
    </cfRule>
  </conditionalFormatting>
  <conditionalFormatting sqref="AQ261">
    <cfRule type="cellIs" priority="3276" operator="greaterThan" aboveAverage="0" equalAverage="0" bottom="0" percent="0" rank="0" text="" dxfId="2">
      <formula>40</formula>
    </cfRule>
    <cfRule type="cellIs" priority="3277" operator="greaterThan" aboveAverage="0" equalAverage="0" bottom="0" percent="0" rank="0" text="" dxfId="3">
      <formula>45</formula>
    </cfRule>
  </conditionalFormatting>
  <conditionalFormatting sqref="AR261">
    <cfRule type="cellIs" priority="3278" operator="greaterThan" aboveAverage="0" equalAverage="0" bottom="0" percent="0" rank="0" text="" dxfId="2">
      <formula>40</formula>
    </cfRule>
    <cfRule type="cellIs" priority="3279" operator="greaterThan" aboveAverage="0" equalAverage="0" bottom="0" percent="0" rank="0" text="" dxfId="3">
      <formula>45</formula>
    </cfRule>
  </conditionalFormatting>
  <conditionalFormatting sqref="AS261">
    <cfRule type="cellIs" priority="3280" operator="greaterThan" aboveAverage="0" equalAverage="0" bottom="0" percent="0" rank="0" text="" dxfId="2">
      <formula>40</formula>
    </cfRule>
    <cfRule type="cellIs" priority="3281" operator="greaterThan" aboveAverage="0" equalAverage="0" bottom="0" percent="0" rank="0" text="" dxfId="3">
      <formula>45</formula>
    </cfRule>
  </conditionalFormatting>
  <conditionalFormatting sqref="F271">
    <cfRule type="cellIs" priority="3282" operator="greaterThan" aboveAverage="0" equalAverage="0" bottom="0" percent="0" rank="0" text="" dxfId="2">
      <formula>40</formula>
    </cfRule>
    <cfRule type="cellIs" priority="3283" operator="greaterThan" aboveAverage="0" equalAverage="0" bottom="0" percent="0" rank="0" text="" dxfId="3">
      <formula>45</formula>
    </cfRule>
  </conditionalFormatting>
  <conditionalFormatting sqref="G271">
    <cfRule type="cellIs" priority="3284" operator="greaterThan" aboveAverage="0" equalAverage="0" bottom="0" percent="0" rank="0" text="" dxfId="2">
      <formula>40</formula>
    </cfRule>
    <cfRule type="cellIs" priority="3285" operator="greaterThan" aboveAverage="0" equalAverage="0" bottom="0" percent="0" rank="0" text="" dxfId="3">
      <formula>45</formula>
    </cfRule>
  </conditionalFormatting>
  <conditionalFormatting sqref="H271">
    <cfRule type="cellIs" priority="3286" operator="greaterThan" aboveAverage="0" equalAverage="0" bottom="0" percent="0" rank="0" text="" dxfId="2">
      <formula>40</formula>
    </cfRule>
    <cfRule type="cellIs" priority="3287" operator="greaterThan" aboveAverage="0" equalAverage="0" bottom="0" percent="0" rank="0" text="" dxfId="3">
      <formula>45</formula>
    </cfRule>
  </conditionalFormatting>
  <conditionalFormatting sqref="I271">
    <cfRule type="cellIs" priority="3288" operator="greaterThan" aboveAverage="0" equalAverage="0" bottom="0" percent="0" rank="0" text="" dxfId="2">
      <formula>40</formula>
    </cfRule>
    <cfRule type="cellIs" priority="3289" operator="greaterThan" aboveAverage="0" equalAverage="0" bottom="0" percent="0" rank="0" text="" dxfId="3">
      <formula>45</formula>
    </cfRule>
  </conditionalFormatting>
  <conditionalFormatting sqref="J271">
    <cfRule type="cellIs" priority="3290" operator="greaterThan" aboveAverage="0" equalAverage="0" bottom="0" percent="0" rank="0" text="" dxfId="2">
      <formula>40</formula>
    </cfRule>
    <cfRule type="cellIs" priority="3291" operator="greaterThan" aboveAverage="0" equalAverage="0" bottom="0" percent="0" rank="0" text="" dxfId="3">
      <formula>45</formula>
    </cfRule>
  </conditionalFormatting>
  <conditionalFormatting sqref="K271">
    <cfRule type="cellIs" priority="3292" operator="greaterThan" aboveAverage="0" equalAverage="0" bottom="0" percent="0" rank="0" text="" dxfId="2">
      <formula>40</formula>
    </cfRule>
    <cfRule type="cellIs" priority="3293" operator="greaterThan" aboveAverage="0" equalAverage="0" bottom="0" percent="0" rank="0" text="" dxfId="3">
      <formula>45</formula>
    </cfRule>
  </conditionalFormatting>
  <conditionalFormatting sqref="L271">
    <cfRule type="cellIs" priority="3294" operator="greaterThan" aboveAverage="0" equalAverage="0" bottom="0" percent="0" rank="0" text="" dxfId="2">
      <formula>40</formula>
    </cfRule>
    <cfRule type="cellIs" priority="3295" operator="greaterThan" aboveAverage="0" equalAverage="0" bottom="0" percent="0" rank="0" text="" dxfId="3">
      <formula>45</formula>
    </cfRule>
  </conditionalFormatting>
  <conditionalFormatting sqref="M271">
    <cfRule type="cellIs" priority="3296" operator="greaterThan" aboveAverage="0" equalAverage="0" bottom="0" percent="0" rank="0" text="" dxfId="2">
      <formula>40</formula>
    </cfRule>
    <cfRule type="cellIs" priority="3297" operator="greaterThan" aboveAverage="0" equalAverage="0" bottom="0" percent="0" rank="0" text="" dxfId="3">
      <formula>45</formula>
    </cfRule>
  </conditionalFormatting>
  <conditionalFormatting sqref="N271">
    <cfRule type="cellIs" priority="3298" operator="greaterThan" aboveAverage="0" equalAverage="0" bottom="0" percent="0" rank="0" text="" dxfId="2">
      <formula>40</formula>
    </cfRule>
    <cfRule type="cellIs" priority="3299" operator="greaterThan" aboveAverage="0" equalAverage="0" bottom="0" percent="0" rank="0" text="" dxfId="3">
      <formula>45</formula>
    </cfRule>
  </conditionalFormatting>
  <conditionalFormatting sqref="O271">
    <cfRule type="cellIs" priority="3300" operator="greaterThan" aboveAverage="0" equalAverage="0" bottom="0" percent="0" rank="0" text="" dxfId="2">
      <formula>40</formula>
    </cfRule>
    <cfRule type="cellIs" priority="3301" operator="greaterThan" aboveAverage="0" equalAverage="0" bottom="0" percent="0" rank="0" text="" dxfId="3">
      <formula>45</formula>
    </cfRule>
  </conditionalFormatting>
  <conditionalFormatting sqref="P271">
    <cfRule type="cellIs" priority="3302" operator="greaterThan" aboveAverage="0" equalAverage="0" bottom="0" percent="0" rank="0" text="" dxfId="2">
      <formula>40</formula>
    </cfRule>
    <cfRule type="cellIs" priority="3303" operator="greaterThan" aboveAverage="0" equalAverage="0" bottom="0" percent="0" rank="0" text="" dxfId="3">
      <formula>45</formula>
    </cfRule>
  </conditionalFormatting>
  <conditionalFormatting sqref="Q271">
    <cfRule type="cellIs" priority="3304" operator="greaterThan" aboveAverage="0" equalAverage="0" bottom="0" percent="0" rank="0" text="" dxfId="2">
      <formula>40</formula>
    </cfRule>
    <cfRule type="cellIs" priority="3305" operator="greaterThan" aboveAverage="0" equalAverage="0" bottom="0" percent="0" rank="0" text="" dxfId="3">
      <formula>45</formula>
    </cfRule>
  </conditionalFormatting>
  <conditionalFormatting sqref="R271">
    <cfRule type="cellIs" priority="3306" operator="greaterThan" aboveAverage="0" equalAverage="0" bottom="0" percent="0" rank="0" text="" dxfId="2">
      <formula>40</formula>
    </cfRule>
    <cfRule type="cellIs" priority="3307" operator="greaterThan" aboveAverage="0" equalAverage="0" bottom="0" percent="0" rank="0" text="" dxfId="3">
      <formula>45</formula>
    </cfRule>
  </conditionalFormatting>
  <conditionalFormatting sqref="S271">
    <cfRule type="cellIs" priority="3308" operator="greaterThan" aboveAverage="0" equalAverage="0" bottom="0" percent="0" rank="0" text="" dxfId="2">
      <formula>40</formula>
    </cfRule>
    <cfRule type="cellIs" priority="3309" operator="greaterThan" aboveAverage="0" equalAverage="0" bottom="0" percent="0" rank="0" text="" dxfId="3">
      <formula>45</formula>
    </cfRule>
  </conditionalFormatting>
  <conditionalFormatting sqref="T271">
    <cfRule type="cellIs" priority="3310" operator="greaterThan" aboveAverage="0" equalAverage="0" bottom="0" percent="0" rank="0" text="" dxfId="2">
      <formula>40</formula>
    </cfRule>
    <cfRule type="cellIs" priority="3311" operator="greaterThan" aboveAverage="0" equalAverage="0" bottom="0" percent="0" rank="0" text="" dxfId="3">
      <formula>45</formula>
    </cfRule>
  </conditionalFormatting>
  <conditionalFormatting sqref="U271">
    <cfRule type="cellIs" priority="3312" operator="greaterThan" aboveAverage="0" equalAverage="0" bottom="0" percent="0" rank="0" text="" dxfId="2">
      <formula>40</formula>
    </cfRule>
    <cfRule type="cellIs" priority="3313" operator="greaterThan" aboveAverage="0" equalAverage="0" bottom="0" percent="0" rank="0" text="" dxfId="3">
      <formula>45</formula>
    </cfRule>
  </conditionalFormatting>
  <conditionalFormatting sqref="V271">
    <cfRule type="cellIs" priority="3314" operator="greaterThan" aboveAverage="0" equalAverage="0" bottom="0" percent="0" rank="0" text="" dxfId="2">
      <formula>40</formula>
    </cfRule>
    <cfRule type="cellIs" priority="3315" operator="greaterThan" aboveAverage="0" equalAverage="0" bottom="0" percent="0" rank="0" text="" dxfId="3">
      <formula>45</formula>
    </cfRule>
  </conditionalFormatting>
  <conditionalFormatting sqref="W271">
    <cfRule type="cellIs" priority="3316" operator="greaterThan" aboveAverage="0" equalAverage="0" bottom="0" percent="0" rank="0" text="" dxfId="2">
      <formula>40</formula>
    </cfRule>
    <cfRule type="cellIs" priority="3317" operator="greaterThan" aboveAverage="0" equalAverage="0" bottom="0" percent="0" rank="0" text="" dxfId="3">
      <formula>45</formula>
    </cfRule>
  </conditionalFormatting>
  <conditionalFormatting sqref="X271">
    <cfRule type="cellIs" priority="3318" operator="greaterThan" aboveAverage="0" equalAverage="0" bottom="0" percent="0" rank="0" text="" dxfId="2">
      <formula>55</formula>
    </cfRule>
    <cfRule type="cellIs" priority="3319" operator="greaterThan" aboveAverage="0" equalAverage="0" bottom="0" percent="0" rank="0" text="" dxfId="3">
      <formula>65</formula>
    </cfRule>
  </conditionalFormatting>
  <conditionalFormatting sqref="Y271">
    <cfRule type="cellIs" priority="3320" operator="greaterThan" aboveAverage="0" equalAverage="0" bottom="0" percent="0" rank="0" text="" dxfId="2">
      <formula>55</formula>
    </cfRule>
    <cfRule type="cellIs" priority="3321" operator="greaterThan" aboveAverage="0" equalAverage="0" bottom="0" percent="0" rank="0" text="" dxfId="3">
      <formula>65</formula>
    </cfRule>
  </conditionalFormatting>
  <conditionalFormatting sqref="Z271">
    <cfRule type="cellIs" priority="3322" operator="greaterThan" aboveAverage="0" equalAverage="0" bottom="0" percent="0" rank="0" text="" dxfId="2">
      <formula>55</formula>
    </cfRule>
    <cfRule type="cellIs" priority="3323" operator="greaterThan" aboveAverage="0" equalAverage="0" bottom="0" percent="0" rank="0" text="" dxfId="3">
      <formula>65</formula>
    </cfRule>
  </conditionalFormatting>
  <conditionalFormatting sqref="AA271">
    <cfRule type="cellIs" priority="3324" operator="greaterThan" aboveAverage="0" equalAverage="0" bottom="0" percent="0" rank="0" text="" dxfId="2">
      <formula>55</formula>
    </cfRule>
    <cfRule type="cellIs" priority="3325" operator="greaterThan" aboveAverage="0" equalAverage="0" bottom="0" percent="0" rank="0" text="" dxfId="3">
      <formula>65</formula>
    </cfRule>
  </conditionalFormatting>
  <conditionalFormatting sqref="AB271">
    <cfRule type="cellIs" priority="3326" operator="greaterThan" aboveAverage="0" equalAverage="0" bottom="0" percent="0" rank="0" text="" dxfId="2">
      <formula>55</formula>
    </cfRule>
    <cfRule type="cellIs" priority="3327" operator="greaterThan" aboveAverage="0" equalAverage="0" bottom="0" percent="0" rank="0" text="" dxfId="3">
      <formula>65</formula>
    </cfRule>
  </conditionalFormatting>
  <conditionalFormatting sqref="AC271">
    <cfRule type="cellIs" priority="3328" operator="greaterThan" aboveAverage="0" equalAverage="0" bottom="0" percent="0" rank="0" text="" dxfId="2">
      <formula>55</formula>
    </cfRule>
    <cfRule type="cellIs" priority="3329" operator="greaterThan" aboveAverage="0" equalAverage="0" bottom="0" percent="0" rank="0" text="" dxfId="3">
      <formula>65</formula>
    </cfRule>
  </conditionalFormatting>
  <conditionalFormatting sqref="AD271">
    <cfRule type="cellIs" priority="3330" operator="greaterThan" aboveAverage="0" equalAverage="0" bottom="0" percent="0" rank="0" text="" dxfId="2">
      <formula>55</formula>
    </cfRule>
    <cfRule type="cellIs" priority="3331" operator="greaterThan" aboveAverage="0" equalAverage="0" bottom="0" percent="0" rank="0" text="" dxfId="3">
      <formula>65</formula>
    </cfRule>
  </conditionalFormatting>
  <conditionalFormatting sqref="AE271">
    <cfRule type="cellIs" priority="3332" operator="greaterThan" aboveAverage="0" equalAverage="0" bottom="0" percent="0" rank="0" text="" dxfId="2">
      <formula>55</formula>
    </cfRule>
    <cfRule type="cellIs" priority="3333" operator="greaterThan" aboveAverage="0" equalAverage="0" bottom="0" percent="0" rank="0" text="" dxfId="3">
      <formula>65</formula>
    </cfRule>
  </conditionalFormatting>
  <conditionalFormatting sqref="AF271">
    <cfRule type="cellIs" priority="3334" operator="greaterThan" aboveAverage="0" equalAverage="0" bottom="0" percent="0" rank="0" text="" dxfId="2">
      <formula>40</formula>
    </cfRule>
    <cfRule type="cellIs" priority="3335" operator="greaterThan" aboveAverage="0" equalAverage="0" bottom="0" percent="0" rank="0" text="" dxfId="3">
      <formula>45</formula>
    </cfRule>
  </conditionalFormatting>
  <conditionalFormatting sqref="AG271">
    <cfRule type="cellIs" priority="3336" operator="greaterThan" aboveAverage="0" equalAverage="0" bottom="0" percent="0" rank="0" text="" dxfId="2">
      <formula>40</formula>
    </cfRule>
    <cfRule type="cellIs" priority="3337" operator="greaterThan" aboveAverage="0" equalAverage="0" bottom="0" percent="0" rank="0" text="" dxfId="3">
      <formula>45</formula>
    </cfRule>
  </conditionalFormatting>
  <conditionalFormatting sqref="AH271">
    <cfRule type="cellIs" priority="3338" operator="greaterThan" aboveAverage="0" equalAverage="0" bottom="0" percent="0" rank="0" text="" dxfId="2">
      <formula>40</formula>
    </cfRule>
    <cfRule type="cellIs" priority="3339" operator="greaterThan" aboveAverage="0" equalAverage="0" bottom="0" percent="0" rank="0" text="" dxfId="3">
      <formula>45</formula>
    </cfRule>
  </conditionalFormatting>
  <conditionalFormatting sqref="AI271">
    <cfRule type="cellIs" priority="3340" operator="greaterThan" aboveAverage="0" equalAverage="0" bottom="0" percent="0" rank="0" text="" dxfId="2">
      <formula>40</formula>
    </cfRule>
    <cfRule type="cellIs" priority="3341" operator="greaterThan" aboveAverage="0" equalAverage="0" bottom="0" percent="0" rank="0" text="" dxfId="3">
      <formula>45</formula>
    </cfRule>
  </conditionalFormatting>
  <conditionalFormatting sqref="AJ271">
    <cfRule type="cellIs" priority="3342" operator="greaterThan" aboveAverage="0" equalAverage="0" bottom="0" percent="0" rank="0" text="" dxfId="2">
      <formula>40</formula>
    </cfRule>
    <cfRule type="cellIs" priority="3343" operator="greaterThan" aboveAverage="0" equalAverage="0" bottom="0" percent="0" rank="0" text="" dxfId="3">
      <formula>45</formula>
    </cfRule>
  </conditionalFormatting>
  <conditionalFormatting sqref="AK271">
    <cfRule type="cellIs" priority="3344" operator="greaterThan" aboveAverage="0" equalAverage="0" bottom="0" percent="0" rank="0" text="" dxfId="2">
      <formula>40</formula>
    </cfRule>
    <cfRule type="cellIs" priority="3345" operator="greaterThan" aboveAverage="0" equalAverage="0" bottom="0" percent="0" rank="0" text="" dxfId="3">
      <formula>45</formula>
    </cfRule>
  </conditionalFormatting>
  <conditionalFormatting sqref="AL271">
    <cfRule type="cellIs" priority="3346" operator="greaterThan" aboveAverage="0" equalAverage="0" bottom="0" percent="0" rank="0" text="" dxfId="2">
      <formula>40</formula>
    </cfRule>
    <cfRule type="cellIs" priority="3347" operator="greaterThan" aboveAverage="0" equalAverage="0" bottom="0" percent="0" rank="0" text="" dxfId="3">
      <formula>45</formula>
    </cfRule>
  </conditionalFormatting>
  <conditionalFormatting sqref="AM271">
    <cfRule type="cellIs" priority="3348" operator="greaterThan" aboveAverage="0" equalAverage="0" bottom="0" percent="0" rank="0" text="" dxfId="2">
      <formula>40</formula>
    </cfRule>
    <cfRule type="cellIs" priority="3349" operator="greaterThan" aboveAverage="0" equalAverage="0" bottom="0" percent="0" rank="0" text="" dxfId="3">
      <formula>45</formula>
    </cfRule>
  </conditionalFormatting>
  <conditionalFormatting sqref="AN271">
    <cfRule type="cellIs" priority="3350" operator="greaterThan" aboveAverage="0" equalAverage="0" bottom="0" percent="0" rank="0" text="" dxfId="2">
      <formula>40</formula>
    </cfRule>
    <cfRule type="cellIs" priority="3351" operator="greaterThan" aboveAverage="0" equalAverage="0" bottom="0" percent="0" rank="0" text="" dxfId="3">
      <formula>45</formula>
    </cfRule>
  </conditionalFormatting>
  <conditionalFormatting sqref="AO271">
    <cfRule type="cellIs" priority="3352" operator="greaterThan" aboveAverage="0" equalAverage="0" bottom="0" percent="0" rank="0" text="" dxfId="2">
      <formula>40</formula>
    </cfRule>
    <cfRule type="cellIs" priority="3353" operator="greaterThan" aboveAverage="0" equalAverage="0" bottom="0" percent="0" rank="0" text="" dxfId="3">
      <formula>45</formula>
    </cfRule>
  </conditionalFormatting>
  <conditionalFormatting sqref="AP271">
    <cfRule type="cellIs" priority="3354" operator="greaterThan" aboveAverage="0" equalAverage="0" bottom="0" percent="0" rank="0" text="" dxfId="2">
      <formula>40</formula>
    </cfRule>
    <cfRule type="cellIs" priority="3355" operator="greaterThan" aboveAverage="0" equalAverage="0" bottom="0" percent="0" rank="0" text="" dxfId="3">
      <formula>45</formula>
    </cfRule>
  </conditionalFormatting>
  <conditionalFormatting sqref="AQ271">
    <cfRule type="cellIs" priority="3356" operator="greaterThan" aboveAverage="0" equalAverage="0" bottom="0" percent="0" rank="0" text="" dxfId="2">
      <formula>40</formula>
    </cfRule>
    <cfRule type="cellIs" priority="3357" operator="greaterThan" aboveAverage="0" equalAverage="0" bottom="0" percent="0" rank="0" text="" dxfId="3">
      <formula>45</formula>
    </cfRule>
  </conditionalFormatting>
  <conditionalFormatting sqref="AR271">
    <cfRule type="cellIs" priority="3358" operator="greaterThan" aboveAverage="0" equalAverage="0" bottom="0" percent="0" rank="0" text="" dxfId="2">
      <formula>40</formula>
    </cfRule>
    <cfRule type="cellIs" priority="3359" operator="greaterThan" aboveAverage="0" equalAverage="0" bottom="0" percent="0" rank="0" text="" dxfId="3">
      <formula>45</formula>
    </cfRule>
  </conditionalFormatting>
  <conditionalFormatting sqref="AS271">
    <cfRule type="cellIs" priority="3360" operator="greaterThan" aboveAverage="0" equalAverage="0" bottom="0" percent="0" rank="0" text="" dxfId="2">
      <formula>40</formula>
    </cfRule>
    <cfRule type="cellIs" priority="3361" operator="greaterThan" aboveAverage="0" equalAverage="0" bottom="0" percent="0" rank="0" text="" dxfId="3">
      <formula>45</formula>
    </cfRule>
  </conditionalFormatting>
  <conditionalFormatting sqref="F280">
    <cfRule type="cellIs" priority="3362" operator="greaterThan" aboveAverage="0" equalAverage="0" bottom="0" percent="0" rank="0" text="" dxfId="2">
      <formula>40</formula>
    </cfRule>
    <cfRule type="cellIs" priority="3363" operator="greaterThan" aboveAverage="0" equalAverage="0" bottom="0" percent="0" rank="0" text="" dxfId="3">
      <formula>45</formula>
    </cfRule>
  </conditionalFormatting>
  <conditionalFormatting sqref="G280">
    <cfRule type="cellIs" priority="3364" operator="greaterThan" aboveAverage="0" equalAverage="0" bottom="0" percent="0" rank="0" text="" dxfId="2">
      <formula>40</formula>
    </cfRule>
    <cfRule type="cellIs" priority="3365" operator="greaterThan" aboveAverage="0" equalAverage="0" bottom="0" percent="0" rank="0" text="" dxfId="3">
      <formula>45</formula>
    </cfRule>
  </conditionalFormatting>
  <conditionalFormatting sqref="H280">
    <cfRule type="cellIs" priority="3366" operator="greaterThan" aboveAverage="0" equalAverage="0" bottom="0" percent="0" rank="0" text="" dxfId="2">
      <formula>40</formula>
    </cfRule>
    <cfRule type="cellIs" priority="3367" operator="greaterThan" aboveAverage="0" equalAverage="0" bottom="0" percent="0" rank="0" text="" dxfId="3">
      <formula>45</formula>
    </cfRule>
  </conditionalFormatting>
  <conditionalFormatting sqref="I280">
    <cfRule type="cellIs" priority="3368" operator="greaterThan" aboveAverage="0" equalAverage="0" bottom="0" percent="0" rank="0" text="" dxfId="2">
      <formula>40</formula>
    </cfRule>
    <cfRule type="cellIs" priority="3369" operator="greaterThan" aboveAverage="0" equalAverage="0" bottom="0" percent="0" rank="0" text="" dxfId="3">
      <formula>45</formula>
    </cfRule>
  </conditionalFormatting>
  <conditionalFormatting sqref="J280">
    <cfRule type="cellIs" priority="3370" operator="greaterThan" aboveAverage="0" equalAverage="0" bottom="0" percent="0" rank="0" text="" dxfId="2">
      <formula>40</formula>
    </cfRule>
    <cfRule type="cellIs" priority="3371" operator="greaterThan" aboveAverage="0" equalAverage="0" bottom="0" percent="0" rank="0" text="" dxfId="3">
      <formula>45</formula>
    </cfRule>
  </conditionalFormatting>
  <conditionalFormatting sqref="K280">
    <cfRule type="cellIs" priority="3372" operator="greaterThan" aboveAverage="0" equalAverage="0" bottom="0" percent="0" rank="0" text="" dxfId="2">
      <formula>40</formula>
    </cfRule>
    <cfRule type="cellIs" priority="3373" operator="greaterThan" aboveAverage="0" equalAverage="0" bottom="0" percent="0" rank="0" text="" dxfId="3">
      <formula>45</formula>
    </cfRule>
  </conditionalFormatting>
  <conditionalFormatting sqref="L280">
    <cfRule type="cellIs" priority="3374" operator="greaterThan" aboveAverage="0" equalAverage="0" bottom="0" percent="0" rank="0" text="" dxfId="2">
      <formula>40</formula>
    </cfRule>
    <cfRule type="cellIs" priority="3375" operator="greaterThan" aboveAverage="0" equalAverage="0" bottom="0" percent="0" rank="0" text="" dxfId="3">
      <formula>45</formula>
    </cfRule>
  </conditionalFormatting>
  <conditionalFormatting sqref="M280">
    <cfRule type="cellIs" priority="3376" operator="greaterThan" aboveAverage="0" equalAverage="0" bottom="0" percent="0" rank="0" text="" dxfId="2">
      <formula>40</formula>
    </cfRule>
    <cfRule type="cellIs" priority="3377" operator="greaterThan" aboveAverage="0" equalAverage="0" bottom="0" percent="0" rank="0" text="" dxfId="3">
      <formula>45</formula>
    </cfRule>
  </conditionalFormatting>
  <conditionalFormatting sqref="N280">
    <cfRule type="cellIs" priority="3378" operator="greaterThan" aboveAverage="0" equalAverage="0" bottom="0" percent="0" rank="0" text="" dxfId="2">
      <formula>40</formula>
    </cfRule>
    <cfRule type="cellIs" priority="3379" operator="greaterThan" aboveAverage="0" equalAverage="0" bottom="0" percent="0" rank="0" text="" dxfId="3">
      <formula>45</formula>
    </cfRule>
  </conditionalFormatting>
  <conditionalFormatting sqref="O280">
    <cfRule type="cellIs" priority="3380" operator="greaterThan" aboveAverage="0" equalAverage="0" bottom="0" percent="0" rank="0" text="" dxfId="2">
      <formula>40</formula>
    </cfRule>
    <cfRule type="cellIs" priority="3381" operator="greaterThan" aboveAverage="0" equalAverage="0" bottom="0" percent="0" rank="0" text="" dxfId="3">
      <formula>45</formula>
    </cfRule>
  </conditionalFormatting>
  <conditionalFormatting sqref="P280">
    <cfRule type="cellIs" priority="3382" operator="greaterThan" aboveAverage="0" equalAverage="0" bottom="0" percent="0" rank="0" text="" dxfId="2">
      <formula>40</formula>
    </cfRule>
    <cfRule type="cellIs" priority="3383" operator="greaterThan" aboveAverage="0" equalAverage="0" bottom="0" percent="0" rank="0" text="" dxfId="3">
      <formula>45</formula>
    </cfRule>
  </conditionalFormatting>
  <conditionalFormatting sqref="Q280">
    <cfRule type="cellIs" priority="3384" operator="greaterThan" aboveAverage="0" equalAverage="0" bottom="0" percent="0" rank="0" text="" dxfId="2">
      <formula>40</formula>
    </cfRule>
    <cfRule type="cellIs" priority="3385" operator="greaterThan" aboveAverage="0" equalAverage="0" bottom="0" percent="0" rank="0" text="" dxfId="3">
      <formula>45</formula>
    </cfRule>
  </conditionalFormatting>
  <conditionalFormatting sqref="R280">
    <cfRule type="cellIs" priority="3386" operator="greaterThan" aboveAverage="0" equalAverage="0" bottom="0" percent="0" rank="0" text="" dxfId="2">
      <formula>40</formula>
    </cfRule>
    <cfRule type="cellIs" priority="3387" operator="greaterThan" aboveAverage="0" equalAverage="0" bottom="0" percent="0" rank="0" text="" dxfId="3">
      <formula>45</formula>
    </cfRule>
  </conditionalFormatting>
  <conditionalFormatting sqref="S280">
    <cfRule type="cellIs" priority="3388" operator="greaterThan" aboveAverage="0" equalAverage="0" bottom="0" percent="0" rank="0" text="" dxfId="2">
      <formula>40</formula>
    </cfRule>
    <cfRule type="cellIs" priority="3389" operator="greaterThan" aboveAverage="0" equalAverage="0" bottom="0" percent="0" rank="0" text="" dxfId="3">
      <formula>45</formula>
    </cfRule>
  </conditionalFormatting>
  <conditionalFormatting sqref="T280">
    <cfRule type="cellIs" priority="3390" operator="greaterThan" aboveAverage="0" equalAverage="0" bottom="0" percent="0" rank="0" text="" dxfId="2">
      <formula>40</formula>
    </cfRule>
    <cfRule type="cellIs" priority="3391" operator="greaterThan" aboveAverage="0" equalAverage="0" bottom="0" percent="0" rank="0" text="" dxfId="3">
      <formula>45</formula>
    </cfRule>
  </conditionalFormatting>
  <conditionalFormatting sqref="U280">
    <cfRule type="cellIs" priority="3392" operator="greaterThan" aboveAverage="0" equalAverage="0" bottom="0" percent="0" rank="0" text="" dxfId="2">
      <formula>40</formula>
    </cfRule>
    <cfRule type="cellIs" priority="3393" operator="greaterThan" aboveAverage="0" equalAverage="0" bottom="0" percent="0" rank="0" text="" dxfId="3">
      <formula>45</formula>
    </cfRule>
  </conditionalFormatting>
  <conditionalFormatting sqref="V280">
    <cfRule type="cellIs" priority="3394" operator="greaterThan" aboveAverage="0" equalAverage="0" bottom="0" percent="0" rank="0" text="" dxfId="2">
      <formula>40</formula>
    </cfRule>
    <cfRule type="cellIs" priority="3395" operator="greaterThan" aboveAverage="0" equalAverage="0" bottom="0" percent="0" rank="0" text="" dxfId="3">
      <formula>45</formula>
    </cfRule>
  </conditionalFormatting>
  <conditionalFormatting sqref="W280">
    <cfRule type="cellIs" priority="3396" operator="greaterThan" aboveAverage="0" equalAverage="0" bottom="0" percent="0" rank="0" text="" dxfId="2">
      <formula>40</formula>
    </cfRule>
    <cfRule type="cellIs" priority="3397" operator="greaterThan" aboveAverage="0" equalAverage="0" bottom="0" percent="0" rank="0" text="" dxfId="3">
      <formula>45</formula>
    </cfRule>
  </conditionalFormatting>
  <conditionalFormatting sqref="X280">
    <cfRule type="cellIs" priority="3398" operator="greaterThan" aboveAverage="0" equalAverage="0" bottom="0" percent="0" rank="0" text="" dxfId="2">
      <formula>55</formula>
    </cfRule>
    <cfRule type="cellIs" priority="3399" operator="greaterThan" aboveAverage="0" equalAverage="0" bottom="0" percent="0" rank="0" text="" dxfId="3">
      <formula>65</formula>
    </cfRule>
  </conditionalFormatting>
  <conditionalFormatting sqref="Y280">
    <cfRule type="cellIs" priority="3400" operator="greaterThan" aboveAverage="0" equalAverage="0" bottom="0" percent="0" rank="0" text="" dxfId="2">
      <formula>55</formula>
    </cfRule>
    <cfRule type="cellIs" priority="3401" operator="greaterThan" aboveAverage="0" equalAverage="0" bottom="0" percent="0" rank="0" text="" dxfId="3">
      <formula>65</formula>
    </cfRule>
  </conditionalFormatting>
  <conditionalFormatting sqref="Z280">
    <cfRule type="cellIs" priority="3402" operator="greaterThan" aboveAverage="0" equalAverage="0" bottom="0" percent="0" rank="0" text="" dxfId="2">
      <formula>55</formula>
    </cfRule>
    <cfRule type="cellIs" priority="3403" operator="greaterThan" aboveAverage="0" equalAverage="0" bottom="0" percent="0" rank="0" text="" dxfId="3">
      <formula>65</formula>
    </cfRule>
  </conditionalFormatting>
  <conditionalFormatting sqref="AA280">
    <cfRule type="cellIs" priority="3404" operator="greaterThan" aboveAverage="0" equalAverage="0" bottom="0" percent="0" rank="0" text="" dxfId="2">
      <formula>55</formula>
    </cfRule>
    <cfRule type="cellIs" priority="3405" operator="greaterThan" aboveAverage="0" equalAverage="0" bottom="0" percent="0" rank="0" text="" dxfId="3">
      <formula>65</formula>
    </cfRule>
  </conditionalFormatting>
  <conditionalFormatting sqref="AB280">
    <cfRule type="cellIs" priority="3406" operator="greaterThan" aboveAverage="0" equalAverage="0" bottom="0" percent="0" rank="0" text="" dxfId="2">
      <formula>55</formula>
    </cfRule>
    <cfRule type="cellIs" priority="3407" operator="greaterThan" aboveAverage="0" equalAverage="0" bottom="0" percent="0" rank="0" text="" dxfId="3">
      <formula>65</formula>
    </cfRule>
  </conditionalFormatting>
  <conditionalFormatting sqref="AC280">
    <cfRule type="cellIs" priority="3408" operator="greaterThan" aboveAverage="0" equalAverage="0" bottom="0" percent="0" rank="0" text="" dxfId="2">
      <formula>55</formula>
    </cfRule>
    <cfRule type="cellIs" priority="3409" operator="greaterThan" aboveAverage="0" equalAverage="0" bottom="0" percent="0" rank="0" text="" dxfId="3">
      <formula>65</formula>
    </cfRule>
  </conditionalFormatting>
  <conditionalFormatting sqref="AD280">
    <cfRule type="cellIs" priority="3410" operator="greaterThan" aboveAverage="0" equalAverage="0" bottom="0" percent="0" rank="0" text="" dxfId="2">
      <formula>55</formula>
    </cfRule>
    <cfRule type="cellIs" priority="3411" operator="greaterThan" aboveAverage="0" equalAverage="0" bottom="0" percent="0" rank="0" text="" dxfId="3">
      <formula>65</formula>
    </cfRule>
  </conditionalFormatting>
  <conditionalFormatting sqref="AE280">
    <cfRule type="cellIs" priority="3412" operator="greaterThan" aboveAverage="0" equalAverage="0" bottom="0" percent="0" rank="0" text="" dxfId="2">
      <formula>55</formula>
    </cfRule>
    <cfRule type="cellIs" priority="3413" operator="greaterThan" aboveAverage="0" equalAverage="0" bottom="0" percent="0" rank="0" text="" dxfId="3">
      <formula>65</formula>
    </cfRule>
  </conditionalFormatting>
  <conditionalFormatting sqref="AF280">
    <cfRule type="cellIs" priority="3414" operator="greaterThan" aboveAverage="0" equalAverage="0" bottom="0" percent="0" rank="0" text="" dxfId="2">
      <formula>40</formula>
    </cfRule>
    <cfRule type="cellIs" priority="3415" operator="greaterThan" aboveAverage="0" equalAverage="0" bottom="0" percent="0" rank="0" text="" dxfId="3">
      <formula>45</formula>
    </cfRule>
  </conditionalFormatting>
  <conditionalFormatting sqref="AG280">
    <cfRule type="cellIs" priority="3416" operator="greaterThan" aboveAverage="0" equalAverage="0" bottom="0" percent="0" rank="0" text="" dxfId="2">
      <formula>40</formula>
    </cfRule>
    <cfRule type="cellIs" priority="3417" operator="greaterThan" aboveAverage="0" equalAverage="0" bottom="0" percent="0" rank="0" text="" dxfId="3">
      <formula>45</formula>
    </cfRule>
  </conditionalFormatting>
  <conditionalFormatting sqref="AH280">
    <cfRule type="cellIs" priority="3418" operator="greaterThan" aboveAverage="0" equalAverage="0" bottom="0" percent="0" rank="0" text="" dxfId="2">
      <formula>40</formula>
    </cfRule>
    <cfRule type="cellIs" priority="3419" operator="greaterThan" aboveAverage="0" equalAverage="0" bottom="0" percent="0" rank="0" text="" dxfId="3">
      <formula>45</formula>
    </cfRule>
  </conditionalFormatting>
  <conditionalFormatting sqref="AI280">
    <cfRule type="cellIs" priority="3420" operator="greaterThan" aboveAverage="0" equalAverage="0" bottom="0" percent="0" rank="0" text="" dxfId="2">
      <formula>40</formula>
    </cfRule>
    <cfRule type="cellIs" priority="3421" operator="greaterThan" aboveAverage="0" equalAverage="0" bottom="0" percent="0" rank="0" text="" dxfId="3">
      <formula>45</formula>
    </cfRule>
  </conditionalFormatting>
  <conditionalFormatting sqref="AJ280">
    <cfRule type="cellIs" priority="3422" operator="greaterThan" aboveAverage="0" equalAverage="0" bottom="0" percent="0" rank="0" text="" dxfId="2">
      <formula>40</formula>
    </cfRule>
    <cfRule type="cellIs" priority="3423" operator="greaterThan" aboveAverage="0" equalAverage="0" bottom="0" percent="0" rank="0" text="" dxfId="3">
      <formula>45</formula>
    </cfRule>
  </conditionalFormatting>
  <conditionalFormatting sqref="AK280">
    <cfRule type="cellIs" priority="3424" operator="greaterThan" aboveAverage="0" equalAverage="0" bottom="0" percent="0" rank="0" text="" dxfId="2">
      <formula>40</formula>
    </cfRule>
    <cfRule type="cellIs" priority="3425" operator="greaterThan" aboveAverage="0" equalAverage="0" bottom="0" percent="0" rank="0" text="" dxfId="3">
      <formula>45</formula>
    </cfRule>
  </conditionalFormatting>
  <conditionalFormatting sqref="AL280">
    <cfRule type="cellIs" priority="3426" operator="greaterThan" aboveAverage="0" equalAverage="0" bottom="0" percent="0" rank="0" text="" dxfId="2">
      <formula>40</formula>
    </cfRule>
    <cfRule type="cellIs" priority="3427" operator="greaterThan" aboveAverage="0" equalAverage="0" bottom="0" percent="0" rank="0" text="" dxfId="3">
      <formula>45</formula>
    </cfRule>
  </conditionalFormatting>
  <conditionalFormatting sqref="AM280">
    <cfRule type="cellIs" priority="3428" operator="greaterThan" aboveAverage="0" equalAverage="0" bottom="0" percent="0" rank="0" text="" dxfId="2">
      <formula>40</formula>
    </cfRule>
    <cfRule type="cellIs" priority="3429" operator="greaterThan" aboveAverage="0" equalAverage="0" bottom="0" percent="0" rank="0" text="" dxfId="3">
      <formula>45</formula>
    </cfRule>
  </conditionalFormatting>
  <conditionalFormatting sqref="AN280">
    <cfRule type="cellIs" priority="3430" operator="greaterThan" aboveAverage="0" equalAverage="0" bottom="0" percent="0" rank="0" text="" dxfId="2">
      <formula>40</formula>
    </cfRule>
    <cfRule type="cellIs" priority="3431" operator="greaterThan" aboveAverage="0" equalAverage="0" bottom="0" percent="0" rank="0" text="" dxfId="3">
      <formula>45</formula>
    </cfRule>
  </conditionalFormatting>
  <conditionalFormatting sqref="AO280">
    <cfRule type="cellIs" priority="3432" operator="greaterThan" aboveAverage="0" equalAverage="0" bottom="0" percent="0" rank="0" text="" dxfId="2">
      <formula>40</formula>
    </cfRule>
    <cfRule type="cellIs" priority="3433" operator="greaterThan" aboveAverage="0" equalAverage="0" bottom="0" percent="0" rank="0" text="" dxfId="3">
      <formula>45</formula>
    </cfRule>
  </conditionalFormatting>
  <conditionalFormatting sqref="AP280">
    <cfRule type="cellIs" priority="3434" operator="greaterThan" aboveAverage="0" equalAverage="0" bottom="0" percent="0" rank="0" text="" dxfId="2">
      <formula>40</formula>
    </cfRule>
    <cfRule type="cellIs" priority="3435" operator="greaterThan" aboveAverage="0" equalAverage="0" bottom="0" percent="0" rank="0" text="" dxfId="3">
      <formula>45</formula>
    </cfRule>
  </conditionalFormatting>
  <conditionalFormatting sqref="AQ280">
    <cfRule type="cellIs" priority="3436" operator="greaterThan" aboveAverage="0" equalAverage="0" bottom="0" percent="0" rank="0" text="" dxfId="2">
      <formula>40</formula>
    </cfRule>
    <cfRule type="cellIs" priority="3437" operator="greaterThan" aboveAverage="0" equalAverage="0" bottom="0" percent="0" rank="0" text="" dxfId="3">
      <formula>45</formula>
    </cfRule>
  </conditionalFormatting>
  <conditionalFormatting sqref="AR280">
    <cfRule type="cellIs" priority="3438" operator="greaterThan" aboveAverage="0" equalAverage="0" bottom="0" percent="0" rank="0" text="" dxfId="2">
      <formula>40</formula>
    </cfRule>
    <cfRule type="cellIs" priority="3439" operator="greaterThan" aboveAverage="0" equalAverage="0" bottom="0" percent="0" rank="0" text="" dxfId="3">
      <formula>45</formula>
    </cfRule>
  </conditionalFormatting>
  <conditionalFormatting sqref="AS280">
    <cfRule type="cellIs" priority="3440" operator="greaterThan" aboveAverage="0" equalAverage="0" bottom="0" percent="0" rank="0" text="" dxfId="2">
      <formula>40</formula>
    </cfRule>
    <cfRule type="cellIs" priority="3441" operator="greaterThan" aboveAverage="0" equalAverage="0" bottom="0" percent="0" rank="0" text="" dxfId="3">
      <formula>45</formula>
    </cfRule>
  </conditionalFormatting>
  <conditionalFormatting sqref="F283">
    <cfRule type="cellIs" priority="3442" operator="greaterThan" aboveAverage="0" equalAverage="0" bottom="0" percent="0" rank="0" text="" dxfId="2">
      <formula>40</formula>
    </cfRule>
    <cfRule type="cellIs" priority="3443" operator="greaterThan" aboveAverage="0" equalAverage="0" bottom="0" percent="0" rank="0" text="" dxfId="3">
      <formula>45</formula>
    </cfRule>
  </conditionalFormatting>
  <conditionalFormatting sqref="G283">
    <cfRule type="cellIs" priority="3444" operator="greaterThan" aboveAverage="0" equalAverage="0" bottom="0" percent="0" rank="0" text="" dxfId="2">
      <formula>40</formula>
    </cfRule>
    <cfRule type="cellIs" priority="3445" operator="greaterThan" aboveAverage="0" equalAverage="0" bottom="0" percent="0" rank="0" text="" dxfId="3">
      <formula>45</formula>
    </cfRule>
  </conditionalFormatting>
  <conditionalFormatting sqref="H283">
    <cfRule type="cellIs" priority="3446" operator="greaterThan" aboveAverage="0" equalAverage="0" bottom="0" percent="0" rank="0" text="" dxfId="2">
      <formula>40</formula>
    </cfRule>
    <cfRule type="cellIs" priority="3447" operator="greaterThan" aboveAverage="0" equalAverage="0" bottom="0" percent="0" rank="0" text="" dxfId="3">
      <formula>45</formula>
    </cfRule>
  </conditionalFormatting>
  <conditionalFormatting sqref="I283">
    <cfRule type="cellIs" priority="3448" operator="greaterThan" aboveAverage="0" equalAverage="0" bottom="0" percent="0" rank="0" text="" dxfId="2">
      <formula>40</formula>
    </cfRule>
    <cfRule type="cellIs" priority="3449" operator="greaterThan" aboveAverage="0" equalAverage="0" bottom="0" percent="0" rank="0" text="" dxfId="3">
      <formula>45</formula>
    </cfRule>
  </conditionalFormatting>
  <conditionalFormatting sqref="J283">
    <cfRule type="cellIs" priority="3450" operator="greaterThan" aboveAverage="0" equalAverage="0" bottom="0" percent="0" rank="0" text="" dxfId="2">
      <formula>40</formula>
    </cfRule>
    <cfRule type="cellIs" priority="3451" operator="greaterThan" aboveAverage="0" equalAverage="0" bottom="0" percent="0" rank="0" text="" dxfId="3">
      <formula>45</formula>
    </cfRule>
  </conditionalFormatting>
  <conditionalFormatting sqref="K283">
    <cfRule type="cellIs" priority="3452" operator="greaterThan" aboveAverage="0" equalAverage="0" bottom="0" percent="0" rank="0" text="" dxfId="2">
      <formula>40</formula>
    </cfRule>
    <cfRule type="cellIs" priority="3453" operator="greaterThan" aboveAverage="0" equalAverage="0" bottom="0" percent="0" rank="0" text="" dxfId="3">
      <formula>45</formula>
    </cfRule>
  </conditionalFormatting>
  <conditionalFormatting sqref="L283">
    <cfRule type="cellIs" priority="3454" operator="greaterThan" aboveAverage="0" equalAverage="0" bottom="0" percent="0" rank="0" text="" dxfId="2">
      <formula>40</formula>
    </cfRule>
    <cfRule type="cellIs" priority="3455" operator="greaterThan" aboveAverage="0" equalAverage="0" bottom="0" percent="0" rank="0" text="" dxfId="3">
      <formula>45</formula>
    </cfRule>
  </conditionalFormatting>
  <conditionalFormatting sqref="M283">
    <cfRule type="cellIs" priority="3456" operator="greaterThan" aboveAverage="0" equalAverage="0" bottom="0" percent="0" rank="0" text="" dxfId="2">
      <formula>40</formula>
    </cfRule>
    <cfRule type="cellIs" priority="3457" operator="greaterThan" aboveAverage="0" equalAverage="0" bottom="0" percent="0" rank="0" text="" dxfId="3">
      <formula>45</formula>
    </cfRule>
  </conditionalFormatting>
  <conditionalFormatting sqref="N283">
    <cfRule type="cellIs" priority="3458" operator="greaterThan" aboveAverage="0" equalAverage="0" bottom="0" percent="0" rank="0" text="" dxfId="2">
      <formula>40</formula>
    </cfRule>
    <cfRule type="cellIs" priority="3459" operator="greaterThan" aboveAverage="0" equalAverage="0" bottom="0" percent="0" rank="0" text="" dxfId="3">
      <formula>45</formula>
    </cfRule>
  </conditionalFormatting>
  <conditionalFormatting sqref="O283">
    <cfRule type="cellIs" priority="3460" operator="greaterThan" aboveAverage="0" equalAverage="0" bottom="0" percent="0" rank="0" text="" dxfId="2">
      <formula>40</formula>
    </cfRule>
    <cfRule type="cellIs" priority="3461" operator="greaterThan" aboveAverage="0" equalAverage="0" bottom="0" percent="0" rank="0" text="" dxfId="3">
      <formula>45</formula>
    </cfRule>
  </conditionalFormatting>
  <conditionalFormatting sqref="P283">
    <cfRule type="cellIs" priority="3462" operator="greaterThan" aboveAverage="0" equalAverage="0" bottom="0" percent="0" rank="0" text="" dxfId="2">
      <formula>40</formula>
    </cfRule>
    <cfRule type="cellIs" priority="3463" operator="greaterThan" aboveAverage="0" equalAverage="0" bottom="0" percent="0" rank="0" text="" dxfId="3">
      <formula>45</formula>
    </cfRule>
  </conditionalFormatting>
  <conditionalFormatting sqref="Q283">
    <cfRule type="cellIs" priority="3464" operator="greaterThan" aboveAverage="0" equalAverage="0" bottom="0" percent="0" rank="0" text="" dxfId="2">
      <formula>40</formula>
    </cfRule>
    <cfRule type="cellIs" priority="3465" operator="greaterThan" aboveAverage="0" equalAverage="0" bottom="0" percent="0" rank="0" text="" dxfId="3">
      <formula>45</formula>
    </cfRule>
  </conditionalFormatting>
  <conditionalFormatting sqref="R283">
    <cfRule type="cellIs" priority="3466" operator="greaterThan" aboveAverage="0" equalAverage="0" bottom="0" percent="0" rank="0" text="" dxfId="2">
      <formula>40</formula>
    </cfRule>
    <cfRule type="cellIs" priority="3467" operator="greaterThan" aboveAverage="0" equalAverage="0" bottom="0" percent="0" rank="0" text="" dxfId="3">
      <formula>45</formula>
    </cfRule>
  </conditionalFormatting>
  <conditionalFormatting sqref="S283">
    <cfRule type="cellIs" priority="3468" operator="greaterThan" aboveAverage="0" equalAverage="0" bottom="0" percent="0" rank="0" text="" dxfId="2">
      <formula>40</formula>
    </cfRule>
    <cfRule type="cellIs" priority="3469" operator="greaterThan" aboveAverage="0" equalAverage="0" bottom="0" percent="0" rank="0" text="" dxfId="3">
      <formula>45</formula>
    </cfRule>
  </conditionalFormatting>
  <conditionalFormatting sqref="T283">
    <cfRule type="cellIs" priority="3470" operator="greaterThan" aboveAverage="0" equalAverage="0" bottom="0" percent="0" rank="0" text="" dxfId="2">
      <formula>40</formula>
    </cfRule>
    <cfRule type="cellIs" priority="3471" operator="greaterThan" aboveAverage="0" equalAverage="0" bottom="0" percent="0" rank="0" text="" dxfId="3">
      <formula>45</formula>
    </cfRule>
  </conditionalFormatting>
  <conditionalFormatting sqref="U283">
    <cfRule type="cellIs" priority="3472" operator="greaterThan" aboveAverage="0" equalAverage="0" bottom="0" percent="0" rank="0" text="" dxfId="2">
      <formula>40</formula>
    </cfRule>
    <cfRule type="cellIs" priority="3473" operator="greaterThan" aboveAverage="0" equalAverage="0" bottom="0" percent="0" rank="0" text="" dxfId="3">
      <formula>45</formula>
    </cfRule>
  </conditionalFormatting>
  <conditionalFormatting sqref="V283">
    <cfRule type="cellIs" priority="3474" operator="greaterThan" aboveAverage="0" equalAverage="0" bottom="0" percent="0" rank="0" text="" dxfId="2">
      <formula>40</formula>
    </cfRule>
    <cfRule type="cellIs" priority="3475" operator="greaterThan" aboveAverage="0" equalAverage="0" bottom="0" percent="0" rank="0" text="" dxfId="3">
      <formula>45</formula>
    </cfRule>
  </conditionalFormatting>
  <conditionalFormatting sqref="W283">
    <cfRule type="cellIs" priority="3476" operator="greaterThan" aboveAverage="0" equalAverage="0" bottom="0" percent="0" rank="0" text="" dxfId="2">
      <formula>40</formula>
    </cfRule>
    <cfRule type="cellIs" priority="3477" operator="greaterThan" aboveAverage="0" equalAverage="0" bottom="0" percent="0" rank="0" text="" dxfId="3">
      <formula>45</formula>
    </cfRule>
  </conditionalFormatting>
  <conditionalFormatting sqref="X283">
    <cfRule type="cellIs" priority="3478" operator="greaterThan" aboveAverage="0" equalAverage="0" bottom="0" percent="0" rank="0" text="" dxfId="2">
      <formula>55</formula>
    </cfRule>
    <cfRule type="cellIs" priority="3479" operator="greaterThan" aboveAverage="0" equalAverage="0" bottom="0" percent="0" rank="0" text="" dxfId="3">
      <formula>65</formula>
    </cfRule>
  </conditionalFormatting>
  <conditionalFormatting sqref="Y283">
    <cfRule type="cellIs" priority="3480" operator="greaterThan" aboveAverage="0" equalAverage="0" bottom="0" percent="0" rank="0" text="" dxfId="2">
      <formula>55</formula>
    </cfRule>
    <cfRule type="cellIs" priority="3481" operator="greaterThan" aboveAverage="0" equalAverage="0" bottom="0" percent="0" rank="0" text="" dxfId="3">
      <formula>65</formula>
    </cfRule>
  </conditionalFormatting>
  <conditionalFormatting sqref="Z283">
    <cfRule type="cellIs" priority="3482" operator="greaterThan" aboveAverage="0" equalAverage="0" bottom="0" percent="0" rank="0" text="" dxfId="2">
      <formula>55</formula>
    </cfRule>
    <cfRule type="cellIs" priority="3483" operator="greaterThan" aboveAverage="0" equalAverage="0" bottom="0" percent="0" rank="0" text="" dxfId="3">
      <formula>65</formula>
    </cfRule>
  </conditionalFormatting>
  <conditionalFormatting sqref="AA283">
    <cfRule type="cellIs" priority="3484" operator="greaterThan" aboveAverage="0" equalAverage="0" bottom="0" percent="0" rank="0" text="" dxfId="2">
      <formula>55</formula>
    </cfRule>
    <cfRule type="cellIs" priority="3485" operator="greaterThan" aboveAverage="0" equalAverage="0" bottom="0" percent="0" rank="0" text="" dxfId="3">
      <formula>65</formula>
    </cfRule>
  </conditionalFormatting>
  <conditionalFormatting sqref="AB283">
    <cfRule type="cellIs" priority="3486" operator="greaterThan" aboveAverage="0" equalAverage="0" bottom="0" percent="0" rank="0" text="" dxfId="2">
      <formula>55</formula>
    </cfRule>
    <cfRule type="cellIs" priority="3487" operator="greaterThan" aboveAverage="0" equalAverage="0" bottom="0" percent="0" rank="0" text="" dxfId="3">
      <formula>65</formula>
    </cfRule>
  </conditionalFormatting>
  <conditionalFormatting sqref="AC283">
    <cfRule type="cellIs" priority="3488" operator="greaterThan" aboveAverage="0" equalAverage="0" bottom="0" percent="0" rank="0" text="" dxfId="2">
      <formula>55</formula>
    </cfRule>
    <cfRule type="cellIs" priority="3489" operator="greaterThan" aboveAverage="0" equalAverage="0" bottom="0" percent="0" rank="0" text="" dxfId="3">
      <formula>65</formula>
    </cfRule>
  </conditionalFormatting>
  <conditionalFormatting sqref="AD283">
    <cfRule type="cellIs" priority="3490" operator="greaterThan" aboveAverage="0" equalAverage="0" bottom="0" percent="0" rank="0" text="" dxfId="2">
      <formula>55</formula>
    </cfRule>
    <cfRule type="cellIs" priority="3491" operator="greaterThan" aboveAverage="0" equalAverage="0" bottom="0" percent="0" rank="0" text="" dxfId="3">
      <formula>65</formula>
    </cfRule>
  </conditionalFormatting>
  <conditionalFormatting sqref="AE283">
    <cfRule type="cellIs" priority="3492" operator="greaterThan" aboveAverage="0" equalAverage="0" bottom="0" percent="0" rank="0" text="" dxfId="2">
      <formula>55</formula>
    </cfRule>
    <cfRule type="cellIs" priority="3493" operator="greaterThan" aboveAverage="0" equalAverage="0" bottom="0" percent="0" rank="0" text="" dxfId="3">
      <formula>65</formula>
    </cfRule>
  </conditionalFormatting>
  <conditionalFormatting sqref="AF283">
    <cfRule type="cellIs" priority="3494" operator="greaterThan" aboveAverage="0" equalAverage="0" bottom="0" percent="0" rank="0" text="" dxfId="2">
      <formula>40</formula>
    </cfRule>
    <cfRule type="cellIs" priority="3495" operator="greaterThan" aboveAverage="0" equalAverage="0" bottom="0" percent="0" rank="0" text="" dxfId="3">
      <formula>45</formula>
    </cfRule>
  </conditionalFormatting>
  <conditionalFormatting sqref="AG283">
    <cfRule type="cellIs" priority="3496" operator="greaterThan" aboveAverage="0" equalAverage="0" bottom="0" percent="0" rank="0" text="" dxfId="2">
      <formula>40</formula>
    </cfRule>
    <cfRule type="cellIs" priority="3497" operator="greaterThan" aboveAverage="0" equalAverage="0" bottom="0" percent="0" rank="0" text="" dxfId="3">
      <formula>45</formula>
    </cfRule>
  </conditionalFormatting>
  <conditionalFormatting sqref="AH283">
    <cfRule type="cellIs" priority="3498" operator="greaterThan" aboveAverage="0" equalAverage="0" bottom="0" percent="0" rank="0" text="" dxfId="2">
      <formula>40</formula>
    </cfRule>
    <cfRule type="cellIs" priority="3499" operator="greaterThan" aboveAverage="0" equalAverage="0" bottom="0" percent="0" rank="0" text="" dxfId="3">
      <formula>45</formula>
    </cfRule>
  </conditionalFormatting>
  <conditionalFormatting sqref="AI283">
    <cfRule type="cellIs" priority="3500" operator="greaterThan" aboveAverage="0" equalAverage="0" bottom="0" percent="0" rank="0" text="" dxfId="2">
      <formula>40</formula>
    </cfRule>
    <cfRule type="cellIs" priority="3501" operator="greaterThan" aboveAverage="0" equalAverage="0" bottom="0" percent="0" rank="0" text="" dxfId="3">
      <formula>45</formula>
    </cfRule>
  </conditionalFormatting>
  <conditionalFormatting sqref="AJ283">
    <cfRule type="cellIs" priority="3502" operator="greaterThan" aboveAverage="0" equalAverage="0" bottom="0" percent="0" rank="0" text="" dxfId="2">
      <formula>40</formula>
    </cfRule>
    <cfRule type="cellIs" priority="3503" operator="greaterThan" aboveAverage="0" equalAverage="0" bottom="0" percent="0" rank="0" text="" dxfId="3">
      <formula>45</formula>
    </cfRule>
  </conditionalFormatting>
  <conditionalFormatting sqref="AK283">
    <cfRule type="cellIs" priority="3504" operator="greaterThan" aboveAverage="0" equalAverage="0" bottom="0" percent="0" rank="0" text="" dxfId="2">
      <formula>40</formula>
    </cfRule>
    <cfRule type="cellIs" priority="3505" operator="greaterThan" aboveAverage="0" equalAverage="0" bottom="0" percent="0" rank="0" text="" dxfId="3">
      <formula>45</formula>
    </cfRule>
  </conditionalFormatting>
  <conditionalFormatting sqref="AL283">
    <cfRule type="cellIs" priority="3506" operator="greaterThan" aboveAverage="0" equalAverage="0" bottom="0" percent="0" rank="0" text="" dxfId="2">
      <formula>40</formula>
    </cfRule>
    <cfRule type="cellIs" priority="3507" operator="greaterThan" aboveAverage="0" equalAverage="0" bottom="0" percent="0" rank="0" text="" dxfId="3">
      <formula>45</formula>
    </cfRule>
  </conditionalFormatting>
  <conditionalFormatting sqref="AM283">
    <cfRule type="cellIs" priority="3508" operator="greaterThan" aboveAverage="0" equalAverage="0" bottom="0" percent="0" rank="0" text="" dxfId="2">
      <formula>40</formula>
    </cfRule>
    <cfRule type="cellIs" priority="3509" operator="greaterThan" aboveAverage="0" equalAverage="0" bottom="0" percent="0" rank="0" text="" dxfId="3">
      <formula>45</formula>
    </cfRule>
  </conditionalFormatting>
  <conditionalFormatting sqref="AN283">
    <cfRule type="cellIs" priority="3510" operator="greaterThan" aboveAverage="0" equalAverage="0" bottom="0" percent="0" rank="0" text="" dxfId="2">
      <formula>40</formula>
    </cfRule>
    <cfRule type="cellIs" priority="3511" operator="greaterThan" aboveAverage="0" equalAverage="0" bottom="0" percent="0" rank="0" text="" dxfId="3">
      <formula>45</formula>
    </cfRule>
  </conditionalFormatting>
  <conditionalFormatting sqref="AO283">
    <cfRule type="cellIs" priority="3512" operator="greaterThan" aboveAverage="0" equalAverage="0" bottom="0" percent="0" rank="0" text="" dxfId="2">
      <formula>40</formula>
    </cfRule>
    <cfRule type="cellIs" priority="3513" operator="greaterThan" aboveAverage="0" equalAverage="0" bottom="0" percent="0" rank="0" text="" dxfId="3">
      <formula>45</formula>
    </cfRule>
  </conditionalFormatting>
  <conditionalFormatting sqref="AP283">
    <cfRule type="cellIs" priority="3514" operator="greaterThan" aboveAverage="0" equalAverage="0" bottom="0" percent="0" rank="0" text="" dxfId="2">
      <formula>40</formula>
    </cfRule>
    <cfRule type="cellIs" priority="3515" operator="greaterThan" aboveAverage="0" equalAverage="0" bottom="0" percent="0" rank="0" text="" dxfId="3">
      <formula>45</formula>
    </cfRule>
  </conditionalFormatting>
  <conditionalFormatting sqref="AQ283">
    <cfRule type="cellIs" priority="3516" operator="greaterThan" aboveAverage="0" equalAverage="0" bottom="0" percent="0" rank="0" text="" dxfId="2">
      <formula>40</formula>
    </cfRule>
    <cfRule type="cellIs" priority="3517" operator="greaterThan" aboveAverage="0" equalAverage="0" bottom="0" percent="0" rank="0" text="" dxfId="3">
      <formula>45</formula>
    </cfRule>
  </conditionalFormatting>
  <conditionalFormatting sqref="AR283">
    <cfRule type="cellIs" priority="3518" operator="greaterThan" aboveAverage="0" equalAverage="0" bottom="0" percent="0" rank="0" text="" dxfId="2">
      <formula>40</formula>
    </cfRule>
    <cfRule type="cellIs" priority="3519" operator="greaterThan" aboveAverage="0" equalAverage="0" bottom="0" percent="0" rank="0" text="" dxfId="3">
      <formula>45</formula>
    </cfRule>
  </conditionalFormatting>
  <conditionalFormatting sqref="AS283">
    <cfRule type="cellIs" priority="3520" operator="greaterThan" aboveAverage="0" equalAverage="0" bottom="0" percent="0" rank="0" text="" dxfId="2">
      <formula>40</formula>
    </cfRule>
    <cfRule type="cellIs" priority="3521" operator="greaterThan" aboveAverage="0" equalAverage="0" bottom="0" percent="0" rank="0" text="" dxfId="3">
      <formula>45</formula>
    </cfRule>
  </conditionalFormatting>
  <conditionalFormatting sqref="F292">
    <cfRule type="cellIs" priority="3522" operator="greaterThan" aboveAverage="0" equalAverage="0" bottom="0" percent="0" rank="0" text="" dxfId="2">
      <formula>40</formula>
    </cfRule>
    <cfRule type="cellIs" priority="3523" operator="greaterThan" aboveAverage="0" equalAverage="0" bottom="0" percent="0" rank="0" text="" dxfId="3">
      <formula>45</formula>
    </cfRule>
  </conditionalFormatting>
  <conditionalFormatting sqref="G292">
    <cfRule type="cellIs" priority="3524" operator="greaterThan" aboveAverage="0" equalAverage="0" bottom="0" percent="0" rank="0" text="" dxfId="2">
      <formula>40</formula>
    </cfRule>
    <cfRule type="cellIs" priority="3525" operator="greaterThan" aboveAverage="0" equalAverage="0" bottom="0" percent="0" rank="0" text="" dxfId="3">
      <formula>45</formula>
    </cfRule>
  </conditionalFormatting>
  <conditionalFormatting sqref="H292">
    <cfRule type="cellIs" priority="3526" operator="greaterThan" aboveAverage="0" equalAverage="0" bottom="0" percent="0" rank="0" text="" dxfId="2">
      <formula>40</formula>
    </cfRule>
    <cfRule type="cellIs" priority="3527" operator="greaterThan" aboveAverage="0" equalAverage="0" bottom="0" percent="0" rank="0" text="" dxfId="3">
      <formula>45</formula>
    </cfRule>
  </conditionalFormatting>
  <conditionalFormatting sqref="I292">
    <cfRule type="cellIs" priority="3528" operator="greaterThan" aboveAverage="0" equalAverage="0" bottom="0" percent="0" rank="0" text="" dxfId="2">
      <formula>40</formula>
    </cfRule>
    <cfRule type="cellIs" priority="3529" operator="greaterThan" aboveAverage="0" equalAverage="0" bottom="0" percent="0" rank="0" text="" dxfId="3">
      <formula>45</formula>
    </cfRule>
  </conditionalFormatting>
  <conditionalFormatting sqref="J292">
    <cfRule type="cellIs" priority="3530" operator="greaterThan" aboveAverage="0" equalAverage="0" bottom="0" percent="0" rank="0" text="" dxfId="2">
      <formula>40</formula>
    </cfRule>
    <cfRule type="cellIs" priority="3531" operator="greaterThan" aboveAverage="0" equalAverage="0" bottom="0" percent="0" rank="0" text="" dxfId="3">
      <formula>45</formula>
    </cfRule>
  </conditionalFormatting>
  <conditionalFormatting sqref="K292">
    <cfRule type="cellIs" priority="3532" operator="greaterThan" aboveAverage="0" equalAverage="0" bottom="0" percent="0" rank="0" text="" dxfId="2">
      <formula>40</formula>
    </cfRule>
    <cfRule type="cellIs" priority="3533" operator="greaterThan" aboveAverage="0" equalAverage="0" bottom="0" percent="0" rank="0" text="" dxfId="3">
      <formula>45</formula>
    </cfRule>
  </conditionalFormatting>
  <conditionalFormatting sqref="L292">
    <cfRule type="cellIs" priority="3534" operator="greaterThan" aboveAverage="0" equalAverage="0" bottom="0" percent="0" rank="0" text="" dxfId="2">
      <formula>40</formula>
    </cfRule>
    <cfRule type="cellIs" priority="3535" operator="greaterThan" aboveAverage="0" equalAverage="0" bottom="0" percent="0" rank="0" text="" dxfId="3">
      <formula>45</formula>
    </cfRule>
  </conditionalFormatting>
  <conditionalFormatting sqref="M292">
    <cfRule type="cellIs" priority="3536" operator="greaterThan" aboveAverage="0" equalAverage="0" bottom="0" percent="0" rank="0" text="" dxfId="2">
      <formula>40</formula>
    </cfRule>
    <cfRule type="cellIs" priority="3537" operator="greaterThan" aboveAverage="0" equalAverage="0" bottom="0" percent="0" rank="0" text="" dxfId="3">
      <formula>45</formula>
    </cfRule>
  </conditionalFormatting>
  <conditionalFormatting sqref="N292">
    <cfRule type="cellIs" priority="3538" operator="greaterThan" aboveAverage="0" equalAverage="0" bottom="0" percent="0" rank="0" text="" dxfId="2">
      <formula>40</formula>
    </cfRule>
    <cfRule type="cellIs" priority="3539" operator="greaterThan" aboveAverage="0" equalAverage="0" bottom="0" percent="0" rank="0" text="" dxfId="3">
      <formula>45</formula>
    </cfRule>
  </conditionalFormatting>
  <conditionalFormatting sqref="O292">
    <cfRule type="cellIs" priority="3540" operator="greaterThan" aboveAverage="0" equalAverage="0" bottom="0" percent="0" rank="0" text="" dxfId="2">
      <formula>40</formula>
    </cfRule>
    <cfRule type="cellIs" priority="3541" operator="greaterThan" aboveAverage="0" equalAverage="0" bottom="0" percent="0" rank="0" text="" dxfId="3">
      <formula>45</formula>
    </cfRule>
  </conditionalFormatting>
  <conditionalFormatting sqref="P292">
    <cfRule type="cellIs" priority="3542" operator="greaterThan" aboveAverage="0" equalAverage="0" bottom="0" percent="0" rank="0" text="" dxfId="2">
      <formula>40</formula>
    </cfRule>
    <cfRule type="cellIs" priority="3543" operator="greaterThan" aboveAverage="0" equalAverage="0" bottom="0" percent="0" rank="0" text="" dxfId="3">
      <formula>45</formula>
    </cfRule>
  </conditionalFormatting>
  <conditionalFormatting sqref="Q292">
    <cfRule type="cellIs" priority="3544" operator="greaterThan" aboveAverage="0" equalAverage="0" bottom="0" percent="0" rank="0" text="" dxfId="2">
      <formula>40</formula>
    </cfRule>
    <cfRule type="cellIs" priority="3545" operator="greaterThan" aboveAverage="0" equalAverage="0" bottom="0" percent="0" rank="0" text="" dxfId="3">
      <formula>45</formula>
    </cfRule>
  </conditionalFormatting>
  <conditionalFormatting sqref="R292">
    <cfRule type="cellIs" priority="3546" operator="greaterThan" aboveAverage="0" equalAverage="0" bottom="0" percent="0" rank="0" text="" dxfId="2">
      <formula>40</formula>
    </cfRule>
    <cfRule type="cellIs" priority="3547" operator="greaterThan" aboveAverage="0" equalAverage="0" bottom="0" percent="0" rank="0" text="" dxfId="3">
      <formula>45</formula>
    </cfRule>
  </conditionalFormatting>
  <conditionalFormatting sqref="S292">
    <cfRule type="cellIs" priority="3548" operator="greaterThan" aboveAverage="0" equalAverage="0" bottom="0" percent="0" rank="0" text="" dxfId="2">
      <formula>40</formula>
    </cfRule>
    <cfRule type="cellIs" priority="3549" operator="greaterThan" aboveAverage="0" equalAverage="0" bottom="0" percent="0" rank="0" text="" dxfId="3">
      <formula>45</formula>
    </cfRule>
  </conditionalFormatting>
  <conditionalFormatting sqref="T292">
    <cfRule type="cellIs" priority="3550" operator="greaterThan" aboveAverage="0" equalAverage="0" bottom="0" percent="0" rank="0" text="" dxfId="2">
      <formula>40</formula>
    </cfRule>
    <cfRule type="cellIs" priority="3551" operator="greaterThan" aboveAverage="0" equalAverage="0" bottom="0" percent="0" rank="0" text="" dxfId="3">
      <formula>45</formula>
    </cfRule>
  </conditionalFormatting>
  <conditionalFormatting sqref="U292">
    <cfRule type="cellIs" priority="3552" operator="greaterThan" aboveAverage="0" equalAverage="0" bottom="0" percent="0" rank="0" text="" dxfId="2">
      <formula>40</formula>
    </cfRule>
    <cfRule type="cellIs" priority="3553" operator="greaterThan" aboveAverage="0" equalAverage="0" bottom="0" percent="0" rank="0" text="" dxfId="3">
      <formula>45</formula>
    </cfRule>
  </conditionalFormatting>
  <conditionalFormatting sqref="V292">
    <cfRule type="cellIs" priority="3554" operator="greaterThan" aboveAverage="0" equalAverage="0" bottom="0" percent="0" rank="0" text="" dxfId="2">
      <formula>40</formula>
    </cfRule>
    <cfRule type="cellIs" priority="3555" operator="greaterThan" aboveAverage="0" equalAverage="0" bottom="0" percent="0" rank="0" text="" dxfId="3">
      <formula>45</formula>
    </cfRule>
  </conditionalFormatting>
  <conditionalFormatting sqref="W292">
    <cfRule type="cellIs" priority="3556" operator="greaterThan" aboveAverage="0" equalAverage="0" bottom="0" percent="0" rank="0" text="" dxfId="2">
      <formula>40</formula>
    </cfRule>
    <cfRule type="cellIs" priority="3557" operator="greaterThan" aboveAverage="0" equalAverage="0" bottom="0" percent="0" rank="0" text="" dxfId="3">
      <formula>45</formula>
    </cfRule>
  </conditionalFormatting>
  <conditionalFormatting sqref="X292">
    <cfRule type="cellIs" priority="3558" operator="greaterThan" aboveAverage="0" equalAverage="0" bottom="0" percent="0" rank="0" text="" dxfId="2">
      <formula>55</formula>
    </cfRule>
    <cfRule type="cellIs" priority="3559" operator="greaterThan" aboveAverage="0" equalAverage="0" bottom="0" percent="0" rank="0" text="" dxfId="3">
      <formula>65</formula>
    </cfRule>
  </conditionalFormatting>
  <conditionalFormatting sqref="Y292">
    <cfRule type="cellIs" priority="3560" operator="greaterThan" aboveAverage="0" equalAverage="0" bottom="0" percent="0" rank="0" text="" dxfId="2">
      <formula>55</formula>
    </cfRule>
    <cfRule type="cellIs" priority="3561" operator="greaterThan" aboveAverage="0" equalAverage="0" bottom="0" percent="0" rank="0" text="" dxfId="3">
      <formula>65</formula>
    </cfRule>
  </conditionalFormatting>
  <conditionalFormatting sqref="Z292">
    <cfRule type="cellIs" priority="3562" operator="greaterThan" aboveAverage="0" equalAverage="0" bottom="0" percent="0" rank="0" text="" dxfId="2">
      <formula>55</formula>
    </cfRule>
    <cfRule type="cellIs" priority="3563" operator="greaterThan" aboveAverage="0" equalAverage="0" bottom="0" percent="0" rank="0" text="" dxfId="3">
      <formula>65</formula>
    </cfRule>
  </conditionalFormatting>
  <conditionalFormatting sqref="AA292">
    <cfRule type="cellIs" priority="3564" operator="greaterThan" aboveAverage="0" equalAverage="0" bottom="0" percent="0" rank="0" text="" dxfId="2">
      <formula>55</formula>
    </cfRule>
    <cfRule type="cellIs" priority="3565" operator="greaterThan" aboveAverage="0" equalAverage="0" bottom="0" percent="0" rank="0" text="" dxfId="3">
      <formula>65</formula>
    </cfRule>
  </conditionalFormatting>
  <conditionalFormatting sqref="AB292">
    <cfRule type="cellIs" priority="3566" operator="greaterThan" aboveAverage="0" equalAverage="0" bottom="0" percent="0" rank="0" text="" dxfId="2">
      <formula>55</formula>
    </cfRule>
    <cfRule type="cellIs" priority="3567" operator="greaterThan" aboveAverage="0" equalAverage="0" bottom="0" percent="0" rank="0" text="" dxfId="3">
      <formula>65</formula>
    </cfRule>
  </conditionalFormatting>
  <conditionalFormatting sqref="AC292">
    <cfRule type="cellIs" priority="3568" operator="greaterThan" aboveAverage="0" equalAverage="0" bottom="0" percent="0" rank="0" text="" dxfId="2">
      <formula>55</formula>
    </cfRule>
    <cfRule type="cellIs" priority="3569" operator="greaterThan" aboveAverage="0" equalAverage="0" bottom="0" percent="0" rank="0" text="" dxfId="3">
      <formula>65</formula>
    </cfRule>
  </conditionalFormatting>
  <conditionalFormatting sqref="AD292">
    <cfRule type="cellIs" priority="3570" operator="greaterThan" aboveAverage="0" equalAverage="0" bottom="0" percent="0" rank="0" text="" dxfId="2">
      <formula>55</formula>
    </cfRule>
    <cfRule type="cellIs" priority="3571" operator="greaterThan" aboveAverage="0" equalAverage="0" bottom="0" percent="0" rank="0" text="" dxfId="3">
      <formula>65</formula>
    </cfRule>
  </conditionalFormatting>
  <conditionalFormatting sqref="AE292">
    <cfRule type="cellIs" priority="3572" operator="greaterThan" aboveAverage="0" equalAverage="0" bottom="0" percent="0" rank="0" text="" dxfId="2">
      <formula>55</formula>
    </cfRule>
    <cfRule type="cellIs" priority="3573" operator="greaterThan" aboveAverage="0" equalAverage="0" bottom="0" percent="0" rank="0" text="" dxfId="3">
      <formula>65</formula>
    </cfRule>
  </conditionalFormatting>
  <conditionalFormatting sqref="AF292">
    <cfRule type="cellIs" priority="3574" operator="greaterThan" aboveAverage="0" equalAverage="0" bottom="0" percent="0" rank="0" text="" dxfId="2">
      <formula>40</formula>
    </cfRule>
    <cfRule type="cellIs" priority="3575" operator="greaterThan" aboveAverage="0" equalAverage="0" bottom="0" percent="0" rank="0" text="" dxfId="3">
      <formula>45</formula>
    </cfRule>
  </conditionalFormatting>
  <conditionalFormatting sqref="AG292">
    <cfRule type="cellIs" priority="3576" operator="greaterThan" aboveAverage="0" equalAverage="0" bottom="0" percent="0" rank="0" text="" dxfId="2">
      <formula>40</formula>
    </cfRule>
    <cfRule type="cellIs" priority="3577" operator="greaterThan" aboveAverage="0" equalAverage="0" bottom="0" percent="0" rank="0" text="" dxfId="3">
      <formula>45</formula>
    </cfRule>
  </conditionalFormatting>
  <conditionalFormatting sqref="AH292">
    <cfRule type="cellIs" priority="3578" operator="greaterThan" aboveAverage="0" equalAverage="0" bottom="0" percent="0" rank="0" text="" dxfId="2">
      <formula>40</formula>
    </cfRule>
    <cfRule type="cellIs" priority="3579" operator="greaterThan" aboveAverage="0" equalAverage="0" bottom="0" percent="0" rank="0" text="" dxfId="3">
      <formula>45</formula>
    </cfRule>
  </conditionalFormatting>
  <conditionalFormatting sqref="AI292">
    <cfRule type="cellIs" priority="3580" operator="greaterThan" aboveAverage="0" equalAverage="0" bottom="0" percent="0" rank="0" text="" dxfId="2">
      <formula>40</formula>
    </cfRule>
    <cfRule type="cellIs" priority="3581" operator="greaterThan" aboveAverage="0" equalAverage="0" bottom="0" percent="0" rank="0" text="" dxfId="3">
      <formula>45</formula>
    </cfRule>
  </conditionalFormatting>
  <conditionalFormatting sqref="AJ292">
    <cfRule type="cellIs" priority="3582" operator="greaterThan" aboveAverage="0" equalAverage="0" bottom="0" percent="0" rank="0" text="" dxfId="2">
      <formula>40</formula>
    </cfRule>
    <cfRule type="cellIs" priority="3583" operator="greaterThan" aboveAverage="0" equalAverage="0" bottom="0" percent="0" rank="0" text="" dxfId="3">
      <formula>45</formula>
    </cfRule>
  </conditionalFormatting>
  <conditionalFormatting sqref="AK292">
    <cfRule type="cellIs" priority="3584" operator="greaterThan" aboveAverage="0" equalAverage="0" bottom="0" percent="0" rank="0" text="" dxfId="2">
      <formula>40</formula>
    </cfRule>
    <cfRule type="cellIs" priority="3585" operator="greaterThan" aboveAverage="0" equalAverage="0" bottom="0" percent="0" rank="0" text="" dxfId="3">
      <formula>45</formula>
    </cfRule>
  </conditionalFormatting>
  <conditionalFormatting sqref="AL292">
    <cfRule type="cellIs" priority="3586" operator="greaterThan" aboveAverage="0" equalAverage="0" bottom="0" percent="0" rank="0" text="" dxfId="2">
      <formula>40</formula>
    </cfRule>
    <cfRule type="cellIs" priority="3587" operator="greaterThan" aboveAverage="0" equalAverage="0" bottom="0" percent="0" rank="0" text="" dxfId="3">
      <formula>45</formula>
    </cfRule>
  </conditionalFormatting>
  <conditionalFormatting sqref="AM292">
    <cfRule type="cellIs" priority="3588" operator="greaterThan" aboveAverage="0" equalAverage="0" bottom="0" percent="0" rank="0" text="" dxfId="2">
      <formula>40</formula>
    </cfRule>
    <cfRule type="cellIs" priority="3589" operator="greaterThan" aboveAverage="0" equalAverage="0" bottom="0" percent="0" rank="0" text="" dxfId="3">
      <formula>45</formula>
    </cfRule>
  </conditionalFormatting>
  <conditionalFormatting sqref="AN292">
    <cfRule type="cellIs" priority="3590" operator="greaterThan" aboveAverage="0" equalAverage="0" bottom="0" percent="0" rank="0" text="" dxfId="2">
      <formula>40</formula>
    </cfRule>
    <cfRule type="cellIs" priority="3591" operator="greaterThan" aboveAverage="0" equalAverage="0" bottom="0" percent="0" rank="0" text="" dxfId="3">
      <formula>45</formula>
    </cfRule>
  </conditionalFormatting>
  <conditionalFormatting sqref="AO292">
    <cfRule type="cellIs" priority="3592" operator="greaterThan" aboveAverage="0" equalAverage="0" bottom="0" percent="0" rank="0" text="" dxfId="2">
      <formula>40</formula>
    </cfRule>
    <cfRule type="cellIs" priority="3593" operator="greaterThan" aboveAverage="0" equalAverage="0" bottom="0" percent="0" rank="0" text="" dxfId="3">
      <formula>45</formula>
    </cfRule>
  </conditionalFormatting>
  <conditionalFormatting sqref="AP292">
    <cfRule type="cellIs" priority="3594" operator="greaterThan" aboveAverage="0" equalAverage="0" bottom="0" percent="0" rank="0" text="" dxfId="2">
      <formula>40</formula>
    </cfRule>
    <cfRule type="cellIs" priority="3595" operator="greaterThan" aboveAverage="0" equalAverage="0" bottom="0" percent="0" rank="0" text="" dxfId="3">
      <formula>45</formula>
    </cfRule>
  </conditionalFormatting>
  <conditionalFormatting sqref="AQ292">
    <cfRule type="cellIs" priority="3596" operator="greaterThan" aboveAverage="0" equalAverage="0" bottom="0" percent="0" rank="0" text="" dxfId="2">
      <formula>40</formula>
    </cfRule>
    <cfRule type="cellIs" priority="3597" operator="greaterThan" aboveAverage="0" equalAverage="0" bottom="0" percent="0" rank="0" text="" dxfId="3">
      <formula>45</formula>
    </cfRule>
  </conditionalFormatting>
  <conditionalFormatting sqref="AR292">
    <cfRule type="cellIs" priority="3598" operator="greaterThan" aboveAverage="0" equalAverage="0" bottom="0" percent="0" rank="0" text="" dxfId="2">
      <formula>40</formula>
    </cfRule>
    <cfRule type="cellIs" priority="3599" operator="greaterThan" aboveAverage="0" equalAverage="0" bottom="0" percent="0" rank="0" text="" dxfId="3">
      <formula>45</formula>
    </cfRule>
  </conditionalFormatting>
  <conditionalFormatting sqref="AS292">
    <cfRule type="cellIs" priority="3600" operator="greaterThan" aboveAverage="0" equalAverage="0" bottom="0" percent="0" rank="0" text="" dxfId="2">
      <formula>40</formula>
    </cfRule>
    <cfRule type="cellIs" priority="3601" operator="greaterThan" aboveAverage="0" equalAverage="0" bottom="0" percent="0" rank="0" text="" dxfId="3">
      <formula>45</formula>
    </cfRule>
  </conditionalFormatting>
  <conditionalFormatting sqref="F294">
    <cfRule type="cellIs" priority="3602" operator="greaterThan" aboveAverage="0" equalAverage="0" bottom="0" percent="0" rank="0" text="" dxfId="2">
      <formula>40</formula>
    </cfRule>
    <cfRule type="cellIs" priority="3603" operator="greaterThan" aboveAverage="0" equalAverage="0" bottom="0" percent="0" rank="0" text="" dxfId="3">
      <formula>45</formula>
    </cfRule>
  </conditionalFormatting>
  <conditionalFormatting sqref="G294">
    <cfRule type="cellIs" priority="3604" operator="greaterThan" aboveAverage="0" equalAverage="0" bottom="0" percent="0" rank="0" text="" dxfId="2">
      <formula>40</formula>
    </cfRule>
    <cfRule type="cellIs" priority="3605" operator="greaterThan" aboveAverage="0" equalAverage="0" bottom="0" percent="0" rank="0" text="" dxfId="3">
      <formula>45</formula>
    </cfRule>
  </conditionalFormatting>
  <conditionalFormatting sqref="H294">
    <cfRule type="cellIs" priority="3606" operator="greaterThan" aboveAverage="0" equalAverage="0" bottom="0" percent="0" rank="0" text="" dxfId="2">
      <formula>40</formula>
    </cfRule>
    <cfRule type="cellIs" priority="3607" operator="greaterThan" aboveAverage="0" equalAverage="0" bottom="0" percent="0" rank="0" text="" dxfId="3">
      <formula>45</formula>
    </cfRule>
  </conditionalFormatting>
  <conditionalFormatting sqref="I294">
    <cfRule type="cellIs" priority="3608" operator="greaterThan" aboveAverage="0" equalAverage="0" bottom="0" percent="0" rank="0" text="" dxfId="2">
      <formula>40</formula>
    </cfRule>
    <cfRule type="cellIs" priority="3609" operator="greaterThan" aboveAverage="0" equalAverage="0" bottom="0" percent="0" rank="0" text="" dxfId="3">
      <formula>45</formula>
    </cfRule>
  </conditionalFormatting>
  <conditionalFormatting sqref="J294">
    <cfRule type="cellIs" priority="3610" operator="greaterThan" aboveAverage="0" equalAverage="0" bottom="0" percent="0" rank="0" text="" dxfId="2">
      <formula>40</formula>
    </cfRule>
    <cfRule type="cellIs" priority="3611" operator="greaterThan" aboveAverage="0" equalAverage="0" bottom="0" percent="0" rank="0" text="" dxfId="3">
      <formula>45</formula>
    </cfRule>
  </conditionalFormatting>
  <conditionalFormatting sqref="K294">
    <cfRule type="cellIs" priority="3612" operator="greaterThan" aboveAverage="0" equalAverage="0" bottom="0" percent="0" rank="0" text="" dxfId="2">
      <formula>40</formula>
    </cfRule>
    <cfRule type="cellIs" priority="3613" operator="greaterThan" aboveAverage="0" equalAverage="0" bottom="0" percent="0" rank="0" text="" dxfId="3">
      <formula>45</formula>
    </cfRule>
  </conditionalFormatting>
  <conditionalFormatting sqref="L294">
    <cfRule type="cellIs" priority="3614" operator="greaterThan" aboveAverage="0" equalAverage="0" bottom="0" percent="0" rank="0" text="" dxfId="2">
      <formula>40</formula>
    </cfRule>
    <cfRule type="cellIs" priority="3615" operator="greaterThan" aboveAverage="0" equalAverage="0" bottom="0" percent="0" rank="0" text="" dxfId="3">
      <formula>45</formula>
    </cfRule>
  </conditionalFormatting>
  <conditionalFormatting sqref="M294">
    <cfRule type="cellIs" priority="3616" operator="greaterThan" aboveAverage="0" equalAverage="0" bottom="0" percent="0" rank="0" text="" dxfId="2">
      <formula>40</formula>
    </cfRule>
    <cfRule type="cellIs" priority="3617" operator="greaterThan" aboveAverage="0" equalAverage="0" bottom="0" percent="0" rank="0" text="" dxfId="3">
      <formula>45</formula>
    </cfRule>
  </conditionalFormatting>
  <conditionalFormatting sqref="N294">
    <cfRule type="cellIs" priority="3618" operator="greaterThan" aboveAverage="0" equalAverage="0" bottom="0" percent="0" rank="0" text="" dxfId="2">
      <formula>40</formula>
    </cfRule>
    <cfRule type="cellIs" priority="3619" operator="greaterThan" aboveAverage="0" equalAverage="0" bottom="0" percent="0" rank="0" text="" dxfId="3">
      <formula>45</formula>
    </cfRule>
  </conditionalFormatting>
  <conditionalFormatting sqref="O294">
    <cfRule type="cellIs" priority="3620" operator="greaterThan" aboveAverage="0" equalAverage="0" bottom="0" percent="0" rank="0" text="" dxfId="2">
      <formula>40</formula>
    </cfRule>
    <cfRule type="cellIs" priority="3621" operator="greaterThan" aboveAverage="0" equalAverage="0" bottom="0" percent="0" rank="0" text="" dxfId="3">
      <formula>45</formula>
    </cfRule>
  </conditionalFormatting>
  <conditionalFormatting sqref="P294">
    <cfRule type="cellIs" priority="3622" operator="greaterThan" aboveAverage="0" equalAverage="0" bottom="0" percent="0" rank="0" text="" dxfId="2">
      <formula>40</formula>
    </cfRule>
    <cfRule type="cellIs" priority="3623" operator="greaterThan" aboveAverage="0" equalAverage="0" bottom="0" percent="0" rank="0" text="" dxfId="3">
      <formula>45</formula>
    </cfRule>
  </conditionalFormatting>
  <conditionalFormatting sqref="Q294">
    <cfRule type="cellIs" priority="3624" operator="greaterThan" aboveAverage="0" equalAverage="0" bottom="0" percent="0" rank="0" text="" dxfId="2">
      <formula>40</formula>
    </cfRule>
    <cfRule type="cellIs" priority="3625" operator="greaterThan" aboveAverage="0" equalAverage="0" bottom="0" percent="0" rank="0" text="" dxfId="3">
      <formula>45</formula>
    </cfRule>
  </conditionalFormatting>
  <conditionalFormatting sqref="R294">
    <cfRule type="cellIs" priority="3626" operator="greaterThan" aboveAverage="0" equalAverage="0" bottom="0" percent="0" rank="0" text="" dxfId="2">
      <formula>40</formula>
    </cfRule>
    <cfRule type="cellIs" priority="3627" operator="greaterThan" aboveAverage="0" equalAverage="0" bottom="0" percent="0" rank="0" text="" dxfId="3">
      <formula>45</formula>
    </cfRule>
  </conditionalFormatting>
  <conditionalFormatting sqref="S294">
    <cfRule type="cellIs" priority="3628" operator="greaterThan" aboveAverage="0" equalAverage="0" bottom="0" percent="0" rank="0" text="" dxfId="2">
      <formula>40</formula>
    </cfRule>
    <cfRule type="cellIs" priority="3629" operator="greaterThan" aboveAverage="0" equalAverage="0" bottom="0" percent="0" rank="0" text="" dxfId="3">
      <formula>45</formula>
    </cfRule>
  </conditionalFormatting>
  <conditionalFormatting sqref="T294">
    <cfRule type="cellIs" priority="3630" operator="greaterThan" aboveAverage="0" equalAverage="0" bottom="0" percent="0" rank="0" text="" dxfId="2">
      <formula>40</formula>
    </cfRule>
    <cfRule type="cellIs" priority="3631" operator="greaterThan" aboveAverage="0" equalAverage="0" bottom="0" percent="0" rank="0" text="" dxfId="3">
      <formula>45</formula>
    </cfRule>
  </conditionalFormatting>
  <conditionalFormatting sqref="U294">
    <cfRule type="cellIs" priority="3632" operator="greaterThan" aboveAverage="0" equalAverage="0" bottom="0" percent="0" rank="0" text="" dxfId="2">
      <formula>40</formula>
    </cfRule>
    <cfRule type="cellIs" priority="3633" operator="greaterThan" aboveAverage="0" equalAverage="0" bottom="0" percent="0" rank="0" text="" dxfId="3">
      <formula>45</formula>
    </cfRule>
  </conditionalFormatting>
  <conditionalFormatting sqref="V294">
    <cfRule type="cellIs" priority="3634" operator="greaterThan" aboveAverage="0" equalAverage="0" bottom="0" percent="0" rank="0" text="" dxfId="2">
      <formula>40</formula>
    </cfRule>
    <cfRule type="cellIs" priority="3635" operator="greaterThan" aboveAverage="0" equalAverage="0" bottom="0" percent="0" rank="0" text="" dxfId="3">
      <formula>45</formula>
    </cfRule>
  </conditionalFormatting>
  <conditionalFormatting sqref="W294">
    <cfRule type="cellIs" priority="3636" operator="greaterThan" aboveAverage="0" equalAverage="0" bottom="0" percent="0" rank="0" text="" dxfId="2">
      <formula>40</formula>
    </cfRule>
    <cfRule type="cellIs" priority="3637" operator="greaterThan" aboveAverage="0" equalAverage="0" bottom="0" percent="0" rank="0" text="" dxfId="3">
      <formula>45</formula>
    </cfRule>
  </conditionalFormatting>
  <conditionalFormatting sqref="X294">
    <cfRule type="cellIs" priority="3638" operator="greaterThan" aboveAverage="0" equalAverage="0" bottom="0" percent="0" rank="0" text="" dxfId="2">
      <formula>55</formula>
    </cfRule>
    <cfRule type="cellIs" priority="3639" operator="greaterThan" aboveAverage="0" equalAverage="0" bottom="0" percent="0" rank="0" text="" dxfId="3">
      <formula>65</formula>
    </cfRule>
  </conditionalFormatting>
  <conditionalFormatting sqref="Y294">
    <cfRule type="cellIs" priority="3640" operator="greaterThan" aboveAverage="0" equalAverage="0" bottom="0" percent="0" rank="0" text="" dxfId="2">
      <formula>55</formula>
    </cfRule>
    <cfRule type="cellIs" priority="3641" operator="greaterThan" aboveAverage="0" equalAverage="0" bottom="0" percent="0" rank="0" text="" dxfId="3">
      <formula>65</formula>
    </cfRule>
  </conditionalFormatting>
  <conditionalFormatting sqref="Z294">
    <cfRule type="cellIs" priority="3642" operator="greaterThan" aboveAverage="0" equalAverage="0" bottom="0" percent="0" rank="0" text="" dxfId="2">
      <formula>55</formula>
    </cfRule>
    <cfRule type="cellIs" priority="3643" operator="greaterThan" aboveAverage="0" equalAverage="0" bottom="0" percent="0" rank="0" text="" dxfId="3">
      <formula>65</formula>
    </cfRule>
  </conditionalFormatting>
  <conditionalFormatting sqref="AA294">
    <cfRule type="cellIs" priority="3644" operator="greaterThan" aboveAverage="0" equalAverage="0" bottom="0" percent="0" rank="0" text="" dxfId="2">
      <formula>55</formula>
    </cfRule>
    <cfRule type="cellIs" priority="3645" operator="greaterThan" aboveAverage="0" equalAverage="0" bottom="0" percent="0" rank="0" text="" dxfId="3">
      <formula>65</formula>
    </cfRule>
  </conditionalFormatting>
  <conditionalFormatting sqref="AB294">
    <cfRule type="cellIs" priority="3646" operator="greaterThan" aboveAverage="0" equalAverage="0" bottom="0" percent="0" rank="0" text="" dxfId="2">
      <formula>55</formula>
    </cfRule>
    <cfRule type="cellIs" priority="3647" operator="greaterThan" aboveAverage="0" equalAverage="0" bottom="0" percent="0" rank="0" text="" dxfId="3">
      <formula>65</formula>
    </cfRule>
  </conditionalFormatting>
  <conditionalFormatting sqref="AC294">
    <cfRule type="cellIs" priority="3648" operator="greaterThan" aboveAverage="0" equalAverage="0" bottom="0" percent="0" rank="0" text="" dxfId="2">
      <formula>55</formula>
    </cfRule>
    <cfRule type="cellIs" priority="3649" operator="greaterThan" aboveAverage="0" equalAverage="0" bottom="0" percent="0" rank="0" text="" dxfId="3">
      <formula>65</formula>
    </cfRule>
  </conditionalFormatting>
  <conditionalFormatting sqref="AD294">
    <cfRule type="cellIs" priority="3650" operator="greaterThan" aboveAverage="0" equalAverage="0" bottom="0" percent="0" rank="0" text="" dxfId="2">
      <formula>55</formula>
    </cfRule>
    <cfRule type="cellIs" priority="3651" operator="greaterThan" aboveAverage="0" equalAverage="0" bottom="0" percent="0" rank="0" text="" dxfId="3">
      <formula>65</formula>
    </cfRule>
  </conditionalFormatting>
  <conditionalFormatting sqref="AE294">
    <cfRule type="cellIs" priority="3652" operator="greaterThan" aboveAverage="0" equalAverage="0" bottom="0" percent="0" rank="0" text="" dxfId="2">
      <formula>55</formula>
    </cfRule>
    <cfRule type="cellIs" priority="3653" operator="greaterThan" aboveAverage="0" equalAverage="0" bottom="0" percent="0" rank="0" text="" dxfId="3">
      <formula>65</formula>
    </cfRule>
  </conditionalFormatting>
  <conditionalFormatting sqref="AF294">
    <cfRule type="cellIs" priority="3654" operator="greaterThan" aboveAverage="0" equalAverage="0" bottom="0" percent="0" rank="0" text="" dxfId="2">
      <formula>40</formula>
    </cfRule>
    <cfRule type="cellIs" priority="3655" operator="greaterThan" aboveAverage="0" equalAverage="0" bottom="0" percent="0" rank="0" text="" dxfId="3">
      <formula>45</formula>
    </cfRule>
  </conditionalFormatting>
  <conditionalFormatting sqref="AG294">
    <cfRule type="cellIs" priority="3656" operator="greaterThan" aboveAverage="0" equalAverage="0" bottom="0" percent="0" rank="0" text="" dxfId="2">
      <formula>40</formula>
    </cfRule>
    <cfRule type="cellIs" priority="3657" operator="greaterThan" aboveAverage="0" equalAverage="0" bottom="0" percent="0" rank="0" text="" dxfId="3">
      <formula>45</formula>
    </cfRule>
  </conditionalFormatting>
  <conditionalFormatting sqref="AH294">
    <cfRule type="cellIs" priority="3658" operator="greaterThan" aboveAverage="0" equalAverage="0" bottom="0" percent="0" rank="0" text="" dxfId="2">
      <formula>40</formula>
    </cfRule>
    <cfRule type="cellIs" priority="3659" operator="greaterThan" aboveAverage="0" equalAverage="0" bottom="0" percent="0" rank="0" text="" dxfId="3">
      <formula>45</formula>
    </cfRule>
  </conditionalFormatting>
  <conditionalFormatting sqref="AI294">
    <cfRule type="cellIs" priority="3660" operator="greaterThan" aboveAverage="0" equalAverage="0" bottom="0" percent="0" rank="0" text="" dxfId="2">
      <formula>40</formula>
    </cfRule>
    <cfRule type="cellIs" priority="3661" operator="greaterThan" aboveAverage="0" equalAverage="0" bottom="0" percent="0" rank="0" text="" dxfId="3">
      <formula>45</formula>
    </cfRule>
  </conditionalFormatting>
  <conditionalFormatting sqref="AJ294">
    <cfRule type="cellIs" priority="3662" operator="greaterThan" aboveAverage="0" equalAverage="0" bottom="0" percent="0" rank="0" text="" dxfId="2">
      <formula>40</formula>
    </cfRule>
    <cfRule type="cellIs" priority="3663" operator="greaterThan" aboveAverage="0" equalAverage="0" bottom="0" percent="0" rank="0" text="" dxfId="3">
      <formula>45</formula>
    </cfRule>
  </conditionalFormatting>
  <conditionalFormatting sqref="AK294">
    <cfRule type="cellIs" priority="3664" operator="greaterThan" aboveAverage="0" equalAverage="0" bottom="0" percent="0" rank="0" text="" dxfId="2">
      <formula>40</formula>
    </cfRule>
    <cfRule type="cellIs" priority="3665" operator="greaterThan" aboveAverage="0" equalAverage="0" bottom="0" percent="0" rank="0" text="" dxfId="3">
      <formula>45</formula>
    </cfRule>
  </conditionalFormatting>
  <conditionalFormatting sqref="AL294">
    <cfRule type="cellIs" priority="3666" operator="greaterThan" aboveAverage="0" equalAverage="0" bottom="0" percent="0" rank="0" text="" dxfId="2">
      <formula>40</formula>
    </cfRule>
    <cfRule type="cellIs" priority="3667" operator="greaterThan" aboveAverage="0" equalAverage="0" bottom="0" percent="0" rank="0" text="" dxfId="3">
      <formula>45</formula>
    </cfRule>
  </conditionalFormatting>
  <conditionalFormatting sqref="AM294">
    <cfRule type="cellIs" priority="3668" operator="greaterThan" aboveAverage="0" equalAverage="0" bottom="0" percent="0" rank="0" text="" dxfId="2">
      <formula>40</formula>
    </cfRule>
    <cfRule type="cellIs" priority="3669" operator="greaterThan" aboveAverage="0" equalAverage="0" bottom="0" percent="0" rank="0" text="" dxfId="3">
      <formula>45</formula>
    </cfRule>
  </conditionalFormatting>
  <conditionalFormatting sqref="AN294">
    <cfRule type="cellIs" priority="3670" operator="greaterThan" aboveAverage="0" equalAverage="0" bottom="0" percent="0" rank="0" text="" dxfId="2">
      <formula>40</formula>
    </cfRule>
    <cfRule type="cellIs" priority="3671" operator="greaterThan" aboveAverage="0" equalAverage="0" bottom="0" percent="0" rank="0" text="" dxfId="3">
      <formula>45</formula>
    </cfRule>
  </conditionalFormatting>
  <conditionalFormatting sqref="AO294">
    <cfRule type="cellIs" priority="3672" operator="greaterThan" aboveAverage="0" equalAverage="0" bottom="0" percent="0" rank="0" text="" dxfId="2">
      <formula>40</formula>
    </cfRule>
    <cfRule type="cellIs" priority="3673" operator="greaterThan" aboveAverage="0" equalAverage="0" bottom="0" percent="0" rank="0" text="" dxfId="3">
      <formula>45</formula>
    </cfRule>
  </conditionalFormatting>
  <conditionalFormatting sqref="AP294">
    <cfRule type="cellIs" priority="3674" operator="greaterThan" aboveAverage="0" equalAverage="0" bottom="0" percent="0" rank="0" text="" dxfId="2">
      <formula>40</formula>
    </cfRule>
    <cfRule type="cellIs" priority="3675" operator="greaterThan" aboveAverage="0" equalAverage="0" bottom="0" percent="0" rank="0" text="" dxfId="3">
      <formula>45</formula>
    </cfRule>
  </conditionalFormatting>
  <conditionalFormatting sqref="AQ294">
    <cfRule type="cellIs" priority="3676" operator="greaterThan" aboveAverage="0" equalAverage="0" bottom="0" percent="0" rank="0" text="" dxfId="2">
      <formula>40</formula>
    </cfRule>
    <cfRule type="cellIs" priority="3677" operator="greaterThan" aboveAverage="0" equalAverage="0" bottom="0" percent="0" rank="0" text="" dxfId="3">
      <formula>45</formula>
    </cfRule>
  </conditionalFormatting>
  <conditionalFormatting sqref="AR294">
    <cfRule type="cellIs" priority="3678" operator="greaterThan" aboveAverage="0" equalAverage="0" bottom="0" percent="0" rank="0" text="" dxfId="2">
      <formula>40</formula>
    </cfRule>
    <cfRule type="cellIs" priority="3679" operator="greaterThan" aboveAverage="0" equalAverage="0" bottom="0" percent="0" rank="0" text="" dxfId="3">
      <formula>45</formula>
    </cfRule>
  </conditionalFormatting>
  <conditionalFormatting sqref="AS294">
    <cfRule type="cellIs" priority="3680" operator="greaterThan" aboveAverage="0" equalAverage="0" bottom="0" percent="0" rank="0" text="" dxfId="2">
      <formula>40</formula>
    </cfRule>
    <cfRule type="cellIs" priority="3681" operator="greaterThan" aboveAverage="0" equalAverage="0" bottom="0" percent="0" rank="0" text="" dxfId="3">
      <formula>45</formula>
    </cfRule>
  </conditionalFormatting>
  <conditionalFormatting sqref="F296">
    <cfRule type="cellIs" priority="3682" operator="greaterThan" aboveAverage="0" equalAverage="0" bottom="0" percent="0" rank="0" text="" dxfId="2">
      <formula>40</formula>
    </cfRule>
    <cfRule type="cellIs" priority="3683" operator="greaterThan" aboveAverage="0" equalAverage="0" bottom="0" percent="0" rank="0" text="" dxfId="3">
      <formula>45</formula>
    </cfRule>
  </conditionalFormatting>
  <conditionalFormatting sqref="G296">
    <cfRule type="cellIs" priority="3684" operator="greaterThan" aboveAverage="0" equalAverage="0" bottom="0" percent="0" rank="0" text="" dxfId="2">
      <formula>40</formula>
    </cfRule>
    <cfRule type="cellIs" priority="3685" operator="greaterThan" aboveAverage="0" equalAverage="0" bottom="0" percent="0" rank="0" text="" dxfId="3">
      <formula>45</formula>
    </cfRule>
  </conditionalFormatting>
  <conditionalFormatting sqref="H296">
    <cfRule type="cellIs" priority="3686" operator="greaterThan" aboveAverage="0" equalAverage="0" bottom="0" percent="0" rank="0" text="" dxfId="2">
      <formula>40</formula>
    </cfRule>
    <cfRule type="cellIs" priority="3687" operator="greaterThan" aboveAverage="0" equalAverage="0" bottom="0" percent="0" rank="0" text="" dxfId="3">
      <formula>45</formula>
    </cfRule>
  </conditionalFormatting>
  <conditionalFormatting sqref="I296">
    <cfRule type="cellIs" priority="3688" operator="greaterThan" aboveAverage="0" equalAverage="0" bottom="0" percent="0" rank="0" text="" dxfId="2">
      <formula>40</formula>
    </cfRule>
    <cfRule type="cellIs" priority="3689" operator="greaterThan" aboveAverage="0" equalAverage="0" bottom="0" percent="0" rank="0" text="" dxfId="3">
      <formula>45</formula>
    </cfRule>
  </conditionalFormatting>
  <conditionalFormatting sqref="J296">
    <cfRule type="cellIs" priority="3690" operator="greaterThan" aboveAverage="0" equalAverage="0" bottom="0" percent="0" rank="0" text="" dxfId="2">
      <formula>40</formula>
    </cfRule>
    <cfRule type="cellIs" priority="3691" operator="greaterThan" aboveAverage="0" equalAverage="0" bottom="0" percent="0" rank="0" text="" dxfId="3">
      <formula>45</formula>
    </cfRule>
  </conditionalFormatting>
  <conditionalFormatting sqref="K296">
    <cfRule type="cellIs" priority="3692" operator="greaterThan" aboveAverage="0" equalAverage="0" bottom="0" percent="0" rank="0" text="" dxfId="2">
      <formula>40</formula>
    </cfRule>
    <cfRule type="cellIs" priority="3693" operator="greaterThan" aboveAverage="0" equalAverage="0" bottom="0" percent="0" rank="0" text="" dxfId="3">
      <formula>45</formula>
    </cfRule>
  </conditionalFormatting>
  <conditionalFormatting sqref="L296">
    <cfRule type="cellIs" priority="3694" operator="greaterThan" aboveAverage="0" equalAverage="0" bottom="0" percent="0" rank="0" text="" dxfId="2">
      <formula>40</formula>
    </cfRule>
    <cfRule type="cellIs" priority="3695" operator="greaterThan" aboveAverage="0" equalAverage="0" bottom="0" percent="0" rank="0" text="" dxfId="3">
      <formula>45</formula>
    </cfRule>
  </conditionalFormatting>
  <conditionalFormatting sqref="M296">
    <cfRule type="cellIs" priority="3696" operator="greaterThan" aboveAverage="0" equalAverage="0" bottom="0" percent="0" rank="0" text="" dxfId="2">
      <formula>40</formula>
    </cfRule>
    <cfRule type="cellIs" priority="3697" operator="greaterThan" aboveAverage="0" equalAverage="0" bottom="0" percent="0" rank="0" text="" dxfId="3">
      <formula>45</formula>
    </cfRule>
  </conditionalFormatting>
  <conditionalFormatting sqref="N296">
    <cfRule type="cellIs" priority="3698" operator="greaterThan" aboveAverage="0" equalAverage="0" bottom="0" percent="0" rank="0" text="" dxfId="2">
      <formula>40</formula>
    </cfRule>
    <cfRule type="cellIs" priority="3699" operator="greaterThan" aboveAverage="0" equalAverage="0" bottom="0" percent="0" rank="0" text="" dxfId="3">
      <formula>45</formula>
    </cfRule>
  </conditionalFormatting>
  <conditionalFormatting sqref="O296">
    <cfRule type="cellIs" priority="3700" operator="greaterThan" aboveAverage="0" equalAverage="0" bottom="0" percent="0" rank="0" text="" dxfId="2">
      <formula>40</formula>
    </cfRule>
    <cfRule type="cellIs" priority="3701" operator="greaterThan" aboveAverage="0" equalAverage="0" bottom="0" percent="0" rank="0" text="" dxfId="3">
      <formula>45</formula>
    </cfRule>
  </conditionalFormatting>
  <conditionalFormatting sqref="P296">
    <cfRule type="cellIs" priority="3702" operator="greaterThan" aboveAverage="0" equalAverage="0" bottom="0" percent="0" rank="0" text="" dxfId="2">
      <formula>40</formula>
    </cfRule>
    <cfRule type="cellIs" priority="3703" operator="greaterThan" aboveAverage="0" equalAverage="0" bottom="0" percent="0" rank="0" text="" dxfId="3">
      <formula>45</formula>
    </cfRule>
  </conditionalFormatting>
  <conditionalFormatting sqref="Q296">
    <cfRule type="cellIs" priority="3704" operator="greaterThan" aboveAverage="0" equalAverage="0" bottom="0" percent="0" rank="0" text="" dxfId="2">
      <formula>40</formula>
    </cfRule>
    <cfRule type="cellIs" priority="3705" operator="greaterThan" aboveAverage="0" equalAverage="0" bottom="0" percent="0" rank="0" text="" dxfId="3">
      <formula>45</formula>
    </cfRule>
  </conditionalFormatting>
  <conditionalFormatting sqref="R296">
    <cfRule type="cellIs" priority="3706" operator="greaterThan" aboveAverage="0" equalAverage="0" bottom="0" percent="0" rank="0" text="" dxfId="2">
      <formula>40</formula>
    </cfRule>
    <cfRule type="cellIs" priority="3707" operator="greaterThan" aboveAverage="0" equalAverage="0" bottom="0" percent="0" rank="0" text="" dxfId="3">
      <formula>45</formula>
    </cfRule>
  </conditionalFormatting>
  <conditionalFormatting sqref="S296">
    <cfRule type="cellIs" priority="3708" operator="greaterThan" aboveAverage="0" equalAverage="0" bottom="0" percent="0" rank="0" text="" dxfId="2">
      <formula>40</formula>
    </cfRule>
    <cfRule type="cellIs" priority="3709" operator="greaterThan" aboveAverage="0" equalAverage="0" bottom="0" percent="0" rank="0" text="" dxfId="3">
      <formula>45</formula>
    </cfRule>
  </conditionalFormatting>
  <conditionalFormatting sqref="T296">
    <cfRule type="cellIs" priority="3710" operator="greaterThan" aboveAverage="0" equalAverage="0" bottom="0" percent="0" rank="0" text="" dxfId="2">
      <formula>40</formula>
    </cfRule>
    <cfRule type="cellIs" priority="3711" operator="greaterThan" aboveAverage="0" equalAverage="0" bottom="0" percent="0" rank="0" text="" dxfId="3">
      <formula>45</formula>
    </cfRule>
  </conditionalFormatting>
  <conditionalFormatting sqref="U296">
    <cfRule type="cellIs" priority="3712" operator="greaterThan" aboveAverage="0" equalAverage="0" bottom="0" percent="0" rank="0" text="" dxfId="2">
      <formula>40</formula>
    </cfRule>
    <cfRule type="cellIs" priority="3713" operator="greaterThan" aboveAverage="0" equalAverage="0" bottom="0" percent="0" rank="0" text="" dxfId="3">
      <formula>45</formula>
    </cfRule>
  </conditionalFormatting>
  <conditionalFormatting sqref="V296">
    <cfRule type="cellIs" priority="3714" operator="greaterThan" aboveAverage="0" equalAverage="0" bottom="0" percent="0" rank="0" text="" dxfId="2">
      <formula>40</formula>
    </cfRule>
    <cfRule type="cellIs" priority="3715" operator="greaterThan" aboveAverage="0" equalAverage="0" bottom="0" percent="0" rank="0" text="" dxfId="3">
      <formula>45</formula>
    </cfRule>
  </conditionalFormatting>
  <conditionalFormatting sqref="W296">
    <cfRule type="cellIs" priority="3716" operator="greaterThan" aboveAverage="0" equalAverage="0" bottom="0" percent="0" rank="0" text="" dxfId="2">
      <formula>40</formula>
    </cfRule>
    <cfRule type="cellIs" priority="3717" operator="greaterThan" aboveAverage="0" equalAverage="0" bottom="0" percent="0" rank="0" text="" dxfId="3">
      <formula>45</formula>
    </cfRule>
  </conditionalFormatting>
  <conditionalFormatting sqref="X296">
    <cfRule type="cellIs" priority="3718" operator="greaterThan" aboveAverage="0" equalAverage="0" bottom="0" percent="0" rank="0" text="" dxfId="2">
      <formula>55</formula>
    </cfRule>
    <cfRule type="cellIs" priority="3719" operator="greaterThan" aboveAverage="0" equalAverage="0" bottom="0" percent="0" rank="0" text="" dxfId="3">
      <formula>65</formula>
    </cfRule>
  </conditionalFormatting>
  <conditionalFormatting sqref="Y296">
    <cfRule type="cellIs" priority="3720" operator="greaterThan" aboveAverage="0" equalAverage="0" bottom="0" percent="0" rank="0" text="" dxfId="2">
      <formula>55</formula>
    </cfRule>
    <cfRule type="cellIs" priority="3721" operator="greaterThan" aboveAverage="0" equalAverage="0" bottom="0" percent="0" rank="0" text="" dxfId="3">
      <formula>65</formula>
    </cfRule>
  </conditionalFormatting>
  <conditionalFormatting sqref="Z296">
    <cfRule type="cellIs" priority="3722" operator="greaterThan" aboveAverage="0" equalAverage="0" bottom="0" percent="0" rank="0" text="" dxfId="2">
      <formula>55</formula>
    </cfRule>
    <cfRule type="cellIs" priority="3723" operator="greaterThan" aboveAverage="0" equalAverage="0" bottom="0" percent="0" rank="0" text="" dxfId="3">
      <formula>65</formula>
    </cfRule>
  </conditionalFormatting>
  <conditionalFormatting sqref="AA296">
    <cfRule type="cellIs" priority="3724" operator="greaterThan" aboveAverage="0" equalAverage="0" bottom="0" percent="0" rank="0" text="" dxfId="2">
      <formula>55</formula>
    </cfRule>
    <cfRule type="cellIs" priority="3725" operator="greaterThan" aboveAverage="0" equalAverage="0" bottom="0" percent="0" rank="0" text="" dxfId="3">
      <formula>65</formula>
    </cfRule>
  </conditionalFormatting>
  <conditionalFormatting sqref="AB296">
    <cfRule type="cellIs" priority="3726" operator="greaterThan" aboveAverage="0" equalAverage="0" bottom="0" percent="0" rank="0" text="" dxfId="2">
      <formula>55</formula>
    </cfRule>
    <cfRule type="cellIs" priority="3727" operator="greaterThan" aboveAverage="0" equalAverage="0" bottom="0" percent="0" rank="0" text="" dxfId="3">
      <formula>65</formula>
    </cfRule>
  </conditionalFormatting>
  <conditionalFormatting sqref="AC296">
    <cfRule type="cellIs" priority="3728" operator="greaterThan" aboveAverage="0" equalAverage="0" bottom="0" percent="0" rank="0" text="" dxfId="2">
      <formula>55</formula>
    </cfRule>
    <cfRule type="cellIs" priority="3729" operator="greaterThan" aboveAverage="0" equalAverage="0" bottom="0" percent="0" rank="0" text="" dxfId="3">
      <formula>65</formula>
    </cfRule>
  </conditionalFormatting>
  <conditionalFormatting sqref="AD296">
    <cfRule type="cellIs" priority="3730" operator="greaterThan" aboveAverage="0" equalAverage="0" bottom="0" percent="0" rank="0" text="" dxfId="2">
      <formula>55</formula>
    </cfRule>
    <cfRule type="cellIs" priority="3731" operator="greaterThan" aboveAverage="0" equalAverage="0" bottom="0" percent="0" rank="0" text="" dxfId="3">
      <formula>65</formula>
    </cfRule>
  </conditionalFormatting>
  <conditionalFormatting sqref="AE296">
    <cfRule type="cellIs" priority="3732" operator="greaterThan" aboveAverage="0" equalAverage="0" bottom="0" percent="0" rank="0" text="" dxfId="2">
      <formula>55</formula>
    </cfRule>
    <cfRule type="cellIs" priority="3733" operator="greaterThan" aboveAverage="0" equalAverage="0" bottom="0" percent="0" rank="0" text="" dxfId="3">
      <formula>65</formula>
    </cfRule>
  </conditionalFormatting>
  <conditionalFormatting sqref="AF296">
    <cfRule type="cellIs" priority="3734" operator="greaterThan" aboveAverage="0" equalAverage="0" bottom="0" percent="0" rank="0" text="" dxfId="2">
      <formula>40</formula>
    </cfRule>
    <cfRule type="cellIs" priority="3735" operator="greaterThan" aboveAverage="0" equalAverage="0" bottom="0" percent="0" rank="0" text="" dxfId="3">
      <formula>45</formula>
    </cfRule>
  </conditionalFormatting>
  <conditionalFormatting sqref="AG296">
    <cfRule type="cellIs" priority="3736" operator="greaterThan" aboveAverage="0" equalAverage="0" bottom="0" percent="0" rank="0" text="" dxfId="2">
      <formula>40</formula>
    </cfRule>
    <cfRule type="cellIs" priority="3737" operator="greaterThan" aboveAverage="0" equalAverage="0" bottom="0" percent="0" rank="0" text="" dxfId="3">
      <formula>45</formula>
    </cfRule>
  </conditionalFormatting>
  <conditionalFormatting sqref="AH296">
    <cfRule type="cellIs" priority="3738" operator="greaterThan" aboveAverage="0" equalAverage="0" bottom="0" percent="0" rank="0" text="" dxfId="2">
      <formula>40</formula>
    </cfRule>
    <cfRule type="cellIs" priority="3739" operator="greaterThan" aboveAverage="0" equalAverage="0" bottom="0" percent="0" rank="0" text="" dxfId="3">
      <formula>45</formula>
    </cfRule>
  </conditionalFormatting>
  <conditionalFormatting sqref="AI296">
    <cfRule type="cellIs" priority="3740" operator="greaterThan" aboveAverage="0" equalAverage="0" bottom="0" percent="0" rank="0" text="" dxfId="2">
      <formula>40</formula>
    </cfRule>
    <cfRule type="cellIs" priority="3741" operator="greaterThan" aboveAverage="0" equalAverage="0" bottom="0" percent="0" rank="0" text="" dxfId="3">
      <formula>45</formula>
    </cfRule>
  </conditionalFormatting>
  <conditionalFormatting sqref="AJ296">
    <cfRule type="cellIs" priority="3742" operator="greaterThan" aboveAverage="0" equalAverage="0" bottom="0" percent="0" rank="0" text="" dxfId="2">
      <formula>40</formula>
    </cfRule>
    <cfRule type="cellIs" priority="3743" operator="greaterThan" aboveAverage="0" equalAverage="0" bottom="0" percent="0" rank="0" text="" dxfId="3">
      <formula>45</formula>
    </cfRule>
  </conditionalFormatting>
  <conditionalFormatting sqref="AK296">
    <cfRule type="cellIs" priority="3744" operator="greaterThan" aboveAverage="0" equalAverage="0" bottom="0" percent="0" rank="0" text="" dxfId="2">
      <formula>40</formula>
    </cfRule>
    <cfRule type="cellIs" priority="3745" operator="greaterThan" aboveAverage="0" equalAverage="0" bottom="0" percent="0" rank="0" text="" dxfId="3">
      <formula>45</formula>
    </cfRule>
  </conditionalFormatting>
  <conditionalFormatting sqref="AL296">
    <cfRule type="cellIs" priority="3746" operator="greaterThan" aboveAverage="0" equalAverage="0" bottom="0" percent="0" rank="0" text="" dxfId="2">
      <formula>40</formula>
    </cfRule>
    <cfRule type="cellIs" priority="3747" operator="greaterThan" aboveAverage="0" equalAverage="0" bottom="0" percent="0" rank="0" text="" dxfId="3">
      <formula>45</formula>
    </cfRule>
  </conditionalFormatting>
  <conditionalFormatting sqref="AM296">
    <cfRule type="cellIs" priority="3748" operator="greaterThan" aboveAverage="0" equalAverage="0" bottom="0" percent="0" rank="0" text="" dxfId="2">
      <formula>40</formula>
    </cfRule>
    <cfRule type="cellIs" priority="3749" operator="greaterThan" aboveAverage="0" equalAverage="0" bottom="0" percent="0" rank="0" text="" dxfId="3">
      <formula>45</formula>
    </cfRule>
  </conditionalFormatting>
  <conditionalFormatting sqref="AN296">
    <cfRule type="cellIs" priority="3750" operator="greaterThan" aboveAverage="0" equalAverage="0" bottom="0" percent="0" rank="0" text="" dxfId="2">
      <formula>40</formula>
    </cfRule>
    <cfRule type="cellIs" priority="3751" operator="greaterThan" aboveAverage="0" equalAverage="0" bottom="0" percent="0" rank="0" text="" dxfId="3">
      <formula>45</formula>
    </cfRule>
  </conditionalFormatting>
  <conditionalFormatting sqref="AO296">
    <cfRule type="cellIs" priority="3752" operator="greaterThan" aboveAverage="0" equalAverage="0" bottom="0" percent="0" rank="0" text="" dxfId="2">
      <formula>40</formula>
    </cfRule>
    <cfRule type="cellIs" priority="3753" operator="greaterThan" aboveAverage="0" equalAverage="0" bottom="0" percent="0" rank="0" text="" dxfId="3">
      <formula>45</formula>
    </cfRule>
  </conditionalFormatting>
  <conditionalFormatting sqref="AP296">
    <cfRule type="cellIs" priority="3754" operator="greaterThan" aboveAverage="0" equalAverage="0" bottom="0" percent="0" rank="0" text="" dxfId="2">
      <formula>40</formula>
    </cfRule>
    <cfRule type="cellIs" priority="3755" operator="greaterThan" aboveAverage="0" equalAverage="0" bottom="0" percent="0" rank="0" text="" dxfId="3">
      <formula>45</formula>
    </cfRule>
  </conditionalFormatting>
  <conditionalFormatting sqref="AQ296">
    <cfRule type="cellIs" priority="3756" operator="greaterThan" aboveAverage="0" equalAverage="0" bottom="0" percent="0" rank="0" text="" dxfId="2">
      <formula>40</formula>
    </cfRule>
    <cfRule type="cellIs" priority="3757" operator="greaterThan" aboveAverage="0" equalAverage="0" bottom="0" percent="0" rank="0" text="" dxfId="3">
      <formula>45</formula>
    </cfRule>
  </conditionalFormatting>
  <conditionalFormatting sqref="AR296">
    <cfRule type="cellIs" priority="3758" operator="greaterThan" aboveAverage="0" equalAverage="0" bottom="0" percent="0" rank="0" text="" dxfId="2">
      <formula>40</formula>
    </cfRule>
    <cfRule type="cellIs" priority="3759" operator="greaterThan" aboveAverage="0" equalAverage="0" bottom="0" percent="0" rank="0" text="" dxfId="3">
      <formula>45</formula>
    </cfRule>
  </conditionalFormatting>
  <conditionalFormatting sqref="AS296">
    <cfRule type="cellIs" priority="3760" operator="greaterThan" aboveAverage="0" equalAverage="0" bottom="0" percent="0" rank="0" text="" dxfId="2">
      <formula>40</formula>
    </cfRule>
    <cfRule type="cellIs" priority="3761" operator="greaterThan" aboveAverage="0" equalAverage="0" bottom="0" percent="0" rank="0" text="" dxfId="3">
      <formula>45</formula>
    </cfRule>
  </conditionalFormatting>
  <conditionalFormatting sqref="F298">
    <cfRule type="cellIs" priority="3762" operator="greaterThan" aboveAverage="0" equalAverage="0" bottom="0" percent="0" rank="0" text="" dxfId="2">
      <formula>40</formula>
    </cfRule>
    <cfRule type="cellIs" priority="3763" operator="greaterThan" aboveAverage="0" equalAverage="0" bottom="0" percent="0" rank="0" text="" dxfId="3">
      <formula>45</formula>
    </cfRule>
  </conditionalFormatting>
  <conditionalFormatting sqref="G298">
    <cfRule type="cellIs" priority="3764" operator="greaterThan" aboveAverage="0" equalAverage="0" bottom="0" percent="0" rank="0" text="" dxfId="2">
      <formula>40</formula>
    </cfRule>
    <cfRule type="cellIs" priority="3765" operator="greaterThan" aboveAverage="0" equalAverage="0" bottom="0" percent="0" rank="0" text="" dxfId="3">
      <formula>45</formula>
    </cfRule>
  </conditionalFormatting>
  <conditionalFormatting sqref="H298">
    <cfRule type="cellIs" priority="3766" operator="greaterThan" aboveAverage="0" equalAverage="0" bottom="0" percent="0" rank="0" text="" dxfId="2">
      <formula>40</formula>
    </cfRule>
    <cfRule type="cellIs" priority="3767" operator="greaterThan" aboveAverage="0" equalAverage="0" bottom="0" percent="0" rank="0" text="" dxfId="3">
      <formula>45</formula>
    </cfRule>
  </conditionalFormatting>
  <conditionalFormatting sqref="I298">
    <cfRule type="cellIs" priority="3768" operator="greaterThan" aboveAverage="0" equalAverage="0" bottom="0" percent="0" rank="0" text="" dxfId="2">
      <formula>40</formula>
    </cfRule>
    <cfRule type="cellIs" priority="3769" operator="greaterThan" aboveAverage="0" equalAverage="0" bottom="0" percent="0" rank="0" text="" dxfId="3">
      <formula>45</formula>
    </cfRule>
  </conditionalFormatting>
  <conditionalFormatting sqref="J298">
    <cfRule type="cellIs" priority="3770" operator="greaterThan" aboveAverage="0" equalAverage="0" bottom="0" percent="0" rank="0" text="" dxfId="2">
      <formula>40</formula>
    </cfRule>
    <cfRule type="cellIs" priority="3771" operator="greaterThan" aboveAverage="0" equalAverage="0" bottom="0" percent="0" rank="0" text="" dxfId="3">
      <formula>45</formula>
    </cfRule>
  </conditionalFormatting>
  <conditionalFormatting sqref="K298">
    <cfRule type="cellIs" priority="3772" operator="greaterThan" aboveAverage="0" equalAverage="0" bottom="0" percent="0" rank="0" text="" dxfId="2">
      <formula>40</formula>
    </cfRule>
    <cfRule type="cellIs" priority="3773" operator="greaterThan" aboveAverage="0" equalAverage="0" bottom="0" percent="0" rank="0" text="" dxfId="3">
      <formula>45</formula>
    </cfRule>
  </conditionalFormatting>
  <conditionalFormatting sqref="L298">
    <cfRule type="cellIs" priority="3774" operator="greaterThan" aboveAverage="0" equalAverage="0" bottom="0" percent="0" rank="0" text="" dxfId="2">
      <formula>40</formula>
    </cfRule>
    <cfRule type="cellIs" priority="3775" operator="greaterThan" aboveAverage="0" equalAverage="0" bottom="0" percent="0" rank="0" text="" dxfId="3">
      <formula>45</formula>
    </cfRule>
  </conditionalFormatting>
  <conditionalFormatting sqref="M298">
    <cfRule type="cellIs" priority="3776" operator="greaterThan" aboveAverage="0" equalAverage="0" bottom="0" percent="0" rank="0" text="" dxfId="2">
      <formula>40</formula>
    </cfRule>
    <cfRule type="cellIs" priority="3777" operator="greaterThan" aboveAverage="0" equalAverage="0" bottom="0" percent="0" rank="0" text="" dxfId="3">
      <formula>45</formula>
    </cfRule>
  </conditionalFormatting>
  <conditionalFormatting sqref="N298">
    <cfRule type="cellIs" priority="3778" operator="greaterThan" aboveAverage="0" equalAverage="0" bottom="0" percent="0" rank="0" text="" dxfId="2">
      <formula>40</formula>
    </cfRule>
    <cfRule type="cellIs" priority="3779" operator="greaterThan" aboveAverage="0" equalAverage="0" bottom="0" percent="0" rank="0" text="" dxfId="3">
      <formula>45</formula>
    </cfRule>
  </conditionalFormatting>
  <conditionalFormatting sqref="O298">
    <cfRule type="cellIs" priority="3780" operator="greaterThan" aboveAverage="0" equalAverage="0" bottom="0" percent="0" rank="0" text="" dxfId="2">
      <formula>40</formula>
    </cfRule>
    <cfRule type="cellIs" priority="3781" operator="greaterThan" aboveAverage="0" equalAverage="0" bottom="0" percent="0" rank="0" text="" dxfId="3">
      <formula>45</formula>
    </cfRule>
  </conditionalFormatting>
  <conditionalFormatting sqref="P298">
    <cfRule type="cellIs" priority="3782" operator="greaterThan" aboveAverage="0" equalAverage="0" bottom="0" percent="0" rank="0" text="" dxfId="2">
      <formula>40</formula>
    </cfRule>
    <cfRule type="cellIs" priority="3783" operator="greaterThan" aboveAverage="0" equalAverage="0" bottom="0" percent="0" rank="0" text="" dxfId="3">
      <formula>45</formula>
    </cfRule>
  </conditionalFormatting>
  <conditionalFormatting sqref="Q298">
    <cfRule type="cellIs" priority="3784" operator="greaterThan" aboveAverage="0" equalAverage="0" bottom="0" percent="0" rank="0" text="" dxfId="2">
      <formula>40</formula>
    </cfRule>
    <cfRule type="cellIs" priority="3785" operator="greaterThan" aboveAverage="0" equalAverage="0" bottom="0" percent="0" rank="0" text="" dxfId="3">
      <formula>45</formula>
    </cfRule>
  </conditionalFormatting>
  <conditionalFormatting sqref="R298">
    <cfRule type="cellIs" priority="3786" operator="greaterThan" aboveAverage="0" equalAverage="0" bottom="0" percent="0" rank="0" text="" dxfId="2">
      <formula>40</formula>
    </cfRule>
    <cfRule type="cellIs" priority="3787" operator="greaterThan" aboveAverage="0" equalAverage="0" bottom="0" percent="0" rank="0" text="" dxfId="3">
      <formula>45</formula>
    </cfRule>
  </conditionalFormatting>
  <conditionalFormatting sqref="S298">
    <cfRule type="cellIs" priority="3788" operator="greaterThan" aboveAverage="0" equalAverage="0" bottom="0" percent="0" rank="0" text="" dxfId="2">
      <formula>40</formula>
    </cfRule>
    <cfRule type="cellIs" priority="3789" operator="greaterThan" aboveAverage="0" equalAverage="0" bottom="0" percent="0" rank="0" text="" dxfId="3">
      <formula>45</formula>
    </cfRule>
  </conditionalFormatting>
  <conditionalFormatting sqref="T298">
    <cfRule type="cellIs" priority="3790" operator="greaterThan" aboveAverage="0" equalAverage="0" bottom="0" percent="0" rank="0" text="" dxfId="2">
      <formula>40</formula>
    </cfRule>
    <cfRule type="cellIs" priority="3791" operator="greaterThan" aboveAverage="0" equalAverage="0" bottom="0" percent="0" rank="0" text="" dxfId="3">
      <formula>45</formula>
    </cfRule>
  </conditionalFormatting>
  <conditionalFormatting sqref="U298">
    <cfRule type="cellIs" priority="3792" operator="greaterThan" aboveAverage="0" equalAverage="0" bottom="0" percent="0" rank="0" text="" dxfId="2">
      <formula>40</formula>
    </cfRule>
    <cfRule type="cellIs" priority="3793" operator="greaterThan" aboveAverage="0" equalAverage="0" bottom="0" percent="0" rank="0" text="" dxfId="3">
      <formula>45</formula>
    </cfRule>
  </conditionalFormatting>
  <conditionalFormatting sqref="V298">
    <cfRule type="cellIs" priority="3794" operator="greaterThan" aboveAverage="0" equalAverage="0" bottom="0" percent="0" rank="0" text="" dxfId="2">
      <formula>40</formula>
    </cfRule>
    <cfRule type="cellIs" priority="3795" operator="greaterThan" aboveAverage="0" equalAverage="0" bottom="0" percent="0" rank="0" text="" dxfId="3">
      <formula>45</formula>
    </cfRule>
  </conditionalFormatting>
  <conditionalFormatting sqref="W298">
    <cfRule type="cellIs" priority="3796" operator="greaterThan" aboveAverage="0" equalAverage="0" bottom="0" percent="0" rank="0" text="" dxfId="2">
      <formula>40</formula>
    </cfRule>
    <cfRule type="cellIs" priority="3797" operator="greaterThan" aboveAverage="0" equalAverage="0" bottom="0" percent="0" rank="0" text="" dxfId="3">
      <formula>45</formula>
    </cfRule>
  </conditionalFormatting>
  <conditionalFormatting sqref="X298">
    <cfRule type="cellIs" priority="3798" operator="greaterThan" aboveAverage="0" equalAverage="0" bottom="0" percent="0" rank="0" text="" dxfId="2">
      <formula>55</formula>
    </cfRule>
    <cfRule type="cellIs" priority="3799" operator="greaterThan" aboveAverage="0" equalAverage="0" bottom="0" percent="0" rank="0" text="" dxfId="3">
      <formula>65</formula>
    </cfRule>
  </conditionalFormatting>
  <conditionalFormatting sqref="Y298">
    <cfRule type="cellIs" priority="3800" operator="greaterThan" aboveAverage="0" equalAverage="0" bottom="0" percent="0" rank="0" text="" dxfId="2">
      <formula>55</formula>
    </cfRule>
    <cfRule type="cellIs" priority="3801" operator="greaterThan" aboveAverage="0" equalAverage="0" bottom="0" percent="0" rank="0" text="" dxfId="3">
      <formula>65</formula>
    </cfRule>
  </conditionalFormatting>
  <conditionalFormatting sqref="Z298">
    <cfRule type="cellIs" priority="3802" operator="greaterThan" aboveAverage="0" equalAverage="0" bottom="0" percent="0" rank="0" text="" dxfId="2">
      <formula>55</formula>
    </cfRule>
    <cfRule type="cellIs" priority="3803" operator="greaterThan" aboveAverage="0" equalAverage="0" bottom="0" percent="0" rank="0" text="" dxfId="3">
      <formula>65</formula>
    </cfRule>
  </conditionalFormatting>
  <conditionalFormatting sqref="AA298">
    <cfRule type="cellIs" priority="3804" operator="greaterThan" aboveAverage="0" equalAverage="0" bottom="0" percent="0" rank="0" text="" dxfId="2">
      <formula>55</formula>
    </cfRule>
    <cfRule type="cellIs" priority="3805" operator="greaterThan" aboveAverage="0" equalAverage="0" bottom="0" percent="0" rank="0" text="" dxfId="3">
      <formula>65</formula>
    </cfRule>
  </conditionalFormatting>
  <conditionalFormatting sqref="AB298">
    <cfRule type="cellIs" priority="3806" operator="greaterThan" aboveAverage="0" equalAverage="0" bottom="0" percent="0" rank="0" text="" dxfId="2">
      <formula>55</formula>
    </cfRule>
    <cfRule type="cellIs" priority="3807" operator="greaterThan" aboveAverage="0" equalAverage="0" bottom="0" percent="0" rank="0" text="" dxfId="3">
      <formula>65</formula>
    </cfRule>
  </conditionalFormatting>
  <conditionalFormatting sqref="AC298">
    <cfRule type="cellIs" priority="3808" operator="greaterThan" aboveAverage="0" equalAverage="0" bottom="0" percent="0" rank="0" text="" dxfId="2">
      <formula>55</formula>
    </cfRule>
    <cfRule type="cellIs" priority="3809" operator="greaterThan" aboveAverage="0" equalAverage="0" bottom="0" percent="0" rank="0" text="" dxfId="3">
      <formula>65</formula>
    </cfRule>
  </conditionalFormatting>
  <conditionalFormatting sqref="AD298">
    <cfRule type="cellIs" priority="3810" operator="greaterThan" aboveAverage="0" equalAverage="0" bottom="0" percent="0" rank="0" text="" dxfId="2">
      <formula>55</formula>
    </cfRule>
    <cfRule type="cellIs" priority="3811" operator="greaterThan" aboveAverage="0" equalAverage="0" bottom="0" percent="0" rank="0" text="" dxfId="3">
      <formula>65</formula>
    </cfRule>
  </conditionalFormatting>
  <conditionalFormatting sqref="AE298">
    <cfRule type="cellIs" priority="3812" operator="greaterThan" aboveAverage="0" equalAverage="0" bottom="0" percent="0" rank="0" text="" dxfId="2">
      <formula>55</formula>
    </cfRule>
    <cfRule type="cellIs" priority="3813" operator="greaterThan" aboveAverage="0" equalAverage="0" bottom="0" percent="0" rank="0" text="" dxfId="3">
      <formula>65</formula>
    </cfRule>
  </conditionalFormatting>
  <conditionalFormatting sqref="AF298">
    <cfRule type="cellIs" priority="3814" operator="greaterThan" aboveAverage="0" equalAverage="0" bottom="0" percent="0" rank="0" text="" dxfId="2">
      <formula>40</formula>
    </cfRule>
    <cfRule type="cellIs" priority="3815" operator="greaterThan" aboveAverage="0" equalAverage="0" bottom="0" percent="0" rank="0" text="" dxfId="3">
      <formula>45</formula>
    </cfRule>
  </conditionalFormatting>
  <conditionalFormatting sqref="AG298">
    <cfRule type="cellIs" priority="3816" operator="greaterThan" aboveAverage="0" equalAverage="0" bottom="0" percent="0" rank="0" text="" dxfId="2">
      <formula>40</formula>
    </cfRule>
    <cfRule type="cellIs" priority="3817" operator="greaterThan" aboveAverage="0" equalAverage="0" bottom="0" percent="0" rank="0" text="" dxfId="3">
      <formula>45</formula>
    </cfRule>
  </conditionalFormatting>
  <conditionalFormatting sqref="AH298">
    <cfRule type="cellIs" priority="3818" operator="greaterThan" aboveAverage="0" equalAverage="0" bottom="0" percent="0" rank="0" text="" dxfId="2">
      <formula>40</formula>
    </cfRule>
    <cfRule type="cellIs" priority="3819" operator="greaterThan" aboveAverage="0" equalAverage="0" bottom="0" percent="0" rank="0" text="" dxfId="3">
      <formula>45</formula>
    </cfRule>
  </conditionalFormatting>
  <conditionalFormatting sqref="AI298">
    <cfRule type="cellIs" priority="3820" operator="greaterThan" aboveAverage="0" equalAverage="0" bottom="0" percent="0" rank="0" text="" dxfId="2">
      <formula>40</formula>
    </cfRule>
    <cfRule type="cellIs" priority="3821" operator="greaterThan" aboveAverage="0" equalAverage="0" bottom="0" percent="0" rank="0" text="" dxfId="3">
      <formula>45</formula>
    </cfRule>
  </conditionalFormatting>
  <conditionalFormatting sqref="AJ298">
    <cfRule type="cellIs" priority="3822" operator="greaterThan" aboveAverage="0" equalAverage="0" bottom="0" percent="0" rank="0" text="" dxfId="2">
      <formula>40</formula>
    </cfRule>
    <cfRule type="cellIs" priority="3823" operator="greaterThan" aboveAverage="0" equalAverage="0" bottom="0" percent="0" rank="0" text="" dxfId="3">
      <formula>45</formula>
    </cfRule>
  </conditionalFormatting>
  <conditionalFormatting sqref="AK298">
    <cfRule type="cellIs" priority="3824" operator="greaterThan" aboveAverage="0" equalAverage="0" bottom="0" percent="0" rank="0" text="" dxfId="2">
      <formula>40</formula>
    </cfRule>
    <cfRule type="cellIs" priority="3825" operator="greaterThan" aboveAverage="0" equalAverage="0" bottom="0" percent="0" rank="0" text="" dxfId="3">
      <formula>45</formula>
    </cfRule>
  </conditionalFormatting>
  <conditionalFormatting sqref="AL298">
    <cfRule type="cellIs" priority="3826" operator="greaterThan" aboveAverage="0" equalAverage="0" bottom="0" percent="0" rank="0" text="" dxfId="2">
      <formula>40</formula>
    </cfRule>
    <cfRule type="cellIs" priority="3827" operator="greaterThan" aboveAverage="0" equalAverage="0" bottom="0" percent="0" rank="0" text="" dxfId="3">
      <formula>45</formula>
    </cfRule>
  </conditionalFormatting>
  <conditionalFormatting sqref="AM298">
    <cfRule type="cellIs" priority="3828" operator="greaterThan" aboveAverage="0" equalAverage="0" bottom="0" percent="0" rank="0" text="" dxfId="2">
      <formula>40</formula>
    </cfRule>
    <cfRule type="cellIs" priority="3829" operator="greaterThan" aboveAverage="0" equalAverage="0" bottom="0" percent="0" rank="0" text="" dxfId="3">
      <formula>45</formula>
    </cfRule>
  </conditionalFormatting>
  <conditionalFormatting sqref="AN298">
    <cfRule type="cellIs" priority="3830" operator="greaterThan" aboveAverage="0" equalAverage="0" bottom="0" percent="0" rank="0" text="" dxfId="2">
      <formula>40</formula>
    </cfRule>
    <cfRule type="cellIs" priority="3831" operator="greaterThan" aboveAverage="0" equalAverage="0" bottom="0" percent="0" rank="0" text="" dxfId="3">
      <formula>45</formula>
    </cfRule>
  </conditionalFormatting>
  <conditionalFormatting sqref="AO298">
    <cfRule type="cellIs" priority="3832" operator="greaterThan" aboveAverage="0" equalAverage="0" bottom="0" percent="0" rank="0" text="" dxfId="2">
      <formula>40</formula>
    </cfRule>
    <cfRule type="cellIs" priority="3833" operator="greaterThan" aboveAverage="0" equalAverage="0" bottom="0" percent="0" rank="0" text="" dxfId="3">
      <formula>45</formula>
    </cfRule>
  </conditionalFormatting>
  <conditionalFormatting sqref="AP298">
    <cfRule type="cellIs" priority="3834" operator="greaterThan" aboveAverage="0" equalAverage="0" bottom="0" percent="0" rank="0" text="" dxfId="2">
      <formula>40</formula>
    </cfRule>
    <cfRule type="cellIs" priority="3835" operator="greaterThan" aboveAverage="0" equalAverage="0" bottom="0" percent="0" rank="0" text="" dxfId="3">
      <formula>45</formula>
    </cfRule>
  </conditionalFormatting>
  <conditionalFormatting sqref="AQ298">
    <cfRule type="cellIs" priority="3836" operator="greaterThan" aboveAverage="0" equalAverage="0" bottom="0" percent="0" rank="0" text="" dxfId="2">
      <formula>40</formula>
    </cfRule>
    <cfRule type="cellIs" priority="3837" operator="greaterThan" aboveAverage="0" equalAverage="0" bottom="0" percent="0" rank="0" text="" dxfId="3">
      <formula>45</formula>
    </cfRule>
  </conditionalFormatting>
  <conditionalFormatting sqref="AR298">
    <cfRule type="cellIs" priority="3838" operator="greaterThan" aboveAverage="0" equalAverage="0" bottom="0" percent="0" rank="0" text="" dxfId="2">
      <formula>40</formula>
    </cfRule>
    <cfRule type="cellIs" priority="3839" operator="greaterThan" aboveAverage="0" equalAverage="0" bottom="0" percent="0" rank="0" text="" dxfId="3">
      <formula>45</formula>
    </cfRule>
  </conditionalFormatting>
  <conditionalFormatting sqref="AS298">
    <cfRule type="cellIs" priority="3840" operator="greaterThan" aboveAverage="0" equalAverage="0" bottom="0" percent="0" rank="0" text="" dxfId="2">
      <formula>40</formula>
    </cfRule>
    <cfRule type="cellIs" priority="3841" operator="greaterThan" aboveAverage="0" equalAverage="0" bottom="0" percent="0" rank="0" text="" dxfId="3">
      <formula>45</formula>
    </cfRule>
  </conditionalFormatting>
  <conditionalFormatting sqref="F300">
    <cfRule type="cellIs" priority="3842" operator="greaterThan" aboveAverage="0" equalAverage="0" bottom="0" percent="0" rank="0" text="" dxfId="2">
      <formula>40</formula>
    </cfRule>
    <cfRule type="cellIs" priority="3843" operator="greaterThan" aboveAverage="0" equalAverage="0" bottom="0" percent="0" rank="0" text="" dxfId="3">
      <formula>45</formula>
    </cfRule>
  </conditionalFormatting>
  <conditionalFormatting sqref="G300">
    <cfRule type="cellIs" priority="3844" operator="greaterThan" aboveAverage="0" equalAverage="0" bottom="0" percent="0" rank="0" text="" dxfId="2">
      <formula>40</formula>
    </cfRule>
    <cfRule type="cellIs" priority="3845" operator="greaterThan" aboveAverage="0" equalAverage="0" bottom="0" percent="0" rank="0" text="" dxfId="3">
      <formula>45</formula>
    </cfRule>
  </conditionalFormatting>
  <conditionalFormatting sqref="H300">
    <cfRule type="cellIs" priority="3846" operator="greaterThan" aboveAverage="0" equalAverage="0" bottom="0" percent="0" rank="0" text="" dxfId="2">
      <formula>40</formula>
    </cfRule>
    <cfRule type="cellIs" priority="3847" operator="greaterThan" aboveAverage="0" equalAverage="0" bottom="0" percent="0" rank="0" text="" dxfId="3">
      <formula>45</formula>
    </cfRule>
  </conditionalFormatting>
  <conditionalFormatting sqref="I300">
    <cfRule type="cellIs" priority="3848" operator="greaterThan" aboveAverage="0" equalAverage="0" bottom="0" percent="0" rank="0" text="" dxfId="2">
      <formula>40</formula>
    </cfRule>
    <cfRule type="cellIs" priority="3849" operator="greaterThan" aboveAverage="0" equalAverage="0" bottom="0" percent="0" rank="0" text="" dxfId="3">
      <formula>45</formula>
    </cfRule>
  </conditionalFormatting>
  <conditionalFormatting sqref="J300">
    <cfRule type="cellIs" priority="3850" operator="greaterThan" aboveAverage="0" equalAverage="0" bottom="0" percent="0" rank="0" text="" dxfId="2">
      <formula>40</formula>
    </cfRule>
    <cfRule type="cellIs" priority="3851" operator="greaterThan" aboveAverage="0" equalAverage="0" bottom="0" percent="0" rank="0" text="" dxfId="3">
      <formula>45</formula>
    </cfRule>
  </conditionalFormatting>
  <conditionalFormatting sqref="K300">
    <cfRule type="cellIs" priority="3852" operator="greaterThan" aboveAverage="0" equalAverage="0" bottom="0" percent="0" rank="0" text="" dxfId="2">
      <formula>40</formula>
    </cfRule>
    <cfRule type="cellIs" priority="3853" operator="greaterThan" aboveAverage="0" equalAverage="0" bottom="0" percent="0" rank="0" text="" dxfId="3">
      <formula>45</formula>
    </cfRule>
  </conditionalFormatting>
  <conditionalFormatting sqref="L300">
    <cfRule type="cellIs" priority="3854" operator="greaterThan" aboveAverage="0" equalAverage="0" bottom="0" percent="0" rank="0" text="" dxfId="2">
      <formula>40</formula>
    </cfRule>
    <cfRule type="cellIs" priority="3855" operator="greaterThan" aboveAverage="0" equalAverage="0" bottom="0" percent="0" rank="0" text="" dxfId="3">
      <formula>45</formula>
    </cfRule>
  </conditionalFormatting>
  <conditionalFormatting sqref="M300">
    <cfRule type="cellIs" priority="3856" operator="greaterThan" aboveAverage="0" equalAverage="0" bottom="0" percent="0" rank="0" text="" dxfId="2">
      <formula>40</formula>
    </cfRule>
    <cfRule type="cellIs" priority="3857" operator="greaterThan" aboveAverage="0" equalAverage="0" bottom="0" percent="0" rank="0" text="" dxfId="3">
      <formula>45</formula>
    </cfRule>
  </conditionalFormatting>
  <conditionalFormatting sqref="N300">
    <cfRule type="cellIs" priority="3858" operator="greaterThan" aboveAverage="0" equalAverage="0" bottom="0" percent="0" rank="0" text="" dxfId="2">
      <formula>40</formula>
    </cfRule>
    <cfRule type="cellIs" priority="3859" operator="greaterThan" aboveAverage="0" equalAverage="0" bottom="0" percent="0" rank="0" text="" dxfId="3">
      <formula>45</formula>
    </cfRule>
  </conditionalFormatting>
  <conditionalFormatting sqref="O300">
    <cfRule type="cellIs" priority="3860" operator="greaterThan" aboveAverage="0" equalAverage="0" bottom="0" percent="0" rank="0" text="" dxfId="2">
      <formula>40</formula>
    </cfRule>
    <cfRule type="cellIs" priority="3861" operator="greaterThan" aboveAverage="0" equalAverage="0" bottom="0" percent="0" rank="0" text="" dxfId="3">
      <formula>45</formula>
    </cfRule>
  </conditionalFormatting>
  <conditionalFormatting sqref="P300">
    <cfRule type="cellIs" priority="3862" operator="greaterThan" aboveAverage="0" equalAverage="0" bottom="0" percent="0" rank="0" text="" dxfId="2">
      <formula>40</formula>
    </cfRule>
    <cfRule type="cellIs" priority="3863" operator="greaterThan" aboveAverage="0" equalAverage="0" bottom="0" percent="0" rank="0" text="" dxfId="3">
      <formula>45</formula>
    </cfRule>
  </conditionalFormatting>
  <conditionalFormatting sqref="Q300">
    <cfRule type="cellIs" priority="3864" operator="greaterThan" aboveAverage="0" equalAverage="0" bottom="0" percent="0" rank="0" text="" dxfId="2">
      <formula>40</formula>
    </cfRule>
    <cfRule type="cellIs" priority="3865" operator="greaterThan" aboveAverage="0" equalAverage="0" bottom="0" percent="0" rank="0" text="" dxfId="3">
      <formula>45</formula>
    </cfRule>
  </conditionalFormatting>
  <conditionalFormatting sqref="R300">
    <cfRule type="cellIs" priority="3866" operator="greaterThan" aboveAverage="0" equalAverage="0" bottom="0" percent="0" rank="0" text="" dxfId="2">
      <formula>40</formula>
    </cfRule>
    <cfRule type="cellIs" priority="3867" operator="greaterThan" aboveAverage="0" equalAverage="0" bottom="0" percent="0" rank="0" text="" dxfId="3">
      <formula>45</formula>
    </cfRule>
  </conditionalFormatting>
  <conditionalFormatting sqref="S300">
    <cfRule type="cellIs" priority="3868" operator="greaterThan" aboveAverage="0" equalAverage="0" bottom="0" percent="0" rank="0" text="" dxfId="2">
      <formula>40</formula>
    </cfRule>
    <cfRule type="cellIs" priority="3869" operator="greaterThan" aboveAverage="0" equalAverage="0" bottom="0" percent="0" rank="0" text="" dxfId="3">
      <formula>45</formula>
    </cfRule>
  </conditionalFormatting>
  <conditionalFormatting sqref="T300">
    <cfRule type="cellIs" priority="3870" operator="greaterThan" aboveAverage="0" equalAverage="0" bottom="0" percent="0" rank="0" text="" dxfId="2">
      <formula>40</formula>
    </cfRule>
    <cfRule type="cellIs" priority="3871" operator="greaterThan" aboveAverage="0" equalAverage="0" bottom="0" percent="0" rank="0" text="" dxfId="3">
      <formula>45</formula>
    </cfRule>
  </conditionalFormatting>
  <conditionalFormatting sqref="U300">
    <cfRule type="cellIs" priority="3872" operator="greaterThan" aboveAverage="0" equalAverage="0" bottom="0" percent="0" rank="0" text="" dxfId="2">
      <formula>40</formula>
    </cfRule>
    <cfRule type="cellIs" priority="3873" operator="greaterThan" aboveAverage="0" equalAverage="0" bottom="0" percent="0" rank="0" text="" dxfId="3">
      <formula>45</formula>
    </cfRule>
  </conditionalFormatting>
  <conditionalFormatting sqref="V300">
    <cfRule type="cellIs" priority="3874" operator="greaterThan" aboveAverage="0" equalAverage="0" bottom="0" percent="0" rank="0" text="" dxfId="2">
      <formula>40</formula>
    </cfRule>
    <cfRule type="cellIs" priority="3875" operator="greaterThan" aboveAverage="0" equalAverage="0" bottom="0" percent="0" rank="0" text="" dxfId="3">
      <formula>45</formula>
    </cfRule>
  </conditionalFormatting>
  <conditionalFormatting sqref="W300">
    <cfRule type="cellIs" priority="3876" operator="greaterThan" aboveAverage="0" equalAverage="0" bottom="0" percent="0" rank="0" text="" dxfId="2">
      <formula>40</formula>
    </cfRule>
    <cfRule type="cellIs" priority="3877" operator="greaterThan" aboveAverage="0" equalAverage="0" bottom="0" percent="0" rank="0" text="" dxfId="3">
      <formula>45</formula>
    </cfRule>
  </conditionalFormatting>
  <conditionalFormatting sqref="X300">
    <cfRule type="cellIs" priority="3878" operator="greaterThan" aboveAverage="0" equalAverage="0" bottom="0" percent="0" rank="0" text="" dxfId="2">
      <formula>55</formula>
    </cfRule>
    <cfRule type="cellIs" priority="3879" operator="greaterThan" aboveAverage="0" equalAverage="0" bottom="0" percent="0" rank="0" text="" dxfId="3">
      <formula>65</formula>
    </cfRule>
  </conditionalFormatting>
  <conditionalFormatting sqref="Y300">
    <cfRule type="cellIs" priority="3880" operator="greaterThan" aboveAverage="0" equalAverage="0" bottom="0" percent="0" rank="0" text="" dxfId="2">
      <formula>55</formula>
    </cfRule>
    <cfRule type="cellIs" priority="3881" operator="greaterThan" aboveAverage="0" equalAverage="0" bottom="0" percent="0" rank="0" text="" dxfId="3">
      <formula>65</formula>
    </cfRule>
  </conditionalFormatting>
  <conditionalFormatting sqref="Z300">
    <cfRule type="cellIs" priority="3882" operator="greaterThan" aboveAverage="0" equalAverage="0" bottom="0" percent="0" rank="0" text="" dxfId="2">
      <formula>55</formula>
    </cfRule>
    <cfRule type="cellIs" priority="3883" operator="greaterThan" aboveAverage="0" equalAverage="0" bottom="0" percent="0" rank="0" text="" dxfId="3">
      <formula>65</formula>
    </cfRule>
  </conditionalFormatting>
  <conditionalFormatting sqref="AA300">
    <cfRule type="cellIs" priority="3884" operator="greaterThan" aboveAverage="0" equalAverage="0" bottom="0" percent="0" rank="0" text="" dxfId="2">
      <formula>55</formula>
    </cfRule>
    <cfRule type="cellIs" priority="3885" operator="greaterThan" aboveAverage="0" equalAverage="0" bottom="0" percent="0" rank="0" text="" dxfId="3">
      <formula>65</formula>
    </cfRule>
  </conditionalFormatting>
  <conditionalFormatting sqref="AB300">
    <cfRule type="cellIs" priority="3886" operator="greaterThan" aboveAverage="0" equalAverage="0" bottom="0" percent="0" rank="0" text="" dxfId="2">
      <formula>55</formula>
    </cfRule>
    <cfRule type="cellIs" priority="3887" operator="greaterThan" aboveAverage="0" equalAverage="0" bottom="0" percent="0" rank="0" text="" dxfId="3">
      <formula>65</formula>
    </cfRule>
  </conditionalFormatting>
  <conditionalFormatting sqref="AC300">
    <cfRule type="cellIs" priority="3888" operator="greaterThan" aboveAverage="0" equalAverage="0" bottom="0" percent="0" rank="0" text="" dxfId="2">
      <formula>55</formula>
    </cfRule>
    <cfRule type="cellIs" priority="3889" operator="greaterThan" aboveAverage="0" equalAverage="0" bottom="0" percent="0" rank="0" text="" dxfId="3">
      <formula>65</formula>
    </cfRule>
  </conditionalFormatting>
  <conditionalFormatting sqref="AD300">
    <cfRule type="cellIs" priority="3890" operator="greaterThan" aboveAverage="0" equalAverage="0" bottom="0" percent="0" rank="0" text="" dxfId="2">
      <formula>55</formula>
    </cfRule>
    <cfRule type="cellIs" priority="3891" operator="greaterThan" aboveAverage="0" equalAverage="0" bottom="0" percent="0" rank="0" text="" dxfId="3">
      <formula>65</formula>
    </cfRule>
  </conditionalFormatting>
  <conditionalFormatting sqref="AE300">
    <cfRule type="cellIs" priority="3892" operator="greaterThan" aboveAverage="0" equalAverage="0" bottom="0" percent="0" rank="0" text="" dxfId="2">
      <formula>55</formula>
    </cfRule>
    <cfRule type="cellIs" priority="3893" operator="greaterThan" aboveAverage="0" equalAverage="0" bottom="0" percent="0" rank="0" text="" dxfId="3">
      <formula>65</formula>
    </cfRule>
  </conditionalFormatting>
  <conditionalFormatting sqref="AF300">
    <cfRule type="cellIs" priority="3894" operator="greaterThan" aboveAverage="0" equalAverage="0" bottom="0" percent="0" rank="0" text="" dxfId="2">
      <formula>40</formula>
    </cfRule>
    <cfRule type="cellIs" priority="3895" operator="greaterThan" aboveAverage="0" equalAverage="0" bottom="0" percent="0" rank="0" text="" dxfId="3">
      <formula>45</formula>
    </cfRule>
  </conditionalFormatting>
  <conditionalFormatting sqref="AG300">
    <cfRule type="cellIs" priority="3896" operator="greaterThan" aboveAverage="0" equalAverage="0" bottom="0" percent="0" rank="0" text="" dxfId="2">
      <formula>40</formula>
    </cfRule>
    <cfRule type="cellIs" priority="3897" operator="greaterThan" aboveAverage="0" equalAverage="0" bottom="0" percent="0" rank="0" text="" dxfId="3">
      <formula>45</formula>
    </cfRule>
  </conditionalFormatting>
  <conditionalFormatting sqref="AH300">
    <cfRule type="cellIs" priority="3898" operator="greaterThan" aboveAverage="0" equalAverage="0" bottom="0" percent="0" rank="0" text="" dxfId="2">
      <formula>40</formula>
    </cfRule>
    <cfRule type="cellIs" priority="3899" operator="greaterThan" aboveAverage="0" equalAverage="0" bottom="0" percent="0" rank="0" text="" dxfId="3">
      <formula>45</formula>
    </cfRule>
  </conditionalFormatting>
  <conditionalFormatting sqref="AI300">
    <cfRule type="cellIs" priority="3900" operator="greaterThan" aboveAverage="0" equalAverage="0" bottom="0" percent="0" rank="0" text="" dxfId="2">
      <formula>40</formula>
    </cfRule>
    <cfRule type="cellIs" priority="3901" operator="greaterThan" aboveAverage="0" equalAverage="0" bottom="0" percent="0" rank="0" text="" dxfId="3">
      <formula>45</formula>
    </cfRule>
  </conditionalFormatting>
  <conditionalFormatting sqref="AJ300">
    <cfRule type="cellIs" priority="3902" operator="greaterThan" aboveAverage="0" equalAverage="0" bottom="0" percent="0" rank="0" text="" dxfId="2">
      <formula>40</formula>
    </cfRule>
    <cfRule type="cellIs" priority="3903" operator="greaterThan" aboveAverage="0" equalAverage="0" bottom="0" percent="0" rank="0" text="" dxfId="3">
      <formula>45</formula>
    </cfRule>
  </conditionalFormatting>
  <conditionalFormatting sqref="AK300">
    <cfRule type="cellIs" priority="3904" operator="greaterThan" aboveAverage="0" equalAverage="0" bottom="0" percent="0" rank="0" text="" dxfId="2">
      <formula>40</formula>
    </cfRule>
    <cfRule type="cellIs" priority="3905" operator="greaterThan" aboveAverage="0" equalAverage="0" bottom="0" percent="0" rank="0" text="" dxfId="3">
      <formula>45</formula>
    </cfRule>
  </conditionalFormatting>
  <conditionalFormatting sqref="AL300">
    <cfRule type="cellIs" priority="3906" operator="greaterThan" aboveAverage="0" equalAverage="0" bottom="0" percent="0" rank="0" text="" dxfId="2">
      <formula>40</formula>
    </cfRule>
    <cfRule type="cellIs" priority="3907" operator="greaterThan" aboveAverage="0" equalAverage="0" bottom="0" percent="0" rank="0" text="" dxfId="3">
      <formula>45</formula>
    </cfRule>
  </conditionalFormatting>
  <conditionalFormatting sqref="AM300">
    <cfRule type="cellIs" priority="3908" operator="greaterThan" aboveAverage="0" equalAverage="0" bottom="0" percent="0" rank="0" text="" dxfId="2">
      <formula>40</formula>
    </cfRule>
    <cfRule type="cellIs" priority="3909" operator="greaterThan" aboveAverage="0" equalAverage="0" bottom="0" percent="0" rank="0" text="" dxfId="3">
      <formula>45</formula>
    </cfRule>
  </conditionalFormatting>
  <conditionalFormatting sqref="AN300">
    <cfRule type="cellIs" priority="3910" operator="greaterThan" aboveAverage="0" equalAverage="0" bottom="0" percent="0" rank="0" text="" dxfId="2">
      <formula>40</formula>
    </cfRule>
    <cfRule type="cellIs" priority="3911" operator="greaterThan" aboveAverage="0" equalAverage="0" bottom="0" percent="0" rank="0" text="" dxfId="3">
      <formula>45</formula>
    </cfRule>
  </conditionalFormatting>
  <conditionalFormatting sqref="AO300">
    <cfRule type="cellIs" priority="3912" operator="greaterThan" aboveAverage="0" equalAverage="0" bottom="0" percent="0" rank="0" text="" dxfId="2">
      <formula>40</formula>
    </cfRule>
    <cfRule type="cellIs" priority="3913" operator="greaterThan" aboveAverage="0" equalAverage="0" bottom="0" percent="0" rank="0" text="" dxfId="3">
      <formula>45</formula>
    </cfRule>
  </conditionalFormatting>
  <conditionalFormatting sqref="AP300">
    <cfRule type="cellIs" priority="3914" operator="greaterThan" aboveAverage="0" equalAverage="0" bottom="0" percent="0" rank="0" text="" dxfId="2">
      <formula>40</formula>
    </cfRule>
    <cfRule type="cellIs" priority="3915" operator="greaterThan" aboveAverage="0" equalAverage="0" bottom="0" percent="0" rank="0" text="" dxfId="3">
      <formula>45</formula>
    </cfRule>
  </conditionalFormatting>
  <conditionalFormatting sqref="AQ300">
    <cfRule type="cellIs" priority="3916" operator="greaterThan" aboveAverage="0" equalAverage="0" bottom="0" percent="0" rank="0" text="" dxfId="2">
      <formula>40</formula>
    </cfRule>
    <cfRule type="cellIs" priority="3917" operator="greaterThan" aboveAverage="0" equalAverage="0" bottom="0" percent="0" rank="0" text="" dxfId="3">
      <formula>45</formula>
    </cfRule>
  </conditionalFormatting>
  <conditionalFormatting sqref="AR300">
    <cfRule type="cellIs" priority="3918" operator="greaterThan" aboveAverage="0" equalAverage="0" bottom="0" percent="0" rank="0" text="" dxfId="2">
      <formula>40</formula>
    </cfRule>
    <cfRule type="cellIs" priority="3919" operator="greaterThan" aboveAverage="0" equalAverage="0" bottom="0" percent="0" rank="0" text="" dxfId="3">
      <formula>45</formula>
    </cfRule>
  </conditionalFormatting>
  <conditionalFormatting sqref="AS300">
    <cfRule type="cellIs" priority="3920" operator="greaterThan" aboveAverage="0" equalAverage="0" bottom="0" percent="0" rank="0" text="" dxfId="2">
      <formula>40</formula>
    </cfRule>
    <cfRule type="cellIs" priority="3921" operator="greaterThan" aboveAverage="0" equalAverage="0" bottom="0" percent="0" rank="0" text="" dxfId="3">
      <formula>45</formula>
    </cfRule>
  </conditionalFormatting>
  <conditionalFormatting sqref="F302">
    <cfRule type="cellIs" priority="3922" operator="greaterThan" aboveAverage="0" equalAverage="0" bottom="0" percent="0" rank="0" text="" dxfId="2">
      <formula>40</formula>
    </cfRule>
    <cfRule type="cellIs" priority="3923" operator="greaterThan" aboveAverage="0" equalAverage="0" bottom="0" percent="0" rank="0" text="" dxfId="3">
      <formula>45</formula>
    </cfRule>
  </conditionalFormatting>
  <conditionalFormatting sqref="G302">
    <cfRule type="cellIs" priority="3924" operator="greaterThan" aboveAverage="0" equalAverage="0" bottom="0" percent="0" rank="0" text="" dxfId="2">
      <formula>40</formula>
    </cfRule>
    <cfRule type="cellIs" priority="3925" operator="greaterThan" aboveAverage="0" equalAverage="0" bottom="0" percent="0" rank="0" text="" dxfId="3">
      <formula>45</formula>
    </cfRule>
  </conditionalFormatting>
  <conditionalFormatting sqref="H302">
    <cfRule type="cellIs" priority="3926" operator="greaterThan" aboveAverage="0" equalAverage="0" bottom="0" percent="0" rank="0" text="" dxfId="2">
      <formula>40</formula>
    </cfRule>
    <cfRule type="cellIs" priority="3927" operator="greaterThan" aboveAverage="0" equalAverage="0" bottom="0" percent="0" rank="0" text="" dxfId="3">
      <formula>45</formula>
    </cfRule>
  </conditionalFormatting>
  <conditionalFormatting sqref="I302">
    <cfRule type="cellIs" priority="3928" operator="greaterThan" aboveAverage="0" equalAverage="0" bottom="0" percent="0" rank="0" text="" dxfId="2">
      <formula>40</formula>
    </cfRule>
    <cfRule type="cellIs" priority="3929" operator="greaterThan" aboveAverage="0" equalAverage="0" bottom="0" percent="0" rank="0" text="" dxfId="3">
      <formula>45</formula>
    </cfRule>
  </conditionalFormatting>
  <conditionalFormatting sqref="J302">
    <cfRule type="cellIs" priority="3930" operator="greaterThan" aboveAverage="0" equalAverage="0" bottom="0" percent="0" rank="0" text="" dxfId="2">
      <formula>40</formula>
    </cfRule>
    <cfRule type="cellIs" priority="3931" operator="greaterThan" aboveAverage="0" equalAverage="0" bottom="0" percent="0" rank="0" text="" dxfId="3">
      <formula>45</formula>
    </cfRule>
  </conditionalFormatting>
  <conditionalFormatting sqref="K302">
    <cfRule type="cellIs" priority="3932" operator="greaterThan" aboveAverage="0" equalAverage="0" bottom="0" percent="0" rank="0" text="" dxfId="2">
      <formula>40</formula>
    </cfRule>
    <cfRule type="cellIs" priority="3933" operator="greaterThan" aboveAverage="0" equalAverage="0" bottom="0" percent="0" rank="0" text="" dxfId="3">
      <formula>45</formula>
    </cfRule>
  </conditionalFormatting>
  <conditionalFormatting sqref="L302">
    <cfRule type="cellIs" priority="3934" operator="greaterThan" aboveAverage="0" equalAverage="0" bottom="0" percent="0" rank="0" text="" dxfId="2">
      <formula>40</formula>
    </cfRule>
    <cfRule type="cellIs" priority="3935" operator="greaterThan" aboveAverage="0" equalAverage="0" bottom="0" percent="0" rank="0" text="" dxfId="3">
      <formula>45</formula>
    </cfRule>
  </conditionalFormatting>
  <conditionalFormatting sqref="M302">
    <cfRule type="cellIs" priority="3936" operator="greaterThan" aboveAverage="0" equalAverage="0" bottom="0" percent="0" rank="0" text="" dxfId="2">
      <formula>40</formula>
    </cfRule>
    <cfRule type="cellIs" priority="3937" operator="greaterThan" aboveAverage="0" equalAverage="0" bottom="0" percent="0" rank="0" text="" dxfId="3">
      <formula>45</formula>
    </cfRule>
  </conditionalFormatting>
  <conditionalFormatting sqref="N302">
    <cfRule type="cellIs" priority="3938" operator="greaterThan" aboveAverage="0" equalAverage="0" bottom="0" percent="0" rank="0" text="" dxfId="2">
      <formula>40</formula>
    </cfRule>
    <cfRule type="cellIs" priority="3939" operator="greaterThan" aboveAverage="0" equalAverage="0" bottom="0" percent="0" rank="0" text="" dxfId="3">
      <formula>45</formula>
    </cfRule>
  </conditionalFormatting>
  <conditionalFormatting sqref="O302">
    <cfRule type="cellIs" priority="3940" operator="greaterThan" aboveAverage="0" equalAverage="0" bottom="0" percent="0" rank="0" text="" dxfId="2">
      <formula>40</formula>
    </cfRule>
    <cfRule type="cellIs" priority="3941" operator="greaterThan" aboveAverage="0" equalAverage="0" bottom="0" percent="0" rank="0" text="" dxfId="3">
      <formula>45</formula>
    </cfRule>
  </conditionalFormatting>
  <conditionalFormatting sqref="P302">
    <cfRule type="cellIs" priority="3942" operator="greaterThan" aboveAverage="0" equalAverage="0" bottom="0" percent="0" rank="0" text="" dxfId="2">
      <formula>40</formula>
    </cfRule>
    <cfRule type="cellIs" priority="3943" operator="greaterThan" aboveAverage="0" equalAverage="0" bottom="0" percent="0" rank="0" text="" dxfId="3">
      <formula>45</formula>
    </cfRule>
  </conditionalFormatting>
  <conditionalFormatting sqref="Q302">
    <cfRule type="cellIs" priority="3944" operator="greaterThan" aboveAverage="0" equalAverage="0" bottom="0" percent="0" rank="0" text="" dxfId="2">
      <formula>40</formula>
    </cfRule>
    <cfRule type="cellIs" priority="3945" operator="greaterThan" aboveAverage="0" equalAverage="0" bottom="0" percent="0" rank="0" text="" dxfId="3">
      <formula>45</formula>
    </cfRule>
  </conditionalFormatting>
  <conditionalFormatting sqref="R302">
    <cfRule type="cellIs" priority="3946" operator="greaterThan" aboveAverage="0" equalAverage="0" bottom="0" percent="0" rank="0" text="" dxfId="2">
      <formula>40</formula>
    </cfRule>
    <cfRule type="cellIs" priority="3947" operator="greaterThan" aboveAverage="0" equalAverage="0" bottom="0" percent="0" rank="0" text="" dxfId="3">
      <formula>45</formula>
    </cfRule>
  </conditionalFormatting>
  <conditionalFormatting sqref="S302">
    <cfRule type="cellIs" priority="3948" operator="greaterThan" aboveAverage="0" equalAverage="0" bottom="0" percent="0" rank="0" text="" dxfId="2">
      <formula>40</formula>
    </cfRule>
    <cfRule type="cellIs" priority="3949" operator="greaterThan" aboveAverage="0" equalAverage="0" bottom="0" percent="0" rank="0" text="" dxfId="3">
      <formula>45</formula>
    </cfRule>
  </conditionalFormatting>
  <conditionalFormatting sqref="T302">
    <cfRule type="cellIs" priority="3950" operator="greaterThan" aboveAverage="0" equalAverage="0" bottom="0" percent="0" rank="0" text="" dxfId="2">
      <formula>40</formula>
    </cfRule>
    <cfRule type="cellIs" priority="3951" operator="greaterThan" aboveAverage="0" equalAverage="0" bottom="0" percent="0" rank="0" text="" dxfId="3">
      <formula>45</formula>
    </cfRule>
  </conditionalFormatting>
  <conditionalFormatting sqref="U302">
    <cfRule type="cellIs" priority="3952" operator="greaterThan" aboveAverage="0" equalAverage="0" bottom="0" percent="0" rank="0" text="" dxfId="2">
      <formula>40</formula>
    </cfRule>
    <cfRule type="cellIs" priority="3953" operator="greaterThan" aboveAverage="0" equalAverage="0" bottom="0" percent="0" rank="0" text="" dxfId="3">
      <formula>45</formula>
    </cfRule>
  </conditionalFormatting>
  <conditionalFormatting sqref="V302">
    <cfRule type="cellIs" priority="3954" operator="greaterThan" aboveAverage="0" equalAverage="0" bottom="0" percent="0" rank="0" text="" dxfId="2">
      <formula>40</formula>
    </cfRule>
    <cfRule type="cellIs" priority="3955" operator="greaterThan" aboveAverage="0" equalAverage="0" bottom="0" percent="0" rank="0" text="" dxfId="3">
      <formula>45</formula>
    </cfRule>
  </conditionalFormatting>
  <conditionalFormatting sqref="W302">
    <cfRule type="cellIs" priority="3956" operator="greaterThan" aboveAverage="0" equalAverage="0" bottom="0" percent="0" rank="0" text="" dxfId="2">
      <formula>40</formula>
    </cfRule>
    <cfRule type="cellIs" priority="3957" operator="greaterThan" aboveAverage="0" equalAverage="0" bottom="0" percent="0" rank="0" text="" dxfId="3">
      <formula>45</formula>
    </cfRule>
  </conditionalFormatting>
  <conditionalFormatting sqref="X302">
    <cfRule type="cellIs" priority="3958" operator="greaterThan" aboveAverage="0" equalAverage="0" bottom="0" percent="0" rank="0" text="" dxfId="2">
      <formula>55</formula>
    </cfRule>
    <cfRule type="cellIs" priority="3959" operator="greaterThan" aboveAverage="0" equalAverage="0" bottom="0" percent="0" rank="0" text="" dxfId="3">
      <formula>65</formula>
    </cfRule>
  </conditionalFormatting>
  <conditionalFormatting sqref="Y302">
    <cfRule type="cellIs" priority="3960" operator="greaterThan" aboveAverage="0" equalAverage="0" bottom="0" percent="0" rank="0" text="" dxfId="2">
      <formula>55</formula>
    </cfRule>
    <cfRule type="cellIs" priority="3961" operator="greaterThan" aboveAverage="0" equalAverage="0" bottom="0" percent="0" rank="0" text="" dxfId="3">
      <formula>65</formula>
    </cfRule>
  </conditionalFormatting>
  <conditionalFormatting sqref="Z302">
    <cfRule type="cellIs" priority="3962" operator="greaterThan" aboveAverage="0" equalAverage="0" bottom="0" percent="0" rank="0" text="" dxfId="2">
      <formula>55</formula>
    </cfRule>
    <cfRule type="cellIs" priority="3963" operator="greaterThan" aboveAverage="0" equalAverage="0" bottom="0" percent="0" rank="0" text="" dxfId="3">
      <formula>65</formula>
    </cfRule>
  </conditionalFormatting>
  <conditionalFormatting sqref="AA302">
    <cfRule type="cellIs" priority="3964" operator="greaterThan" aboveAverage="0" equalAverage="0" bottom="0" percent="0" rank="0" text="" dxfId="2">
      <formula>55</formula>
    </cfRule>
    <cfRule type="cellIs" priority="3965" operator="greaterThan" aboveAverage="0" equalAverage="0" bottom="0" percent="0" rank="0" text="" dxfId="3">
      <formula>65</formula>
    </cfRule>
  </conditionalFormatting>
  <conditionalFormatting sqref="AB302">
    <cfRule type="cellIs" priority="3966" operator="greaterThan" aboveAverage="0" equalAverage="0" bottom="0" percent="0" rank="0" text="" dxfId="2">
      <formula>55</formula>
    </cfRule>
    <cfRule type="cellIs" priority="3967" operator="greaterThan" aboveAverage="0" equalAverage="0" bottom="0" percent="0" rank="0" text="" dxfId="3">
      <formula>65</formula>
    </cfRule>
  </conditionalFormatting>
  <conditionalFormatting sqref="AC302">
    <cfRule type="cellIs" priority="3968" operator="greaterThan" aboveAverage="0" equalAverage="0" bottom="0" percent="0" rank="0" text="" dxfId="2">
      <formula>55</formula>
    </cfRule>
    <cfRule type="cellIs" priority="3969" operator="greaterThan" aboveAverage="0" equalAverage="0" bottom="0" percent="0" rank="0" text="" dxfId="3">
      <formula>65</formula>
    </cfRule>
  </conditionalFormatting>
  <conditionalFormatting sqref="AD302">
    <cfRule type="cellIs" priority="3970" operator="greaterThan" aboveAverage="0" equalAverage="0" bottom="0" percent="0" rank="0" text="" dxfId="2">
      <formula>55</formula>
    </cfRule>
    <cfRule type="cellIs" priority="3971" operator="greaterThan" aboveAverage="0" equalAverage="0" bottom="0" percent="0" rank="0" text="" dxfId="3">
      <formula>65</formula>
    </cfRule>
  </conditionalFormatting>
  <conditionalFormatting sqref="AE302">
    <cfRule type="cellIs" priority="3972" operator="greaterThan" aboveAverage="0" equalAverage="0" bottom="0" percent="0" rank="0" text="" dxfId="2">
      <formula>55</formula>
    </cfRule>
    <cfRule type="cellIs" priority="3973" operator="greaterThan" aboveAverage="0" equalAverage="0" bottom="0" percent="0" rank="0" text="" dxfId="3">
      <formula>65</formula>
    </cfRule>
  </conditionalFormatting>
  <conditionalFormatting sqref="AF302">
    <cfRule type="cellIs" priority="3974" operator="greaterThan" aboveAverage="0" equalAverage="0" bottom="0" percent="0" rank="0" text="" dxfId="2">
      <formula>40</formula>
    </cfRule>
    <cfRule type="cellIs" priority="3975" operator="greaterThan" aboveAverage="0" equalAverage="0" bottom="0" percent="0" rank="0" text="" dxfId="3">
      <formula>45</formula>
    </cfRule>
  </conditionalFormatting>
  <conditionalFormatting sqref="AG302">
    <cfRule type="cellIs" priority="3976" operator="greaterThan" aboveAverage="0" equalAverage="0" bottom="0" percent="0" rank="0" text="" dxfId="2">
      <formula>40</formula>
    </cfRule>
    <cfRule type="cellIs" priority="3977" operator="greaterThan" aboveAverage="0" equalAverage="0" bottom="0" percent="0" rank="0" text="" dxfId="3">
      <formula>45</formula>
    </cfRule>
  </conditionalFormatting>
  <conditionalFormatting sqref="AH302">
    <cfRule type="cellIs" priority="3978" operator="greaterThan" aboveAverage="0" equalAverage="0" bottom="0" percent="0" rank="0" text="" dxfId="2">
      <formula>40</formula>
    </cfRule>
    <cfRule type="cellIs" priority="3979" operator="greaterThan" aboveAverage="0" equalAverage="0" bottom="0" percent="0" rank="0" text="" dxfId="3">
      <formula>45</formula>
    </cfRule>
  </conditionalFormatting>
  <conditionalFormatting sqref="AI302">
    <cfRule type="cellIs" priority="3980" operator="greaterThan" aboveAverage="0" equalAverage="0" bottom="0" percent="0" rank="0" text="" dxfId="2">
      <formula>40</formula>
    </cfRule>
    <cfRule type="cellIs" priority="3981" operator="greaterThan" aboveAverage="0" equalAverage="0" bottom="0" percent="0" rank="0" text="" dxfId="3">
      <formula>45</formula>
    </cfRule>
  </conditionalFormatting>
  <conditionalFormatting sqref="AJ302">
    <cfRule type="cellIs" priority="3982" operator="greaterThan" aboveAverage="0" equalAverage="0" bottom="0" percent="0" rank="0" text="" dxfId="2">
      <formula>40</formula>
    </cfRule>
    <cfRule type="cellIs" priority="3983" operator="greaterThan" aboveAverage="0" equalAverage="0" bottom="0" percent="0" rank="0" text="" dxfId="3">
      <formula>45</formula>
    </cfRule>
  </conditionalFormatting>
  <conditionalFormatting sqref="AK302">
    <cfRule type="cellIs" priority="3984" operator="greaterThan" aboveAverage="0" equalAverage="0" bottom="0" percent="0" rank="0" text="" dxfId="2">
      <formula>40</formula>
    </cfRule>
    <cfRule type="cellIs" priority="3985" operator="greaterThan" aboveAverage="0" equalAverage="0" bottom="0" percent="0" rank="0" text="" dxfId="3">
      <formula>45</formula>
    </cfRule>
  </conditionalFormatting>
  <conditionalFormatting sqref="AL302">
    <cfRule type="cellIs" priority="3986" operator="greaterThan" aboveAverage="0" equalAverage="0" bottom="0" percent="0" rank="0" text="" dxfId="2">
      <formula>40</formula>
    </cfRule>
    <cfRule type="cellIs" priority="3987" operator="greaterThan" aboveAverage="0" equalAverage="0" bottom="0" percent="0" rank="0" text="" dxfId="3">
      <formula>45</formula>
    </cfRule>
  </conditionalFormatting>
  <conditionalFormatting sqref="AM302">
    <cfRule type="cellIs" priority="3988" operator="greaterThan" aboveAverage="0" equalAverage="0" bottom="0" percent="0" rank="0" text="" dxfId="2">
      <formula>40</formula>
    </cfRule>
    <cfRule type="cellIs" priority="3989" operator="greaterThan" aboveAverage="0" equalAverage="0" bottom="0" percent="0" rank="0" text="" dxfId="3">
      <formula>45</formula>
    </cfRule>
  </conditionalFormatting>
  <conditionalFormatting sqref="AN302">
    <cfRule type="cellIs" priority="3990" operator="greaterThan" aboveAverage="0" equalAverage="0" bottom="0" percent="0" rank="0" text="" dxfId="2">
      <formula>40</formula>
    </cfRule>
    <cfRule type="cellIs" priority="3991" operator="greaterThan" aboveAverage="0" equalAverage="0" bottom="0" percent="0" rank="0" text="" dxfId="3">
      <formula>45</formula>
    </cfRule>
  </conditionalFormatting>
  <conditionalFormatting sqref="AO302">
    <cfRule type="cellIs" priority="3992" operator="greaterThan" aboveAverage="0" equalAverage="0" bottom="0" percent="0" rank="0" text="" dxfId="2">
      <formula>40</formula>
    </cfRule>
    <cfRule type="cellIs" priority="3993" operator="greaterThan" aboveAverage="0" equalAverage="0" bottom="0" percent="0" rank="0" text="" dxfId="3">
      <formula>45</formula>
    </cfRule>
  </conditionalFormatting>
  <conditionalFormatting sqref="AP302">
    <cfRule type="cellIs" priority="3994" operator="greaterThan" aboveAverage="0" equalAverage="0" bottom="0" percent="0" rank="0" text="" dxfId="2">
      <formula>40</formula>
    </cfRule>
    <cfRule type="cellIs" priority="3995" operator="greaterThan" aboveAverage="0" equalAverage="0" bottom="0" percent="0" rank="0" text="" dxfId="3">
      <formula>45</formula>
    </cfRule>
  </conditionalFormatting>
  <conditionalFormatting sqref="AQ302">
    <cfRule type="cellIs" priority="3996" operator="greaterThan" aboveAverage="0" equalAverage="0" bottom="0" percent="0" rank="0" text="" dxfId="2">
      <formula>40</formula>
    </cfRule>
    <cfRule type="cellIs" priority="3997" operator="greaterThan" aboveAverage="0" equalAverage="0" bottom="0" percent="0" rank="0" text="" dxfId="3">
      <formula>45</formula>
    </cfRule>
  </conditionalFormatting>
  <conditionalFormatting sqref="AR302">
    <cfRule type="cellIs" priority="3998" operator="greaterThan" aboveAverage="0" equalAverage="0" bottom="0" percent="0" rank="0" text="" dxfId="2">
      <formula>40</formula>
    </cfRule>
    <cfRule type="cellIs" priority="3999" operator="greaterThan" aboveAverage="0" equalAverage="0" bottom="0" percent="0" rank="0" text="" dxfId="3">
      <formula>45</formula>
    </cfRule>
  </conditionalFormatting>
  <conditionalFormatting sqref="AS302">
    <cfRule type="cellIs" priority="4000" operator="greaterThan" aboveAverage="0" equalAverage="0" bottom="0" percent="0" rank="0" text="" dxfId="2">
      <formula>40</formula>
    </cfRule>
    <cfRule type="cellIs" priority="4001" operator="greaterThan" aboveAverage="0" equalAverage="0" bottom="0" percent="0" rank="0" text="" dxfId="3">
      <formula>45</formula>
    </cfRule>
  </conditionalFormatting>
  <conditionalFormatting sqref="F304">
    <cfRule type="cellIs" priority="4002" operator="greaterThan" aboveAverage="0" equalAverage="0" bottom="0" percent="0" rank="0" text="" dxfId="2">
      <formula>40</formula>
    </cfRule>
    <cfRule type="cellIs" priority="4003" operator="greaterThan" aboveAverage="0" equalAverage="0" bottom="0" percent="0" rank="0" text="" dxfId="3">
      <formula>45</formula>
    </cfRule>
  </conditionalFormatting>
  <conditionalFormatting sqref="G304">
    <cfRule type="cellIs" priority="4004" operator="greaterThan" aboveAverage="0" equalAverage="0" bottom="0" percent="0" rank="0" text="" dxfId="2">
      <formula>40</formula>
    </cfRule>
    <cfRule type="cellIs" priority="4005" operator="greaterThan" aboveAverage="0" equalAverage="0" bottom="0" percent="0" rank="0" text="" dxfId="3">
      <formula>45</formula>
    </cfRule>
  </conditionalFormatting>
  <conditionalFormatting sqref="H304">
    <cfRule type="cellIs" priority="4006" operator="greaterThan" aboveAverage="0" equalAverage="0" bottom="0" percent="0" rank="0" text="" dxfId="2">
      <formula>40</formula>
    </cfRule>
    <cfRule type="cellIs" priority="4007" operator="greaterThan" aboveAverage="0" equalAverage="0" bottom="0" percent="0" rank="0" text="" dxfId="3">
      <formula>45</formula>
    </cfRule>
  </conditionalFormatting>
  <conditionalFormatting sqref="I304">
    <cfRule type="cellIs" priority="4008" operator="greaterThan" aboveAverage="0" equalAverage="0" bottom="0" percent="0" rank="0" text="" dxfId="2">
      <formula>40</formula>
    </cfRule>
    <cfRule type="cellIs" priority="4009" operator="greaterThan" aboveAverage="0" equalAverage="0" bottom="0" percent="0" rank="0" text="" dxfId="3">
      <formula>45</formula>
    </cfRule>
  </conditionalFormatting>
  <conditionalFormatting sqref="J304">
    <cfRule type="cellIs" priority="4010" operator="greaterThan" aboveAverage="0" equalAverage="0" bottom="0" percent="0" rank="0" text="" dxfId="2">
      <formula>40</formula>
    </cfRule>
    <cfRule type="cellIs" priority="4011" operator="greaterThan" aboveAverage="0" equalAverage="0" bottom="0" percent="0" rank="0" text="" dxfId="3">
      <formula>45</formula>
    </cfRule>
  </conditionalFormatting>
  <conditionalFormatting sqref="K304">
    <cfRule type="cellIs" priority="4012" operator="greaterThan" aboveAverage="0" equalAverage="0" bottom="0" percent="0" rank="0" text="" dxfId="2">
      <formula>40</formula>
    </cfRule>
    <cfRule type="cellIs" priority="4013" operator="greaterThan" aboveAverage="0" equalAverage="0" bottom="0" percent="0" rank="0" text="" dxfId="3">
      <formula>45</formula>
    </cfRule>
  </conditionalFormatting>
  <conditionalFormatting sqref="L304">
    <cfRule type="cellIs" priority="4014" operator="greaterThan" aboveAverage="0" equalAverage="0" bottom="0" percent="0" rank="0" text="" dxfId="2">
      <formula>40</formula>
    </cfRule>
    <cfRule type="cellIs" priority="4015" operator="greaterThan" aboveAverage="0" equalAverage="0" bottom="0" percent="0" rank="0" text="" dxfId="3">
      <formula>45</formula>
    </cfRule>
  </conditionalFormatting>
  <conditionalFormatting sqref="M304">
    <cfRule type="cellIs" priority="4016" operator="greaterThan" aboveAverage="0" equalAverage="0" bottom="0" percent="0" rank="0" text="" dxfId="2">
      <formula>40</formula>
    </cfRule>
    <cfRule type="cellIs" priority="4017" operator="greaterThan" aboveAverage="0" equalAverage="0" bottom="0" percent="0" rank="0" text="" dxfId="3">
      <formula>45</formula>
    </cfRule>
  </conditionalFormatting>
  <conditionalFormatting sqref="N304">
    <cfRule type="cellIs" priority="4018" operator="greaterThan" aboveAverage="0" equalAverage="0" bottom="0" percent="0" rank="0" text="" dxfId="2">
      <formula>40</formula>
    </cfRule>
    <cfRule type="cellIs" priority="4019" operator="greaterThan" aboveAverage="0" equalAverage="0" bottom="0" percent="0" rank="0" text="" dxfId="3">
      <formula>45</formula>
    </cfRule>
  </conditionalFormatting>
  <conditionalFormatting sqref="O304">
    <cfRule type="cellIs" priority="4020" operator="greaterThan" aboveAverage="0" equalAverage="0" bottom="0" percent="0" rank="0" text="" dxfId="2">
      <formula>40</formula>
    </cfRule>
    <cfRule type="cellIs" priority="4021" operator="greaterThan" aboveAverage="0" equalAverage="0" bottom="0" percent="0" rank="0" text="" dxfId="3">
      <formula>45</formula>
    </cfRule>
  </conditionalFormatting>
  <conditionalFormatting sqref="P304">
    <cfRule type="cellIs" priority="4022" operator="greaterThan" aboveAverage="0" equalAverage="0" bottom="0" percent="0" rank="0" text="" dxfId="2">
      <formula>40</formula>
    </cfRule>
    <cfRule type="cellIs" priority="4023" operator="greaterThan" aboveAverage="0" equalAverage="0" bottom="0" percent="0" rank="0" text="" dxfId="3">
      <formula>45</formula>
    </cfRule>
  </conditionalFormatting>
  <conditionalFormatting sqref="Q304">
    <cfRule type="cellIs" priority="4024" operator="greaterThan" aboveAverage="0" equalAverage="0" bottom="0" percent="0" rank="0" text="" dxfId="2">
      <formula>40</formula>
    </cfRule>
    <cfRule type="cellIs" priority="4025" operator="greaterThan" aboveAverage="0" equalAverage="0" bottom="0" percent="0" rank="0" text="" dxfId="3">
      <formula>45</formula>
    </cfRule>
  </conditionalFormatting>
  <conditionalFormatting sqref="R304">
    <cfRule type="cellIs" priority="4026" operator="greaterThan" aboveAverage="0" equalAverage="0" bottom="0" percent="0" rank="0" text="" dxfId="2">
      <formula>40</formula>
    </cfRule>
    <cfRule type="cellIs" priority="4027" operator="greaterThan" aboveAverage="0" equalAverage="0" bottom="0" percent="0" rank="0" text="" dxfId="3">
      <formula>45</formula>
    </cfRule>
  </conditionalFormatting>
  <conditionalFormatting sqref="S304">
    <cfRule type="cellIs" priority="4028" operator="greaterThan" aboveAverage="0" equalAverage="0" bottom="0" percent="0" rank="0" text="" dxfId="2">
      <formula>40</formula>
    </cfRule>
    <cfRule type="cellIs" priority="4029" operator="greaterThan" aboveAverage="0" equalAverage="0" bottom="0" percent="0" rank="0" text="" dxfId="3">
      <formula>45</formula>
    </cfRule>
  </conditionalFormatting>
  <conditionalFormatting sqref="T304">
    <cfRule type="cellIs" priority="4030" operator="greaterThan" aboveAverage="0" equalAverage="0" bottom="0" percent="0" rank="0" text="" dxfId="2">
      <formula>40</formula>
    </cfRule>
    <cfRule type="cellIs" priority="4031" operator="greaterThan" aboveAverage="0" equalAverage="0" bottom="0" percent="0" rank="0" text="" dxfId="3">
      <formula>45</formula>
    </cfRule>
  </conditionalFormatting>
  <conditionalFormatting sqref="U304">
    <cfRule type="cellIs" priority="4032" operator="greaterThan" aboveAverage="0" equalAverage="0" bottom="0" percent="0" rank="0" text="" dxfId="2">
      <formula>40</formula>
    </cfRule>
    <cfRule type="cellIs" priority="4033" operator="greaterThan" aboveAverage="0" equalAverage="0" bottom="0" percent="0" rank="0" text="" dxfId="3">
      <formula>45</formula>
    </cfRule>
  </conditionalFormatting>
  <conditionalFormatting sqref="V304">
    <cfRule type="cellIs" priority="4034" operator="greaterThan" aboveAverage="0" equalAverage="0" bottom="0" percent="0" rank="0" text="" dxfId="2">
      <formula>40</formula>
    </cfRule>
    <cfRule type="cellIs" priority="4035" operator="greaterThan" aboveAverage="0" equalAverage="0" bottom="0" percent="0" rank="0" text="" dxfId="3">
      <formula>45</formula>
    </cfRule>
  </conditionalFormatting>
  <conditionalFormatting sqref="W304">
    <cfRule type="cellIs" priority="4036" operator="greaterThan" aboveAverage="0" equalAverage="0" bottom="0" percent="0" rank="0" text="" dxfId="2">
      <formula>40</formula>
    </cfRule>
    <cfRule type="cellIs" priority="4037" operator="greaterThan" aboveAverage="0" equalAverage="0" bottom="0" percent="0" rank="0" text="" dxfId="3">
      <formula>45</formula>
    </cfRule>
  </conditionalFormatting>
  <conditionalFormatting sqref="X304">
    <cfRule type="cellIs" priority="4038" operator="greaterThan" aboveAverage="0" equalAverage="0" bottom="0" percent="0" rank="0" text="" dxfId="2">
      <formula>55</formula>
    </cfRule>
    <cfRule type="cellIs" priority="4039" operator="greaterThan" aboveAverage="0" equalAverage="0" bottom="0" percent="0" rank="0" text="" dxfId="3">
      <formula>65</formula>
    </cfRule>
  </conditionalFormatting>
  <conditionalFormatting sqref="Y304">
    <cfRule type="cellIs" priority="4040" operator="greaterThan" aboveAverage="0" equalAverage="0" bottom="0" percent="0" rank="0" text="" dxfId="2">
      <formula>55</formula>
    </cfRule>
    <cfRule type="cellIs" priority="4041" operator="greaterThan" aboveAverage="0" equalAverage="0" bottom="0" percent="0" rank="0" text="" dxfId="3">
      <formula>65</formula>
    </cfRule>
  </conditionalFormatting>
  <conditionalFormatting sqref="Z304">
    <cfRule type="cellIs" priority="4042" operator="greaterThan" aboveAverage="0" equalAverage="0" bottom="0" percent="0" rank="0" text="" dxfId="2">
      <formula>55</formula>
    </cfRule>
    <cfRule type="cellIs" priority="4043" operator="greaterThan" aboveAverage="0" equalAverage="0" bottom="0" percent="0" rank="0" text="" dxfId="3">
      <formula>65</formula>
    </cfRule>
  </conditionalFormatting>
  <conditionalFormatting sqref="AA304">
    <cfRule type="cellIs" priority="4044" operator="greaterThan" aboveAverage="0" equalAverage="0" bottom="0" percent="0" rank="0" text="" dxfId="2">
      <formula>55</formula>
    </cfRule>
    <cfRule type="cellIs" priority="4045" operator="greaterThan" aboveAverage="0" equalAverage="0" bottom="0" percent="0" rank="0" text="" dxfId="3">
      <formula>65</formula>
    </cfRule>
  </conditionalFormatting>
  <conditionalFormatting sqref="AB304">
    <cfRule type="cellIs" priority="4046" operator="greaterThan" aboveAverage="0" equalAverage="0" bottom="0" percent="0" rank="0" text="" dxfId="2">
      <formula>55</formula>
    </cfRule>
    <cfRule type="cellIs" priority="4047" operator="greaterThan" aboveAverage="0" equalAverage="0" bottom="0" percent="0" rank="0" text="" dxfId="3">
      <formula>65</formula>
    </cfRule>
  </conditionalFormatting>
  <conditionalFormatting sqref="AC304">
    <cfRule type="cellIs" priority="4048" operator="greaterThan" aboveAverage="0" equalAverage="0" bottom="0" percent="0" rank="0" text="" dxfId="2">
      <formula>55</formula>
    </cfRule>
    <cfRule type="cellIs" priority="4049" operator="greaterThan" aboveAverage="0" equalAverage="0" bottom="0" percent="0" rank="0" text="" dxfId="3">
      <formula>65</formula>
    </cfRule>
  </conditionalFormatting>
  <conditionalFormatting sqref="AD304">
    <cfRule type="cellIs" priority="4050" operator="greaterThan" aboveAverage="0" equalAverage="0" bottom="0" percent="0" rank="0" text="" dxfId="2">
      <formula>55</formula>
    </cfRule>
    <cfRule type="cellIs" priority="4051" operator="greaterThan" aboveAverage="0" equalAverage="0" bottom="0" percent="0" rank="0" text="" dxfId="3">
      <formula>65</formula>
    </cfRule>
  </conditionalFormatting>
  <conditionalFormatting sqref="AE304">
    <cfRule type="cellIs" priority="4052" operator="greaterThan" aboveAverage="0" equalAverage="0" bottom="0" percent="0" rank="0" text="" dxfId="2">
      <formula>55</formula>
    </cfRule>
    <cfRule type="cellIs" priority="4053" operator="greaterThan" aboveAverage="0" equalAverage="0" bottom="0" percent="0" rank="0" text="" dxfId="3">
      <formula>65</formula>
    </cfRule>
  </conditionalFormatting>
  <conditionalFormatting sqref="AF304">
    <cfRule type="cellIs" priority="4054" operator="greaterThan" aboveAverage="0" equalAverage="0" bottom="0" percent="0" rank="0" text="" dxfId="2">
      <formula>40</formula>
    </cfRule>
    <cfRule type="cellIs" priority="4055" operator="greaterThan" aboveAverage="0" equalAverage="0" bottom="0" percent="0" rank="0" text="" dxfId="3">
      <formula>45</formula>
    </cfRule>
  </conditionalFormatting>
  <conditionalFormatting sqref="AG304">
    <cfRule type="cellIs" priority="4056" operator="greaterThan" aboveAverage="0" equalAverage="0" bottom="0" percent="0" rank="0" text="" dxfId="2">
      <formula>40</formula>
    </cfRule>
    <cfRule type="cellIs" priority="4057" operator="greaterThan" aboveAverage="0" equalAverage="0" bottom="0" percent="0" rank="0" text="" dxfId="3">
      <formula>45</formula>
    </cfRule>
  </conditionalFormatting>
  <conditionalFormatting sqref="AH304">
    <cfRule type="cellIs" priority="4058" operator="greaterThan" aboveAverage="0" equalAverage="0" bottom="0" percent="0" rank="0" text="" dxfId="2">
      <formula>40</formula>
    </cfRule>
    <cfRule type="cellIs" priority="4059" operator="greaterThan" aboveAverage="0" equalAverage="0" bottom="0" percent="0" rank="0" text="" dxfId="3">
      <formula>45</formula>
    </cfRule>
  </conditionalFormatting>
  <conditionalFormatting sqref="AI304">
    <cfRule type="cellIs" priority="4060" operator="greaterThan" aboveAverage="0" equalAverage="0" bottom="0" percent="0" rank="0" text="" dxfId="2">
      <formula>40</formula>
    </cfRule>
    <cfRule type="cellIs" priority="4061" operator="greaterThan" aboveAverage="0" equalAverage="0" bottom="0" percent="0" rank="0" text="" dxfId="3">
      <formula>45</formula>
    </cfRule>
  </conditionalFormatting>
  <conditionalFormatting sqref="AJ304">
    <cfRule type="cellIs" priority="4062" operator="greaterThan" aboveAverage="0" equalAverage="0" bottom="0" percent="0" rank="0" text="" dxfId="2">
      <formula>40</formula>
    </cfRule>
    <cfRule type="cellIs" priority="4063" operator="greaterThan" aboveAverage="0" equalAverage="0" bottom="0" percent="0" rank="0" text="" dxfId="3">
      <formula>45</formula>
    </cfRule>
  </conditionalFormatting>
  <conditionalFormatting sqref="AK304">
    <cfRule type="cellIs" priority="4064" operator="greaterThan" aboveAverage="0" equalAverage="0" bottom="0" percent="0" rank="0" text="" dxfId="2">
      <formula>40</formula>
    </cfRule>
    <cfRule type="cellIs" priority="4065" operator="greaterThan" aboveAverage="0" equalAverage="0" bottom="0" percent="0" rank="0" text="" dxfId="3">
      <formula>45</formula>
    </cfRule>
  </conditionalFormatting>
  <conditionalFormatting sqref="AL304">
    <cfRule type="cellIs" priority="4066" operator="greaterThan" aboveAverage="0" equalAverage="0" bottom="0" percent="0" rank="0" text="" dxfId="2">
      <formula>40</formula>
    </cfRule>
    <cfRule type="cellIs" priority="4067" operator="greaterThan" aboveAverage="0" equalAverage="0" bottom="0" percent="0" rank="0" text="" dxfId="3">
      <formula>45</formula>
    </cfRule>
  </conditionalFormatting>
  <conditionalFormatting sqref="AM304">
    <cfRule type="cellIs" priority="4068" operator="greaterThan" aboveAverage="0" equalAverage="0" bottom="0" percent="0" rank="0" text="" dxfId="2">
      <formula>40</formula>
    </cfRule>
    <cfRule type="cellIs" priority="4069" operator="greaterThan" aboveAverage="0" equalAverage="0" bottom="0" percent="0" rank="0" text="" dxfId="3">
      <formula>45</formula>
    </cfRule>
  </conditionalFormatting>
  <conditionalFormatting sqref="AN304">
    <cfRule type="cellIs" priority="4070" operator="greaterThan" aboveAverage="0" equalAverage="0" bottom="0" percent="0" rank="0" text="" dxfId="2">
      <formula>40</formula>
    </cfRule>
    <cfRule type="cellIs" priority="4071" operator="greaterThan" aboveAverage="0" equalAverage="0" bottom="0" percent="0" rank="0" text="" dxfId="3">
      <formula>45</formula>
    </cfRule>
  </conditionalFormatting>
  <conditionalFormatting sqref="AO304">
    <cfRule type="cellIs" priority="4072" operator="greaterThan" aboveAverage="0" equalAverage="0" bottom="0" percent="0" rank="0" text="" dxfId="2">
      <formula>40</formula>
    </cfRule>
    <cfRule type="cellIs" priority="4073" operator="greaterThan" aboveAverage="0" equalAverage="0" bottom="0" percent="0" rank="0" text="" dxfId="3">
      <formula>45</formula>
    </cfRule>
  </conditionalFormatting>
  <conditionalFormatting sqref="AP304">
    <cfRule type="cellIs" priority="4074" operator="greaterThan" aboveAverage="0" equalAverage="0" bottom="0" percent="0" rank="0" text="" dxfId="2">
      <formula>40</formula>
    </cfRule>
    <cfRule type="cellIs" priority="4075" operator="greaterThan" aboveAverage="0" equalAverage="0" bottom="0" percent="0" rank="0" text="" dxfId="3">
      <formula>45</formula>
    </cfRule>
  </conditionalFormatting>
  <conditionalFormatting sqref="AQ304">
    <cfRule type="cellIs" priority="4076" operator="greaterThan" aboveAverage="0" equalAverage="0" bottom="0" percent="0" rank="0" text="" dxfId="2">
      <formula>40</formula>
    </cfRule>
    <cfRule type="cellIs" priority="4077" operator="greaterThan" aboveAverage="0" equalAverage="0" bottom="0" percent="0" rank="0" text="" dxfId="3">
      <formula>45</formula>
    </cfRule>
  </conditionalFormatting>
  <conditionalFormatting sqref="AR304">
    <cfRule type="cellIs" priority="4078" operator="greaterThan" aboveAverage="0" equalAverage="0" bottom="0" percent="0" rank="0" text="" dxfId="2">
      <formula>40</formula>
    </cfRule>
    <cfRule type="cellIs" priority="4079" operator="greaterThan" aboveAverage="0" equalAverage="0" bottom="0" percent="0" rank="0" text="" dxfId="3">
      <formula>45</formula>
    </cfRule>
  </conditionalFormatting>
  <conditionalFormatting sqref="AS304">
    <cfRule type="cellIs" priority="4080" operator="greaterThan" aboveAverage="0" equalAverage="0" bottom="0" percent="0" rank="0" text="" dxfId="2">
      <formula>40</formula>
    </cfRule>
    <cfRule type="cellIs" priority="4081" operator="greaterThan" aboveAverage="0" equalAverage="0" bottom="0" percent="0" rank="0" text="" dxfId="3">
      <formula>45</formula>
    </cfRule>
  </conditionalFormatting>
  <conditionalFormatting sqref="F306">
    <cfRule type="cellIs" priority="4082" operator="greaterThan" aboveAverage="0" equalAverage="0" bottom="0" percent="0" rank="0" text="" dxfId="2">
      <formula>40</formula>
    </cfRule>
    <cfRule type="cellIs" priority="4083" operator="greaterThan" aboveAverage="0" equalAverage="0" bottom="0" percent="0" rank="0" text="" dxfId="3">
      <formula>45</formula>
    </cfRule>
  </conditionalFormatting>
  <conditionalFormatting sqref="G306">
    <cfRule type="cellIs" priority="4084" operator="greaterThan" aboveAverage="0" equalAverage="0" bottom="0" percent="0" rank="0" text="" dxfId="2">
      <formula>40</formula>
    </cfRule>
    <cfRule type="cellIs" priority="4085" operator="greaterThan" aboveAverage="0" equalAverage="0" bottom="0" percent="0" rank="0" text="" dxfId="3">
      <formula>45</formula>
    </cfRule>
  </conditionalFormatting>
  <conditionalFormatting sqref="H306">
    <cfRule type="cellIs" priority="4086" operator="greaterThan" aboveAverage="0" equalAverage="0" bottom="0" percent="0" rank="0" text="" dxfId="2">
      <formula>40</formula>
    </cfRule>
    <cfRule type="cellIs" priority="4087" operator="greaterThan" aboveAverage="0" equalAverage="0" bottom="0" percent="0" rank="0" text="" dxfId="3">
      <formula>45</formula>
    </cfRule>
  </conditionalFormatting>
  <conditionalFormatting sqref="I306">
    <cfRule type="cellIs" priority="4088" operator="greaterThan" aboveAverage="0" equalAverage="0" bottom="0" percent="0" rank="0" text="" dxfId="2">
      <formula>40</formula>
    </cfRule>
    <cfRule type="cellIs" priority="4089" operator="greaterThan" aboveAverage="0" equalAverage="0" bottom="0" percent="0" rank="0" text="" dxfId="3">
      <formula>45</formula>
    </cfRule>
  </conditionalFormatting>
  <conditionalFormatting sqref="J306">
    <cfRule type="cellIs" priority="4090" operator="greaterThan" aboveAverage="0" equalAverage="0" bottom="0" percent="0" rank="0" text="" dxfId="2">
      <formula>40</formula>
    </cfRule>
    <cfRule type="cellIs" priority="4091" operator="greaterThan" aboveAverage="0" equalAverage="0" bottom="0" percent="0" rank="0" text="" dxfId="3">
      <formula>45</formula>
    </cfRule>
  </conditionalFormatting>
  <conditionalFormatting sqref="K306">
    <cfRule type="cellIs" priority="4092" operator="greaterThan" aboveAverage="0" equalAverage="0" bottom="0" percent="0" rank="0" text="" dxfId="2">
      <formula>40</formula>
    </cfRule>
    <cfRule type="cellIs" priority="4093" operator="greaterThan" aboveAverage="0" equalAverage="0" bottom="0" percent="0" rank="0" text="" dxfId="3">
      <formula>45</formula>
    </cfRule>
  </conditionalFormatting>
  <conditionalFormatting sqref="L306">
    <cfRule type="cellIs" priority="4094" operator="greaterThan" aboveAverage="0" equalAverage="0" bottom="0" percent="0" rank="0" text="" dxfId="2">
      <formula>40</formula>
    </cfRule>
    <cfRule type="cellIs" priority="4095" operator="greaterThan" aboveAverage="0" equalAverage="0" bottom="0" percent="0" rank="0" text="" dxfId="3">
      <formula>45</formula>
    </cfRule>
  </conditionalFormatting>
  <conditionalFormatting sqref="M306">
    <cfRule type="cellIs" priority="4096" operator="greaterThan" aboveAverage="0" equalAverage="0" bottom="0" percent="0" rank="0" text="" dxfId="2">
      <formula>40</formula>
    </cfRule>
    <cfRule type="cellIs" priority="4097" operator="greaterThan" aboveAverage="0" equalAverage="0" bottom="0" percent="0" rank="0" text="" dxfId="3">
      <formula>45</formula>
    </cfRule>
  </conditionalFormatting>
  <conditionalFormatting sqref="N306">
    <cfRule type="cellIs" priority="4098" operator="greaterThan" aboveAverage="0" equalAverage="0" bottom="0" percent="0" rank="0" text="" dxfId="2">
      <formula>40</formula>
    </cfRule>
    <cfRule type="cellIs" priority="4099" operator="greaterThan" aboveAverage="0" equalAverage="0" bottom="0" percent="0" rank="0" text="" dxfId="3">
      <formula>45</formula>
    </cfRule>
  </conditionalFormatting>
  <conditionalFormatting sqref="O306">
    <cfRule type="cellIs" priority="4100" operator="greaterThan" aboveAverage="0" equalAverage="0" bottom="0" percent="0" rank="0" text="" dxfId="2">
      <formula>40</formula>
    </cfRule>
    <cfRule type="cellIs" priority="4101" operator="greaterThan" aboveAverage="0" equalAverage="0" bottom="0" percent="0" rank="0" text="" dxfId="3">
      <formula>45</formula>
    </cfRule>
  </conditionalFormatting>
  <conditionalFormatting sqref="P306">
    <cfRule type="cellIs" priority="4102" operator="greaterThan" aboveAverage="0" equalAverage="0" bottom="0" percent="0" rank="0" text="" dxfId="2">
      <formula>40</formula>
    </cfRule>
    <cfRule type="cellIs" priority="4103" operator="greaterThan" aboveAverage="0" equalAverage="0" bottom="0" percent="0" rank="0" text="" dxfId="3">
      <formula>45</formula>
    </cfRule>
  </conditionalFormatting>
  <conditionalFormatting sqref="Q306">
    <cfRule type="cellIs" priority="4104" operator="greaterThan" aboveAverage="0" equalAverage="0" bottom="0" percent="0" rank="0" text="" dxfId="2">
      <formula>40</formula>
    </cfRule>
    <cfRule type="cellIs" priority="4105" operator="greaterThan" aboveAverage="0" equalAverage="0" bottom="0" percent="0" rank="0" text="" dxfId="3">
      <formula>45</formula>
    </cfRule>
  </conditionalFormatting>
  <conditionalFormatting sqref="R306">
    <cfRule type="cellIs" priority="4106" operator="greaterThan" aboveAverage="0" equalAverage="0" bottom="0" percent="0" rank="0" text="" dxfId="2">
      <formula>40</formula>
    </cfRule>
    <cfRule type="cellIs" priority="4107" operator="greaterThan" aboveAverage="0" equalAverage="0" bottom="0" percent="0" rank="0" text="" dxfId="3">
      <formula>45</formula>
    </cfRule>
  </conditionalFormatting>
  <conditionalFormatting sqref="S306">
    <cfRule type="cellIs" priority="4108" operator="greaterThan" aboveAverage="0" equalAverage="0" bottom="0" percent="0" rank="0" text="" dxfId="2">
      <formula>40</formula>
    </cfRule>
    <cfRule type="cellIs" priority="4109" operator="greaterThan" aboveAverage="0" equalAverage="0" bottom="0" percent="0" rank="0" text="" dxfId="3">
      <formula>45</formula>
    </cfRule>
  </conditionalFormatting>
  <conditionalFormatting sqref="T306">
    <cfRule type="cellIs" priority="4110" operator="greaterThan" aboveAverage="0" equalAverage="0" bottom="0" percent="0" rank="0" text="" dxfId="2">
      <formula>40</formula>
    </cfRule>
    <cfRule type="cellIs" priority="4111" operator="greaterThan" aboveAverage="0" equalAverage="0" bottom="0" percent="0" rank="0" text="" dxfId="3">
      <formula>45</formula>
    </cfRule>
  </conditionalFormatting>
  <conditionalFormatting sqref="U306">
    <cfRule type="cellIs" priority="4112" operator="greaterThan" aboveAverage="0" equalAverage="0" bottom="0" percent="0" rank="0" text="" dxfId="2">
      <formula>40</formula>
    </cfRule>
    <cfRule type="cellIs" priority="4113" operator="greaterThan" aboveAverage="0" equalAverage="0" bottom="0" percent="0" rank="0" text="" dxfId="3">
      <formula>45</formula>
    </cfRule>
  </conditionalFormatting>
  <conditionalFormatting sqref="V306">
    <cfRule type="cellIs" priority="4114" operator="greaterThan" aboveAverage="0" equalAverage="0" bottom="0" percent="0" rank="0" text="" dxfId="2">
      <formula>40</formula>
    </cfRule>
    <cfRule type="cellIs" priority="4115" operator="greaterThan" aboveAverage="0" equalAverage="0" bottom="0" percent="0" rank="0" text="" dxfId="3">
      <formula>45</formula>
    </cfRule>
  </conditionalFormatting>
  <conditionalFormatting sqref="W306">
    <cfRule type="cellIs" priority="4116" operator="greaterThan" aboveAverage="0" equalAverage="0" bottom="0" percent="0" rank="0" text="" dxfId="2">
      <formula>40</formula>
    </cfRule>
    <cfRule type="cellIs" priority="4117" operator="greaterThan" aboveAverage="0" equalAverage="0" bottom="0" percent="0" rank="0" text="" dxfId="3">
      <formula>45</formula>
    </cfRule>
  </conditionalFormatting>
  <conditionalFormatting sqref="X306">
    <cfRule type="cellIs" priority="4118" operator="greaterThan" aboveAverage="0" equalAverage="0" bottom="0" percent="0" rank="0" text="" dxfId="2">
      <formula>55</formula>
    </cfRule>
    <cfRule type="cellIs" priority="4119" operator="greaterThan" aboveAverage="0" equalAverage="0" bottom="0" percent="0" rank="0" text="" dxfId="3">
      <formula>65</formula>
    </cfRule>
  </conditionalFormatting>
  <conditionalFormatting sqref="Y306">
    <cfRule type="cellIs" priority="4120" operator="greaterThan" aboveAverage="0" equalAverage="0" bottom="0" percent="0" rank="0" text="" dxfId="2">
      <formula>55</formula>
    </cfRule>
    <cfRule type="cellIs" priority="4121" operator="greaterThan" aboveAverage="0" equalAverage="0" bottom="0" percent="0" rank="0" text="" dxfId="3">
      <formula>65</formula>
    </cfRule>
  </conditionalFormatting>
  <conditionalFormatting sqref="Z306">
    <cfRule type="cellIs" priority="4122" operator="greaterThan" aboveAverage="0" equalAverage="0" bottom="0" percent="0" rank="0" text="" dxfId="2">
      <formula>55</formula>
    </cfRule>
    <cfRule type="cellIs" priority="4123" operator="greaterThan" aboveAverage="0" equalAverage="0" bottom="0" percent="0" rank="0" text="" dxfId="3">
      <formula>65</formula>
    </cfRule>
  </conditionalFormatting>
  <conditionalFormatting sqref="AA306">
    <cfRule type="cellIs" priority="4124" operator="greaterThan" aboveAverage="0" equalAverage="0" bottom="0" percent="0" rank="0" text="" dxfId="2">
      <formula>55</formula>
    </cfRule>
    <cfRule type="cellIs" priority="4125" operator="greaterThan" aboveAverage="0" equalAverage="0" bottom="0" percent="0" rank="0" text="" dxfId="3">
      <formula>65</formula>
    </cfRule>
  </conditionalFormatting>
  <conditionalFormatting sqref="AB306">
    <cfRule type="cellIs" priority="4126" operator="greaterThan" aboveAverage="0" equalAverage="0" bottom="0" percent="0" rank="0" text="" dxfId="2">
      <formula>55</formula>
    </cfRule>
    <cfRule type="cellIs" priority="4127" operator="greaterThan" aboveAverage="0" equalAverage="0" bottom="0" percent="0" rank="0" text="" dxfId="3">
      <formula>65</formula>
    </cfRule>
  </conditionalFormatting>
  <conditionalFormatting sqref="AC306">
    <cfRule type="cellIs" priority="4128" operator="greaterThan" aboveAverage="0" equalAverage="0" bottom="0" percent="0" rank="0" text="" dxfId="2">
      <formula>55</formula>
    </cfRule>
    <cfRule type="cellIs" priority="4129" operator="greaterThan" aboveAverage="0" equalAverage="0" bottom="0" percent="0" rank="0" text="" dxfId="3">
      <formula>65</formula>
    </cfRule>
  </conditionalFormatting>
  <conditionalFormatting sqref="AD306">
    <cfRule type="cellIs" priority="4130" operator="greaterThan" aboveAverage="0" equalAverage="0" bottom="0" percent="0" rank="0" text="" dxfId="2">
      <formula>55</formula>
    </cfRule>
    <cfRule type="cellIs" priority="4131" operator="greaterThan" aboveAverage="0" equalAverage="0" bottom="0" percent="0" rank="0" text="" dxfId="3">
      <formula>65</formula>
    </cfRule>
  </conditionalFormatting>
  <conditionalFormatting sqref="AE306">
    <cfRule type="cellIs" priority="4132" operator="greaterThan" aboveAverage="0" equalAverage="0" bottom="0" percent="0" rank="0" text="" dxfId="2">
      <formula>55</formula>
    </cfRule>
    <cfRule type="cellIs" priority="4133" operator="greaterThan" aboveAverage="0" equalAverage="0" bottom="0" percent="0" rank="0" text="" dxfId="3">
      <formula>65</formula>
    </cfRule>
  </conditionalFormatting>
  <conditionalFormatting sqref="AF306">
    <cfRule type="cellIs" priority="4134" operator="greaterThan" aboveAverage="0" equalAverage="0" bottom="0" percent="0" rank="0" text="" dxfId="2">
      <formula>40</formula>
    </cfRule>
    <cfRule type="cellIs" priority="4135" operator="greaterThan" aboveAverage="0" equalAverage="0" bottom="0" percent="0" rank="0" text="" dxfId="3">
      <formula>45</formula>
    </cfRule>
  </conditionalFormatting>
  <conditionalFormatting sqref="AG306">
    <cfRule type="cellIs" priority="4136" operator="greaterThan" aboveAverage="0" equalAverage="0" bottom="0" percent="0" rank="0" text="" dxfId="2">
      <formula>40</formula>
    </cfRule>
    <cfRule type="cellIs" priority="4137" operator="greaterThan" aboveAverage="0" equalAverage="0" bottom="0" percent="0" rank="0" text="" dxfId="3">
      <formula>45</formula>
    </cfRule>
  </conditionalFormatting>
  <conditionalFormatting sqref="AH306">
    <cfRule type="cellIs" priority="4138" operator="greaterThan" aboveAverage="0" equalAverage="0" bottom="0" percent="0" rank="0" text="" dxfId="2">
      <formula>40</formula>
    </cfRule>
    <cfRule type="cellIs" priority="4139" operator="greaterThan" aboveAverage="0" equalAverage="0" bottom="0" percent="0" rank="0" text="" dxfId="3">
      <formula>45</formula>
    </cfRule>
  </conditionalFormatting>
  <conditionalFormatting sqref="AI306">
    <cfRule type="cellIs" priority="4140" operator="greaterThan" aboveAverage="0" equalAverage="0" bottom="0" percent="0" rank="0" text="" dxfId="2">
      <formula>40</formula>
    </cfRule>
    <cfRule type="cellIs" priority="4141" operator="greaterThan" aboveAverage="0" equalAverage="0" bottom="0" percent="0" rank="0" text="" dxfId="3">
      <formula>45</formula>
    </cfRule>
  </conditionalFormatting>
  <conditionalFormatting sqref="AJ306">
    <cfRule type="cellIs" priority="4142" operator="greaterThan" aboveAverage="0" equalAverage="0" bottom="0" percent="0" rank="0" text="" dxfId="2">
      <formula>40</formula>
    </cfRule>
    <cfRule type="cellIs" priority="4143" operator="greaterThan" aboveAverage="0" equalAverage="0" bottom="0" percent="0" rank="0" text="" dxfId="3">
      <formula>45</formula>
    </cfRule>
  </conditionalFormatting>
  <conditionalFormatting sqref="AK306">
    <cfRule type="cellIs" priority="4144" operator="greaterThan" aboveAverage="0" equalAverage="0" bottom="0" percent="0" rank="0" text="" dxfId="2">
      <formula>40</formula>
    </cfRule>
    <cfRule type="cellIs" priority="4145" operator="greaterThan" aboveAverage="0" equalAverage="0" bottom="0" percent="0" rank="0" text="" dxfId="3">
      <formula>45</formula>
    </cfRule>
  </conditionalFormatting>
  <conditionalFormatting sqref="AL306">
    <cfRule type="cellIs" priority="4146" operator="greaterThan" aboveAverage="0" equalAverage="0" bottom="0" percent="0" rank="0" text="" dxfId="2">
      <formula>40</formula>
    </cfRule>
    <cfRule type="cellIs" priority="4147" operator="greaterThan" aboveAverage="0" equalAverage="0" bottom="0" percent="0" rank="0" text="" dxfId="3">
      <formula>45</formula>
    </cfRule>
  </conditionalFormatting>
  <conditionalFormatting sqref="AM306">
    <cfRule type="cellIs" priority="4148" operator="greaterThan" aboveAverage="0" equalAverage="0" bottom="0" percent="0" rank="0" text="" dxfId="2">
      <formula>40</formula>
    </cfRule>
    <cfRule type="cellIs" priority="4149" operator="greaterThan" aboveAverage="0" equalAverage="0" bottom="0" percent="0" rank="0" text="" dxfId="3">
      <formula>45</formula>
    </cfRule>
  </conditionalFormatting>
  <conditionalFormatting sqref="AN306">
    <cfRule type="cellIs" priority="4150" operator="greaterThan" aboveAverage="0" equalAverage="0" bottom="0" percent="0" rank="0" text="" dxfId="2">
      <formula>40</formula>
    </cfRule>
    <cfRule type="cellIs" priority="4151" operator="greaterThan" aboveAverage="0" equalAverage="0" bottom="0" percent="0" rank="0" text="" dxfId="3">
      <formula>45</formula>
    </cfRule>
  </conditionalFormatting>
  <conditionalFormatting sqref="AO306">
    <cfRule type="cellIs" priority="4152" operator="greaterThan" aboveAverage="0" equalAverage="0" bottom="0" percent="0" rank="0" text="" dxfId="2">
      <formula>40</formula>
    </cfRule>
    <cfRule type="cellIs" priority="4153" operator="greaterThan" aboveAverage="0" equalAverage="0" bottom="0" percent="0" rank="0" text="" dxfId="3">
      <formula>45</formula>
    </cfRule>
  </conditionalFormatting>
  <conditionalFormatting sqref="AP306">
    <cfRule type="cellIs" priority="4154" operator="greaterThan" aboveAverage="0" equalAverage="0" bottom="0" percent="0" rank="0" text="" dxfId="2">
      <formula>40</formula>
    </cfRule>
    <cfRule type="cellIs" priority="4155" operator="greaterThan" aboveAverage="0" equalAverage="0" bottom="0" percent="0" rank="0" text="" dxfId="3">
      <formula>45</formula>
    </cfRule>
  </conditionalFormatting>
  <conditionalFormatting sqref="AQ306">
    <cfRule type="cellIs" priority="4156" operator="greaterThan" aboveAverage="0" equalAverage="0" bottom="0" percent="0" rank="0" text="" dxfId="2">
      <formula>40</formula>
    </cfRule>
    <cfRule type="cellIs" priority="4157" operator="greaterThan" aboveAverage="0" equalAverage="0" bottom="0" percent="0" rank="0" text="" dxfId="3">
      <formula>45</formula>
    </cfRule>
  </conditionalFormatting>
  <conditionalFormatting sqref="AR306">
    <cfRule type="cellIs" priority="4158" operator="greaterThan" aboveAverage="0" equalAverage="0" bottom="0" percent="0" rank="0" text="" dxfId="2">
      <formula>40</formula>
    </cfRule>
    <cfRule type="cellIs" priority="4159" operator="greaterThan" aboveAverage="0" equalAverage="0" bottom="0" percent="0" rank="0" text="" dxfId="3">
      <formula>45</formula>
    </cfRule>
  </conditionalFormatting>
  <conditionalFormatting sqref="AS306">
    <cfRule type="cellIs" priority="4160" operator="greaterThan" aboveAverage="0" equalAverage="0" bottom="0" percent="0" rank="0" text="" dxfId="2">
      <formula>40</formula>
    </cfRule>
    <cfRule type="cellIs" priority="4161" operator="greaterThan" aboveAverage="0" equalAverage="0" bottom="0" percent="0" rank="0" text="" dxfId="3">
      <formula>45</formula>
    </cfRule>
  </conditionalFormatting>
  <conditionalFormatting sqref="F308">
    <cfRule type="cellIs" priority="4162" operator="greaterThan" aboveAverage="0" equalAverage="0" bottom="0" percent="0" rank="0" text="" dxfId="2">
      <formula>40</formula>
    </cfRule>
    <cfRule type="cellIs" priority="4163" operator="greaterThan" aboveAverage="0" equalAverage="0" bottom="0" percent="0" rank="0" text="" dxfId="3">
      <formula>45</formula>
    </cfRule>
  </conditionalFormatting>
  <conditionalFormatting sqref="G308">
    <cfRule type="cellIs" priority="4164" operator="greaterThan" aboveAverage="0" equalAverage="0" bottom="0" percent="0" rank="0" text="" dxfId="2">
      <formula>40</formula>
    </cfRule>
    <cfRule type="cellIs" priority="4165" operator="greaterThan" aboveAverage="0" equalAverage="0" bottom="0" percent="0" rank="0" text="" dxfId="3">
      <formula>45</formula>
    </cfRule>
  </conditionalFormatting>
  <conditionalFormatting sqref="H308">
    <cfRule type="cellIs" priority="4166" operator="greaterThan" aboveAverage="0" equalAverage="0" bottom="0" percent="0" rank="0" text="" dxfId="2">
      <formula>40</formula>
    </cfRule>
    <cfRule type="cellIs" priority="4167" operator="greaterThan" aboveAverage="0" equalAverage="0" bottom="0" percent="0" rank="0" text="" dxfId="3">
      <formula>45</formula>
    </cfRule>
  </conditionalFormatting>
  <conditionalFormatting sqref="I308">
    <cfRule type="cellIs" priority="4168" operator="greaterThan" aboveAverage="0" equalAverage="0" bottom="0" percent="0" rank="0" text="" dxfId="2">
      <formula>40</formula>
    </cfRule>
    <cfRule type="cellIs" priority="4169" operator="greaterThan" aboveAverage="0" equalAverage="0" bottom="0" percent="0" rank="0" text="" dxfId="3">
      <formula>45</formula>
    </cfRule>
  </conditionalFormatting>
  <conditionalFormatting sqref="J308">
    <cfRule type="cellIs" priority="4170" operator="greaterThan" aboveAverage="0" equalAverage="0" bottom="0" percent="0" rank="0" text="" dxfId="2">
      <formula>40</formula>
    </cfRule>
    <cfRule type="cellIs" priority="4171" operator="greaterThan" aboveAverage="0" equalAverage="0" bottom="0" percent="0" rank="0" text="" dxfId="3">
      <formula>45</formula>
    </cfRule>
  </conditionalFormatting>
  <conditionalFormatting sqref="K308">
    <cfRule type="cellIs" priority="4172" operator="greaterThan" aboveAverage="0" equalAverage="0" bottom="0" percent="0" rank="0" text="" dxfId="2">
      <formula>40</formula>
    </cfRule>
    <cfRule type="cellIs" priority="4173" operator="greaterThan" aboveAverage="0" equalAverage="0" bottom="0" percent="0" rank="0" text="" dxfId="3">
      <formula>45</formula>
    </cfRule>
  </conditionalFormatting>
  <conditionalFormatting sqref="L308">
    <cfRule type="cellIs" priority="4174" operator="greaterThan" aboveAverage="0" equalAverage="0" bottom="0" percent="0" rank="0" text="" dxfId="2">
      <formula>40</formula>
    </cfRule>
    <cfRule type="cellIs" priority="4175" operator="greaterThan" aboveAverage="0" equalAverage="0" bottom="0" percent="0" rank="0" text="" dxfId="3">
      <formula>45</formula>
    </cfRule>
  </conditionalFormatting>
  <conditionalFormatting sqref="M308">
    <cfRule type="cellIs" priority="4176" operator="greaterThan" aboveAverage="0" equalAverage="0" bottom="0" percent="0" rank="0" text="" dxfId="2">
      <formula>40</formula>
    </cfRule>
    <cfRule type="cellIs" priority="4177" operator="greaterThan" aboveAverage="0" equalAverage="0" bottom="0" percent="0" rank="0" text="" dxfId="3">
      <formula>45</formula>
    </cfRule>
  </conditionalFormatting>
  <conditionalFormatting sqref="N308">
    <cfRule type="cellIs" priority="4178" operator="greaterThan" aboveAverage="0" equalAverage="0" bottom="0" percent="0" rank="0" text="" dxfId="2">
      <formula>40</formula>
    </cfRule>
    <cfRule type="cellIs" priority="4179" operator="greaterThan" aboveAverage="0" equalAverage="0" bottom="0" percent="0" rank="0" text="" dxfId="3">
      <formula>45</formula>
    </cfRule>
  </conditionalFormatting>
  <conditionalFormatting sqref="O308">
    <cfRule type="cellIs" priority="4180" operator="greaterThan" aboveAverage="0" equalAverage="0" bottom="0" percent="0" rank="0" text="" dxfId="2">
      <formula>40</formula>
    </cfRule>
    <cfRule type="cellIs" priority="4181" operator="greaterThan" aboveAverage="0" equalAverage="0" bottom="0" percent="0" rank="0" text="" dxfId="3">
      <formula>45</formula>
    </cfRule>
  </conditionalFormatting>
  <conditionalFormatting sqref="P308">
    <cfRule type="cellIs" priority="4182" operator="greaterThan" aboveAverage="0" equalAverage="0" bottom="0" percent="0" rank="0" text="" dxfId="2">
      <formula>40</formula>
    </cfRule>
    <cfRule type="cellIs" priority="4183" operator="greaterThan" aboveAverage="0" equalAverage="0" bottom="0" percent="0" rank="0" text="" dxfId="3">
      <formula>45</formula>
    </cfRule>
  </conditionalFormatting>
  <conditionalFormatting sqref="Q308">
    <cfRule type="cellIs" priority="4184" operator="greaterThan" aboveAverage="0" equalAverage="0" bottom="0" percent="0" rank="0" text="" dxfId="2">
      <formula>40</formula>
    </cfRule>
    <cfRule type="cellIs" priority="4185" operator="greaterThan" aboveAverage="0" equalAverage="0" bottom="0" percent="0" rank="0" text="" dxfId="3">
      <formula>45</formula>
    </cfRule>
  </conditionalFormatting>
  <conditionalFormatting sqref="R308">
    <cfRule type="cellIs" priority="4186" operator="greaterThan" aboveAverage="0" equalAverage="0" bottom="0" percent="0" rank="0" text="" dxfId="2">
      <formula>40</formula>
    </cfRule>
    <cfRule type="cellIs" priority="4187" operator="greaterThan" aboveAverage="0" equalAverage="0" bottom="0" percent="0" rank="0" text="" dxfId="3">
      <formula>45</formula>
    </cfRule>
  </conditionalFormatting>
  <conditionalFormatting sqref="S308">
    <cfRule type="cellIs" priority="4188" operator="greaterThan" aboveAverage="0" equalAverage="0" bottom="0" percent="0" rank="0" text="" dxfId="2">
      <formula>40</formula>
    </cfRule>
    <cfRule type="cellIs" priority="4189" operator="greaterThan" aboveAverage="0" equalAverage="0" bottom="0" percent="0" rank="0" text="" dxfId="3">
      <formula>45</formula>
    </cfRule>
  </conditionalFormatting>
  <conditionalFormatting sqref="T308">
    <cfRule type="cellIs" priority="4190" operator="greaterThan" aboveAverage="0" equalAverage="0" bottom="0" percent="0" rank="0" text="" dxfId="2">
      <formula>40</formula>
    </cfRule>
    <cfRule type="cellIs" priority="4191" operator="greaterThan" aboveAverage="0" equalAverage="0" bottom="0" percent="0" rank="0" text="" dxfId="3">
      <formula>45</formula>
    </cfRule>
  </conditionalFormatting>
  <conditionalFormatting sqref="U308">
    <cfRule type="cellIs" priority="4192" operator="greaterThan" aboveAverage="0" equalAverage="0" bottom="0" percent="0" rank="0" text="" dxfId="2">
      <formula>40</formula>
    </cfRule>
    <cfRule type="cellIs" priority="4193" operator="greaterThan" aboveAverage="0" equalAverage="0" bottom="0" percent="0" rank="0" text="" dxfId="3">
      <formula>45</formula>
    </cfRule>
  </conditionalFormatting>
  <conditionalFormatting sqref="V308">
    <cfRule type="cellIs" priority="4194" operator="greaterThan" aboveAverage="0" equalAverage="0" bottom="0" percent="0" rank="0" text="" dxfId="2">
      <formula>40</formula>
    </cfRule>
    <cfRule type="cellIs" priority="4195" operator="greaterThan" aboveAverage="0" equalAverage="0" bottom="0" percent="0" rank="0" text="" dxfId="3">
      <formula>45</formula>
    </cfRule>
  </conditionalFormatting>
  <conditionalFormatting sqref="W308">
    <cfRule type="cellIs" priority="4196" operator="greaterThan" aboveAverage="0" equalAverage="0" bottom="0" percent="0" rank="0" text="" dxfId="2">
      <formula>40</formula>
    </cfRule>
    <cfRule type="cellIs" priority="4197" operator="greaterThan" aboveAverage="0" equalAverage="0" bottom="0" percent="0" rank="0" text="" dxfId="3">
      <formula>45</formula>
    </cfRule>
  </conditionalFormatting>
  <conditionalFormatting sqref="X308">
    <cfRule type="cellIs" priority="4198" operator="greaterThan" aboveAverage="0" equalAverage="0" bottom="0" percent="0" rank="0" text="" dxfId="2">
      <formula>55</formula>
    </cfRule>
    <cfRule type="cellIs" priority="4199" operator="greaterThan" aboveAverage="0" equalAverage="0" bottom="0" percent="0" rank="0" text="" dxfId="3">
      <formula>65</formula>
    </cfRule>
  </conditionalFormatting>
  <conditionalFormatting sqref="Y308">
    <cfRule type="cellIs" priority="4200" operator="greaterThan" aboveAverage="0" equalAverage="0" bottom="0" percent="0" rank="0" text="" dxfId="2">
      <formula>55</formula>
    </cfRule>
    <cfRule type="cellIs" priority="4201" operator="greaterThan" aboveAverage="0" equalAverage="0" bottom="0" percent="0" rank="0" text="" dxfId="3">
      <formula>65</formula>
    </cfRule>
  </conditionalFormatting>
  <conditionalFormatting sqref="Z308">
    <cfRule type="cellIs" priority="4202" operator="greaterThan" aboveAverage="0" equalAverage="0" bottom="0" percent="0" rank="0" text="" dxfId="2">
      <formula>55</formula>
    </cfRule>
    <cfRule type="cellIs" priority="4203" operator="greaterThan" aboveAverage="0" equalAverage="0" bottom="0" percent="0" rank="0" text="" dxfId="3">
      <formula>65</formula>
    </cfRule>
  </conditionalFormatting>
  <conditionalFormatting sqref="AA308">
    <cfRule type="cellIs" priority="4204" operator="greaterThan" aboveAverage="0" equalAverage="0" bottom="0" percent="0" rank="0" text="" dxfId="2">
      <formula>55</formula>
    </cfRule>
    <cfRule type="cellIs" priority="4205" operator="greaterThan" aboveAverage="0" equalAverage="0" bottom="0" percent="0" rank="0" text="" dxfId="3">
      <formula>65</formula>
    </cfRule>
  </conditionalFormatting>
  <conditionalFormatting sqref="AB308">
    <cfRule type="cellIs" priority="4206" operator="greaterThan" aboveAverage="0" equalAverage="0" bottom="0" percent="0" rank="0" text="" dxfId="2">
      <formula>55</formula>
    </cfRule>
    <cfRule type="cellIs" priority="4207" operator="greaterThan" aboveAverage="0" equalAverage="0" bottom="0" percent="0" rank="0" text="" dxfId="3">
      <formula>65</formula>
    </cfRule>
  </conditionalFormatting>
  <conditionalFormatting sqref="AC308">
    <cfRule type="cellIs" priority="4208" operator="greaterThan" aboveAverage="0" equalAverage="0" bottom="0" percent="0" rank="0" text="" dxfId="2">
      <formula>55</formula>
    </cfRule>
    <cfRule type="cellIs" priority="4209" operator="greaterThan" aboveAverage="0" equalAverage="0" bottom="0" percent="0" rank="0" text="" dxfId="3">
      <formula>65</formula>
    </cfRule>
  </conditionalFormatting>
  <conditionalFormatting sqref="AD308">
    <cfRule type="cellIs" priority="4210" operator="greaterThan" aboveAverage="0" equalAverage="0" bottom="0" percent="0" rank="0" text="" dxfId="2">
      <formula>55</formula>
    </cfRule>
    <cfRule type="cellIs" priority="4211" operator="greaterThan" aboveAverage="0" equalAverage="0" bottom="0" percent="0" rank="0" text="" dxfId="3">
      <formula>65</formula>
    </cfRule>
  </conditionalFormatting>
  <conditionalFormatting sqref="AE308">
    <cfRule type="cellIs" priority="4212" operator="greaterThan" aboveAverage="0" equalAverage="0" bottom="0" percent="0" rank="0" text="" dxfId="2">
      <formula>55</formula>
    </cfRule>
    <cfRule type="cellIs" priority="4213" operator="greaterThan" aboveAverage="0" equalAverage="0" bottom="0" percent="0" rank="0" text="" dxfId="3">
      <formula>65</formula>
    </cfRule>
  </conditionalFormatting>
  <conditionalFormatting sqref="AF308">
    <cfRule type="cellIs" priority="4214" operator="greaterThan" aboveAverage="0" equalAverage="0" bottom="0" percent="0" rank="0" text="" dxfId="2">
      <formula>40</formula>
    </cfRule>
    <cfRule type="cellIs" priority="4215" operator="greaterThan" aboveAverage="0" equalAverage="0" bottom="0" percent="0" rank="0" text="" dxfId="3">
      <formula>45</formula>
    </cfRule>
  </conditionalFormatting>
  <conditionalFormatting sqref="AG308">
    <cfRule type="cellIs" priority="4216" operator="greaterThan" aboveAverage="0" equalAverage="0" bottom="0" percent="0" rank="0" text="" dxfId="2">
      <formula>40</formula>
    </cfRule>
    <cfRule type="cellIs" priority="4217" operator="greaterThan" aboveAverage="0" equalAverage="0" bottom="0" percent="0" rank="0" text="" dxfId="3">
      <formula>45</formula>
    </cfRule>
  </conditionalFormatting>
  <conditionalFormatting sqref="AH308">
    <cfRule type="cellIs" priority="4218" operator="greaterThan" aboveAverage="0" equalAverage="0" bottom="0" percent="0" rank="0" text="" dxfId="2">
      <formula>40</formula>
    </cfRule>
    <cfRule type="cellIs" priority="4219" operator="greaterThan" aboveAverage="0" equalAverage="0" bottom="0" percent="0" rank="0" text="" dxfId="3">
      <formula>45</formula>
    </cfRule>
  </conditionalFormatting>
  <conditionalFormatting sqref="AI308">
    <cfRule type="cellIs" priority="4220" operator="greaterThan" aboveAverage="0" equalAverage="0" bottom="0" percent="0" rank="0" text="" dxfId="2">
      <formula>40</formula>
    </cfRule>
    <cfRule type="cellIs" priority="4221" operator="greaterThan" aboveAverage="0" equalAverage="0" bottom="0" percent="0" rank="0" text="" dxfId="3">
      <formula>45</formula>
    </cfRule>
  </conditionalFormatting>
  <conditionalFormatting sqref="AJ308">
    <cfRule type="cellIs" priority="4222" operator="greaterThan" aboveAverage="0" equalAverage="0" bottom="0" percent="0" rank="0" text="" dxfId="2">
      <formula>40</formula>
    </cfRule>
    <cfRule type="cellIs" priority="4223" operator="greaterThan" aboveAverage="0" equalAverage="0" bottom="0" percent="0" rank="0" text="" dxfId="3">
      <formula>45</formula>
    </cfRule>
  </conditionalFormatting>
  <conditionalFormatting sqref="AK308">
    <cfRule type="cellIs" priority="4224" operator="greaterThan" aboveAverage="0" equalAverage="0" bottom="0" percent="0" rank="0" text="" dxfId="2">
      <formula>40</formula>
    </cfRule>
    <cfRule type="cellIs" priority="4225" operator="greaterThan" aboveAverage="0" equalAverage="0" bottom="0" percent="0" rank="0" text="" dxfId="3">
      <formula>45</formula>
    </cfRule>
  </conditionalFormatting>
  <conditionalFormatting sqref="AL308">
    <cfRule type="cellIs" priority="4226" operator="greaterThan" aboveAverage="0" equalAverage="0" bottom="0" percent="0" rank="0" text="" dxfId="2">
      <formula>40</formula>
    </cfRule>
    <cfRule type="cellIs" priority="4227" operator="greaterThan" aboveAverage="0" equalAverage="0" bottom="0" percent="0" rank="0" text="" dxfId="3">
      <formula>45</formula>
    </cfRule>
  </conditionalFormatting>
  <conditionalFormatting sqref="AM308">
    <cfRule type="cellIs" priority="4228" operator="greaterThan" aboveAverage="0" equalAverage="0" bottom="0" percent="0" rank="0" text="" dxfId="2">
      <formula>40</formula>
    </cfRule>
    <cfRule type="cellIs" priority="4229" operator="greaterThan" aboveAverage="0" equalAverage="0" bottom="0" percent="0" rank="0" text="" dxfId="3">
      <formula>45</formula>
    </cfRule>
  </conditionalFormatting>
  <conditionalFormatting sqref="AN308">
    <cfRule type="cellIs" priority="4230" operator="greaterThan" aboveAverage="0" equalAverage="0" bottom="0" percent="0" rank="0" text="" dxfId="2">
      <formula>40</formula>
    </cfRule>
    <cfRule type="cellIs" priority="4231" operator="greaterThan" aboveAverage="0" equalAverage="0" bottom="0" percent="0" rank="0" text="" dxfId="3">
      <formula>45</formula>
    </cfRule>
  </conditionalFormatting>
  <conditionalFormatting sqref="AO308">
    <cfRule type="cellIs" priority="4232" operator="greaterThan" aboveAverage="0" equalAverage="0" bottom="0" percent="0" rank="0" text="" dxfId="2">
      <formula>40</formula>
    </cfRule>
    <cfRule type="cellIs" priority="4233" operator="greaterThan" aboveAverage="0" equalAverage="0" bottom="0" percent="0" rank="0" text="" dxfId="3">
      <formula>45</formula>
    </cfRule>
  </conditionalFormatting>
  <conditionalFormatting sqref="AP308">
    <cfRule type="cellIs" priority="4234" operator="greaterThan" aboveAverage="0" equalAverage="0" bottom="0" percent="0" rank="0" text="" dxfId="2">
      <formula>40</formula>
    </cfRule>
    <cfRule type="cellIs" priority="4235" operator="greaterThan" aboveAverage="0" equalAverage="0" bottom="0" percent="0" rank="0" text="" dxfId="3">
      <formula>45</formula>
    </cfRule>
  </conditionalFormatting>
  <conditionalFormatting sqref="AQ308">
    <cfRule type="cellIs" priority="4236" operator="greaterThan" aboveAverage="0" equalAverage="0" bottom="0" percent="0" rank="0" text="" dxfId="2">
      <formula>40</formula>
    </cfRule>
    <cfRule type="cellIs" priority="4237" operator="greaterThan" aboveAverage="0" equalAverage="0" bottom="0" percent="0" rank="0" text="" dxfId="3">
      <formula>45</formula>
    </cfRule>
  </conditionalFormatting>
  <conditionalFormatting sqref="AR308">
    <cfRule type="cellIs" priority="4238" operator="greaterThan" aboveAverage="0" equalAverage="0" bottom="0" percent="0" rank="0" text="" dxfId="2">
      <formula>40</formula>
    </cfRule>
    <cfRule type="cellIs" priority="4239" operator="greaterThan" aboveAverage="0" equalAverage="0" bottom="0" percent="0" rank="0" text="" dxfId="3">
      <formula>45</formula>
    </cfRule>
  </conditionalFormatting>
  <conditionalFormatting sqref="AS308">
    <cfRule type="cellIs" priority="4240" operator="greaterThan" aboveAverage="0" equalAverage="0" bottom="0" percent="0" rank="0" text="" dxfId="2">
      <formula>40</formula>
    </cfRule>
    <cfRule type="cellIs" priority="4241" operator="greaterThan" aboveAverage="0" equalAverage="0" bottom="0" percent="0" rank="0" text="" dxfId="3">
      <formula>45</formula>
    </cfRule>
  </conditionalFormatting>
  <conditionalFormatting sqref="F310">
    <cfRule type="cellIs" priority="4242" operator="greaterThan" aboveAverage="0" equalAverage="0" bottom="0" percent="0" rank="0" text="" dxfId="2">
      <formula>40</formula>
    </cfRule>
    <cfRule type="cellIs" priority="4243" operator="greaterThan" aboveAverage="0" equalAverage="0" bottom="0" percent="0" rank="0" text="" dxfId="3">
      <formula>45</formula>
    </cfRule>
  </conditionalFormatting>
  <conditionalFormatting sqref="G310">
    <cfRule type="cellIs" priority="4244" operator="greaterThan" aboveAverage="0" equalAverage="0" bottom="0" percent="0" rank="0" text="" dxfId="2">
      <formula>40</formula>
    </cfRule>
    <cfRule type="cellIs" priority="4245" operator="greaterThan" aboveAverage="0" equalAverage="0" bottom="0" percent="0" rank="0" text="" dxfId="3">
      <formula>45</formula>
    </cfRule>
  </conditionalFormatting>
  <conditionalFormatting sqref="H310">
    <cfRule type="cellIs" priority="4246" operator="greaterThan" aboveAverage="0" equalAverage="0" bottom="0" percent="0" rank="0" text="" dxfId="2">
      <formula>40</formula>
    </cfRule>
    <cfRule type="cellIs" priority="4247" operator="greaterThan" aboveAverage="0" equalAverage="0" bottom="0" percent="0" rank="0" text="" dxfId="3">
      <formula>45</formula>
    </cfRule>
  </conditionalFormatting>
  <conditionalFormatting sqref="I310">
    <cfRule type="cellIs" priority="4248" operator="greaterThan" aboveAverage="0" equalAverage="0" bottom="0" percent="0" rank="0" text="" dxfId="2">
      <formula>40</formula>
    </cfRule>
    <cfRule type="cellIs" priority="4249" operator="greaterThan" aboveAverage="0" equalAverage="0" bottom="0" percent="0" rank="0" text="" dxfId="3">
      <formula>45</formula>
    </cfRule>
  </conditionalFormatting>
  <conditionalFormatting sqref="J310">
    <cfRule type="cellIs" priority="4250" operator="greaterThan" aboveAverage="0" equalAverage="0" bottom="0" percent="0" rank="0" text="" dxfId="2">
      <formula>40</formula>
    </cfRule>
    <cfRule type="cellIs" priority="4251" operator="greaterThan" aboveAverage="0" equalAverage="0" bottom="0" percent="0" rank="0" text="" dxfId="3">
      <formula>45</formula>
    </cfRule>
  </conditionalFormatting>
  <conditionalFormatting sqref="K310">
    <cfRule type="cellIs" priority="4252" operator="greaterThan" aboveAverage="0" equalAverage="0" bottom="0" percent="0" rank="0" text="" dxfId="2">
      <formula>40</formula>
    </cfRule>
    <cfRule type="cellIs" priority="4253" operator="greaterThan" aboveAverage="0" equalAverage="0" bottom="0" percent="0" rank="0" text="" dxfId="3">
      <formula>45</formula>
    </cfRule>
  </conditionalFormatting>
  <conditionalFormatting sqref="L310">
    <cfRule type="cellIs" priority="4254" operator="greaterThan" aboveAverage="0" equalAverage="0" bottom="0" percent="0" rank="0" text="" dxfId="2">
      <formula>40</formula>
    </cfRule>
    <cfRule type="cellIs" priority="4255" operator="greaterThan" aboveAverage="0" equalAverage="0" bottom="0" percent="0" rank="0" text="" dxfId="3">
      <formula>45</formula>
    </cfRule>
  </conditionalFormatting>
  <conditionalFormatting sqref="M310">
    <cfRule type="cellIs" priority="4256" operator="greaterThan" aboveAverage="0" equalAverage="0" bottom="0" percent="0" rank="0" text="" dxfId="2">
      <formula>40</formula>
    </cfRule>
    <cfRule type="cellIs" priority="4257" operator="greaterThan" aboveAverage="0" equalAverage="0" bottom="0" percent="0" rank="0" text="" dxfId="3">
      <formula>45</formula>
    </cfRule>
  </conditionalFormatting>
  <conditionalFormatting sqref="N310">
    <cfRule type="cellIs" priority="4258" operator="greaterThan" aboveAverage="0" equalAverage="0" bottom="0" percent="0" rank="0" text="" dxfId="2">
      <formula>40</formula>
    </cfRule>
    <cfRule type="cellIs" priority="4259" operator="greaterThan" aboveAverage="0" equalAverage="0" bottom="0" percent="0" rank="0" text="" dxfId="3">
      <formula>45</formula>
    </cfRule>
  </conditionalFormatting>
  <conditionalFormatting sqref="O310">
    <cfRule type="cellIs" priority="4260" operator="greaterThan" aboveAverage="0" equalAverage="0" bottom="0" percent="0" rank="0" text="" dxfId="2">
      <formula>40</formula>
    </cfRule>
    <cfRule type="cellIs" priority="4261" operator="greaterThan" aboveAverage="0" equalAverage="0" bottom="0" percent="0" rank="0" text="" dxfId="3">
      <formula>45</formula>
    </cfRule>
  </conditionalFormatting>
  <conditionalFormatting sqref="P310">
    <cfRule type="cellIs" priority="4262" operator="greaterThan" aboveAverage="0" equalAverage="0" bottom="0" percent="0" rank="0" text="" dxfId="2">
      <formula>40</formula>
    </cfRule>
    <cfRule type="cellIs" priority="4263" operator="greaterThan" aboveAverage="0" equalAverage="0" bottom="0" percent="0" rank="0" text="" dxfId="3">
      <formula>45</formula>
    </cfRule>
  </conditionalFormatting>
  <conditionalFormatting sqref="Q310">
    <cfRule type="cellIs" priority="4264" operator="greaterThan" aboveAverage="0" equalAverage="0" bottom="0" percent="0" rank="0" text="" dxfId="2">
      <formula>40</formula>
    </cfRule>
    <cfRule type="cellIs" priority="4265" operator="greaterThan" aboveAverage="0" equalAverage="0" bottom="0" percent="0" rank="0" text="" dxfId="3">
      <formula>45</formula>
    </cfRule>
  </conditionalFormatting>
  <conditionalFormatting sqref="R310">
    <cfRule type="cellIs" priority="4266" operator="greaterThan" aboveAverage="0" equalAverage="0" bottom="0" percent="0" rank="0" text="" dxfId="2">
      <formula>40</formula>
    </cfRule>
    <cfRule type="cellIs" priority="4267" operator="greaterThan" aboveAverage="0" equalAverage="0" bottom="0" percent="0" rank="0" text="" dxfId="3">
      <formula>45</formula>
    </cfRule>
  </conditionalFormatting>
  <conditionalFormatting sqref="S310">
    <cfRule type="cellIs" priority="4268" operator="greaterThan" aboveAverage="0" equalAverage="0" bottom="0" percent="0" rank="0" text="" dxfId="2">
      <formula>40</formula>
    </cfRule>
    <cfRule type="cellIs" priority="4269" operator="greaterThan" aboveAverage="0" equalAverage="0" bottom="0" percent="0" rank="0" text="" dxfId="3">
      <formula>45</formula>
    </cfRule>
  </conditionalFormatting>
  <conditionalFormatting sqref="T310">
    <cfRule type="cellIs" priority="4270" operator="greaterThan" aboveAverage="0" equalAverage="0" bottom="0" percent="0" rank="0" text="" dxfId="2">
      <formula>40</formula>
    </cfRule>
    <cfRule type="cellIs" priority="4271" operator="greaterThan" aboveAverage="0" equalAverage="0" bottom="0" percent="0" rank="0" text="" dxfId="3">
      <formula>45</formula>
    </cfRule>
  </conditionalFormatting>
  <conditionalFormatting sqref="U310">
    <cfRule type="cellIs" priority="4272" operator="greaterThan" aboveAverage="0" equalAverage="0" bottom="0" percent="0" rank="0" text="" dxfId="2">
      <formula>40</formula>
    </cfRule>
    <cfRule type="cellIs" priority="4273" operator="greaterThan" aboveAverage="0" equalAverage="0" bottom="0" percent="0" rank="0" text="" dxfId="3">
      <formula>45</formula>
    </cfRule>
  </conditionalFormatting>
  <conditionalFormatting sqref="V310">
    <cfRule type="cellIs" priority="4274" operator="greaterThan" aboveAverage="0" equalAverage="0" bottom="0" percent="0" rank="0" text="" dxfId="2">
      <formula>40</formula>
    </cfRule>
    <cfRule type="cellIs" priority="4275" operator="greaterThan" aboveAverage="0" equalAverage="0" bottom="0" percent="0" rank="0" text="" dxfId="3">
      <formula>45</formula>
    </cfRule>
  </conditionalFormatting>
  <conditionalFormatting sqref="W310">
    <cfRule type="cellIs" priority="4276" operator="greaterThan" aboveAverage="0" equalAverage="0" bottom="0" percent="0" rank="0" text="" dxfId="2">
      <formula>40</formula>
    </cfRule>
    <cfRule type="cellIs" priority="4277" operator="greaterThan" aboveAverage="0" equalAverage="0" bottom="0" percent="0" rank="0" text="" dxfId="3">
      <formula>45</formula>
    </cfRule>
  </conditionalFormatting>
  <conditionalFormatting sqref="X310">
    <cfRule type="cellIs" priority="4278" operator="greaterThan" aboveAverage="0" equalAverage="0" bottom="0" percent="0" rank="0" text="" dxfId="2">
      <formula>55</formula>
    </cfRule>
    <cfRule type="cellIs" priority="4279" operator="greaterThan" aboveAverage="0" equalAverage="0" bottom="0" percent="0" rank="0" text="" dxfId="3">
      <formula>65</formula>
    </cfRule>
  </conditionalFormatting>
  <conditionalFormatting sqref="Y310">
    <cfRule type="cellIs" priority="4280" operator="greaterThan" aboveAverage="0" equalAverage="0" bottom="0" percent="0" rank="0" text="" dxfId="2">
      <formula>55</formula>
    </cfRule>
    <cfRule type="cellIs" priority="4281" operator="greaterThan" aboveAverage="0" equalAverage="0" bottom="0" percent="0" rank="0" text="" dxfId="3">
      <formula>65</formula>
    </cfRule>
  </conditionalFormatting>
  <conditionalFormatting sqref="Z310">
    <cfRule type="cellIs" priority="4282" operator="greaterThan" aboveAverage="0" equalAverage="0" bottom="0" percent="0" rank="0" text="" dxfId="2">
      <formula>55</formula>
    </cfRule>
    <cfRule type="cellIs" priority="4283" operator="greaterThan" aboveAverage="0" equalAverage="0" bottom="0" percent="0" rank="0" text="" dxfId="3">
      <formula>65</formula>
    </cfRule>
  </conditionalFormatting>
  <conditionalFormatting sqref="AA310">
    <cfRule type="cellIs" priority="4284" operator="greaterThan" aboveAverage="0" equalAverage="0" bottom="0" percent="0" rank="0" text="" dxfId="2">
      <formula>55</formula>
    </cfRule>
    <cfRule type="cellIs" priority="4285" operator="greaterThan" aboveAverage="0" equalAverage="0" bottom="0" percent="0" rank="0" text="" dxfId="3">
      <formula>65</formula>
    </cfRule>
  </conditionalFormatting>
  <conditionalFormatting sqref="AB310">
    <cfRule type="cellIs" priority="4286" operator="greaterThan" aboveAverage="0" equalAverage="0" bottom="0" percent="0" rank="0" text="" dxfId="2">
      <formula>55</formula>
    </cfRule>
    <cfRule type="cellIs" priority="4287" operator="greaterThan" aboveAverage="0" equalAverage="0" bottom="0" percent="0" rank="0" text="" dxfId="3">
      <formula>65</formula>
    </cfRule>
  </conditionalFormatting>
  <conditionalFormatting sqref="AC310">
    <cfRule type="cellIs" priority="4288" operator="greaterThan" aboveAverage="0" equalAverage="0" bottom="0" percent="0" rank="0" text="" dxfId="2">
      <formula>55</formula>
    </cfRule>
    <cfRule type="cellIs" priority="4289" operator="greaterThan" aboveAverage="0" equalAverage="0" bottom="0" percent="0" rank="0" text="" dxfId="3">
      <formula>65</formula>
    </cfRule>
  </conditionalFormatting>
  <conditionalFormatting sqref="AD310">
    <cfRule type="cellIs" priority="4290" operator="greaterThan" aboveAverage="0" equalAverage="0" bottom="0" percent="0" rank="0" text="" dxfId="2">
      <formula>55</formula>
    </cfRule>
    <cfRule type="cellIs" priority="4291" operator="greaterThan" aboveAverage="0" equalAverage="0" bottom="0" percent="0" rank="0" text="" dxfId="3">
      <formula>65</formula>
    </cfRule>
  </conditionalFormatting>
  <conditionalFormatting sqref="AE310">
    <cfRule type="cellIs" priority="4292" operator="greaterThan" aboveAverage="0" equalAverage="0" bottom="0" percent="0" rank="0" text="" dxfId="2">
      <formula>55</formula>
    </cfRule>
    <cfRule type="cellIs" priority="4293" operator="greaterThan" aboveAverage="0" equalAverage="0" bottom="0" percent="0" rank="0" text="" dxfId="3">
      <formula>65</formula>
    </cfRule>
  </conditionalFormatting>
  <conditionalFormatting sqref="AF310">
    <cfRule type="cellIs" priority="4294" operator="greaterThan" aboveAverage="0" equalAverage="0" bottom="0" percent="0" rank="0" text="" dxfId="2">
      <formula>40</formula>
    </cfRule>
    <cfRule type="cellIs" priority="4295" operator="greaterThan" aboveAverage="0" equalAverage="0" bottom="0" percent="0" rank="0" text="" dxfId="3">
      <formula>45</formula>
    </cfRule>
  </conditionalFormatting>
  <conditionalFormatting sqref="AG310">
    <cfRule type="cellIs" priority="4296" operator="greaterThan" aboveAverage="0" equalAverage="0" bottom="0" percent="0" rank="0" text="" dxfId="2">
      <formula>40</formula>
    </cfRule>
    <cfRule type="cellIs" priority="4297" operator="greaterThan" aboveAverage="0" equalAverage="0" bottom="0" percent="0" rank="0" text="" dxfId="3">
      <formula>45</formula>
    </cfRule>
  </conditionalFormatting>
  <conditionalFormatting sqref="AH310">
    <cfRule type="cellIs" priority="4298" operator="greaterThan" aboveAverage="0" equalAverage="0" bottom="0" percent="0" rank="0" text="" dxfId="2">
      <formula>40</formula>
    </cfRule>
    <cfRule type="cellIs" priority="4299" operator="greaterThan" aboveAverage="0" equalAverage="0" bottom="0" percent="0" rank="0" text="" dxfId="3">
      <formula>45</formula>
    </cfRule>
  </conditionalFormatting>
  <conditionalFormatting sqref="AI310">
    <cfRule type="cellIs" priority="4300" operator="greaterThan" aboveAverage="0" equalAverage="0" bottom="0" percent="0" rank="0" text="" dxfId="2">
      <formula>40</formula>
    </cfRule>
    <cfRule type="cellIs" priority="4301" operator="greaterThan" aboveAverage="0" equalAverage="0" bottom="0" percent="0" rank="0" text="" dxfId="3">
      <formula>45</formula>
    </cfRule>
  </conditionalFormatting>
  <conditionalFormatting sqref="AJ310">
    <cfRule type="cellIs" priority="4302" operator="greaterThan" aboveAverage="0" equalAverage="0" bottom="0" percent="0" rank="0" text="" dxfId="2">
      <formula>40</formula>
    </cfRule>
    <cfRule type="cellIs" priority="4303" operator="greaterThan" aboveAverage="0" equalAverage="0" bottom="0" percent="0" rank="0" text="" dxfId="3">
      <formula>45</formula>
    </cfRule>
  </conditionalFormatting>
  <conditionalFormatting sqref="AK310">
    <cfRule type="cellIs" priority="4304" operator="greaterThan" aboveAverage="0" equalAverage="0" bottom="0" percent="0" rank="0" text="" dxfId="2">
      <formula>40</formula>
    </cfRule>
    <cfRule type="cellIs" priority="4305" operator="greaterThan" aboveAverage="0" equalAverage="0" bottom="0" percent="0" rank="0" text="" dxfId="3">
      <formula>45</formula>
    </cfRule>
  </conditionalFormatting>
  <conditionalFormatting sqref="AL310">
    <cfRule type="cellIs" priority="4306" operator="greaterThan" aboveAverage="0" equalAverage="0" bottom="0" percent="0" rank="0" text="" dxfId="2">
      <formula>40</formula>
    </cfRule>
    <cfRule type="cellIs" priority="4307" operator="greaterThan" aboveAverage="0" equalAverage="0" bottom="0" percent="0" rank="0" text="" dxfId="3">
      <formula>45</formula>
    </cfRule>
  </conditionalFormatting>
  <conditionalFormatting sqref="AM310">
    <cfRule type="cellIs" priority="4308" operator="greaterThan" aboveAverage="0" equalAverage="0" bottom="0" percent="0" rank="0" text="" dxfId="2">
      <formula>40</formula>
    </cfRule>
    <cfRule type="cellIs" priority="4309" operator="greaterThan" aboveAverage="0" equalAverage="0" bottom="0" percent="0" rank="0" text="" dxfId="3">
      <formula>45</formula>
    </cfRule>
  </conditionalFormatting>
  <conditionalFormatting sqref="AN310">
    <cfRule type="cellIs" priority="4310" operator="greaterThan" aboveAverage="0" equalAverage="0" bottom="0" percent="0" rank="0" text="" dxfId="2">
      <formula>40</formula>
    </cfRule>
    <cfRule type="cellIs" priority="4311" operator="greaterThan" aboveAverage="0" equalAverage="0" bottom="0" percent="0" rank="0" text="" dxfId="3">
      <formula>45</formula>
    </cfRule>
  </conditionalFormatting>
  <conditionalFormatting sqref="AO310">
    <cfRule type="cellIs" priority="4312" operator="greaterThan" aboveAverage="0" equalAverage="0" bottom="0" percent="0" rank="0" text="" dxfId="2">
      <formula>40</formula>
    </cfRule>
    <cfRule type="cellIs" priority="4313" operator="greaterThan" aboveAverage="0" equalAverage="0" bottom="0" percent="0" rank="0" text="" dxfId="3">
      <formula>45</formula>
    </cfRule>
  </conditionalFormatting>
  <conditionalFormatting sqref="AP310">
    <cfRule type="cellIs" priority="4314" operator="greaterThan" aboveAverage="0" equalAverage="0" bottom="0" percent="0" rank="0" text="" dxfId="2">
      <formula>40</formula>
    </cfRule>
    <cfRule type="cellIs" priority="4315" operator="greaterThan" aboveAverage="0" equalAverage="0" bottom="0" percent="0" rank="0" text="" dxfId="3">
      <formula>45</formula>
    </cfRule>
  </conditionalFormatting>
  <conditionalFormatting sqref="AQ310">
    <cfRule type="cellIs" priority="4316" operator="greaterThan" aboveAverage="0" equalAverage="0" bottom="0" percent="0" rank="0" text="" dxfId="2">
      <formula>40</formula>
    </cfRule>
    <cfRule type="cellIs" priority="4317" operator="greaterThan" aboveAverage="0" equalAverage="0" bottom="0" percent="0" rank="0" text="" dxfId="3">
      <formula>45</formula>
    </cfRule>
  </conditionalFormatting>
  <conditionalFormatting sqref="AR310">
    <cfRule type="cellIs" priority="4318" operator="greaterThan" aboveAverage="0" equalAverage="0" bottom="0" percent="0" rank="0" text="" dxfId="2">
      <formula>40</formula>
    </cfRule>
    <cfRule type="cellIs" priority="4319" operator="greaterThan" aboveAverage="0" equalAverage="0" bottom="0" percent="0" rank="0" text="" dxfId="3">
      <formula>45</formula>
    </cfRule>
  </conditionalFormatting>
  <conditionalFormatting sqref="AS310">
    <cfRule type="cellIs" priority="4320" operator="greaterThan" aboveAverage="0" equalAverage="0" bottom="0" percent="0" rank="0" text="" dxfId="2">
      <formula>40</formula>
    </cfRule>
    <cfRule type="cellIs" priority="4321" operator="greaterThan" aboveAverage="0" equalAverage="0" bottom="0" percent="0" rank="0" text="" dxfId="3">
      <formula>45</formula>
    </cfRule>
  </conditionalFormatting>
  <conditionalFormatting sqref="F312">
    <cfRule type="cellIs" priority="4322" operator="greaterThan" aboveAverage="0" equalAverage="0" bottom="0" percent="0" rank="0" text="" dxfId="2">
      <formula>40</formula>
    </cfRule>
    <cfRule type="cellIs" priority="4323" operator="greaterThan" aboveAverage="0" equalAverage="0" bottom="0" percent="0" rank="0" text="" dxfId="3">
      <formula>45</formula>
    </cfRule>
  </conditionalFormatting>
  <conditionalFormatting sqref="G312">
    <cfRule type="cellIs" priority="4324" operator="greaterThan" aboveAverage="0" equalAverage="0" bottom="0" percent="0" rank="0" text="" dxfId="2">
      <formula>40</formula>
    </cfRule>
    <cfRule type="cellIs" priority="4325" operator="greaterThan" aboveAverage="0" equalAverage="0" bottom="0" percent="0" rank="0" text="" dxfId="3">
      <formula>45</formula>
    </cfRule>
  </conditionalFormatting>
  <conditionalFormatting sqref="H312">
    <cfRule type="cellIs" priority="4326" operator="greaterThan" aboveAverage="0" equalAverage="0" bottom="0" percent="0" rank="0" text="" dxfId="2">
      <formula>40</formula>
    </cfRule>
    <cfRule type="cellIs" priority="4327" operator="greaterThan" aboveAverage="0" equalAverage="0" bottom="0" percent="0" rank="0" text="" dxfId="3">
      <formula>45</formula>
    </cfRule>
  </conditionalFormatting>
  <conditionalFormatting sqref="I312">
    <cfRule type="cellIs" priority="4328" operator="greaterThan" aboveAverage="0" equalAverage="0" bottom="0" percent="0" rank="0" text="" dxfId="2">
      <formula>40</formula>
    </cfRule>
    <cfRule type="cellIs" priority="4329" operator="greaterThan" aboveAverage="0" equalAverage="0" bottom="0" percent="0" rank="0" text="" dxfId="3">
      <formula>45</formula>
    </cfRule>
  </conditionalFormatting>
  <conditionalFormatting sqref="J312">
    <cfRule type="cellIs" priority="4330" operator="greaterThan" aboveAverage="0" equalAverage="0" bottom="0" percent="0" rank="0" text="" dxfId="2">
      <formula>40</formula>
    </cfRule>
    <cfRule type="cellIs" priority="4331" operator="greaterThan" aboveAverage="0" equalAverage="0" bottom="0" percent="0" rank="0" text="" dxfId="3">
      <formula>45</formula>
    </cfRule>
  </conditionalFormatting>
  <conditionalFormatting sqref="K312">
    <cfRule type="cellIs" priority="4332" operator="greaterThan" aboveAverage="0" equalAverage="0" bottom="0" percent="0" rank="0" text="" dxfId="2">
      <formula>40</formula>
    </cfRule>
    <cfRule type="cellIs" priority="4333" operator="greaterThan" aboveAverage="0" equalAverage="0" bottom="0" percent="0" rank="0" text="" dxfId="3">
      <formula>45</formula>
    </cfRule>
  </conditionalFormatting>
  <conditionalFormatting sqref="L312">
    <cfRule type="cellIs" priority="4334" operator="greaterThan" aboveAverage="0" equalAverage="0" bottom="0" percent="0" rank="0" text="" dxfId="2">
      <formula>40</formula>
    </cfRule>
    <cfRule type="cellIs" priority="4335" operator="greaterThan" aboveAverage="0" equalAverage="0" bottom="0" percent="0" rank="0" text="" dxfId="3">
      <formula>45</formula>
    </cfRule>
  </conditionalFormatting>
  <conditionalFormatting sqref="M312">
    <cfRule type="cellIs" priority="4336" operator="greaterThan" aboveAverage="0" equalAverage="0" bottom="0" percent="0" rank="0" text="" dxfId="2">
      <formula>40</formula>
    </cfRule>
    <cfRule type="cellIs" priority="4337" operator="greaterThan" aboveAverage="0" equalAverage="0" bottom="0" percent="0" rank="0" text="" dxfId="3">
      <formula>45</formula>
    </cfRule>
  </conditionalFormatting>
  <conditionalFormatting sqref="N312">
    <cfRule type="cellIs" priority="4338" operator="greaterThan" aboveAverage="0" equalAverage="0" bottom="0" percent="0" rank="0" text="" dxfId="2">
      <formula>40</formula>
    </cfRule>
    <cfRule type="cellIs" priority="4339" operator="greaterThan" aboveAverage="0" equalAverage="0" bottom="0" percent="0" rank="0" text="" dxfId="3">
      <formula>45</formula>
    </cfRule>
  </conditionalFormatting>
  <conditionalFormatting sqref="O312">
    <cfRule type="cellIs" priority="4340" operator="greaterThan" aboveAverage="0" equalAverage="0" bottom="0" percent="0" rank="0" text="" dxfId="2">
      <formula>40</formula>
    </cfRule>
    <cfRule type="cellIs" priority="4341" operator="greaterThan" aboveAverage="0" equalAverage="0" bottom="0" percent="0" rank="0" text="" dxfId="3">
      <formula>45</formula>
    </cfRule>
  </conditionalFormatting>
  <conditionalFormatting sqref="P312">
    <cfRule type="cellIs" priority="4342" operator="greaterThan" aboveAverage="0" equalAverage="0" bottom="0" percent="0" rank="0" text="" dxfId="2">
      <formula>40</formula>
    </cfRule>
    <cfRule type="cellIs" priority="4343" operator="greaterThan" aboveAverage="0" equalAverage="0" bottom="0" percent="0" rank="0" text="" dxfId="3">
      <formula>45</formula>
    </cfRule>
  </conditionalFormatting>
  <conditionalFormatting sqref="Q312">
    <cfRule type="cellIs" priority="4344" operator="greaterThan" aboveAverage="0" equalAverage="0" bottom="0" percent="0" rank="0" text="" dxfId="2">
      <formula>40</formula>
    </cfRule>
    <cfRule type="cellIs" priority="4345" operator="greaterThan" aboveAverage="0" equalAverage="0" bottom="0" percent="0" rank="0" text="" dxfId="3">
      <formula>45</formula>
    </cfRule>
  </conditionalFormatting>
  <conditionalFormatting sqref="R312">
    <cfRule type="cellIs" priority="4346" operator="greaterThan" aboveAverage="0" equalAverage="0" bottom="0" percent="0" rank="0" text="" dxfId="2">
      <formula>40</formula>
    </cfRule>
    <cfRule type="cellIs" priority="4347" operator="greaterThan" aboveAverage="0" equalAverage="0" bottom="0" percent="0" rank="0" text="" dxfId="3">
      <formula>45</formula>
    </cfRule>
  </conditionalFormatting>
  <conditionalFormatting sqref="S312">
    <cfRule type="cellIs" priority="4348" operator="greaterThan" aboveAverage="0" equalAverage="0" bottom="0" percent="0" rank="0" text="" dxfId="2">
      <formula>40</formula>
    </cfRule>
    <cfRule type="cellIs" priority="4349" operator="greaterThan" aboveAverage="0" equalAverage="0" bottom="0" percent="0" rank="0" text="" dxfId="3">
      <formula>45</formula>
    </cfRule>
  </conditionalFormatting>
  <conditionalFormatting sqref="T312">
    <cfRule type="cellIs" priority="4350" operator="greaterThan" aboveAverage="0" equalAverage="0" bottom="0" percent="0" rank="0" text="" dxfId="2">
      <formula>40</formula>
    </cfRule>
    <cfRule type="cellIs" priority="4351" operator="greaterThan" aboveAverage="0" equalAverage="0" bottom="0" percent="0" rank="0" text="" dxfId="3">
      <formula>45</formula>
    </cfRule>
  </conditionalFormatting>
  <conditionalFormatting sqref="U312">
    <cfRule type="cellIs" priority="4352" operator="greaterThan" aboveAverage="0" equalAverage="0" bottom="0" percent="0" rank="0" text="" dxfId="2">
      <formula>40</formula>
    </cfRule>
    <cfRule type="cellIs" priority="4353" operator="greaterThan" aboveAverage="0" equalAverage="0" bottom="0" percent="0" rank="0" text="" dxfId="3">
      <formula>45</formula>
    </cfRule>
  </conditionalFormatting>
  <conditionalFormatting sqref="V312">
    <cfRule type="cellIs" priority="4354" operator="greaterThan" aboveAverage="0" equalAverage="0" bottom="0" percent="0" rank="0" text="" dxfId="2">
      <formula>40</formula>
    </cfRule>
    <cfRule type="cellIs" priority="4355" operator="greaterThan" aboveAverage="0" equalAverage="0" bottom="0" percent="0" rank="0" text="" dxfId="3">
      <formula>45</formula>
    </cfRule>
  </conditionalFormatting>
  <conditionalFormatting sqref="W312">
    <cfRule type="cellIs" priority="4356" operator="greaterThan" aboveAverage="0" equalAverage="0" bottom="0" percent="0" rank="0" text="" dxfId="2">
      <formula>40</formula>
    </cfRule>
    <cfRule type="cellIs" priority="4357" operator="greaterThan" aboveAverage="0" equalAverage="0" bottom="0" percent="0" rank="0" text="" dxfId="3">
      <formula>45</formula>
    </cfRule>
  </conditionalFormatting>
  <conditionalFormatting sqref="X312">
    <cfRule type="cellIs" priority="4358" operator="greaterThan" aboveAverage="0" equalAverage="0" bottom="0" percent="0" rank="0" text="" dxfId="2">
      <formula>55</formula>
    </cfRule>
    <cfRule type="cellIs" priority="4359" operator="greaterThan" aboveAverage="0" equalAverage="0" bottom="0" percent="0" rank="0" text="" dxfId="3">
      <formula>65</formula>
    </cfRule>
  </conditionalFormatting>
  <conditionalFormatting sqref="Y312">
    <cfRule type="cellIs" priority="4360" operator="greaterThan" aboveAverage="0" equalAverage="0" bottom="0" percent="0" rank="0" text="" dxfId="2">
      <formula>55</formula>
    </cfRule>
    <cfRule type="cellIs" priority="4361" operator="greaterThan" aboveAverage="0" equalAverage="0" bottom="0" percent="0" rank="0" text="" dxfId="3">
      <formula>65</formula>
    </cfRule>
  </conditionalFormatting>
  <conditionalFormatting sqref="Z312">
    <cfRule type="cellIs" priority="4362" operator="greaterThan" aboveAverage="0" equalAverage="0" bottom="0" percent="0" rank="0" text="" dxfId="2">
      <formula>55</formula>
    </cfRule>
    <cfRule type="cellIs" priority="4363" operator="greaterThan" aboveAverage="0" equalAverage="0" bottom="0" percent="0" rank="0" text="" dxfId="3">
      <formula>65</formula>
    </cfRule>
  </conditionalFormatting>
  <conditionalFormatting sqref="AA312">
    <cfRule type="cellIs" priority="4364" operator="greaterThan" aboveAverage="0" equalAverage="0" bottom="0" percent="0" rank="0" text="" dxfId="2">
      <formula>55</formula>
    </cfRule>
    <cfRule type="cellIs" priority="4365" operator="greaterThan" aboveAverage="0" equalAverage="0" bottom="0" percent="0" rank="0" text="" dxfId="3">
      <formula>65</formula>
    </cfRule>
  </conditionalFormatting>
  <conditionalFormatting sqref="AB312">
    <cfRule type="cellIs" priority="4366" operator="greaterThan" aboveAverage="0" equalAverage="0" bottom="0" percent="0" rank="0" text="" dxfId="2">
      <formula>55</formula>
    </cfRule>
    <cfRule type="cellIs" priority="4367" operator="greaterThan" aboveAverage="0" equalAverage="0" bottom="0" percent="0" rank="0" text="" dxfId="3">
      <formula>65</formula>
    </cfRule>
  </conditionalFormatting>
  <conditionalFormatting sqref="AC312">
    <cfRule type="cellIs" priority="4368" operator="greaterThan" aboveAverage="0" equalAverage="0" bottom="0" percent="0" rank="0" text="" dxfId="2">
      <formula>55</formula>
    </cfRule>
    <cfRule type="cellIs" priority="4369" operator="greaterThan" aboveAverage="0" equalAverage="0" bottom="0" percent="0" rank="0" text="" dxfId="3">
      <formula>65</formula>
    </cfRule>
  </conditionalFormatting>
  <conditionalFormatting sqref="AD312">
    <cfRule type="cellIs" priority="4370" operator="greaterThan" aboveAverage="0" equalAverage="0" bottom="0" percent="0" rank="0" text="" dxfId="2">
      <formula>55</formula>
    </cfRule>
    <cfRule type="cellIs" priority="4371" operator="greaterThan" aboveAverage="0" equalAverage="0" bottom="0" percent="0" rank="0" text="" dxfId="3">
      <formula>65</formula>
    </cfRule>
  </conditionalFormatting>
  <conditionalFormatting sqref="AE312">
    <cfRule type="cellIs" priority="4372" operator="greaterThan" aboveAverage="0" equalAverage="0" bottom="0" percent="0" rank="0" text="" dxfId="2">
      <formula>55</formula>
    </cfRule>
    <cfRule type="cellIs" priority="4373" operator="greaterThan" aboveAverage="0" equalAverage="0" bottom="0" percent="0" rank="0" text="" dxfId="3">
      <formula>65</formula>
    </cfRule>
  </conditionalFormatting>
  <conditionalFormatting sqref="AF312">
    <cfRule type="cellIs" priority="4374" operator="greaterThan" aboveAverage="0" equalAverage="0" bottom="0" percent="0" rank="0" text="" dxfId="2">
      <formula>40</formula>
    </cfRule>
    <cfRule type="cellIs" priority="4375" operator="greaterThan" aboveAverage="0" equalAverage="0" bottom="0" percent="0" rank="0" text="" dxfId="3">
      <formula>45</formula>
    </cfRule>
  </conditionalFormatting>
  <conditionalFormatting sqref="AG312">
    <cfRule type="cellIs" priority="4376" operator="greaterThan" aboveAverage="0" equalAverage="0" bottom="0" percent="0" rank="0" text="" dxfId="2">
      <formula>40</formula>
    </cfRule>
    <cfRule type="cellIs" priority="4377" operator="greaterThan" aboveAverage="0" equalAverage="0" bottom="0" percent="0" rank="0" text="" dxfId="3">
      <formula>45</formula>
    </cfRule>
  </conditionalFormatting>
  <conditionalFormatting sqref="AH312">
    <cfRule type="cellIs" priority="4378" operator="greaterThan" aboveAverage="0" equalAverage="0" bottom="0" percent="0" rank="0" text="" dxfId="2">
      <formula>40</formula>
    </cfRule>
    <cfRule type="cellIs" priority="4379" operator="greaterThan" aboveAverage="0" equalAverage="0" bottom="0" percent="0" rank="0" text="" dxfId="3">
      <formula>45</formula>
    </cfRule>
  </conditionalFormatting>
  <conditionalFormatting sqref="AI312">
    <cfRule type="cellIs" priority="4380" operator="greaterThan" aboveAverage="0" equalAverage="0" bottom="0" percent="0" rank="0" text="" dxfId="2">
      <formula>40</formula>
    </cfRule>
    <cfRule type="cellIs" priority="4381" operator="greaterThan" aboveAverage="0" equalAverage="0" bottom="0" percent="0" rank="0" text="" dxfId="3">
      <formula>45</formula>
    </cfRule>
  </conditionalFormatting>
  <conditionalFormatting sqref="AJ312">
    <cfRule type="cellIs" priority="4382" operator="greaterThan" aboveAverage="0" equalAverage="0" bottom="0" percent="0" rank="0" text="" dxfId="2">
      <formula>40</formula>
    </cfRule>
    <cfRule type="cellIs" priority="4383" operator="greaterThan" aboveAverage="0" equalAverage="0" bottom="0" percent="0" rank="0" text="" dxfId="3">
      <formula>45</formula>
    </cfRule>
  </conditionalFormatting>
  <conditionalFormatting sqref="AK312">
    <cfRule type="cellIs" priority="4384" operator="greaterThan" aboveAverage="0" equalAverage="0" bottom="0" percent="0" rank="0" text="" dxfId="2">
      <formula>40</formula>
    </cfRule>
    <cfRule type="cellIs" priority="4385" operator="greaterThan" aboveAverage="0" equalAverage="0" bottom="0" percent="0" rank="0" text="" dxfId="3">
      <formula>45</formula>
    </cfRule>
  </conditionalFormatting>
  <conditionalFormatting sqref="AL312">
    <cfRule type="cellIs" priority="4386" operator="greaterThan" aboveAverage="0" equalAverage="0" bottom="0" percent="0" rank="0" text="" dxfId="2">
      <formula>40</formula>
    </cfRule>
    <cfRule type="cellIs" priority="4387" operator="greaterThan" aboveAverage="0" equalAverage="0" bottom="0" percent="0" rank="0" text="" dxfId="3">
      <formula>45</formula>
    </cfRule>
  </conditionalFormatting>
  <conditionalFormatting sqref="AM312">
    <cfRule type="cellIs" priority="4388" operator="greaterThan" aboveAverage="0" equalAverage="0" bottom="0" percent="0" rank="0" text="" dxfId="2">
      <formula>40</formula>
    </cfRule>
    <cfRule type="cellIs" priority="4389" operator="greaterThan" aboveAverage="0" equalAverage="0" bottom="0" percent="0" rank="0" text="" dxfId="3">
      <formula>45</formula>
    </cfRule>
  </conditionalFormatting>
  <conditionalFormatting sqref="AN312">
    <cfRule type="cellIs" priority="4390" operator="greaterThan" aboveAverage="0" equalAverage="0" bottom="0" percent="0" rank="0" text="" dxfId="2">
      <formula>40</formula>
    </cfRule>
    <cfRule type="cellIs" priority="4391" operator="greaterThan" aboveAverage="0" equalAverage="0" bottom="0" percent="0" rank="0" text="" dxfId="3">
      <formula>45</formula>
    </cfRule>
  </conditionalFormatting>
  <conditionalFormatting sqref="AO312">
    <cfRule type="cellIs" priority="4392" operator="greaterThan" aboveAverage="0" equalAverage="0" bottom="0" percent="0" rank="0" text="" dxfId="2">
      <formula>40</formula>
    </cfRule>
    <cfRule type="cellIs" priority="4393" operator="greaterThan" aboveAverage="0" equalAverage="0" bottom="0" percent="0" rank="0" text="" dxfId="3">
      <formula>45</formula>
    </cfRule>
  </conditionalFormatting>
  <conditionalFormatting sqref="AP312">
    <cfRule type="cellIs" priority="4394" operator="greaterThan" aboveAverage="0" equalAverage="0" bottom="0" percent="0" rank="0" text="" dxfId="2">
      <formula>40</formula>
    </cfRule>
    <cfRule type="cellIs" priority="4395" operator="greaterThan" aboveAverage="0" equalAverage="0" bottom="0" percent="0" rank="0" text="" dxfId="3">
      <formula>45</formula>
    </cfRule>
  </conditionalFormatting>
  <conditionalFormatting sqref="AQ312">
    <cfRule type="cellIs" priority="4396" operator="greaterThan" aboveAverage="0" equalAverage="0" bottom="0" percent="0" rank="0" text="" dxfId="2">
      <formula>40</formula>
    </cfRule>
    <cfRule type="cellIs" priority="4397" operator="greaterThan" aboveAverage="0" equalAverage="0" bottom="0" percent="0" rank="0" text="" dxfId="3">
      <formula>45</formula>
    </cfRule>
  </conditionalFormatting>
  <conditionalFormatting sqref="AR312">
    <cfRule type="cellIs" priority="4398" operator="greaterThan" aboveAverage="0" equalAverage="0" bottom="0" percent="0" rank="0" text="" dxfId="2">
      <formula>40</formula>
    </cfRule>
    <cfRule type="cellIs" priority="4399" operator="greaterThan" aboveAverage="0" equalAverage="0" bottom="0" percent="0" rank="0" text="" dxfId="3">
      <formula>45</formula>
    </cfRule>
  </conditionalFormatting>
  <conditionalFormatting sqref="AS312">
    <cfRule type="cellIs" priority="4400" operator="greaterThan" aboveAverage="0" equalAverage="0" bottom="0" percent="0" rank="0" text="" dxfId="2">
      <formula>40</formula>
    </cfRule>
    <cfRule type="cellIs" priority="4401" operator="greaterThan" aboveAverage="0" equalAverage="0" bottom="0" percent="0" rank="0" text="" dxfId="3">
      <formula>45</formula>
    </cfRule>
  </conditionalFormatting>
  <conditionalFormatting sqref="F314">
    <cfRule type="cellIs" priority="4402" operator="greaterThan" aboveAverage="0" equalAverage="0" bottom="0" percent="0" rank="0" text="" dxfId="2">
      <formula>40</formula>
    </cfRule>
    <cfRule type="cellIs" priority="4403" operator="greaterThan" aboveAverage="0" equalAverage="0" bottom="0" percent="0" rank="0" text="" dxfId="3">
      <formula>45</formula>
    </cfRule>
  </conditionalFormatting>
  <conditionalFormatting sqref="G314">
    <cfRule type="cellIs" priority="4404" operator="greaterThan" aboveAverage="0" equalAverage="0" bottom="0" percent="0" rank="0" text="" dxfId="2">
      <formula>40</formula>
    </cfRule>
    <cfRule type="cellIs" priority="4405" operator="greaterThan" aboveAverage="0" equalAverage="0" bottom="0" percent="0" rank="0" text="" dxfId="3">
      <formula>45</formula>
    </cfRule>
  </conditionalFormatting>
  <conditionalFormatting sqref="H314">
    <cfRule type="cellIs" priority="4406" operator="greaterThan" aboveAverage="0" equalAverage="0" bottom="0" percent="0" rank="0" text="" dxfId="2">
      <formula>40</formula>
    </cfRule>
    <cfRule type="cellIs" priority="4407" operator="greaterThan" aboveAverage="0" equalAverage="0" bottom="0" percent="0" rank="0" text="" dxfId="3">
      <formula>45</formula>
    </cfRule>
  </conditionalFormatting>
  <conditionalFormatting sqref="I314">
    <cfRule type="cellIs" priority="4408" operator="greaterThan" aboveAverage="0" equalAverage="0" bottom="0" percent="0" rank="0" text="" dxfId="2">
      <formula>40</formula>
    </cfRule>
    <cfRule type="cellIs" priority="4409" operator="greaterThan" aboveAverage="0" equalAverage="0" bottom="0" percent="0" rank="0" text="" dxfId="3">
      <formula>45</formula>
    </cfRule>
  </conditionalFormatting>
  <conditionalFormatting sqref="J314">
    <cfRule type="cellIs" priority="4410" operator="greaterThan" aboveAverage="0" equalAverage="0" bottom="0" percent="0" rank="0" text="" dxfId="2">
      <formula>40</formula>
    </cfRule>
    <cfRule type="cellIs" priority="4411" operator="greaterThan" aboveAverage="0" equalAverage="0" bottom="0" percent="0" rank="0" text="" dxfId="3">
      <formula>45</formula>
    </cfRule>
  </conditionalFormatting>
  <conditionalFormatting sqref="K314">
    <cfRule type="cellIs" priority="4412" operator="greaterThan" aboveAverage="0" equalAverage="0" bottom="0" percent="0" rank="0" text="" dxfId="2">
      <formula>40</formula>
    </cfRule>
    <cfRule type="cellIs" priority="4413" operator="greaterThan" aboveAverage="0" equalAverage="0" bottom="0" percent="0" rank="0" text="" dxfId="3">
      <formula>45</formula>
    </cfRule>
  </conditionalFormatting>
  <conditionalFormatting sqref="L314">
    <cfRule type="cellIs" priority="4414" operator="greaterThan" aboveAverage="0" equalAverage="0" bottom="0" percent="0" rank="0" text="" dxfId="2">
      <formula>40</formula>
    </cfRule>
    <cfRule type="cellIs" priority="4415" operator="greaterThan" aboveAverage="0" equalAverage="0" bottom="0" percent="0" rank="0" text="" dxfId="3">
      <formula>45</formula>
    </cfRule>
  </conditionalFormatting>
  <conditionalFormatting sqref="M314">
    <cfRule type="cellIs" priority="4416" operator="greaterThan" aboveAverage="0" equalAverage="0" bottom="0" percent="0" rank="0" text="" dxfId="2">
      <formula>40</formula>
    </cfRule>
    <cfRule type="cellIs" priority="4417" operator="greaterThan" aboveAverage="0" equalAverage="0" bottom="0" percent="0" rank="0" text="" dxfId="3">
      <formula>45</formula>
    </cfRule>
  </conditionalFormatting>
  <conditionalFormatting sqref="N314">
    <cfRule type="cellIs" priority="4418" operator="greaterThan" aboveAverage="0" equalAverage="0" bottom="0" percent="0" rank="0" text="" dxfId="2">
      <formula>40</formula>
    </cfRule>
    <cfRule type="cellIs" priority="4419" operator="greaterThan" aboveAverage="0" equalAverage="0" bottom="0" percent="0" rank="0" text="" dxfId="3">
      <formula>45</formula>
    </cfRule>
  </conditionalFormatting>
  <conditionalFormatting sqref="O314">
    <cfRule type="cellIs" priority="4420" operator="greaterThan" aboveAverage="0" equalAverage="0" bottom="0" percent="0" rank="0" text="" dxfId="2">
      <formula>40</formula>
    </cfRule>
    <cfRule type="cellIs" priority="4421" operator="greaterThan" aboveAverage="0" equalAverage="0" bottom="0" percent="0" rank="0" text="" dxfId="3">
      <formula>45</formula>
    </cfRule>
  </conditionalFormatting>
  <conditionalFormatting sqref="P314">
    <cfRule type="cellIs" priority="4422" operator="greaterThan" aboveAverage="0" equalAverage="0" bottom="0" percent="0" rank="0" text="" dxfId="2">
      <formula>40</formula>
    </cfRule>
    <cfRule type="cellIs" priority="4423" operator="greaterThan" aboveAverage="0" equalAverage="0" bottom="0" percent="0" rank="0" text="" dxfId="3">
      <formula>45</formula>
    </cfRule>
  </conditionalFormatting>
  <conditionalFormatting sqref="Q314">
    <cfRule type="cellIs" priority="4424" operator="greaterThan" aboveAverage="0" equalAverage="0" bottom="0" percent="0" rank="0" text="" dxfId="2">
      <formula>40</formula>
    </cfRule>
    <cfRule type="cellIs" priority="4425" operator="greaterThan" aboveAverage="0" equalAverage="0" bottom="0" percent="0" rank="0" text="" dxfId="3">
      <formula>45</formula>
    </cfRule>
  </conditionalFormatting>
  <conditionalFormatting sqref="R314">
    <cfRule type="cellIs" priority="4426" operator="greaterThan" aboveAverage="0" equalAverage="0" bottom="0" percent="0" rank="0" text="" dxfId="2">
      <formula>40</formula>
    </cfRule>
    <cfRule type="cellIs" priority="4427" operator="greaterThan" aboveAverage="0" equalAverage="0" bottom="0" percent="0" rank="0" text="" dxfId="3">
      <formula>45</formula>
    </cfRule>
  </conditionalFormatting>
  <conditionalFormatting sqref="S314">
    <cfRule type="cellIs" priority="4428" operator="greaterThan" aboveAverage="0" equalAverage="0" bottom="0" percent="0" rank="0" text="" dxfId="2">
      <formula>40</formula>
    </cfRule>
    <cfRule type="cellIs" priority="4429" operator="greaterThan" aboveAverage="0" equalAverage="0" bottom="0" percent="0" rank="0" text="" dxfId="3">
      <formula>45</formula>
    </cfRule>
  </conditionalFormatting>
  <conditionalFormatting sqref="T314">
    <cfRule type="cellIs" priority="4430" operator="greaterThan" aboveAverage="0" equalAverage="0" bottom="0" percent="0" rank="0" text="" dxfId="2">
      <formula>40</formula>
    </cfRule>
    <cfRule type="cellIs" priority="4431" operator="greaterThan" aboveAverage="0" equalAverage="0" bottom="0" percent="0" rank="0" text="" dxfId="3">
      <formula>45</formula>
    </cfRule>
  </conditionalFormatting>
  <conditionalFormatting sqref="U314">
    <cfRule type="cellIs" priority="4432" operator="greaterThan" aboveAverage="0" equalAverage="0" bottom="0" percent="0" rank="0" text="" dxfId="2">
      <formula>40</formula>
    </cfRule>
    <cfRule type="cellIs" priority="4433" operator="greaterThan" aboveAverage="0" equalAverage="0" bottom="0" percent="0" rank="0" text="" dxfId="3">
      <formula>45</formula>
    </cfRule>
  </conditionalFormatting>
  <conditionalFormatting sqref="V314">
    <cfRule type="cellIs" priority="4434" operator="greaterThan" aboveAverage="0" equalAverage="0" bottom="0" percent="0" rank="0" text="" dxfId="2">
      <formula>40</formula>
    </cfRule>
    <cfRule type="cellIs" priority="4435" operator="greaterThan" aboveAverage="0" equalAverage="0" bottom="0" percent="0" rank="0" text="" dxfId="3">
      <formula>45</formula>
    </cfRule>
  </conditionalFormatting>
  <conditionalFormatting sqref="W314">
    <cfRule type="cellIs" priority="4436" operator="greaterThan" aboveAverage="0" equalAverage="0" bottom="0" percent="0" rank="0" text="" dxfId="2">
      <formula>40</formula>
    </cfRule>
    <cfRule type="cellIs" priority="4437" operator="greaterThan" aboveAverage="0" equalAverage="0" bottom="0" percent="0" rank="0" text="" dxfId="3">
      <formula>45</formula>
    </cfRule>
  </conditionalFormatting>
  <conditionalFormatting sqref="X314">
    <cfRule type="cellIs" priority="4438" operator="greaterThan" aboveAverage="0" equalAverage="0" bottom="0" percent="0" rank="0" text="" dxfId="2">
      <formula>55</formula>
    </cfRule>
    <cfRule type="cellIs" priority="4439" operator="greaterThan" aboveAverage="0" equalAverage="0" bottom="0" percent="0" rank="0" text="" dxfId="3">
      <formula>65</formula>
    </cfRule>
  </conditionalFormatting>
  <conditionalFormatting sqref="Y314">
    <cfRule type="cellIs" priority="4440" operator="greaterThan" aboveAverage="0" equalAverage="0" bottom="0" percent="0" rank="0" text="" dxfId="2">
      <formula>55</formula>
    </cfRule>
    <cfRule type="cellIs" priority="4441" operator="greaterThan" aboveAverage="0" equalAverage="0" bottom="0" percent="0" rank="0" text="" dxfId="3">
      <formula>65</formula>
    </cfRule>
  </conditionalFormatting>
  <conditionalFormatting sqref="Z314">
    <cfRule type="cellIs" priority="4442" operator="greaterThan" aboveAverage="0" equalAverage="0" bottom="0" percent="0" rank="0" text="" dxfId="2">
      <formula>55</formula>
    </cfRule>
    <cfRule type="cellIs" priority="4443" operator="greaterThan" aboveAverage="0" equalAverage="0" bottom="0" percent="0" rank="0" text="" dxfId="3">
      <formula>65</formula>
    </cfRule>
  </conditionalFormatting>
  <conditionalFormatting sqref="AA314">
    <cfRule type="cellIs" priority="4444" operator="greaterThan" aboveAverage="0" equalAverage="0" bottom="0" percent="0" rank="0" text="" dxfId="2">
      <formula>55</formula>
    </cfRule>
    <cfRule type="cellIs" priority="4445" operator="greaterThan" aboveAverage="0" equalAverage="0" bottom="0" percent="0" rank="0" text="" dxfId="3">
      <formula>65</formula>
    </cfRule>
  </conditionalFormatting>
  <conditionalFormatting sqref="AB314">
    <cfRule type="cellIs" priority="4446" operator="greaterThan" aboveAverage="0" equalAverage="0" bottom="0" percent="0" rank="0" text="" dxfId="2">
      <formula>55</formula>
    </cfRule>
    <cfRule type="cellIs" priority="4447" operator="greaterThan" aboveAverage="0" equalAverage="0" bottom="0" percent="0" rank="0" text="" dxfId="3">
      <formula>65</formula>
    </cfRule>
  </conditionalFormatting>
  <conditionalFormatting sqref="AC314">
    <cfRule type="cellIs" priority="4448" operator="greaterThan" aboveAverage="0" equalAverage="0" bottom="0" percent="0" rank="0" text="" dxfId="2">
      <formula>55</formula>
    </cfRule>
    <cfRule type="cellIs" priority="4449" operator="greaterThan" aboveAverage="0" equalAverage="0" bottom="0" percent="0" rank="0" text="" dxfId="3">
      <formula>65</formula>
    </cfRule>
  </conditionalFormatting>
  <conditionalFormatting sqref="AD314">
    <cfRule type="cellIs" priority="4450" operator="greaterThan" aboveAverage="0" equalAverage="0" bottom="0" percent="0" rank="0" text="" dxfId="2">
      <formula>55</formula>
    </cfRule>
    <cfRule type="cellIs" priority="4451" operator="greaterThan" aboveAverage="0" equalAverage="0" bottom="0" percent="0" rank="0" text="" dxfId="3">
      <formula>65</formula>
    </cfRule>
  </conditionalFormatting>
  <conditionalFormatting sqref="AE314">
    <cfRule type="cellIs" priority="4452" operator="greaterThan" aboveAverage="0" equalAverage="0" bottom="0" percent="0" rank="0" text="" dxfId="2">
      <formula>55</formula>
    </cfRule>
    <cfRule type="cellIs" priority="4453" operator="greaterThan" aboveAverage="0" equalAverage="0" bottom="0" percent="0" rank="0" text="" dxfId="3">
      <formula>65</formula>
    </cfRule>
  </conditionalFormatting>
  <conditionalFormatting sqref="AF314">
    <cfRule type="cellIs" priority="4454" operator="greaterThan" aboveAverage="0" equalAverage="0" bottom="0" percent="0" rank="0" text="" dxfId="2">
      <formula>40</formula>
    </cfRule>
    <cfRule type="cellIs" priority="4455" operator="greaterThan" aboveAverage="0" equalAverage="0" bottom="0" percent="0" rank="0" text="" dxfId="3">
      <formula>45</formula>
    </cfRule>
  </conditionalFormatting>
  <conditionalFormatting sqref="AG314">
    <cfRule type="cellIs" priority="4456" operator="greaterThan" aboveAverage="0" equalAverage="0" bottom="0" percent="0" rank="0" text="" dxfId="2">
      <formula>40</formula>
    </cfRule>
    <cfRule type="cellIs" priority="4457" operator="greaterThan" aboveAverage="0" equalAverage="0" bottom="0" percent="0" rank="0" text="" dxfId="3">
      <formula>45</formula>
    </cfRule>
  </conditionalFormatting>
  <conditionalFormatting sqref="AH314">
    <cfRule type="cellIs" priority="4458" operator="greaterThan" aboveAverage="0" equalAverage="0" bottom="0" percent="0" rank="0" text="" dxfId="2">
      <formula>40</formula>
    </cfRule>
    <cfRule type="cellIs" priority="4459" operator="greaterThan" aboveAverage="0" equalAverage="0" bottom="0" percent="0" rank="0" text="" dxfId="3">
      <formula>45</formula>
    </cfRule>
  </conditionalFormatting>
  <conditionalFormatting sqref="AI314">
    <cfRule type="cellIs" priority="4460" operator="greaterThan" aboveAverage="0" equalAverage="0" bottom="0" percent="0" rank="0" text="" dxfId="2">
      <formula>40</formula>
    </cfRule>
    <cfRule type="cellIs" priority="4461" operator="greaterThan" aboveAverage="0" equalAverage="0" bottom="0" percent="0" rank="0" text="" dxfId="3">
      <formula>45</formula>
    </cfRule>
  </conditionalFormatting>
  <conditionalFormatting sqref="AJ314">
    <cfRule type="cellIs" priority="4462" operator="greaterThan" aboveAverage="0" equalAverage="0" bottom="0" percent="0" rank="0" text="" dxfId="2">
      <formula>40</formula>
    </cfRule>
    <cfRule type="cellIs" priority="4463" operator="greaterThan" aboveAverage="0" equalAverage="0" bottom="0" percent="0" rank="0" text="" dxfId="3">
      <formula>45</formula>
    </cfRule>
  </conditionalFormatting>
  <conditionalFormatting sqref="AK314">
    <cfRule type="cellIs" priority="4464" operator="greaterThan" aboveAverage="0" equalAverage="0" bottom="0" percent="0" rank="0" text="" dxfId="2">
      <formula>40</formula>
    </cfRule>
    <cfRule type="cellIs" priority="4465" operator="greaterThan" aboveAverage="0" equalAverage="0" bottom="0" percent="0" rank="0" text="" dxfId="3">
      <formula>45</formula>
    </cfRule>
  </conditionalFormatting>
  <conditionalFormatting sqref="AL314">
    <cfRule type="cellIs" priority="4466" operator="greaterThan" aboveAverage="0" equalAverage="0" bottom="0" percent="0" rank="0" text="" dxfId="2">
      <formula>40</formula>
    </cfRule>
    <cfRule type="cellIs" priority="4467" operator="greaterThan" aboveAverage="0" equalAverage="0" bottom="0" percent="0" rank="0" text="" dxfId="3">
      <formula>45</formula>
    </cfRule>
  </conditionalFormatting>
  <conditionalFormatting sqref="AM314">
    <cfRule type="cellIs" priority="4468" operator="greaterThan" aboveAverage="0" equalAverage="0" bottom="0" percent="0" rank="0" text="" dxfId="2">
      <formula>40</formula>
    </cfRule>
    <cfRule type="cellIs" priority="4469" operator="greaterThan" aboveAverage="0" equalAverage="0" bottom="0" percent="0" rank="0" text="" dxfId="3">
      <formula>45</formula>
    </cfRule>
  </conditionalFormatting>
  <conditionalFormatting sqref="AN314">
    <cfRule type="cellIs" priority="4470" operator="greaterThan" aboveAverage="0" equalAverage="0" bottom="0" percent="0" rank="0" text="" dxfId="2">
      <formula>40</formula>
    </cfRule>
    <cfRule type="cellIs" priority="4471" operator="greaterThan" aboveAverage="0" equalAverage="0" bottom="0" percent="0" rank="0" text="" dxfId="3">
      <formula>45</formula>
    </cfRule>
  </conditionalFormatting>
  <conditionalFormatting sqref="AO314">
    <cfRule type="cellIs" priority="4472" operator="greaterThan" aboveAverage="0" equalAverage="0" bottom="0" percent="0" rank="0" text="" dxfId="2">
      <formula>40</formula>
    </cfRule>
    <cfRule type="cellIs" priority="4473" operator="greaterThan" aboveAverage="0" equalAverage="0" bottom="0" percent="0" rank="0" text="" dxfId="3">
      <formula>45</formula>
    </cfRule>
  </conditionalFormatting>
  <conditionalFormatting sqref="AP314">
    <cfRule type="cellIs" priority="4474" operator="greaterThan" aboveAverage="0" equalAverage="0" bottom="0" percent="0" rank="0" text="" dxfId="2">
      <formula>40</formula>
    </cfRule>
    <cfRule type="cellIs" priority="4475" operator="greaterThan" aboveAverage="0" equalAverage="0" bottom="0" percent="0" rank="0" text="" dxfId="3">
      <formula>45</formula>
    </cfRule>
  </conditionalFormatting>
  <conditionalFormatting sqref="AQ314">
    <cfRule type="cellIs" priority="4476" operator="greaterThan" aboveAverage="0" equalAverage="0" bottom="0" percent="0" rank="0" text="" dxfId="2">
      <formula>40</formula>
    </cfRule>
    <cfRule type="cellIs" priority="4477" operator="greaterThan" aboveAverage="0" equalAverage="0" bottom="0" percent="0" rank="0" text="" dxfId="3">
      <formula>45</formula>
    </cfRule>
  </conditionalFormatting>
  <conditionalFormatting sqref="AR314">
    <cfRule type="cellIs" priority="4478" operator="greaterThan" aboveAverage="0" equalAverage="0" bottom="0" percent="0" rank="0" text="" dxfId="2">
      <formula>40</formula>
    </cfRule>
    <cfRule type="cellIs" priority="4479" operator="greaterThan" aboveAverage="0" equalAverage="0" bottom="0" percent="0" rank="0" text="" dxfId="3">
      <formula>45</formula>
    </cfRule>
  </conditionalFormatting>
  <conditionalFormatting sqref="AS314">
    <cfRule type="cellIs" priority="4480" operator="greaterThan" aboveAverage="0" equalAverage="0" bottom="0" percent="0" rank="0" text="" dxfId="2">
      <formula>40</formula>
    </cfRule>
    <cfRule type="cellIs" priority="4481" operator="greaterThan" aboveAverage="0" equalAverage="0" bottom="0" percent="0" rank="0" text="" dxfId="3">
      <formula>45</formula>
    </cfRule>
  </conditionalFormatting>
  <conditionalFormatting sqref="F316">
    <cfRule type="cellIs" priority="4482" operator="greaterThan" aboveAverage="0" equalAverage="0" bottom="0" percent="0" rank="0" text="" dxfId="2">
      <formula>40</formula>
    </cfRule>
    <cfRule type="cellIs" priority="4483" operator="greaterThan" aboveAverage="0" equalAverage="0" bottom="0" percent="0" rank="0" text="" dxfId="3">
      <formula>45</formula>
    </cfRule>
  </conditionalFormatting>
  <conditionalFormatting sqref="G316">
    <cfRule type="cellIs" priority="4484" operator="greaterThan" aboveAverage="0" equalAverage="0" bottom="0" percent="0" rank="0" text="" dxfId="2">
      <formula>40</formula>
    </cfRule>
    <cfRule type="cellIs" priority="4485" operator="greaterThan" aboveAverage="0" equalAverage="0" bottom="0" percent="0" rank="0" text="" dxfId="3">
      <formula>45</formula>
    </cfRule>
  </conditionalFormatting>
  <conditionalFormatting sqref="H316">
    <cfRule type="cellIs" priority="4486" operator="greaterThan" aboveAverage="0" equalAverage="0" bottom="0" percent="0" rank="0" text="" dxfId="2">
      <formula>40</formula>
    </cfRule>
    <cfRule type="cellIs" priority="4487" operator="greaterThan" aboveAverage="0" equalAverage="0" bottom="0" percent="0" rank="0" text="" dxfId="3">
      <formula>45</formula>
    </cfRule>
  </conditionalFormatting>
  <conditionalFormatting sqref="I316">
    <cfRule type="cellIs" priority="4488" operator="greaterThan" aboveAverage="0" equalAverage="0" bottom="0" percent="0" rank="0" text="" dxfId="2">
      <formula>40</formula>
    </cfRule>
    <cfRule type="cellIs" priority="4489" operator="greaterThan" aboveAverage="0" equalAverage="0" bottom="0" percent="0" rank="0" text="" dxfId="3">
      <formula>45</formula>
    </cfRule>
  </conditionalFormatting>
  <conditionalFormatting sqref="J316">
    <cfRule type="cellIs" priority="4490" operator="greaterThan" aboveAverage="0" equalAverage="0" bottom="0" percent="0" rank="0" text="" dxfId="2">
      <formula>40</formula>
    </cfRule>
    <cfRule type="cellIs" priority="4491" operator="greaterThan" aboveAverage="0" equalAverage="0" bottom="0" percent="0" rank="0" text="" dxfId="3">
      <formula>45</formula>
    </cfRule>
  </conditionalFormatting>
  <conditionalFormatting sqref="K316">
    <cfRule type="cellIs" priority="4492" operator="greaterThan" aboveAverage="0" equalAverage="0" bottom="0" percent="0" rank="0" text="" dxfId="2">
      <formula>40</formula>
    </cfRule>
    <cfRule type="cellIs" priority="4493" operator="greaterThan" aboveAverage="0" equalAverage="0" bottom="0" percent="0" rank="0" text="" dxfId="3">
      <formula>45</formula>
    </cfRule>
  </conditionalFormatting>
  <conditionalFormatting sqref="L316">
    <cfRule type="cellIs" priority="4494" operator="greaterThan" aboveAverage="0" equalAverage="0" bottom="0" percent="0" rank="0" text="" dxfId="2">
      <formula>40</formula>
    </cfRule>
    <cfRule type="cellIs" priority="4495" operator="greaterThan" aboveAverage="0" equalAverage="0" bottom="0" percent="0" rank="0" text="" dxfId="3">
      <formula>45</formula>
    </cfRule>
  </conditionalFormatting>
  <conditionalFormatting sqref="M316">
    <cfRule type="cellIs" priority="4496" operator="greaterThan" aboveAverage="0" equalAverage="0" bottom="0" percent="0" rank="0" text="" dxfId="2">
      <formula>40</formula>
    </cfRule>
    <cfRule type="cellIs" priority="4497" operator="greaterThan" aboveAverage="0" equalAverage="0" bottom="0" percent="0" rank="0" text="" dxfId="3">
      <formula>45</formula>
    </cfRule>
  </conditionalFormatting>
  <conditionalFormatting sqref="N316">
    <cfRule type="cellIs" priority="4498" operator="greaterThan" aboveAverage="0" equalAverage="0" bottom="0" percent="0" rank="0" text="" dxfId="2">
      <formula>40</formula>
    </cfRule>
    <cfRule type="cellIs" priority="4499" operator="greaterThan" aboveAverage="0" equalAverage="0" bottom="0" percent="0" rank="0" text="" dxfId="3">
      <formula>45</formula>
    </cfRule>
  </conditionalFormatting>
  <conditionalFormatting sqref="O316">
    <cfRule type="cellIs" priority="4500" operator="greaterThan" aboveAverage="0" equalAverage="0" bottom="0" percent="0" rank="0" text="" dxfId="2">
      <formula>40</formula>
    </cfRule>
    <cfRule type="cellIs" priority="4501" operator="greaterThan" aboveAverage="0" equalAverage="0" bottom="0" percent="0" rank="0" text="" dxfId="3">
      <formula>45</formula>
    </cfRule>
  </conditionalFormatting>
  <conditionalFormatting sqref="P316">
    <cfRule type="cellIs" priority="4502" operator="greaterThan" aboveAverage="0" equalAverage="0" bottom="0" percent="0" rank="0" text="" dxfId="2">
      <formula>40</formula>
    </cfRule>
    <cfRule type="cellIs" priority="4503" operator="greaterThan" aboveAverage="0" equalAverage="0" bottom="0" percent="0" rank="0" text="" dxfId="3">
      <formula>45</formula>
    </cfRule>
  </conditionalFormatting>
  <conditionalFormatting sqref="Q316">
    <cfRule type="cellIs" priority="4504" operator="greaterThan" aboveAverage="0" equalAverage="0" bottom="0" percent="0" rank="0" text="" dxfId="2">
      <formula>40</formula>
    </cfRule>
    <cfRule type="cellIs" priority="4505" operator="greaterThan" aboveAverage="0" equalAverage="0" bottom="0" percent="0" rank="0" text="" dxfId="3">
      <formula>45</formula>
    </cfRule>
  </conditionalFormatting>
  <conditionalFormatting sqref="R316">
    <cfRule type="cellIs" priority="4506" operator="greaterThan" aboveAverage="0" equalAverage="0" bottom="0" percent="0" rank="0" text="" dxfId="2">
      <formula>40</formula>
    </cfRule>
    <cfRule type="cellIs" priority="4507" operator="greaterThan" aboveAverage="0" equalAverage="0" bottom="0" percent="0" rank="0" text="" dxfId="3">
      <formula>45</formula>
    </cfRule>
  </conditionalFormatting>
  <conditionalFormatting sqref="S316">
    <cfRule type="cellIs" priority="4508" operator="greaterThan" aboveAverage="0" equalAverage="0" bottom="0" percent="0" rank="0" text="" dxfId="2">
      <formula>40</formula>
    </cfRule>
    <cfRule type="cellIs" priority="4509" operator="greaterThan" aboveAverage="0" equalAverage="0" bottom="0" percent="0" rank="0" text="" dxfId="3">
      <formula>45</formula>
    </cfRule>
  </conditionalFormatting>
  <conditionalFormatting sqref="T316">
    <cfRule type="cellIs" priority="4510" operator="greaterThan" aboveAverage="0" equalAverage="0" bottom="0" percent="0" rank="0" text="" dxfId="2">
      <formula>40</formula>
    </cfRule>
    <cfRule type="cellIs" priority="4511" operator="greaterThan" aboveAverage="0" equalAverage="0" bottom="0" percent="0" rank="0" text="" dxfId="3">
      <formula>45</formula>
    </cfRule>
  </conditionalFormatting>
  <conditionalFormatting sqref="U316">
    <cfRule type="cellIs" priority="4512" operator="greaterThan" aboveAverage="0" equalAverage="0" bottom="0" percent="0" rank="0" text="" dxfId="2">
      <formula>40</formula>
    </cfRule>
    <cfRule type="cellIs" priority="4513" operator="greaterThan" aboveAverage="0" equalAverage="0" bottom="0" percent="0" rank="0" text="" dxfId="3">
      <formula>45</formula>
    </cfRule>
  </conditionalFormatting>
  <conditionalFormatting sqref="V316">
    <cfRule type="cellIs" priority="4514" operator="greaterThan" aboveAverage="0" equalAverage="0" bottom="0" percent="0" rank="0" text="" dxfId="2">
      <formula>40</formula>
    </cfRule>
    <cfRule type="cellIs" priority="4515" operator="greaterThan" aboveAverage="0" equalAverage="0" bottom="0" percent="0" rank="0" text="" dxfId="3">
      <formula>45</formula>
    </cfRule>
  </conditionalFormatting>
  <conditionalFormatting sqref="W316">
    <cfRule type="cellIs" priority="4516" operator="greaterThan" aboveAverage="0" equalAverage="0" bottom="0" percent="0" rank="0" text="" dxfId="2">
      <formula>40</formula>
    </cfRule>
    <cfRule type="cellIs" priority="4517" operator="greaterThan" aboveAverage="0" equalAverage="0" bottom="0" percent="0" rank="0" text="" dxfId="3">
      <formula>45</formula>
    </cfRule>
  </conditionalFormatting>
  <conditionalFormatting sqref="X316">
    <cfRule type="cellIs" priority="4518" operator="greaterThan" aboveAverage="0" equalAverage="0" bottom="0" percent="0" rank="0" text="" dxfId="2">
      <formula>55</formula>
    </cfRule>
    <cfRule type="cellIs" priority="4519" operator="greaterThan" aboveAverage="0" equalAverage="0" bottom="0" percent="0" rank="0" text="" dxfId="3">
      <formula>65</formula>
    </cfRule>
  </conditionalFormatting>
  <conditionalFormatting sqref="Y316">
    <cfRule type="cellIs" priority="4520" operator="greaterThan" aboveAverage="0" equalAverage="0" bottom="0" percent="0" rank="0" text="" dxfId="2">
      <formula>55</formula>
    </cfRule>
    <cfRule type="cellIs" priority="4521" operator="greaterThan" aboveAverage="0" equalAverage="0" bottom="0" percent="0" rank="0" text="" dxfId="3">
      <formula>65</formula>
    </cfRule>
  </conditionalFormatting>
  <conditionalFormatting sqref="Z316">
    <cfRule type="cellIs" priority="4522" operator="greaterThan" aboveAverage="0" equalAverage="0" bottom="0" percent="0" rank="0" text="" dxfId="2">
      <formula>55</formula>
    </cfRule>
    <cfRule type="cellIs" priority="4523" operator="greaterThan" aboveAverage="0" equalAverage="0" bottom="0" percent="0" rank="0" text="" dxfId="3">
      <formula>65</formula>
    </cfRule>
  </conditionalFormatting>
  <conditionalFormatting sqref="AA316">
    <cfRule type="cellIs" priority="4524" operator="greaterThan" aboveAverage="0" equalAverage="0" bottom="0" percent="0" rank="0" text="" dxfId="2">
      <formula>55</formula>
    </cfRule>
    <cfRule type="cellIs" priority="4525" operator="greaterThan" aboveAverage="0" equalAverage="0" bottom="0" percent="0" rank="0" text="" dxfId="3">
      <formula>65</formula>
    </cfRule>
  </conditionalFormatting>
  <conditionalFormatting sqref="AB316">
    <cfRule type="cellIs" priority="4526" operator="greaterThan" aboveAverage="0" equalAverage="0" bottom="0" percent="0" rank="0" text="" dxfId="2">
      <formula>55</formula>
    </cfRule>
    <cfRule type="cellIs" priority="4527" operator="greaterThan" aboveAverage="0" equalAverage="0" bottom="0" percent="0" rank="0" text="" dxfId="3">
      <formula>65</formula>
    </cfRule>
  </conditionalFormatting>
  <conditionalFormatting sqref="AC316">
    <cfRule type="cellIs" priority="4528" operator="greaterThan" aboveAverage="0" equalAverage="0" bottom="0" percent="0" rank="0" text="" dxfId="2">
      <formula>55</formula>
    </cfRule>
    <cfRule type="cellIs" priority="4529" operator="greaterThan" aboveAverage="0" equalAverage="0" bottom="0" percent="0" rank="0" text="" dxfId="3">
      <formula>65</formula>
    </cfRule>
  </conditionalFormatting>
  <conditionalFormatting sqref="AD316">
    <cfRule type="cellIs" priority="4530" operator="greaterThan" aboveAverage="0" equalAverage="0" bottom="0" percent="0" rank="0" text="" dxfId="2">
      <formula>55</formula>
    </cfRule>
    <cfRule type="cellIs" priority="4531" operator="greaterThan" aboveAverage="0" equalAverage="0" bottom="0" percent="0" rank="0" text="" dxfId="3">
      <formula>65</formula>
    </cfRule>
  </conditionalFormatting>
  <conditionalFormatting sqref="AE316">
    <cfRule type="cellIs" priority="4532" operator="greaterThan" aboveAverage="0" equalAverage="0" bottom="0" percent="0" rank="0" text="" dxfId="2">
      <formula>55</formula>
    </cfRule>
    <cfRule type="cellIs" priority="4533" operator="greaterThan" aboveAverage="0" equalAverage="0" bottom="0" percent="0" rank="0" text="" dxfId="3">
      <formula>65</formula>
    </cfRule>
  </conditionalFormatting>
  <conditionalFormatting sqref="AF316">
    <cfRule type="cellIs" priority="4534" operator="greaterThan" aboveAverage="0" equalAverage="0" bottom="0" percent="0" rank="0" text="" dxfId="2">
      <formula>40</formula>
    </cfRule>
    <cfRule type="cellIs" priority="4535" operator="greaterThan" aboveAverage="0" equalAverage="0" bottom="0" percent="0" rank="0" text="" dxfId="3">
      <formula>45</formula>
    </cfRule>
  </conditionalFormatting>
  <conditionalFormatting sqref="AG316">
    <cfRule type="cellIs" priority="4536" operator="greaterThan" aboveAverage="0" equalAverage="0" bottom="0" percent="0" rank="0" text="" dxfId="2">
      <formula>40</formula>
    </cfRule>
    <cfRule type="cellIs" priority="4537" operator="greaterThan" aboveAverage="0" equalAverage="0" bottom="0" percent="0" rank="0" text="" dxfId="3">
      <formula>45</formula>
    </cfRule>
  </conditionalFormatting>
  <conditionalFormatting sqref="AH316">
    <cfRule type="cellIs" priority="4538" operator="greaterThan" aboveAverage="0" equalAverage="0" bottom="0" percent="0" rank="0" text="" dxfId="2">
      <formula>40</formula>
    </cfRule>
    <cfRule type="cellIs" priority="4539" operator="greaterThan" aboveAverage="0" equalAverage="0" bottom="0" percent="0" rank="0" text="" dxfId="3">
      <formula>45</formula>
    </cfRule>
  </conditionalFormatting>
  <conditionalFormatting sqref="AI316">
    <cfRule type="cellIs" priority="4540" operator="greaterThan" aboveAverage="0" equalAverage="0" bottom="0" percent="0" rank="0" text="" dxfId="2">
      <formula>40</formula>
    </cfRule>
    <cfRule type="cellIs" priority="4541" operator="greaterThan" aboveAverage="0" equalAverage="0" bottom="0" percent="0" rank="0" text="" dxfId="3">
      <formula>45</formula>
    </cfRule>
  </conditionalFormatting>
  <conditionalFormatting sqref="AJ316">
    <cfRule type="cellIs" priority="4542" operator="greaterThan" aboveAverage="0" equalAverage="0" bottom="0" percent="0" rank="0" text="" dxfId="2">
      <formula>40</formula>
    </cfRule>
    <cfRule type="cellIs" priority="4543" operator="greaterThan" aboveAverage="0" equalAverage="0" bottom="0" percent="0" rank="0" text="" dxfId="3">
      <formula>45</formula>
    </cfRule>
  </conditionalFormatting>
  <conditionalFormatting sqref="AK316">
    <cfRule type="cellIs" priority="4544" operator="greaterThan" aboveAverage="0" equalAverage="0" bottom="0" percent="0" rank="0" text="" dxfId="2">
      <formula>40</formula>
    </cfRule>
    <cfRule type="cellIs" priority="4545" operator="greaterThan" aboveAverage="0" equalAverage="0" bottom="0" percent="0" rank="0" text="" dxfId="3">
      <formula>45</formula>
    </cfRule>
  </conditionalFormatting>
  <conditionalFormatting sqref="AL316">
    <cfRule type="cellIs" priority="4546" operator="greaterThan" aboveAverage="0" equalAverage="0" bottom="0" percent="0" rank="0" text="" dxfId="2">
      <formula>40</formula>
    </cfRule>
    <cfRule type="cellIs" priority="4547" operator="greaterThan" aboveAverage="0" equalAverage="0" bottom="0" percent="0" rank="0" text="" dxfId="3">
      <formula>45</formula>
    </cfRule>
  </conditionalFormatting>
  <conditionalFormatting sqref="AM316">
    <cfRule type="cellIs" priority="4548" operator="greaterThan" aboveAverage="0" equalAverage="0" bottom="0" percent="0" rank="0" text="" dxfId="2">
      <formula>40</formula>
    </cfRule>
    <cfRule type="cellIs" priority="4549" operator="greaterThan" aboveAverage="0" equalAverage="0" bottom="0" percent="0" rank="0" text="" dxfId="3">
      <formula>45</formula>
    </cfRule>
  </conditionalFormatting>
  <conditionalFormatting sqref="AN316">
    <cfRule type="cellIs" priority="4550" operator="greaterThan" aboveAverage="0" equalAverage="0" bottom="0" percent="0" rank="0" text="" dxfId="2">
      <formula>40</formula>
    </cfRule>
    <cfRule type="cellIs" priority="4551" operator="greaterThan" aboveAverage="0" equalAverage="0" bottom="0" percent="0" rank="0" text="" dxfId="3">
      <formula>45</formula>
    </cfRule>
  </conditionalFormatting>
  <conditionalFormatting sqref="AO316">
    <cfRule type="cellIs" priority="4552" operator="greaterThan" aboveAverage="0" equalAverage="0" bottom="0" percent="0" rank="0" text="" dxfId="2">
      <formula>40</formula>
    </cfRule>
    <cfRule type="cellIs" priority="4553" operator="greaterThan" aboveAverage="0" equalAverage="0" bottom="0" percent="0" rank="0" text="" dxfId="3">
      <formula>45</formula>
    </cfRule>
  </conditionalFormatting>
  <conditionalFormatting sqref="AP316">
    <cfRule type="cellIs" priority="4554" operator="greaterThan" aboveAverage="0" equalAverage="0" bottom="0" percent="0" rank="0" text="" dxfId="2">
      <formula>40</formula>
    </cfRule>
    <cfRule type="cellIs" priority="4555" operator="greaterThan" aboveAverage="0" equalAverage="0" bottom="0" percent="0" rank="0" text="" dxfId="3">
      <formula>45</formula>
    </cfRule>
  </conditionalFormatting>
  <conditionalFormatting sqref="AQ316">
    <cfRule type="cellIs" priority="4556" operator="greaterThan" aboveAverage="0" equalAverage="0" bottom="0" percent="0" rank="0" text="" dxfId="2">
      <formula>40</formula>
    </cfRule>
    <cfRule type="cellIs" priority="4557" operator="greaterThan" aboveAverage="0" equalAverage="0" bottom="0" percent="0" rank="0" text="" dxfId="3">
      <formula>45</formula>
    </cfRule>
  </conditionalFormatting>
  <conditionalFormatting sqref="AR316">
    <cfRule type="cellIs" priority="4558" operator="greaterThan" aboveAverage="0" equalAverage="0" bottom="0" percent="0" rank="0" text="" dxfId="2">
      <formula>40</formula>
    </cfRule>
    <cfRule type="cellIs" priority="4559" operator="greaterThan" aboveAverage="0" equalAverage="0" bottom="0" percent="0" rank="0" text="" dxfId="3">
      <formula>45</formula>
    </cfRule>
  </conditionalFormatting>
  <conditionalFormatting sqref="AS316">
    <cfRule type="cellIs" priority="4560" operator="greaterThan" aboveAverage="0" equalAverage="0" bottom="0" percent="0" rank="0" text="" dxfId="2">
      <formula>40</formula>
    </cfRule>
    <cfRule type="cellIs" priority="4561" operator="greaterThan" aboveAverage="0" equalAverage="0" bottom="0" percent="0" rank="0" text="" dxfId="3">
      <formula>45</formula>
    </cfRule>
  </conditionalFormatting>
  <conditionalFormatting sqref="F318">
    <cfRule type="cellIs" priority="4562" operator="greaterThan" aboveAverage="0" equalAverage="0" bottom="0" percent="0" rank="0" text="" dxfId="2">
      <formula>40</formula>
    </cfRule>
    <cfRule type="cellIs" priority="4563" operator="greaterThan" aboveAverage="0" equalAverage="0" bottom="0" percent="0" rank="0" text="" dxfId="3">
      <formula>45</formula>
    </cfRule>
  </conditionalFormatting>
  <conditionalFormatting sqref="G318">
    <cfRule type="cellIs" priority="4564" operator="greaterThan" aboveAverage="0" equalAverage="0" bottom="0" percent="0" rank="0" text="" dxfId="2">
      <formula>40</formula>
    </cfRule>
    <cfRule type="cellIs" priority="4565" operator="greaterThan" aboveAverage="0" equalAverage="0" bottom="0" percent="0" rank="0" text="" dxfId="3">
      <formula>45</formula>
    </cfRule>
  </conditionalFormatting>
  <conditionalFormatting sqref="H318">
    <cfRule type="cellIs" priority="4566" operator="greaterThan" aboveAverage="0" equalAverage="0" bottom="0" percent="0" rank="0" text="" dxfId="2">
      <formula>40</formula>
    </cfRule>
    <cfRule type="cellIs" priority="4567" operator="greaterThan" aboveAverage="0" equalAverage="0" bottom="0" percent="0" rank="0" text="" dxfId="3">
      <formula>45</formula>
    </cfRule>
  </conditionalFormatting>
  <conditionalFormatting sqref="I318">
    <cfRule type="cellIs" priority="4568" operator="greaterThan" aboveAverage="0" equalAverage="0" bottom="0" percent="0" rank="0" text="" dxfId="2">
      <formula>40</formula>
    </cfRule>
    <cfRule type="cellIs" priority="4569" operator="greaterThan" aboveAverage="0" equalAverage="0" bottom="0" percent="0" rank="0" text="" dxfId="3">
      <formula>45</formula>
    </cfRule>
  </conditionalFormatting>
  <conditionalFormatting sqref="J318">
    <cfRule type="cellIs" priority="4570" operator="greaterThan" aboveAverage="0" equalAverage="0" bottom="0" percent="0" rank="0" text="" dxfId="2">
      <formula>40</formula>
    </cfRule>
    <cfRule type="cellIs" priority="4571" operator="greaterThan" aboveAverage="0" equalAverage="0" bottom="0" percent="0" rank="0" text="" dxfId="3">
      <formula>45</formula>
    </cfRule>
  </conditionalFormatting>
  <conditionalFormatting sqref="K318">
    <cfRule type="cellIs" priority="4572" operator="greaterThan" aboveAverage="0" equalAverage="0" bottom="0" percent="0" rank="0" text="" dxfId="2">
      <formula>40</formula>
    </cfRule>
    <cfRule type="cellIs" priority="4573" operator="greaterThan" aboveAverage="0" equalAverage="0" bottom="0" percent="0" rank="0" text="" dxfId="3">
      <formula>45</formula>
    </cfRule>
  </conditionalFormatting>
  <conditionalFormatting sqref="L318">
    <cfRule type="cellIs" priority="4574" operator="greaterThan" aboveAverage="0" equalAverage="0" bottom="0" percent="0" rank="0" text="" dxfId="2">
      <formula>40</formula>
    </cfRule>
    <cfRule type="cellIs" priority="4575" operator="greaterThan" aboveAverage="0" equalAverage="0" bottom="0" percent="0" rank="0" text="" dxfId="3">
      <formula>45</formula>
    </cfRule>
  </conditionalFormatting>
  <conditionalFormatting sqref="M318">
    <cfRule type="cellIs" priority="4576" operator="greaterThan" aboveAverage="0" equalAverage="0" bottom="0" percent="0" rank="0" text="" dxfId="2">
      <formula>40</formula>
    </cfRule>
    <cfRule type="cellIs" priority="4577" operator="greaterThan" aboveAverage="0" equalAverage="0" bottom="0" percent="0" rank="0" text="" dxfId="3">
      <formula>45</formula>
    </cfRule>
  </conditionalFormatting>
  <conditionalFormatting sqref="N318">
    <cfRule type="cellIs" priority="4578" operator="greaterThan" aboveAverage="0" equalAverage="0" bottom="0" percent="0" rank="0" text="" dxfId="2">
      <formula>40</formula>
    </cfRule>
    <cfRule type="cellIs" priority="4579" operator="greaterThan" aboveAverage="0" equalAverage="0" bottom="0" percent="0" rank="0" text="" dxfId="3">
      <formula>45</formula>
    </cfRule>
  </conditionalFormatting>
  <conditionalFormatting sqref="O318">
    <cfRule type="cellIs" priority="4580" operator="greaterThan" aboveAverage="0" equalAverage="0" bottom="0" percent="0" rank="0" text="" dxfId="2">
      <formula>40</formula>
    </cfRule>
    <cfRule type="cellIs" priority="4581" operator="greaterThan" aboveAverage="0" equalAverage="0" bottom="0" percent="0" rank="0" text="" dxfId="3">
      <formula>45</formula>
    </cfRule>
  </conditionalFormatting>
  <conditionalFormatting sqref="P318">
    <cfRule type="cellIs" priority="4582" operator="greaterThan" aboveAverage="0" equalAverage="0" bottom="0" percent="0" rank="0" text="" dxfId="2">
      <formula>40</formula>
    </cfRule>
    <cfRule type="cellIs" priority="4583" operator="greaterThan" aboveAverage="0" equalAverage="0" bottom="0" percent="0" rank="0" text="" dxfId="3">
      <formula>45</formula>
    </cfRule>
  </conditionalFormatting>
  <conditionalFormatting sqref="Q318">
    <cfRule type="cellIs" priority="4584" operator="greaterThan" aboveAverage="0" equalAverage="0" bottom="0" percent="0" rank="0" text="" dxfId="2">
      <formula>40</formula>
    </cfRule>
    <cfRule type="cellIs" priority="4585" operator="greaterThan" aboveAverage="0" equalAverage="0" bottom="0" percent="0" rank="0" text="" dxfId="3">
      <formula>45</formula>
    </cfRule>
  </conditionalFormatting>
  <conditionalFormatting sqref="R318">
    <cfRule type="cellIs" priority="4586" operator="greaterThan" aboveAverage="0" equalAverage="0" bottom="0" percent="0" rank="0" text="" dxfId="2">
      <formula>40</formula>
    </cfRule>
    <cfRule type="cellIs" priority="4587" operator="greaterThan" aboveAverage="0" equalAverage="0" bottom="0" percent="0" rank="0" text="" dxfId="3">
      <formula>45</formula>
    </cfRule>
  </conditionalFormatting>
  <conditionalFormatting sqref="S318">
    <cfRule type="cellIs" priority="4588" operator="greaterThan" aboveAverage="0" equalAverage="0" bottom="0" percent="0" rank="0" text="" dxfId="2">
      <formula>40</formula>
    </cfRule>
    <cfRule type="cellIs" priority="4589" operator="greaterThan" aboveAverage="0" equalAverage="0" bottom="0" percent="0" rank="0" text="" dxfId="3">
      <formula>45</formula>
    </cfRule>
  </conditionalFormatting>
  <conditionalFormatting sqref="T318">
    <cfRule type="cellIs" priority="4590" operator="greaterThan" aboveAverage="0" equalAverage="0" bottom="0" percent="0" rank="0" text="" dxfId="2">
      <formula>40</formula>
    </cfRule>
    <cfRule type="cellIs" priority="4591" operator="greaterThan" aboveAverage="0" equalAverage="0" bottom="0" percent="0" rank="0" text="" dxfId="3">
      <formula>45</formula>
    </cfRule>
  </conditionalFormatting>
  <conditionalFormatting sqref="U318">
    <cfRule type="cellIs" priority="4592" operator="greaterThan" aboveAverage="0" equalAverage="0" bottom="0" percent="0" rank="0" text="" dxfId="2">
      <formula>40</formula>
    </cfRule>
    <cfRule type="cellIs" priority="4593" operator="greaterThan" aboveAverage="0" equalAverage="0" bottom="0" percent="0" rank="0" text="" dxfId="3">
      <formula>45</formula>
    </cfRule>
  </conditionalFormatting>
  <conditionalFormatting sqref="V318">
    <cfRule type="cellIs" priority="4594" operator="greaterThan" aboveAverage="0" equalAverage="0" bottom="0" percent="0" rank="0" text="" dxfId="2">
      <formula>40</formula>
    </cfRule>
    <cfRule type="cellIs" priority="4595" operator="greaterThan" aboveAverage="0" equalAverage="0" bottom="0" percent="0" rank="0" text="" dxfId="3">
      <formula>45</formula>
    </cfRule>
  </conditionalFormatting>
  <conditionalFormatting sqref="W318">
    <cfRule type="cellIs" priority="4596" operator="greaterThan" aboveAverage="0" equalAverage="0" bottom="0" percent="0" rank="0" text="" dxfId="2">
      <formula>40</formula>
    </cfRule>
    <cfRule type="cellIs" priority="4597" operator="greaterThan" aboveAverage="0" equalAverage="0" bottom="0" percent="0" rank="0" text="" dxfId="3">
      <formula>45</formula>
    </cfRule>
  </conditionalFormatting>
  <conditionalFormatting sqref="X318">
    <cfRule type="cellIs" priority="4598" operator="greaterThan" aboveAverage="0" equalAverage="0" bottom="0" percent="0" rank="0" text="" dxfId="2">
      <formula>55</formula>
    </cfRule>
    <cfRule type="cellIs" priority="4599" operator="greaterThan" aboveAverage="0" equalAverage="0" bottom="0" percent="0" rank="0" text="" dxfId="3">
      <formula>65</formula>
    </cfRule>
  </conditionalFormatting>
  <conditionalFormatting sqref="Y318">
    <cfRule type="cellIs" priority="4600" operator="greaterThan" aboveAverage="0" equalAverage="0" bottom="0" percent="0" rank="0" text="" dxfId="2">
      <formula>55</formula>
    </cfRule>
    <cfRule type="cellIs" priority="4601" operator="greaterThan" aboveAverage="0" equalAverage="0" bottom="0" percent="0" rank="0" text="" dxfId="3">
      <formula>65</formula>
    </cfRule>
  </conditionalFormatting>
  <conditionalFormatting sqref="Z318">
    <cfRule type="cellIs" priority="4602" operator="greaterThan" aboveAverage="0" equalAverage="0" bottom="0" percent="0" rank="0" text="" dxfId="2">
      <formula>55</formula>
    </cfRule>
    <cfRule type="cellIs" priority="4603" operator="greaterThan" aboveAverage="0" equalAverage="0" bottom="0" percent="0" rank="0" text="" dxfId="3">
      <formula>65</formula>
    </cfRule>
  </conditionalFormatting>
  <conditionalFormatting sqref="AA318">
    <cfRule type="cellIs" priority="4604" operator="greaterThan" aboveAverage="0" equalAverage="0" bottom="0" percent="0" rank="0" text="" dxfId="2">
      <formula>55</formula>
    </cfRule>
    <cfRule type="cellIs" priority="4605" operator="greaterThan" aboveAverage="0" equalAverage="0" bottom="0" percent="0" rank="0" text="" dxfId="3">
      <formula>65</formula>
    </cfRule>
  </conditionalFormatting>
  <conditionalFormatting sqref="AB318">
    <cfRule type="cellIs" priority="4606" operator="greaterThan" aboveAverage="0" equalAverage="0" bottom="0" percent="0" rank="0" text="" dxfId="2">
      <formula>55</formula>
    </cfRule>
    <cfRule type="cellIs" priority="4607" operator="greaterThan" aboveAverage="0" equalAverage="0" bottom="0" percent="0" rank="0" text="" dxfId="3">
      <formula>65</formula>
    </cfRule>
  </conditionalFormatting>
  <conditionalFormatting sqref="AC318">
    <cfRule type="cellIs" priority="4608" operator="greaterThan" aboveAverage="0" equalAverage="0" bottom="0" percent="0" rank="0" text="" dxfId="2">
      <formula>55</formula>
    </cfRule>
    <cfRule type="cellIs" priority="4609" operator="greaterThan" aboveAverage="0" equalAverage="0" bottom="0" percent="0" rank="0" text="" dxfId="3">
      <formula>65</formula>
    </cfRule>
  </conditionalFormatting>
  <conditionalFormatting sqref="AD318">
    <cfRule type="cellIs" priority="4610" operator="greaterThan" aboveAverage="0" equalAverage="0" bottom="0" percent="0" rank="0" text="" dxfId="2">
      <formula>55</formula>
    </cfRule>
    <cfRule type="cellIs" priority="4611" operator="greaterThan" aboveAverage="0" equalAverage="0" bottom="0" percent="0" rank="0" text="" dxfId="3">
      <formula>65</formula>
    </cfRule>
  </conditionalFormatting>
  <conditionalFormatting sqref="AE318">
    <cfRule type="cellIs" priority="4612" operator="greaterThan" aboveAverage="0" equalAverage="0" bottom="0" percent="0" rank="0" text="" dxfId="2">
      <formula>55</formula>
    </cfRule>
    <cfRule type="cellIs" priority="4613" operator="greaterThan" aboveAverage="0" equalAverage="0" bottom="0" percent="0" rank="0" text="" dxfId="3">
      <formula>65</formula>
    </cfRule>
  </conditionalFormatting>
  <conditionalFormatting sqref="AF318">
    <cfRule type="cellIs" priority="4614" operator="greaterThan" aboveAverage="0" equalAverage="0" bottom="0" percent="0" rank="0" text="" dxfId="2">
      <formula>40</formula>
    </cfRule>
    <cfRule type="cellIs" priority="4615" operator="greaterThan" aboveAverage="0" equalAverage="0" bottom="0" percent="0" rank="0" text="" dxfId="3">
      <formula>45</formula>
    </cfRule>
  </conditionalFormatting>
  <conditionalFormatting sqref="AG318">
    <cfRule type="cellIs" priority="4616" operator="greaterThan" aboveAverage="0" equalAverage="0" bottom="0" percent="0" rank="0" text="" dxfId="2">
      <formula>40</formula>
    </cfRule>
    <cfRule type="cellIs" priority="4617" operator="greaterThan" aboveAverage="0" equalAverage="0" bottom="0" percent="0" rank="0" text="" dxfId="3">
      <formula>45</formula>
    </cfRule>
  </conditionalFormatting>
  <conditionalFormatting sqref="AH318">
    <cfRule type="cellIs" priority="4618" operator="greaterThan" aboveAverage="0" equalAverage="0" bottom="0" percent="0" rank="0" text="" dxfId="2">
      <formula>40</formula>
    </cfRule>
    <cfRule type="cellIs" priority="4619" operator="greaterThan" aboveAverage="0" equalAverage="0" bottom="0" percent="0" rank="0" text="" dxfId="3">
      <formula>45</formula>
    </cfRule>
  </conditionalFormatting>
  <conditionalFormatting sqref="AI318">
    <cfRule type="cellIs" priority="4620" operator="greaterThan" aboveAverage="0" equalAverage="0" bottom="0" percent="0" rank="0" text="" dxfId="2">
      <formula>40</formula>
    </cfRule>
    <cfRule type="cellIs" priority="4621" operator="greaterThan" aboveAverage="0" equalAverage="0" bottom="0" percent="0" rank="0" text="" dxfId="3">
      <formula>45</formula>
    </cfRule>
  </conditionalFormatting>
  <conditionalFormatting sqref="AJ318">
    <cfRule type="cellIs" priority="4622" operator="greaterThan" aboveAverage="0" equalAverage="0" bottom="0" percent="0" rank="0" text="" dxfId="2">
      <formula>40</formula>
    </cfRule>
    <cfRule type="cellIs" priority="4623" operator="greaterThan" aboveAverage="0" equalAverage="0" bottom="0" percent="0" rank="0" text="" dxfId="3">
      <formula>45</formula>
    </cfRule>
  </conditionalFormatting>
  <conditionalFormatting sqref="AK318">
    <cfRule type="cellIs" priority="4624" operator="greaterThan" aboveAverage="0" equalAverage="0" bottom="0" percent="0" rank="0" text="" dxfId="2">
      <formula>40</formula>
    </cfRule>
    <cfRule type="cellIs" priority="4625" operator="greaterThan" aboveAverage="0" equalAverage="0" bottom="0" percent="0" rank="0" text="" dxfId="3">
      <formula>45</formula>
    </cfRule>
  </conditionalFormatting>
  <conditionalFormatting sqref="AL318">
    <cfRule type="cellIs" priority="4626" operator="greaterThan" aboveAverage="0" equalAverage="0" bottom="0" percent="0" rank="0" text="" dxfId="2">
      <formula>40</formula>
    </cfRule>
    <cfRule type="cellIs" priority="4627" operator="greaterThan" aboveAverage="0" equalAverage="0" bottom="0" percent="0" rank="0" text="" dxfId="3">
      <formula>45</formula>
    </cfRule>
  </conditionalFormatting>
  <conditionalFormatting sqref="AM318">
    <cfRule type="cellIs" priority="4628" operator="greaterThan" aboveAverage="0" equalAverage="0" bottom="0" percent="0" rank="0" text="" dxfId="2">
      <formula>40</formula>
    </cfRule>
    <cfRule type="cellIs" priority="4629" operator="greaterThan" aboveAverage="0" equalAverage="0" bottom="0" percent="0" rank="0" text="" dxfId="3">
      <formula>45</formula>
    </cfRule>
  </conditionalFormatting>
  <conditionalFormatting sqref="AN318">
    <cfRule type="cellIs" priority="4630" operator="greaterThan" aboveAverage="0" equalAverage="0" bottom="0" percent="0" rank="0" text="" dxfId="2">
      <formula>40</formula>
    </cfRule>
    <cfRule type="cellIs" priority="4631" operator="greaterThan" aboveAverage="0" equalAverage="0" bottom="0" percent="0" rank="0" text="" dxfId="3">
      <formula>45</formula>
    </cfRule>
  </conditionalFormatting>
  <conditionalFormatting sqref="AO318">
    <cfRule type="cellIs" priority="4632" operator="greaterThan" aboveAverage="0" equalAverage="0" bottom="0" percent="0" rank="0" text="" dxfId="2">
      <formula>40</formula>
    </cfRule>
    <cfRule type="cellIs" priority="4633" operator="greaterThan" aboveAverage="0" equalAverage="0" bottom="0" percent="0" rank="0" text="" dxfId="3">
      <formula>45</formula>
    </cfRule>
  </conditionalFormatting>
  <conditionalFormatting sqref="AP318">
    <cfRule type="cellIs" priority="4634" operator="greaterThan" aboveAverage="0" equalAverage="0" bottom="0" percent="0" rank="0" text="" dxfId="2">
      <formula>40</formula>
    </cfRule>
    <cfRule type="cellIs" priority="4635" operator="greaterThan" aboveAverage="0" equalAverage="0" bottom="0" percent="0" rank="0" text="" dxfId="3">
      <formula>45</formula>
    </cfRule>
  </conditionalFormatting>
  <conditionalFormatting sqref="AQ318">
    <cfRule type="cellIs" priority="4636" operator="greaterThan" aboveAverage="0" equalAverage="0" bottom="0" percent="0" rank="0" text="" dxfId="2">
      <formula>40</formula>
    </cfRule>
    <cfRule type="cellIs" priority="4637" operator="greaterThan" aboveAverage="0" equalAverage="0" bottom="0" percent="0" rank="0" text="" dxfId="3">
      <formula>45</formula>
    </cfRule>
  </conditionalFormatting>
  <conditionalFormatting sqref="AR318">
    <cfRule type="cellIs" priority="4638" operator="greaterThan" aboveAverage="0" equalAverage="0" bottom="0" percent="0" rank="0" text="" dxfId="2">
      <formula>40</formula>
    </cfRule>
    <cfRule type="cellIs" priority="4639" operator="greaterThan" aboveAverage="0" equalAverage="0" bottom="0" percent="0" rank="0" text="" dxfId="3">
      <formula>45</formula>
    </cfRule>
  </conditionalFormatting>
  <conditionalFormatting sqref="AS318">
    <cfRule type="cellIs" priority="4640" operator="greaterThan" aboveAverage="0" equalAverage="0" bottom="0" percent="0" rank="0" text="" dxfId="2">
      <formula>40</formula>
    </cfRule>
    <cfRule type="cellIs" priority="4641" operator="greaterThan" aboveAverage="0" equalAverage="0" bottom="0" percent="0" rank="0" text="" dxfId="3">
      <formula>45</formula>
    </cfRule>
  </conditionalFormatting>
  <conditionalFormatting sqref="F320">
    <cfRule type="cellIs" priority="4642" operator="greaterThan" aboveAverage="0" equalAverage="0" bottom="0" percent="0" rank="0" text="" dxfId="2">
      <formula>40</formula>
    </cfRule>
    <cfRule type="cellIs" priority="4643" operator="greaterThan" aboveAverage="0" equalAverage="0" bottom="0" percent="0" rank="0" text="" dxfId="3">
      <formula>45</formula>
    </cfRule>
  </conditionalFormatting>
  <conditionalFormatting sqref="G320">
    <cfRule type="cellIs" priority="4644" operator="greaterThan" aboveAverage="0" equalAverage="0" bottom="0" percent="0" rank="0" text="" dxfId="2">
      <formula>40</formula>
    </cfRule>
    <cfRule type="cellIs" priority="4645" operator="greaterThan" aboveAverage="0" equalAverage="0" bottom="0" percent="0" rank="0" text="" dxfId="3">
      <formula>45</formula>
    </cfRule>
  </conditionalFormatting>
  <conditionalFormatting sqref="H320">
    <cfRule type="cellIs" priority="4646" operator="greaterThan" aboveAverage="0" equalAverage="0" bottom="0" percent="0" rank="0" text="" dxfId="2">
      <formula>40</formula>
    </cfRule>
    <cfRule type="cellIs" priority="4647" operator="greaterThan" aboveAverage="0" equalAverage="0" bottom="0" percent="0" rank="0" text="" dxfId="3">
      <formula>45</formula>
    </cfRule>
  </conditionalFormatting>
  <conditionalFormatting sqref="I320">
    <cfRule type="cellIs" priority="4648" operator="greaterThan" aboveAverage="0" equalAverage="0" bottom="0" percent="0" rank="0" text="" dxfId="2">
      <formula>40</formula>
    </cfRule>
    <cfRule type="cellIs" priority="4649" operator="greaterThan" aboveAverage="0" equalAverage="0" bottom="0" percent="0" rank="0" text="" dxfId="3">
      <formula>45</formula>
    </cfRule>
  </conditionalFormatting>
  <conditionalFormatting sqref="J320">
    <cfRule type="cellIs" priority="4650" operator="greaterThan" aboveAverage="0" equalAverage="0" bottom="0" percent="0" rank="0" text="" dxfId="2">
      <formula>40</formula>
    </cfRule>
    <cfRule type="cellIs" priority="4651" operator="greaterThan" aboveAverage="0" equalAverage="0" bottom="0" percent="0" rank="0" text="" dxfId="3">
      <formula>45</formula>
    </cfRule>
  </conditionalFormatting>
  <conditionalFormatting sqref="K320">
    <cfRule type="cellIs" priority="4652" operator="greaterThan" aboveAverage="0" equalAverage="0" bottom="0" percent="0" rank="0" text="" dxfId="2">
      <formula>40</formula>
    </cfRule>
    <cfRule type="cellIs" priority="4653" operator="greaterThan" aboveAverage="0" equalAverage="0" bottom="0" percent="0" rank="0" text="" dxfId="3">
      <formula>45</formula>
    </cfRule>
  </conditionalFormatting>
  <conditionalFormatting sqref="L320">
    <cfRule type="cellIs" priority="4654" operator="greaterThan" aboveAverage="0" equalAverage="0" bottom="0" percent="0" rank="0" text="" dxfId="2">
      <formula>40</formula>
    </cfRule>
    <cfRule type="cellIs" priority="4655" operator="greaterThan" aboveAverage="0" equalAverage="0" bottom="0" percent="0" rank="0" text="" dxfId="3">
      <formula>45</formula>
    </cfRule>
  </conditionalFormatting>
  <conditionalFormatting sqref="M320">
    <cfRule type="cellIs" priority="4656" operator="greaterThan" aboveAverage="0" equalAverage="0" bottom="0" percent="0" rank="0" text="" dxfId="2">
      <formula>40</formula>
    </cfRule>
    <cfRule type="cellIs" priority="4657" operator="greaterThan" aboveAverage="0" equalAverage="0" bottom="0" percent="0" rank="0" text="" dxfId="3">
      <formula>45</formula>
    </cfRule>
  </conditionalFormatting>
  <conditionalFormatting sqref="N320">
    <cfRule type="cellIs" priority="4658" operator="greaterThan" aboveAverage="0" equalAverage="0" bottom="0" percent="0" rank="0" text="" dxfId="2">
      <formula>40</formula>
    </cfRule>
    <cfRule type="cellIs" priority="4659" operator="greaterThan" aboveAverage="0" equalAverage="0" bottom="0" percent="0" rank="0" text="" dxfId="3">
      <formula>45</formula>
    </cfRule>
  </conditionalFormatting>
  <conditionalFormatting sqref="O320">
    <cfRule type="cellIs" priority="4660" operator="greaterThan" aboveAverage="0" equalAverage="0" bottom="0" percent="0" rank="0" text="" dxfId="2">
      <formula>40</formula>
    </cfRule>
    <cfRule type="cellIs" priority="4661" operator="greaterThan" aboveAverage="0" equalAverage="0" bottom="0" percent="0" rank="0" text="" dxfId="3">
      <formula>45</formula>
    </cfRule>
  </conditionalFormatting>
  <conditionalFormatting sqref="P320">
    <cfRule type="cellIs" priority="4662" operator="greaterThan" aboveAverage="0" equalAverage="0" bottom="0" percent="0" rank="0" text="" dxfId="2">
      <formula>40</formula>
    </cfRule>
    <cfRule type="cellIs" priority="4663" operator="greaterThan" aboveAverage="0" equalAverage="0" bottom="0" percent="0" rank="0" text="" dxfId="3">
      <formula>45</formula>
    </cfRule>
  </conditionalFormatting>
  <conditionalFormatting sqref="Q320">
    <cfRule type="cellIs" priority="4664" operator="greaterThan" aboveAverage="0" equalAverage="0" bottom="0" percent="0" rank="0" text="" dxfId="2">
      <formula>40</formula>
    </cfRule>
    <cfRule type="cellIs" priority="4665" operator="greaterThan" aboveAverage="0" equalAverage="0" bottom="0" percent="0" rank="0" text="" dxfId="3">
      <formula>45</formula>
    </cfRule>
  </conditionalFormatting>
  <conditionalFormatting sqref="R320">
    <cfRule type="cellIs" priority="4666" operator="greaterThan" aboveAverage="0" equalAverage="0" bottom="0" percent="0" rank="0" text="" dxfId="2">
      <formula>40</formula>
    </cfRule>
    <cfRule type="cellIs" priority="4667" operator="greaterThan" aboveAverage="0" equalAverage="0" bottom="0" percent="0" rank="0" text="" dxfId="3">
      <formula>45</formula>
    </cfRule>
  </conditionalFormatting>
  <conditionalFormatting sqref="S320">
    <cfRule type="cellIs" priority="4668" operator="greaterThan" aboveAverage="0" equalAverage="0" bottom="0" percent="0" rank="0" text="" dxfId="2">
      <formula>40</formula>
    </cfRule>
    <cfRule type="cellIs" priority="4669" operator="greaterThan" aboveAverage="0" equalAverage="0" bottom="0" percent="0" rank="0" text="" dxfId="3">
      <formula>45</formula>
    </cfRule>
  </conditionalFormatting>
  <conditionalFormatting sqref="T320">
    <cfRule type="cellIs" priority="4670" operator="greaterThan" aboveAverage="0" equalAverage="0" bottom="0" percent="0" rank="0" text="" dxfId="2">
      <formula>40</formula>
    </cfRule>
    <cfRule type="cellIs" priority="4671" operator="greaterThan" aboveAverage="0" equalAverage="0" bottom="0" percent="0" rank="0" text="" dxfId="3">
      <formula>45</formula>
    </cfRule>
  </conditionalFormatting>
  <conditionalFormatting sqref="U320">
    <cfRule type="cellIs" priority="4672" operator="greaterThan" aboveAverage="0" equalAverage="0" bottom="0" percent="0" rank="0" text="" dxfId="2">
      <formula>40</formula>
    </cfRule>
    <cfRule type="cellIs" priority="4673" operator="greaterThan" aboveAverage="0" equalAverage="0" bottom="0" percent="0" rank="0" text="" dxfId="3">
      <formula>45</formula>
    </cfRule>
  </conditionalFormatting>
  <conditionalFormatting sqref="V320">
    <cfRule type="cellIs" priority="4674" operator="greaterThan" aboveAverage="0" equalAverage="0" bottom="0" percent="0" rank="0" text="" dxfId="2">
      <formula>40</formula>
    </cfRule>
    <cfRule type="cellIs" priority="4675" operator="greaterThan" aboveAverage="0" equalAverage="0" bottom="0" percent="0" rank="0" text="" dxfId="3">
      <formula>45</formula>
    </cfRule>
  </conditionalFormatting>
  <conditionalFormatting sqref="W320">
    <cfRule type="cellIs" priority="4676" operator="greaterThan" aboveAverage="0" equalAverage="0" bottom="0" percent="0" rank="0" text="" dxfId="2">
      <formula>40</formula>
    </cfRule>
    <cfRule type="cellIs" priority="4677" operator="greaterThan" aboveAverage="0" equalAverage="0" bottom="0" percent="0" rank="0" text="" dxfId="3">
      <formula>45</formula>
    </cfRule>
  </conditionalFormatting>
  <conditionalFormatting sqref="X320">
    <cfRule type="cellIs" priority="4678" operator="greaterThan" aboveAverage="0" equalAverage="0" bottom="0" percent="0" rank="0" text="" dxfId="2">
      <formula>55</formula>
    </cfRule>
    <cfRule type="cellIs" priority="4679" operator="greaterThan" aboveAverage="0" equalAverage="0" bottom="0" percent="0" rank="0" text="" dxfId="3">
      <formula>65</formula>
    </cfRule>
  </conditionalFormatting>
  <conditionalFormatting sqref="Y320">
    <cfRule type="cellIs" priority="4680" operator="greaterThan" aboveAverage="0" equalAverage="0" bottom="0" percent="0" rank="0" text="" dxfId="2">
      <formula>55</formula>
    </cfRule>
    <cfRule type="cellIs" priority="4681" operator="greaterThan" aboveAverage="0" equalAverage="0" bottom="0" percent="0" rank="0" text="" dxfId="3">
      <formula>65</formula>
    </cfRule>
  </conditionalFormatting>
  <conditionalFormatting sqref="Z320">
    <cfRule type="cellIs" priority="4682" operator="greaterThan" aboveAverage="0" equalAverage="0" bottom="0" percent="0" rank="0" text="" dxfId="2">
      <formula>55</formula>
    </cfRule>
    <cfRule type="cellIs" priority="4683" operator="greaterThan" aboveAverage="0" equalAverage="0" bottom="0" percent="0" rank="0" text="" dxfId="3">
      <formula>65</formula>
    </cfRule>
  </conditionalFormatting>
  <conditionalFormatting sqref="AA320">
    <cfRule type="cellIs" priority="4684" operator="greaterThan" aboveAverage="0" equalAverage="0" bottom="0" percent="0" rank="0" text="" dxfId="2">
      <formula>55</formula>
    </cfRule>
    <cfRule type="cellIs" priority="4685" operator="greaterThan" aboveAverage="0" equalAverage="0" bottom="0" percent="0" rank="0" text="" dxfId="3">
      <formula>65</formula>
    </cfRule>
  </conditionalFormatting>
  <conditionalFormatting sqref="AB320">
    <cfRule type="cellIs" priority="4686" operator="greaterThan" aboveAverage="0" equalAverage="0" bottom="0" percent="0" rank="0" text="" dxfId="2">
      <formula>55</formula>
    </cfRule>
    <cfRule type="cellIs" priority="4687" operator="greaterThan" aboveAverage="0" equalAverage="0" bottom="0" percent="0" rank="0" text="" dxfId="3">
      <formula>65</formula>
    </cfRule>
  </conditionalFormatting>
  <conditionalFormatting sqref="AC320">
    <cfRule type="cellIs" priority="4688" operator="greaterThan" aboveAverage="0" equalAverage="0" bottom="0" percent="0" rank="0" text="" dxfId="2">
      <formula>55</formula>
    </cfRule>
    <cfRule type="cellIs" priority="4689" operator="greaterThan" aboveAverage="0" equalAverage="0" bottom="0" percent="0" rank="0" text="" dxfId="3">
      <formula>65</formula>
    </cfRule>
  </conditionalFormatting>
  <conditionalFormatting sqref="AD320">
    <cfRule type="cellIs" priority="4690" operator="greaterThan" aboveAverage="0" equalAverage="0" bottom="0" percent="0" rank="0" text="" dxfId="2">
      <formula>55</formula>
    </cfRule>
    <cfRule type="cellIs" priority="4691" operator="greaterThan" aboveAverage="0" equalAverage="0" bottom="0" percent="0" rank="0" text="" dxfId="3">
      <formula>65</formula>
    </cfRule>
  </conditionalFormatting>
  <conditionalFormatting sqref="AE320">
    <cfRule type="cellIs" priority="4692" operator="greaterThan" aboveAverage="0" equalAverage="0" bottom="0" percent="0" rank="0" text="" dxfId="2">
      <formula>55</formula>
    </cfRule>
    <cfRule type="cellIs" priority="4693" operator="greaterThan" aboveAverage="0" equalAverage="0" bottom="0" percent="0" rank="0" text="" dxfId="3">
      <formula>65</formula>
    </cfRule>
  </conditionalFormatting>
  <conditionalFormatting sqref="AF320">
    <cfRule type="cellIs" priority="4694" operator="greaterThan" aboveAverage="0" equalAverage="0" bottom="0" percent="0" rank="0" text="" dxfId="2">
      <formula>40</formula>
    </cfRule>
    <cfRule type="cellIs" priority="4695" operator="greaterThan" aboveAverage="0" equalAverage="0" bottom="0" percent="0" rank="0" text="" dxfId="3">
      <formula>45</formula>
    </cfRule>
  </conditionalFormatting>
  <conditionalFormatting sqref="AG320">
    <cfRule type="cellIs" priority="4696" operator="greaterThan" aboveAverage="0" equalAverage="0" bottom="0" percent="0" rank="0" text="" dxfId="2">
      <formula>40</formula>
    </cfRule>
    <cfRule type="cellIs" priority="4697" operator="greaterThan" aboveAverage="0" equalAverage="0" bottom="0" percent="0" rank="0" text="" dxfId="3">
      <formula>45</formula>
    </cfRule>
  </conditionalFormatting>
  <conditionalFormatting sqref="AH320">
    <cfRule type="cellIs" priority="4698" operator="greaterThan" aboveAverage="0" equalAverage="0" bottom="0" percent="0" rank="0" text="" dxfId="2">
      <formula>40</formula>
    </cfRule>
    <cfRule type="cellIs" priority="4699" operator="greaterThan" aboveAverage="0" equalAverage="0" bottom="0" percent="0" rank="0" text="" dxfId="3">
      <formula>45</formula>
    </cfRule>
  </conditionalFormatting>
  <conditionalFormatting sqref="AI320">
    <cfRule type="cellIs" priority="4700" operator="greaterThan" aboveAverage="0" equalAverage="0" bottom="0" percent="0" rank="0" text="" dxfId="2">
      <formula>40</formula>
    </cfRule>
    <cfRule type="cellIs" priority="4701" operator="greaterThan" aboveAverage="0" equalAverage="0" bottom="0" percent="0" rank="0" text="" dxfId="3">
      <formula>45</formula>
    </cfRule>
  </conditionalFormatting>
  <conditionalFormatting sqref="AJ320">
    <cfRule type="cellIs" priority="4702" operator="greaterThan" aboveAverage="0" equalAverage="0" bottom="0" percent="0" rank="0" text="" dxfId="2">
      <formula>40</formula>
    </cfRule>
    <cfRule type="cellIs" priority="4703" operator="greaterThan" aboveAverage="0" equalAverage="0" bottom="0" percent="0" rank="0" text="" dxfId="3">
      <formula>45</formula>
    </cfRule>
  </conditionalFormatting>
  <conditionalFormatting sqref="AK320">
    <cfRule type="cellIs" priority="4704" operator="greaterThan" aboveAverage="0" equalAverage="0" bottom="0" percent="0" rank="0" text="" dxfId="2">
      <formula>40</formula>
    </cfRule>
    <cfRule type="cellIs" priority="4705" operator="greaterThan" aboveAverage="0" equalAverage="0" bottom="0" percent="0" rank="0" text="" dxfId="3">
      <formula>45</formula>
    </cfRule>
  </conditionalFormatting>
  <conditionalFormatting sqref="AL320">
    <cfRule type="cellIs" priority="4706" operator="greaterThan" aboveAverage="0" equalAverage="0" bottom="0" percent="0" rank="0" text="" dxfId="2">
      <formula>40</formula>
    </cfRule>
    <cfRule type="cellIs" priority="4707" operator="greaterThan" aboveAverage="0" equalAverage="0" bottom="0" percent="0" rank="0" text="" dxfId="3">
      <formula>45</formula>
    </cfRule>
  </conditionalFormatting>
  <conditionalFormatting sqref="AM320">
    <cfRule type="cellIs" priority="4708" operator="greaterThan" aboveAverage="0" equalAverage="0" bottom="0" percent="0" rank="0" text="" dxfId="2">
      <formula>40</formula>
    </cfRule>
    <cfRule type="cellIs" priority="4709" operator="greaterThan" aboveAverage="0" equalAverage="0" bottom="0" percent="0" rank="0" text="" dxfId="3">
      <formula>45</formula>
    </cfRule>
  </conditionalFormatting>
  <conditionalFormatting sqref="AN320">
    <cfRule type="cellIs" priority="4710" operator="greaterThan" aboveAverage="0" equalAverage="0" bottom="0" percent="0" rank="0" text="" dxfId="2">
      <formula>40</formula>
    </cfRule>
    <cfRule type="cellIs" priority="4711" operator="greaterThan" aboveAverage="0" equalAverage="0" bottom="0" percent="0" rank="0" text="" dxfId="3">
      <formula>45</formula>
    </cfRule>
  </conditionalFormatting>
  <conditionalFormatting sqref="AO320">
    <cfRule type="cellIs" priority="4712" operator="greaterThan" aboveAverage="0" equalAverage="0" bottom="0" percent="0" rank="0" text="" dxfId="2">
      <formula>40</formula>
    </cfRule>
    <cfRule type="cellIs" priority="4713" operator="greaterThan" aboveAverage="0" equalAverage="0" bottom="0" percent="0" rank="0" text="" dxfId="3">
      <formula>45</formula>
    </cfRule>
  </conditionalFormatting>
  <conditionalFormatting sqref="AP320">
    <cfRule type="cellIs" priority="4714" operator="greaterThan" aboveAverage="0" equalAverage="0" bottom="0" percent="0" rank="0" text="" dxfId="2">
      <formula>40</formula>
    </cfRule>
    <cfRule type="cellIs" priority="4715" operator="greaterThan" aboveAverage="0" equalAverage="0" bottom="0" percent="0" rank="0" text="" dxfId="3">
      <formula>45</formula>
    </cfRule>
  </conditionalFormatting>
  <conditionalFormatting sqref="AQ320">
    <cfRule type="cellIs" priority="4716" operator="greaterThan" aboveAverage="0" equalAverage="0" bottom="0" percent="0" rank="0" text="" dxfId="2">
      <formula>40</formula>
    </cfRule>
    <cfRule type="cellIs" priority="4717" operator="greaterThan" aboveAverage="0" equalAverage="0" bottom="0" percent="0" rank="0" text="" dxfId="3">
      <formula>45</formula>
    </cfRule>
  </conditionalFormatting>
  <conditionalFormatting sqref="AR320">
    <cfRule type="cellIs" priority="4718" operator="greaterThan" aboveAverage="0" equalAverage="0" bottom="0" percent="0" rank="0" text="" dxfId="2">
      <formula>40</formula>
    </cfRule>
    <cfRule type="cellIs" priority="4719" operator="greaterThan" aboveAverage="0" equalAverage="0" bottom="0" percent="0" rank="0" text="" dxfId="3">
      <formula>45</formula>
    </cfRule>
  </conditionalFormatting>
  <conditionalFormatting sqref="AS320">
    <cfRule type="cellIs" priority="4720" operator="greaterThan" aboveAverage="0" equalAverage="0" bottom="0" percent="0" rank="0" text="" dxfId="2">
      <formula>40</formula>
    </cfRule>
    <cfRule type="cellIs" priority="4721" operator="greaterThan" aboveAverage="0" equalAverage="0" bottom="0" percent="0" rank="0" text="" dxfId="3">
      <formula>45</formula>
    </cfRule>
  </conditionalFormatting>
  <conditionalFormatting sqref="F322">
    <cfRule type="cellIs" priority="4722" operator="greaterThan" aboveAverage="0" equalAverage="0" bottom="0" percent="0" rank="0" text="" dxfId="2">
      <formula>40</formula>
    </cfRule>
    <cfRule type="cellIs" priority="4723" operator="greaterThan" aboveAverage="0" equalAverage="0" bottom="0" percent="0" rank="0" text="" dxfId="3">
      <formula>45</formula>
    </cfRule>
  </conditionalFormatting>
  <conditionalFormatting sqref="G322">
    <cfRule type="cellIs" priority="4724" operator="greaterThan" aboveAverage="0" equalAverage="0" bottom="0" percent="0" rank="0" text="" dxfId="2">
      <formula>40</formula>
    </cfRule>
    <cfRule type="cellIs" priority="4725" operator="greaterThan" aboveAverage="0" equalAverage="0" bottom="0" percent="0" rank="0" text="" dxfId="3">
      <formula>45</formula>
    </cfRule>
  </conditionalFormatting>
  <conditionalFormatting sqref="H322">
    <cfRule type="cellIs" priority="4726" operator="greaterThan" aboveAverage="0" equalAverage="0" bottom="0" percent="0" rank="0" text="" dxfId="2">
      <formula>40</formula>
    </cfRule>
    <cfRule type="cellIs" priority="4727" operator="greaterThan" aboveAverage="0" equalAverage="0" bottom="0" percent="0" rank="0" text="" dxfId="3">
      <formula>45</formula>
    </cfRule>
  </conditionalFormatting>
  <conditionalFormatting sqref="I322">
    <cfRule type="cellIs" priority="4728" operator="greaterThan" aboveAverage="0" equalAverage="0" bottom="0" percent="0" rank="0" text="" dxfId="2">
      <formula>40</formula>
    </cfRule>
    <cfRule type="cellIs" priority="4729" operator="greaterThan" aboveAverage="0" equalAverage="0" bottom="0" percent="0" rank="0" text="" dxfId="3">
      <formula>45</formula>
    </cfRule>
  </conditionalFormatting>
  <conditionalFormatting sqref="J322">
    <cfRule type="cellIs" priority="4730" operator="greaterThan" aboveAverage="0" equalAverage="0" bottom="0" percent="0" rank="0" text="" dxfId="2">
      <formula>40</formula>
    </cfRule>
    <cfRule type="cellIs" priority="4731" operator="greaterThan" aboveAverage="0" equalAverage="0" bottom="0" percent="0" rank="0" text="" dxfId="3">
      <formula>45</formula>
    </cfRule>
  </conditionalFormatting>
  <conditionalFormatting sqref="K322">
    <cfRule type="cellIs" priority="4732" operator="greaterThan" aboveAverage="0" equalAverage="0" bottom="0" percent="0" rank="0" text="" dxfId="2">
      <formula>40</formula>
    </cfRule>
    <cfRule type="cellIs" priority="4733" operator="greaterThan" aboveAverage="0" equalAverage="0" bottom="0" percent="0" rank="0" text="" dxfId="3">
      <formula>45</formula>
    </cfRule>
  </conditionalFormatting>
  <conditionalFormatting sqref="L322">
    <cfRule type="cellIs" priority="4734" operator="greaterThan" aboveAverage="0" equalAverage="0" bottom="0" percent="0" rank="0" text="" dxfId="2">
      <formula>40</formula>
    </cfRule>
    <cfRule type="cellIs" priority="4735" operator="greaterThan" aboveAverage="0" equalAverage="0" bottom="0" percent="0" rank="0" text="" dxfId="3">
      <formula>45</formula>
    </cfRule>
  </conditionalFormatting>
  <conditionalFormatting sqref="M322">
    <cfRule type="cellIs" priority="4736" operator="greaterThan" aboveAverage="0" equalAverage="0" bottom="0" percent="0" rank="0" text="" dxfId="2">
      <formula>40</formula>
    </cfRule>
    <cfRule type="cellIs" priority="4737" operator="greaterThan" aboveAverage="0" equalAverage="0" bottom="0" percent="0" rank="0" text="" dxfId="3">
      <formula>45</formula>
    </cfRule>
  </conditionalFormatting>
  <conditionalFormatting sqref="N322">
    <cfRule type="cellIs" priority="4738" operator="greaterThan" aboveAverage="0" equalAverage="0" bottom="0" percent="0" rank="0" text="" dxfId="2">
      <formula>40</formula>
    </cfRule>
    <cfRule type="cellIs" priority="4739" operator="greaterThan" aboveAverage="0" equalAverage="0" bottom="0" percent="0" rank="0" text="" dxfId="3">
      <formula>45</formula>
    </cfRule>
  </conditionalFormatting>
  <conditionalFormatting sqref="O322">
    <cfRule type="cellIs" priority="4740" operator="greaterThan" aboveAverage="0" equalAverage="0" bottom="0" percent="0" rank="0" text="" dxfId="2">
      <formula>40</formula>
    </cfRule>
    <cfRule type="cellIs" priority="4741" operator="greaterThan" aboveAverage="0" equalAverage="0" bottom="0" percent="0" rank="0" text="" dxfId="3">
      <formula>45</formula>
    </cfRule>
  </conditionalFormatting>
  <conditionalFormatting sqref="P322">
    <cfRule type="cellIs" priority="4742" operator="greaterThan" aboveAverage="0" equalAverage="0" bottom="0" percent="0" rank="0" text="" dxfId="2">
      <formula>40</formula>
    </cfRule>
    <cfRule type="cellIs" priority="4743" operator="greaterThan" aboveAverage="0" equalAverage="0" bottom="0" percent="0" rank="0" text="" dxfId="3">
      <formula>45</formula>
    </cfRule>
  </conditionalFormatting>
  <conditionalFormatting sqref="Q322">
    <cfRule type="cellIs" priority="4744" operator="greaterThan" aboveAverage="0" equalAverage="0" bottom="0" percent="0" rank="0" text="" dxfId="2">
      <formula>40</formula>
    </cfRule>
    <cfRule type="cellIs" priority="4745" operator="greaterThan" aboveAverage="0" equalAverage="0" bottom="0" percent="0" rank="0" text="" dxfId="3">
      <formula>45</formula>
    </cfRule>
  </conditionalFormatting>
  <conditionalFormatting sqref="R322">
    <cfRule type="cellIs" priority="4746" operator="greaterThan" aboveAverage="0" equalAverage="0" bottom="0" percent="0" rank="0" text="" dxfId="2">
      <formula>40</formula>
    </cfRule>
    <cfRule type="cellIs" priority="4747" operator="greaterThan" aboveAverage="0" equalAverage="0" bottom="0" percent="0" rank="0" text="" dxfId="3">
      <formula>45</formula>
    </cfRule>
  </conditionalFormatting>
  <conditionalFormatting sqref="S322">
    <cfRule type="cellIs" priority="4748" operator="greaterThan" aboveAverage="0" equalAverage="0" bottom="0" percent="0" rank="0" text="" dxfId="2">
      <formula>40</formula>
    </cfRule>
    <cfRule type="cellIs" priority="4749" operator="greaterThan" aboveAverage="0" equalAverage="0" bottom="0" percent="0" rank="0" text="" dxfId="3">
      <formula>45</formula>
    </cfRule>
  </conditionalFormatting>
  <conditionalFormatting sqref="T322">
    <cfRule type="cellIs" priority="4750" operator="greaterThan" aboveAverage="0" equalAverage="0" bottom="0" percent="0" rank="0" text="" dxfId="2">
      <formula>40</formula>
    </cfRule>
    <cfRule type="cellIs" priority="4751" operator="greaterThan" aboveAverage="0" equalAverage="0" bottom="0" percent="0" rank="0" text="" dxfId="3">
      <formula>45</formula>
    </cfRule>
  </conditionalFormatting>
  <conditionalFormatting sqref="U322">
    <cfRule type="cellIs" priority="4752" operator="greaterThan" aboveAverage="0" equalAverage="0" bottom="0" percent="0" rank="0" text="" dxfId="2">
      <formula>40</formula>
    </cfRule>
    <cfRule type="cellIs" priority="4753" operator="greaterThan" aboveAverage="0" equalAverage="0" bottom="0" percent="0" rank="0" text="" dxfId="3">
      <formula>45</formula>
    </cfRule>
  </conditionalFormatting>
  <conditionalFormatting sqref="V322">
    <cfRule type="cellIs" priority="4754" operator="greaterThan" aboveAverage="0" equalAverage="0" bottom="0" percent="0" rank="0" text="" dxfId="2">
      <formula>40</formula>
    </cfRule>
    <cfRule type="cellIs" priority="4755" operator="greaterThan" aboveAverage="0" equalAverage="0" bottom="0" percent="0" rank="0" text="" dxfId="3">
      <formula>45</formula>
    </cfRule>
  </conditionalFormatting>
  <conditionalFormatting sqref="W322">
    <cfRule type="cellIs" priority="4756" operator="greaterThan" aboveAverage="0" equalAverage="0" bottom="0" percent="0" rank="0" text="" dxfId="2">
      <formula>40</formula>
    </cfRule>
    <cfRule type="cellIs" priority="4757" operator="greaterThan" aboveAverage="0" equalAverage="0" bottom="0" percent="0" rank="0" text="" dxfId="3">
      <formula>45</formula>
    </cfRule>
  </conditionalFormatting>
  <conditionalFormatting sqref="X322">
    <cfRule type="cellIs" priority="4758" operator="greaterThan" aboveAverage="0" equalAverage="0" bottom="0" percent="0" rank="0" text="" dxfId="2">
      <formula>55</formula>
    </cfRule>
    <cfRule type="cellIs" priority="4759" operator="greaterThan" aboveAverage="0" equalAverage="0" bottom="0" percent="0" rank="0" text="" dxfId="3">
      <formula>65</formula>
    </cfRule>
  </conditionalFormatting>
  <conditionalFormatting sqref="Y322">
    <cfRule type="cellIs" priority="4760" operator="greaterThan" aboveAverage="0" equalAverage="0" bottom="0" percent="0" rank="0" text="" dxfId="2">
      <formula>55</formula>
    </cfRule>
    <cfRule type="cellIs" priority="4761" operator="greaterThan" aboveAverage="0" equalAverage="0" bottom="0" percent="0" rank="0" text="" dxfId="3">
      <formula>65</formula>
    </cfRule>
  </conditionalFormatting>
  <conditionalFormatting sqref="Z322">
    <cfRule type="cellIs" priority="4762" operator="greaterThan" aboveAverage="0" equalAverage="0" bottom="0" percent="0" rank="0" text="" dxfId="2">
      <formula>55</formula>
    </cfRule>
    <cfRule type="cellIs" priority="4763" operator="greaterThan" aboveAverage="0" equalAverage="0" bottom="0" percent="0" rank="0" text="" dxfId="3">
      <formula>65</formula>
    </cfRule>
  </conditionalFormatting>
  <conditionalFormatting sqref="AA322">
    <cfRule type="cellIs" priority="4764" operator="greaterThan" aboveAverage="0" equalAverage="0" bottom="0" percent="0" rank="0" text="" dxfId="2">
      <formula>55</formula>
    </cfRule>
    <cfRule type="cellIs" priority="4765" operator="greaterThan" aboveAverage="0" equalAverage="0" bottom="0" percent="0" rank="0" text="" dxfId="3">
      <formula>65</formula>
    </cfRule>
  </conditionalFormatting>
  <conditionalFormatting sqref="AB322">
    <cfRule type="cellIs" priority="4766" operator="greaterThan" aboveAverage="0" equalAverage="0" bottom="0" percent="0" rank="0" text="" dxfId="2">
      <formula>55</formula>
    </cfRule>
    <cfRule type="cellIs" priority="4767" operator="greaterThan" aboveAverage="0" equalAverage="0" bottom="0" percent="0" rank="0" text="" dxfId="3">
      <formula>65</formula>
    </cfRule>
  </conditionalFormatting>
  <conditionalFormatting sqref="AC322">
    <cfRule type="cellIs" priority="4768" operator="greaterThan" aboveAverage="0" equalAverage="0" bottom="0" percent="0" rank="0" text="" dxfId="2">
      <formula>55</formula>
    </cfRule>
    <cfRule type="cellIs" priority="4769" operator="greaterThan" aboveAverage="0" equalAverage="0" bottom="0" percent="0" rank="0" text="" dxfId="3">
      <formula>65</formula>
    </cfRule>
  </conditionalFormatting>
  <conditionalFormatting sqref="AD322">
    <cfRule type="cellIs" priority="4770" operator="greaterThan" aboveAverage="0" equalAverage="0" bottom="0" percent="0" rank="0" text="" dxfId="2">
      <formula>55</formula>
    </cfRule>
    <cfRule type="cellIs" priority="4771" operator="greaterThan" aboveAverage="0" equalAverage="0" bottom="0" percent="0" rank="0" text="" dxfId="3">
      <formula>65</formula>
    </cfRule>
  </conditionalFormatting>
  <conditionalFormatting sqref="AE322">
    <cfRule type="cellIs" priority="4772" operator="greaterThan" aboveAverage="0" equalAverage="0" bottom="0" percent="0" rank="0" text="" dxfId="2">
      <formula>55</formula>
    </cfRule>
    <cfRule type="cellIs" priority="4773" operator="greaterThan" aboveAverage="0" equalAverage="0" bottom="0" percent="0" rank="0" text="" dxfId="3">
      <formula>65</formula>
    </cfRule>
  </conditionalFormatting>
  <conditionalFormatting sqref="AF322">
    <cfRule type="cellIs" priority="4774" operator="greaterThan" aboveAverage="0" equalAverage="0" bottom="0" percent="0" rank="0" text="" dxfId="2">
      <formula>40</formula>
    </cfRule>
    <cfRule type="cellIs" priority="4775" operator="greaterThan" aboveAverage="0" equalAverage="0" bottom="0" percent="0" rank="0" text="" dxfId="3">
      <formula>45</formula>
    </cfRule>
  </conditionalFormatting>
  <conditionalFormatting sqref="AG322">
    <cfRule type="cellIs" priority="4776" operator="greaterThan" aboveAverage="0" equalAverage="0" bottom="0" percent="0" rank="0" text="" dxfId="2">
      <formula>40</formula>
    </cfRule>
    <cfRule type="cellIs" priority="4777" operator="greaterThan" aboveAverage="0" equalAverage="0" bottom="0" percent="0" rank="0" text="" dxfId="3">
      <formula>45</formula>
    </cfRule>
  </conditionalFormatting>
  <conditionalFormatting sqref="AH322">
    <cfRule type="cellIs" priority="4778" operator="greaterThan" aboveAverage="0" equalAverage="0" bottom="0" percent="0" rank="0" text="" dxfId="2">
      <formula>40</formula>
    </cfRule>
    <cfRule type="cellIs" priority="4779" operator="greaterThan" aboveAverage="0" equalAverage="0" bottom="0" percent="0" rank="0" text="" dxfId="3">
      <formula>45</formula>
    </cfRule>
  </conditionalFormatting>
  <conditionalFormatting sqref="AI322">
    <cfRule type="cellIs" priority="4780" operator="greaterThan" aboveAverage="0" equalAverage="0" bottom="0" percent="0" rank="0" text="" dxfId="2">
      <formula>40</formula>
    </cfRule>
    <cfRule type="cellIs" priority="4781" operator="greaterThan" aboveAverage="0" equalAverage="0" bottom="0" percent="0" rank="0" text="" dxfId="3">
      <formula>45</formula>
    </cfRule>
  </conditionalFormatting>
  <conditionalFormatting sqref="AJ322">
    <cfRule type="cellIs" priority="4782" operator="greaterThan" aboveAverage="0" equalAverage="0" bottom="0" percent="0" rank="0" text="" dxfId="2">
      <formula>40</formula>
    </cfRule>
    <cfRule type="cellIs" priority="4783" operator="greaterThan" aboveAverage="0" equalAverage="0" bottom="0" percent="0" rank="0" text="" dxfId="3">
      <formula>45</formula>
    </cfRule>
  </conditionalFormatting>
  <conditionalFormatting sqref="AK322">
    <cfRule type="cellIs" priority="4784" operator="greaterThan" aboveAverage="0" equalAverage="0" bottom="0" percent="0" rank="0" text="" dxfId="2">
      <formula>40</formula>
    </cfRule>
    <cfRule type="cellIs" priority="4785" operator="greaterThan" aboveAverage="0" equalAverage="0" bottom="0" percent="0" rank="0" text="" dxfId="3">
      <formula>45</formula>
    </cfRule>
  </conditionalFormatting>
  <conditionalFormatting sqref="AL322">
    <cfRule type="cellIs" priority="4786" operator="greaterThan" aboveAverage="0" equalAverage="0" bottom="0" percent="0" rank="0" text="" dxfId="2">
      <formula>40</formula>
    </cfRule>
    <cfRule type="cellIs" priority="4787" operator="greaterThan" aboveAverage="0" equalAverage="0" bottom="0" percent="0" rank="0" text="" dxfId="3">
      <formula>45</formula>
    </cfRule>
  </conditionalFormatting>
  <conditionalFormatting sqref="AM322">
    <cfRule type="cellIs" priority="4788" operator="greaterThan" aboveAverage="0" equalAverage="0" bottom="0" percent="0" rank="0" text="" dxfId="2">
      <formula>40</formula>
    </cfRule>
    <cfRule type="cellIs" priority="4789" operator="greaterThan" aboveAverage="0" equalAverage="0" bottom="0" percent="0" rank="0" text="" dxfId="3">
      <formula>45</formula>
    </cfRule>
  </conditionalFormatting>
  <conditionalFormatting sqref="AN322">
    <cfRule type="cellIs" priority="4790" operator="greaterThan" aboveAverage="0" equalAverage="0" bottom="0" percent="0" rank="0" text="" dxfId="2">
      <formula>40</formula>
    </cfRule>
    <cfRule type="cellIs" priority="4791" operator="greaterThan" aboveAverage="0" equalAverage="0" bottom="0" percent="0" rank="0" text="" dxfId="3">
      <formula>45</formula>
    </cfRule>
  </conditionalFormatting>
  <conditionalFormatting sqref="AO322">
    <cfRule type="cellIs" priority="4792" operator="greaterThan" aboveAverage="0" equalAverage="0" bottom="0" percent="0" rank="0" text="" dxfId="2">
      <formula>40</formula>
    </cfRule>
    <cfRule type="cellIs" priority="4793" operator="greaterThan" aboveAverage="0" equalAverage="0" bottom="0" percent="0" rank="0" text="" dxfId="3">
      <formula>45</formula>
    </cfRule>
  </conditionalFormatting>
  <conditionalFormatting sqref="AP322">
    <cfRule type="cellIs" priority="4794" operator="greaterThan" aboveAverage="0" equalAverage="0" bottom="0" percent="0" rank="0" text="" dxfId="2">
      <formula>40</formula>
    </cfRule>
    <cfRule type="cellIs" priority="4795" operator="greaterThan" aboveAverage="0" equalAverage="0" bottom="0" percent="0" rank="0" text="" dxfId="3">
      <formula>45</formula>
    </cfRule>
  </conditionalFormatting>
  <conditionalFormatting sqref="AQ322">
    <cfRule type="cellIs" priority="4796" operator="greaterThan" aboveAverage="0" equalAverage="0" bottom="0" percent="0" rank="0" text="" dxfId="2">
      <formula>40</formula>
    </cfRule>
    <cfRule type="cellIs" priority="4797" operator="greaterThan" aboveAverage="0" equalAverage="0" bottom="0" percent="0" rank="0" text="" dxfId="3">
      <formula>45</formula>
    </cfRule>
  </conditionalFormatting>
  <conditionalFormatting sqref="AR322">
    <cfRule type="cellIs" priority="4798" operator="greaterThan" aboveAverage="0" equalAverage="0" bottom="0" percent="0" rank="0" text="" dxfId="2">
      <formula>40</formula>
    </cfRule>
    <cfRule type="cellIs" priority="4799" operator="greaterThan" aboveAverage="0" equalAverage="0" bottom="0" percent="0" rank="0" text="" dxfId="3">
      <formula>45</formula>
    </cfRule>
  </conditionalFormatting>
  <conditionalFormatting sqref="AS322">
    <cfRule type="cellIs" priority="4800" operator="greaterThan" aboveAverage="0" equalAverage="0" bottom="0" percent="0" rank="0" text="" dxfId="2">
      <formula>40</formula>
    </cfRule>
    <cfRule type="cellIs" priority="4801" operator="greaterThan" aboveAverage="0" equalAverage="0" bottom="0" percent="0" rank="0" text="" dxfId="3">
      <formula>45</formula>
    </cfRule>
  </conditionalFormatting>
  <conditionalFormatting sqref="F324">
    <cfRule type="cellIs" priority="4802" operator="greaterThan" aboveAverage="0" equalAverage="0" bottom="0" percent="0" rank="0" text="" dxfId="2">
      <formula>40</formula>
    </cfRule>
    <cfRule type="cellIs" priority="4803" operator="greaterThan" aboveAverage="0" equalAverage="0" bottom="0" percent="0" rank="0" text="" dxfId="3">
      <formula>45</formula>
    </cfRule>
  </conditionalFormatting>
  <conditionalFormatting sqref="G324">
    <cfRule type="cellIs" priority="4804" operator="greaterThan" aboveAverage="0" equalAverage="0" bottom="0" percent="0" rank="0" text="" dxfId="2">
      <formula>40</formula>
    </cfRule>
    <cfRule type="cellIs" priority="4805" operator="greaterThan" aboveAverage="0" equalAverage="0" bottom="0" percent="0" rank="0" text="" dxfId="3">
      <formula>45</formula>
    </cfRule>
  </conditionalFormatting>
  <conditionalFormatting sqref="H324">
    <cfRule type="cellIs" priority="4806" operator="greaterThan" aboveAverage="0" equalAverage="0" bottom="0" percent="0" rank="0" text="" dxfId="2">
      <formula>40</formula>
    </cfRule>
    <cfRule type="cellIs" priority="4807" operator="greaterThan" aboveAverage="0" equalAverage="0" bottom="0" percent="0" rank="0" text="" dxfId="3">
      <formula>45</formula>
    </cfRule>
  </conditionalFormatting>
  <conditionalFormatting sqref="I324">
    <cfRule type="cellIs" priority="4808" operator="greaterThan" aboveAverage="0" equalAverage="0" bottom="0" percent="0" rank="0" text="" dxfId="2">
      <formula>40</formula>
    </cfRule>
    <cfRule type="cellIs" priority="4809" operator="greaterThan" aboveAverage="0" equalAverage="0" bottom="0" percent="0" rank="0" text="" dxfId="3">
      <formula>45</formula>
    </cfRule>
  </conditionalFormatting>
  <conditionalFormatting sqref="J324">
    <cfRule type="cellIs" priority="4810" operator="greaterThan" aboveAverage="0" equalAverage="0" bottom="0" percent="0" rank="0" text="" dxfId="2">
      <formula>40</formula>
    </cfRule>
    <cfRule type="cellIs" priority="4811" operator="greaterThan" aboveAverage="0" equalAverage="0" bottom="0" percent="0" rank="0" text="" dxfId="3">
      <formula>45</formula>
    </cfRule>
  </conditionalFormatting>
  <conditionalFormatting sqref="K324">
    <cfRule type="cellIs" priority="4812" operator="greaterThan" aboveAverage="0" equalAverage="0" bottom="0" percent="0" rank="0" text="" dxfId="2">
      <formula>40</formula>
    </cfRule>
    <cfRule type="cellIs" priority="4813" operator="greaterThan" aboveAverage="0" equalAverage="0" bottom="0" percent="0" rank="0" text="" dxfId="3">
      <formula>45</formula>
    </cfRule>
  </conditionalFormatting>
  <conditionalFormatting sqref="L324">
    <cfRule type="cellIs" priority="4814" operator="greaterThan" aboveAverage="0" equalAverage="0" bottom="0" percent="0" rank="0" text="" dxfId="2">
      <formula>40</formula>
    </cfRule>
    <cfRule type="cellIs" priority="4815" operator="greaterThan" aboveAverage="0" equalAverage="0" bottom="0" percent="0" rank="0" text="" dxfId="3">
      <formula>45</formula>
    </cfRule>
  </conditionalFormatting>
  <conditionalFormatting sqref="M324">
    <cfRule type="cellIs" priority="4816" operator="greaterThan" aboveAverage="0" equalAverage="0" bottom="0" percent="0" rank="0" text="" dxfId="2">
      <formula>40</formula>
    </cfRule>
    <cfRule type="cellIs" priority="4817" operator="greaterThan" aboveAverage="0" equalAverage="0" bottom="0" percent="0" rank="0" text="" dxfId="3">
      <formula>45</formula>
    </cfRule>
  </conditionalFormatting>
  <conditionalFormatting sqref="N324">
    <cfRule type="cellIs" priority="4818" operator="greaterThan" aboveAverage="0" equalAverage="0" bottom="0" percent="0" rank="0" text="" dxfId="2">
      <formula>40</formula>
    </cfRule>
    <cfRule type="cellIs" priority="4819" operator="greaterThan" aboveAverage="0" equalAverage="0" bottom="0" percent="0" rank="0" text="" dxfId="3">
      <formula>45</formula>
    </cfRule>
  </conditionalFormatting>
  <conditionalFormatting sqref="O324">
    <cfRule type="cellIs" priority="4820" operator="greaterThan" aboveAverage="0" equalAverage="0" bottom="0" percent="0" rank="0" text="" dxfId="2">
      <formula>40</formula>
    </cfRule>
    <cfRule type="cellIs" priority="4821" operator="greaterThan" aboveAverage="0" equalAverage="0" bottom="0" percent="0" rank="0" text="" dxfId="3">
      <formula>45</formula>
    </cfRule>
  </conditionalFormatting>
  <conditionalFormatting sqref="P324">
    <cfRule type="cellIs" priority="4822" operator="greaterThan" aboveAverage="0" equalAverage="0" bottom="0" percent="0" rank="0" text="" dxfId="2">
      <formula>40</formula>
    </cfRule>
    <cfRule type="cellIs" priority="4823" operator="greaterThan" aboveAverage="0" equalAverage="0" bottom="0" percent="0" rank="0" text="" dxfId="3">
      <formula>45</formula>
    </cfRule>
  </conditionalFormatting>
  <conditionalFormatting sqref="Q324">
    <cfRule type="cellIs" priority="4824" operator="greaterThan" aboveAverage="0" equalAverage="0" bottom="0" percent="0" rank="0" text="" dxfId="2">
      <formula>40</formula>
    </cfRule>
    <cfRule type="cellIs" priority="4825" operator="greaterThan" aboveAverage="0" equalAverage="0" bottom="0" percent="0" rank="0" text="" dxfId="3">
      <formula>45</formula>
    </cfRule>
  </conditionalFormatting>
  <conditionalFormatting sqref="R324">
    <cfRule type="cellIs" priority="4826" operator="greaterThan" aboveAverage="0" equalAverage="0" bottom="0" percent="0" rank="0" text="" dxfId="2">
      <formula>40</formula>
    </cfRule>
    <cfRule type="cellIs" priority="4827" operator="greaterThan" aboveAverage="0" equalAverage="0" bottom="0" percent="0" rank="0" text="" dxfId="3">
      <formula>45</formula>
    </cfRule>
  </conditionalFormatting>
  <conditionalFormatting sqref="S324">
    <cfRule type="cellIs" priority="4828" operator="greaterThan" aboveAverage="0" equalAverage="0" bottom="0" percent="0" rank="0" text="" dxfId="2">
      <formula>40</formula>
    </cfRule>
    <cfRule type="cellIs" priority="4829" operator="greaterThan" aboveAverage="0" equalAverage="0" bottom="0" percent="0" rank="0" text="" dxfId="3">
      <formula>45</formula>
    </cfRule>
  </conditionalFormatting>
  <conditionalFormatting sqref="T324">
    <cfRule type="cellIs" priority="4830" operator="greaterThan" aboveAverage="0" equalAverage="0" bottom="0" percent="0" rank="0" text="" dxfId="2">
      <formula>40</formula>
    </cfRule>
    <cfRule type="cellIs" priority="4831" operator="greaterThan" aboveAverage="0" equalAverage="0" bottom="0" percent="0" rank="0" text="" dxfId="3">
      <formula>45</formula>
    </cfRule>
  </conditionalFormatting>
  <conditionalFormatting sqref="U324">
    <cfRule type="cellIs" priority="4832" operator="greaterThan" aboveAverage="0" equalAverage="0" bottom="0" percent="0" rank="0" text="" dxfId="2">
      <formula>40</formula>
    </cfRule>
    <cfRule type="cellIs" priority="4833" operator="greaterThan" aboveAverage="0" equalAverage="0" bottom="0" percent="0" rank="0" text="" dxfId="3">
      <formula>45</formula>
    </cfRule>
  </conditionalFormatting>
  <conditionalFormatting sqref="V324">
    <cfRule type="cellIs" priority="4834" operator="greaterThan" aboveAverage="0" equalAverage="0" bottom="0" percent="0" rank="0" text="" dxfId="2">
      <formula>40</formula>
    </cfRule>
    <cfRule type="cellIs" priority="4835" operator="greaterThan" aboveAverage="0" equalAverage="0" bottom="0" percent="0" rank="0" text="" dxfId="3">
      <formula>45</formula>
    </cfRule>
  </conditionalFormatting>
  <conditionalFormatting sqref="W324">
    <cfRule type="cellIs" priority="4836" operator="greaterThan" aboveAverage="0" equalAverage="0" bottom="0" percent="0" rank="0" text="" dxfId="2">
      <formula>40</formula>
    </cfRule>
    <cfRule type="cellIs" priority="4837" operator="greaterThan" aboveAverage="0" equalAverage="0" bottom="0" percent="0" rank="0" text="" dxfId="3">
      <formula>45</formula>
    </cfRule>
  </conditionalFormatting>
  <conditionalFormatting sqref="X324">
    <cfRule type="cellIs" priority="4838" operator="greaterThan" aboveAverage="0" equalAverage="0" bottom="0" percent="0" rank="0" text="" dxfId="2">
      <formula>55</formula>
    </cfRule>
    <cfRule type="cellIs" priority="4839" operator="greaterThan" aboveAverage="0" equalAverage="0" bottom="0" percent="0" rank="0" text="" dxfId="3">
      <formula>65</formula>
    </cfRule>
  </conditionalFormatting>
  <conditionalFormatting sqref="Y324">
    <cfRule type="cellIs" priority="4840" operator="greaterThan" aboveAverage="0" equalAverage="0" bottom="0" percent="0" rank="0" text="" dxfId="2">
      <formula>55</formula>
    </cfRule>
    <cfRule type="cellIs" priority="4841" operator="greaterThan" aboveAverage="0" equalAverage="0" bottom="0" percent="0" rank="0" text="" dxfId="3">
      <formula>65</formula>
    </cfRule>
  </conditionalFormatting>
  <conditionalFormatting sqref="Z324">
    <cfRule type="cellIs" priority="4842" operator="greaterThan" aboveAverage="0" equalAverage="0" bottom="0" percent="0" rank="0" text="" dxfId="2">
      <formula>55</formula>
    </cfRule>
    <cfRule type="cellIs" priority="4843" operator="greaterThan" aboveAverage="0" equalAverage="0" bottom="0" percent="0" rank="0" text="" dxfId="3">
      <formula>65</formula>
    </cfRule>
  </conditionalFormatting>
  <conditionalFormatting sqref="AA324">
    <cfRule type="cellIs" priority="4844" operator="greaterThan" aboveAverage="0" equalAverage="0" bottom="0" percent="0" rank="0" text="" dxfId="2">
      <formula>55</formula>
    </cfRule>
    <cfRule type="cellIs" priority="4845" operator="greaterThan" aboveAverage="0" equalAverage="0" bottom="0" percent="0" rank="0" text="" dxfId="3">
      <formula>65</formula>
    </cfRule>
  </conditionalFormatting>
  <conditionalFormatting sqref="AB324">
    <cfRule type="cellIs" priority="4846" operator="greaterThan" aboveAverage="0" equalAverage="0" bottom="0" percent="0" rank="0" text="" dxfId="2">
      <formula>55</formula>
    </cfRule>
    <cfRule type="cellIs" priority="4847" operator="greaterThan" aboveAverage="0" equalAverage="0" bottom="0" percent="0" rank="0" text="" dxfId="3">
      <formula>65</formula>
    </cfRule>
  </conditionalFormatting>
  <conditionalFormatting sqref="AC324">
    <cfRule type="cellIs" priority="4848" operator="greaterThan" aboveAverage="0" equalAverage="0" bottom="0" percent="0" rank="0" text="" dxfId="2">
      <formula>55</formula>
    </cfRule>
    <cfRule type="cellIs" priority="4849" operator="greaterThan" aboveAverage="0" equalAverage="0" bottom="0" percent="0" rank="0" text="" dxfId="3">
      <formula>65</formula>
    </cfRule>
  </conditionalFormatting>
  <conditionalFormatting sqref="AD324">
    <cfRule type="cellIs" priority="4850" operator="greaterThan" aboveAverage="0" equalAverage="0" bottom="0" percent="0" rank="0" text="" dxfId="2">
      <formula>55</formula>
    </cfRule>
    <cfRule type="cellIs" priority="4851" operator="greaterThan" aboveAverage="0" equalAverage="0" bottom="0" percent="0" rank="0" text="" dxfId="3">
      <formula>65</formula>
    </cfRule>
  </conditionalFormatting>
  <conditionalFormatting sqref="AE324">
    <cfRule type="cellIs" priority="4852" operator="greaterThan" aboveAverage="0" equalAverage="0" bottom="0" percent="0" rank="0" text="" dxfId="2">
      <formula>55</formula>
    </cfRule>
    <cfRule type="cellIs" priority="4853" operator="greaterThan" aboveAverage="0" equalAverage="0" bottom="0" percent="0" rank="0" text="" dxfId="3">
      <formula>65</formula>
    </cfRule>
  </conditionalFormatting>
  <conditionalFormatting sqref="AF324">
    <cfRule type="cellIs" priority="4854" operator="greaterThan" aboveAverage="0" equalAverage="0" bottom="0" percent="0" rank="0" text="" dxfId="2">
      <formula>40</formula>
    </cfRule>
    <cfRule type="cellIs" priority="4855" operator="greaterThan" aboveAverage="0" equalAverage="0" bottom="0" percent="0" rank="0" text="" dxfId="3">
      <formula>45</formula>
    </cfRule>
  </conditionalFormatting>
  <conditionalFormatting sqref="AG324">
    <cfRule type="cellIs" priority="4856" operator="greaterThan" aboveAverage="0" equalAverage="0" bottom="0" percent="0" rank="0" text="" dxfId="2">
      <formula>40</formula>
    </cfRule>
    <cfRule type="cellIs" priority="4857" operator="greaterThan" aboveAverage="0" equalAverage="0" bottom="0" percent="0" rank="0" text="" dxfId="3">
      <formula>45</formula>
    </cfRule>
  </conditionalFormatting>
  <conditionalFormatting sqref="AH324">
    <cfRule type="cellIs" priority="4858" operator="greaterThan" aboveAverage="0" equalAverage="0" bottom="0" percent="0" rank="0" text="" dxfId="2">
      <formula>40</formula>
    </cfRule>
    <cfRule type="cellIs" priority="4859" operator="greaterThan" aboveAverage="0" equalAverage="0" bottom="0" percent="0" rank="0" text="" dxfId="3">
      <formula>45</formula>
    </cfRule>
  </conditionalFormatting>
  <conditionalFormatting sqref="AI324">
    <cfRule type="cellIs" priority="4860" operator="greaterThan" aboveAverage="0" equalAverage="0" bottom="0" percent="0" rank="0" text="" dxfId="2">
      <formula>40</formula>
    </cfRule>
    <cfRule type="cellIs" priority="4861" operator="greaterThan" aboveAverage="0" equalAverage="0" bottom="0" percent="0" rank="0" text="" dxfId="3">
      <formula>45</formula>
    </cfRule>
  </conditionalFormatting>
  <conditionalFormatting sqref="AJ324">
    <cfRule type="cellIs" priority="4862" operator="greaterThan" aboveAverage="0" equalAverage="0" bottom="0" percent="0" rank="0" text="" dxfId="2">
      <formula>40</formula>
    </cfRule>
    <cfRule type="cellIs" priority="4863" operator="greaterThan" aboveAverage="0" equalAverage="0" bottom="0" percent="0" rank="0" text="" dxfId="3">
      <formula>45</formula>
    </cfRule>
  </conditionalFormatting>
  <conditionalFormatting sqref="AK324">
    <cfRule type="cellIs" priority="4864" operator="greaterThan" aboveAverage="0" equalAverage="0" bottom="0" percent="0" rank="0" text="" dxfId="2">
      <formula>40</formula>
    </cfRule>
    <cfRule type="cellIs" priority="4865" operator="greaterThan" aboveAverage="0" equalAverage="0" bottom="0" percent="0" rank="0" text="" dxfId="3">
      <formula>45</formula>
    </cfRule>
  </conditionalFormatting>
  <conditionalFormatting sqref="AL324">
    <cfRule type="cellIs" priority="4866" operator="greaterThan" aboveAverage="0" equalAverage="0" bottom="0" percent="0" rank="0" text="" dxfId="2">
      <formula>40</formula>
    </cfRule>
    <cfRule type="cellIs" priority="4867" operator="greaterThan" aboveAverage="0" equalAverage="0" bottom="0" percent="0" rank="0" text="" dxfId="3">
      <formula>45</formula>
    </cfRule>
  </conditionalFormatting>
  <conditionalFormatting sqref="AM324">
    <cfRule type="cellIs" priority="4868" operator="greaterThan" aboveAverage="0" equalAverage="0" bottom="0" percent="0" rank="0" text="" dxfId="2">
      <formula>40</formula>
    </cfRule>
    <cfRule type="cellIs" priority="4869" operator="greaterThan" aboveAverage="0" equalAverage="0" bottom="0" percent="0" rank="0" text="" dxfId="3">
      <formula>45</formula>
    </cfRule>
  </conditionalFormatting>
  <conditionalFormatting sqref="AN324">
    <cfRule type="cellIs" priority="4870" operator="greaterThan" aboveAverage="0" equalAverage="0" bottom="0" percent="0" rank="0" text="" dxfId="2">
      <formula>40</formula>
    </cfRule>
    <cfRule type="cellIs" priority="4871" operator="greaterThan" aboveAverage="0" equalAverage="0" bottom="0" percent="0" rank="0" text="" dxfId="3">
      <formula>45</formula>
    </cfRule>
  </conditionalFormatting>
  <conditionalFormatting sqref="AO324">
    <cfRule type="cellIs" priority="4872" operator="greaterThan" aboveAverage="0" equalAverage="0" bottom="0" percent="0" rank="0" text="" dxfId="2">
      <formula>40</formula>
    </cfRule>
    <cfRule type="cellIs" priority="4873" operator="greaterThan" aboveAverage="0" equalAverage="0" bottom="0" percent="0" rank="0" text="" dxfId="3">
      <formula>45</formula>
    </cfRule>
  </conditionalFormatting>
  <conditionalFormatting sqref="AP324">
    <cfRule type="cellIs" priority="4874" operator="greaterThan" aboveAverage="0" equalAverage="0" bottom="0" percent="0" rank="0" text="" dxfId="2">
      <formula>40</formula>
    </cfRule>
    <cfRule type="cellIs" priority="4875" operator="greaterThan" aboveAverage="0" equalAverage="0" bottom="0" percent="0" rank="0" text="" dxfId="3">
      <formula>45</formula>
    </cfRule>
  </conditionalFormatting>
  <conditionalFormatting sqref="AQ324">
    <cfRule type="cellIs" priority="4876" operator="greaterThan" aboveAverage="0" equalAverage="0" bottom="0" percent="0" rank="0" text="" dxfId="2">
      <formula>40</formula>
    </cfRule>
    <cfRule type="cellIs" priority="4877" operator="greaterThan" aboveAverage="0" equalAverage="0" bottom="0" percent="0" rank="0" text="" dxfId="3">
      <formula>45</formula>
    </cfRule>
  </conditionalFormatting>
  <conditionalFormatting sqref="AR324">
    <cfRule type="cellIs" priority="4878" operator="greaterThan" aboveAverage="0" equalAverage="0" bottom="0" percent="0" rank="0" text="" dxfId="2">
      <formula>40</formula>
    </cfRule>
    <cfRule type="cellIs" priority="4879" operator="greaterThan" aboveAverage="0" equalAverage="0" bottom="0" percent="0" rank="0" text="" dxfId="3">
      <formula>45</formula>
    </cfRule>
  </conditionalFormatting>
  <conditionalFormatting sqref="AS324">
    <cfRule type="cellIs" priority="4880" operator="greaterThan" aboveAverage="0" equalAverage="0" bottom="0" percent="0" rank="0" text="" dxfId="2">
      <formula>40</formula>
    </cfRule>
    <cfRule type="cellIs" priority="4881" operator="greaterThan" aboveAverage="0" equalAverage="0" bottom="0" percent="0" rank="0" text="" dxfId="3">
      <formula>45</formula>
    </cfRule>
  </conditionalFormatting>
  <conditionalFormatting sqref="F326">
    <cfRule type="cellIs" priority="4882" operator="greaterThan" aboveAverage="0" equalAverage="0" bottom="0" percent="0" rank="0" text="" dxfId="2">
      <formula>40</formula>
    </cfRule>
    <cfRule type="cellIs" priority="4883" operator="greaterThan" aboveAverage="0" equalAverage="0" bottom="0" percent="0" rank="0" text="" dxfId="3">
      <formula>45</formula>
    </cfRule>
  </conditionalFormatting>
  <conditionalFormatting sqref="G326">
    <cfRule type="cellIs" priority="4884" operator="greaterThan" aboveAverage="0" equalAverage="0" bottom="0" percent="0" rank="0" text="" dxfId="2">
      <formula>40</formula>
    </cfRule>
    <cfRule type="cellIs" priority="4885" operator="greaterThan" aboveAverage="0" equalAverage="0" bottom="0" percent="0" rank="0" text="" dxfId="3">
      <formula>45</formula>
    </cfRule>
  </conditionalFormatting>
  <conditionalFormatting sqref="H326">
    <cfRule type="cellIs" priority="4886" operator="greaterThan" aboveAverage="0" equalAverage="0" bottom="0" percent="0" rank="0" text="" dxfId="2">
      <formula>40</formula>
    </cfRule>
    <cfRule type="cellIs" priority="4887" operator="greaterThan" aboveAverage="0" equalAverage="0" bottom="0" percent="0" rank="0" text="" dxfId="3">
      <formula>45</formula>
    </cfRule>
  </conditionalFormatting>
  <conditionalFormatting sqref="I326">
    <cfRule type="cellIs" priority="4888" operator="greaterThan" aboveAverage="0" equalAverage="0" bottom="0" percent="0" rank="0" text="" dxfId="2">
      <formula>40</formula>
    </cfRule>
    <cfRule type="cellIs" priority="4889" operator="greaterThan" aboveAverage="0" equalAverage="0" bottom="0" percent="0" rank="0" text="" dxfId="3">
      <formula>45</formula>
    </cfRule>
  </conditionalFormatting>
  <conditionalFormatting sqref="J326">
    <cfRule type="cellIs" priority="4890" operator="greaterThan" aboveAverage="0" equalAverage="0" bottom="0" percent="0" rank="0" text="" dxfId="2">
      <formula>40</formula>
    </cfRule>
    <cfRule type="cellIs" priority="4891" operator="greaterThan" aboveAverage="0" equalAverage="0" bottom="0" percent="0" rank="0" text="" dxfId="3">
      <formula>45</formula>
    </cfRule>
  </conditionalFormatting>
  <conditionalFormatting sqref="K326">
    <cfRule type="cellIs" priority="4892" operator="greaterThan" aboveAverage="0" equalAverage="0" bottom="0" percent="0" rank="0" text="" dxfId="2">
      <formula>40</formula>
    </cfRule>
    <cfRule type="cellIs" priority="4893" operator="greaterThan" aboveAverage="0" equalAverage="0" bottom="0" percent="0" rank="0" text="" dxfId="3">
      <formula>45</formula>
    </cfRule>
  </conditionalFormatting>
  <conditionalFormatting sqref="L326">
    <cfRule type="cellIs" priority="4894" operator="greaterThan" aboveAverage="0" equalAverage="0" bottom="0" percent="0" rank="0" text="" dxfId="2">
      <formula>40</formula>
    </cfRule>
    <cfRule type="cellIs" priority="4895" operator="greaterThan" aboveAverage="0" equalAverage="0" bottom="0" percent="0" rank="0" text="" dxfId="3">
      <formula>45</formula>
    </cfRule>
  </conditionalFormatting>
  <conditionalFormatting sqref="M326">
    <cfRule type="cellIs" priority="4896" operator="greaterThan" aboveAverage="0" equalAverage="0" bottom="0" percent="0" rank="0" text="" dxfId="2">
      <formula>40</formula>
    </cfRule>
    <cfRule type="cellIs" priority="4897" operator="greaterThan" aboveAverage="0" equalAverage="0" bottom="0" percent="0" rank="0" text="" dxfId="3">
      <formula>45</formula>
    </cfRule>
  </conditionalFormatting>
  <conditionalFormatting sqref="N326">
    <cfRule type="cellIs" priority="4898" operator="greaterThan" aboveAverage="0" equalAverage="0" bottom="0" percent="0" rank="0" text="" dxfId="2">
      <formula>40</formula>
    </cfRule>
    <cfRule type="cellIs" priority="4899" operator="greaterThan" aboveAverage="0" equalAverage="0" bottom="0" percent="0" rank="0" text="" dxfId="3">
      <formula>45</formula>
    </cfRule>
  </conditionalFormatting>
  <conditionalFormatting sqref="O326">
    <cfRule type="cellIs" priority="4900" operator="greaterThan" aboveAverage="0" equalAverage="0" bottom="0" percent="0" rank="0" text="" dxfId="2">
      <formula>40</formula>
    </cfRule>
    <cfRule type="cellIs" priority="4901" operator="greaterThan" aboveAverage="0" equalAverage="0" bottom="0" percent="0" rank="0" text="" dxfId="3">
      <formula>45</formula>
    </cfRule>
  </conditionalFormatting>
  <conditionalFormatting sqref="P326">
    <cfRule type="cellIs" priority="4902" operator="greaterThan" aboveAverage="0" equalAverage="0" bottom="0" percent="0" rank="0" text="" dxfId="2">
      <formula>40</formula>
    </cfRule>
    <cfRule type="cellIs" priority="4903" operator="greaterThan" aboveAverage="0" equalAverage="0" bottom="0" percent="0" rank="0" text="" dxfId="3">
      <formula>45</formula>
    </cfRule>
  </conditionalFormatting>
  <conditionalFormatting sqref="Q326">
    <cfRule type="cellIs" priority="4904" operator="greaterThan" aboveAverage="0" equalAverage="0" bottom="0" percent="0" rank="0" text="" dxfId="2">
      <formula>40</formula>
    </cfRule>
    <cfRule type="cellIs" priority="4905" operator="greaterThan" aboveAverage="0" equalAverage="0" bottom="0" percent="0" rank="0" text="" dxfId="3">
      <formula>45</formula>
    </cfRule>
  </conditionalFormatting>
  <conditionalFormatting sqref="R326">
    <cfRule type="cellIs" priority="4906" operator="greaterThan" aboveAverage="0" equalAverage="0" bottom="0" percent="0" rank="0" text="" dxfId="2">
      <formula>40</formula>
    </cfRule>
    <cfRule type="cellIs" priority="4907" operator="greaterThan" aboveAverage="0" equalAverage="0" bottom="0" percent="0" rank="0" text="" dxfId="3">
      <formula>45</formula>
    </cfRule>
  </conditionalFormatting>
  <conditionalFormatting sqref="S326">
    <cfRule type="cellIs" priority="4908" operator="greaterThan" aboveAverage="0" equalAverage="0" bottom="0" percent="0" rank="0" text="" dxfId="2">
      <formula>40</formula>
    </cfRule>
    <cfRule type="cellIs" priority="4909" operator="greaterThan" aboveAverage="0" equalAverage="0" bottom="0" percent="0" rank="0" text="" dxfId="3">
      <formula>45</formula>
    </cfRule>
  </conditionalFormatting>
  <conditionalFormatting sqref="T326">
    <cfRule type="cellIs" priority="4910" operator="greaterThan" aboveAverage="0" equalAverage="0" bottom="0" percent="0" rank="0" text="" dxfId="2">
      <formula>40</formula>
    </cfRule>
    <cfRule type="cellIs" priority="4911" operator="greaterThan" aboveAverage="0" equalAverage="0" bottom="0" percent="0" rank="0" text="" dxfId="3">
      <formula>45</formula>
    </cfRule>
  </conditionalFormatting>
  <conditionalFormatting sqref="U326">
    <cfRule type="cellIs" priority="4912" operator="greaterThan" aboveAverage="0" equalAverage="0" bottom="0" percent="0" rank="0" text="" dxfId="2">
      <formula>40</formula>
    </cfRule>
    <cfRule type="cellIs" priority="4913" operator="greaterThan" aboveAverage="0" equalAverage="0" bottom="0" percent="0" rank="0" text="" dxfId="3">
      <formula>45</formula>
    </cfRule>
  </conditionalFormatting>
  <conditionalFormatting sqref="V326">
    <cfRule type="cellIs" priority="4914" operator="greaterThan" aboveAverage="0" equalAverage="0" bottom="0" percent="0" rank="0" text="" dxfId="2">
      <formula>40</formula>
    </cfRule>
    <cfRule type="cellIs" priority="4915" operator="greaterThan" aboveAverage="0" equalAverage="0" bottom="0" percent="0" rank="0" text="" dxfId="3">
      <formula>45</formula>
    </cfRule>
  </conditionalFormatting>
  <conditionalFormatting sqref="W326">
    <cfRule type="cellIs" priority="4916" operator="greaterThan" aboveAverage="0" equalAverage="0" bottom="0" percent="0" rank="0" text="" dxfId="2">
      <formula>40</formula>
    </cfRule>
    <cfRule type="cellIs" priority="4917" operator="greaterThan" aboveAverage="0" equalAverage="0" bottom="0" percent="0" rank="0" text="" dxfId="3">
      <formula>45</formula>
    </cfRule>
  </conditionalFormatting>
  <conditionalFormatting sqref="X326">
    <cfRule type="cellIs" priority="4918" operator="greaterThan" aboveAverage="0" equalAverage="0" bottom="0" percent="0" rank="0" text="" dxfId="2">
      <formula>55</formula>
    </cfRule>
    <cfRule type="cellIs" priority="4919" operator="greaterThan" aboveAverage="0" equalAverage="0" bottom="0" percent="0" rank="0" text="" dxfId="3">
      <formula>65</formula>
    </cfRule>
  </conditionalFormatting>
  <conditionalFormatting sqref="Y326">
    <cfRule type="cellIs" priority="4920" operator="greaterThan" aboveAverage="0" equalAverage="0" bottom="0" percent="0" rank="0" text="" dxfId="2">
      <formula>55</formula>
    </cfRule>
    <cfRule type="cellIs" priority="4921" operator="greaterThan" aboveAverage="0" equalAverage="0" bottom="0" percent="0" rank="0" text="" dxfId="3">
      <formula>65</formula>
    </cfRule>
  </conditionalFormatting>
  <conditionalFormatting sqref="Z326">
    <cfRule type="cellIs" priority="4922" operator="greaterThan" aboveAverage="0" equalAverage="0" bottom="0" percent="0" rank="0" text="" dxfId="2">
      <formula>55</formula>
    </cfRule>
    <cfRule type="cellIs" priority="4923" operator="greaterThan" aboveAverage="0" equalAverage="0" bottom="0" percent="0" rank="0" text="" dxfId="3">
      <formula>65</formula>
    </cfRule>
  </conditionalFormatting>
  <conditionalFormatting sqref="AA326">
    <cfRule type="cellIs" priority="4924" operator="greaterThan" aboveAverage="0" equalAverage="0" bottom="0" percent="0" rank="0" text="" dxfId="2">
      <formula>55</formula>
    </cfRule>
    <cfRule type="cellIs" priority="4925" operator="greaterThan" aboveAverage="0" equalAverage="0" bottom="0" percent="0" rank="0" text="" dxfId="3">
      <formula>65</formula>
    </cfRule>
  </conditionalFormatting>
  <conditionalFormatting sqref="AB326">
    <cfRule type="cellIs" priority="4926" operator="greaterThan" aboveAverage="0" equalAverage="0" bottom="0" percent="0" rank="0" text="" dxfId="2">
      <formula>55</formula>
    </cfRule>
    <cfRule type="cellIs" priority="4927" operator="greaterThan" aboveAverage="0" equalAverage="0" bottom="0" percent="0" rank="0" text="" dxfId="3">
      <formula>65</formula>
    </cfRule>
  </conditionalFormatting>
  <conditionalFormatting sqref="AC326">
    <cfRule type="cellIs" priority="4928" operator="greaterThan" aboveAverage="0" equalAverage="0" bottom="0" percent="0" rank="0" text="" dxfId="2">
      <formula>55</formula>
    </cfRule>
    <cfRule type="cellIs" priority="4929" operator="greaterThan" aboveAverage="0" equalAverage="0" bottom="0" percent="0" rank="0" text="" dxfId="3">
      <formula>65</formula>
    </cfRule>
  </conditionalFormatting>
  <conditionalFormatting sqref="AD326">
    <cfRule type="cellIs" priority="4930" operator="greaterThan" aboveAverage="0" equalAverage="0" bottom="0" percent="0" rank="0" text="" dxfId="2">
      <formula>55</formula>
    </cfRule>
    <cfRule type="cellIs" priority="4931" operator="greaterThan" aboveAverage="0" equalAverage="0" bottom="0" percent="0" rank="0" text="" dxfId="3">
      <formula>65</formula>
    </cfRule>
  </conditionalFormatting>
  <conditionalFormatting sqref="AE326">
    <cfRule type="cellIs" priority="4932" operator="greaterThan" aboveAverage="0" equalAverage="0" bottom="0" percent="0" rank="0" text="" dxfId="2">
      <formula>55</formula>
    </cfRule>
    <cfRule type="cellIs" priority="4933" operator="greaterThan" aboveAverage="0" equalAverage="0" bottom="0" percent="0" rank="0" text="" dxfId="3">
      <formula>65</formula>
    </cfRule>
  </conditionalFormatting>
  <conditionalFormatting sqref="AF326">
    <cfRule type="cellIs" priority="4934" operator="greaterThan" aboveAverage="0" equalAverage="0" bottom="0" percent="0" rank="0" text="" dxfId="2">
      <formula>40</formula>
    </cfRule>
    <cfRule type="cellIs" priority="4935" operator="greaterThan" aboveAverage="0" equalAverage="0" bottom="0" percent="0" rank="0" text="" dxfId="3">
      <formula>45</formula>
    </cfRule>
  </conditionalFormatting>
  <conditionalFormatting sqref="AG326">
    <cfRule type="cellIs" priority="4936" operator="greaterThan" aboveAverage="0" equalAverage="0" bottom="0" percent="0" rank="0" text="" dxfId="2">
      <formula>40</formula>
    </cfRule>
    <cfRule type="cellIs" priority="4937" operator="greaterThan" aboveAverage="0" equalAverage="0" bottom="0" percent="0" rank="0" text="" dxfId="3">
      <formula>45</formula>
    </cfRule>
  </conditionalFormatting>
  <conditionalFormatting sqref="AH326">
    <cfRule type="cellIs" priority="4938" operator="greaterThan" aboveAverage="0" equalAverage="0" bottom="0" percent="0" rank="0" text="" dxfId="2">
      <formula>40</formula>
    </cfRule>
    <cfRule type="cellIs" priority="4939" operator="greaterThan" aboveAverage="0" equalAverage="0" bottom="0" percent="0" rank="0" text="" dxfId="3">
      <formula>45</formula>
    </cfRule>
  </conditionalFormatting>
  <conditionalFormatting sqref="AI326">
    <cfRule type="cellIs" priority="4940" operator="greaterThan" aboveAverage="0" equalAverage="0" bottom="0" percent="0" rank="0" text="" dxfId="2">
      <formula>40</formula>
    </cfRule>
    <cfRule type="cellIs" priority="4941" operator="greaterThan" aboveAverage="0" equalAverage="0" bottom="0" percent="0" rank="0" text="" dxfId="3">
      <formula>45</formula>
    </cfRule>
  </conditionalFormatting>
  <conditionalFormatting sqref="AJ326">
    <cfRule type="cellIs" priority="4942" operator="greaterThan" aboveAverage="0" equalAverage="0" bottom="0" percent="0" rank="0" text="" dxfId="2">
      <formula>40</formula>
    </cfRule>
    <cfRule type="cellIs" priority="4943" operator="greaterThan" aboveAverage="0" equalAverage="0" bottom="0" percent="0" rank="0" text="" dxfId="3">
      <formula>45</formula>
    </cfRule>
  </conditionalFormatting>
  <conditionalFormatting sqref="AK326">
    <cfRule type="cellIs" priority="4944" operator="greaterThan" aboveAverage="0" equalAverage="0" bottom="0" percent="0" rank="0" text="" dxfId="2">
      <formula>40</formula>
    </cfRule>
    <cfRule type="cellIs" priority="4945" operator="greaterThan" aboveAverage="0" equalAverage="0" bottom="0" percent="0" rank="0" text="" dxfId="3">
      <formula>45</formula>
    </cfRule>
  </conditionalFormatting>
  <conditionalFormatting sqref="AL326">
    <cfRule type="cellIs" priority="4946" operator="greaterThan" aboveAverage="0" equalAverage="0" bottom="0" percent="0" rank="0" text="" dxfId="2">
      <formula>40</formula>
    </cfRule>
    <cfRule type="cellIs" priority="4947" operator="greaterThan" aboveAverage="0" equalAverage="0" bottom="0" percent="0" rank="0" text="" dxfId="3">
      <formula>45</formula>
    </cfRule>
  </conditionalFormatting>
  <conditionalFormatting sqref="AM326">
    <cfRule type="cellIs" priority="4948" operator="greaterThan" aboveAverage="0" equalAverage="0" bottom="0" percent="0" rank="0" text="" dxfId="2">
      <formula>40</formula>
    </cfRule>
    <cfRule type="cellIs" priority="4949" operator="greaterThan" aboveAverage="0" equalAverage="0" bottom="0" percent="0" rank="0" text="" dxfId="3">
      <formula>45</formula>
    </cfRule>
  </conditionalFormatting>
  <conditionalFormatting sqref="AN326">
    <cfRule type="cellIs" priority="4950" operator="greaterThan" aboveAverage="0" equalAverage="0" bottom="0" percent="0" rank="0" text="" dxfId="2">
      <formula>40</formula>
    </cfRule>
    <cfRule type="cellIs" priority="4951" operator="greaterThan" aboveAverage="0" equalAverage="0" bottom="0" percent="0" rank="0" text="" dxfId="3">
      <formula>45</formula>
    </cfRule>
  </conditionalFormatting>
  <conditionalFormatting sqref="AO326">
    <cfRule type="cellIs" priority="4952" operator="greaterThan" aboveAverage="0" equalAverage="0" bottom="0" percent="0" rank="0" text="" dxfId="2">
      <formula>40</formula>
    </cfRule>
    <cfRule type="cellIs" priority="4953" operator="greaterThan" aboveAverage="0" equalAverage="0" bottom="0" percent="0" rank="0" text="" dxfId="3">
      <formula>45</formula>
    </cfRule>
  </conditionalFormatting>
  <conditionalFormatting sqref="AP326">
    <cfRule type="cellIs" priority="4954" operator="greaterThan" aboveAverage="0" equalAverage="0" bottom="0" percent="0" rank="0" text="" dxfId="2">
      <formula>40</formula>
    </cfRule>
    <cfRule type="cellIs" priority="4955" operator="greaterThan" aboveAverage="0" equalAverage="0" bottom="0" percent="0" rank="0" text="" dxfId="3">
      <formula>45</formula>
    </cfRule>
  </conditionalFormatting>
  <conditionalFormatting sqref="AQ326">
    <cfRule type="cellIs" priority="4956" operator="greaterThan" aboveAverage="0" equalAverage="0" bottom="0" percent="0" rank="0" text="" dxfId="2">
      <formula>40</formula>
    </cfRule>
    <cfRule type="cellIs" priority="4957" operator="greaterThan" aboveAverage="0" equalAverage="0" bottom="0" percent="0" rank="0" text="" dxfId="3">
      <formula>45</formula>
    </cfRule>
  </conditionalFormatting>
  <conditionalFormatting sqref="AR326">
    <cfRule type="cellIs" priority="4958" operator="greaterThan" aboveAverage="0" equalAverage="0" bottom="0" percent="0" rank="0" text="" dxfId="2">
      <formula>40</formula>
    </cfRule>
    <cfRule type="cellIs" priority="4959" operator="greaterThan" aboveAverage="0" equalAverage="0" bottom="0" percent="0" rank="0" text="" dxfId="3">
      <formula>45</formula>
    </cfRule>
  </conditionalFormatting>
  <conditionalFormatting sqref="AS326">
    <cfRule type="cellIs" priority="4960" operator="greaterThan" aboveAverage="0" equalAverage="0" bottom="0" percent="0" rank="0" text="" dxfId="2">
      <formula>40</formula>
    </cfRule>
    <cfRule type="cellIs" priority="4961" operator="greaterThan" aboveAverage="0" equalAverage="0" bottom="0" percent="0" rank="0" text="" dxfId="3">
      <formula>45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45"/>
    <col collapsed="false" customWidth="true" hidden="false" outlineLevel="0" max="7" min="4" style="1" width="18"/>
    <col collapsed="false" customWidth="true" hidden="false" outlineLevel="0" max="8" min="8" style="1" width="23"/>
  </cols>
  <sheetData>
    <row r="1" customFormat="false" ht="19.5" hidden="false" customHeight="true" outlineLevel="0" collapsed="false">
      <c r="A1" s="13" t="s">
        <v>166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167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4" t="s">
        <v>168</v>
      </c>
      <c r="B3" s="14"/>
      <c r="C3" s="14"/>
      <c r="D3" s="14"/>
      <c r="E3" s="14"/>
      <c r="F3" s="14"/>
      <c r="G3" s="14"/>
      <c r="H3" s="14"/>
    </row>
    <row r="4" customFormat="false" ht="15" hidden="false" customHeight="true" outlineLevel="0" collapsed="false">
      <c r="A4" s="9"/>
      <c r="B4" s="15"/>
      <c r="C4" s="9"/>
      <c r="D4" s="16"/>
      <c r="E4" s="16"/>
      <c r="F4" s="16"/>
      <c r="G4" s="17"/>
      <c r="H4" s="9"/>
    </row>
    <row r="5" customFormat="false" ht="15" hidden="false" customHeight="true" outlineLevel="0" collapsed="false">
      <c r="A5" s="18" t="s">
        <v>169</v>
      </c>
      <c r="B5" s="18"/>
      <c r="C5" s="18"/>
      <c r="D5" s="18"/>
      <c r="E5" s="18"/>
      <c r="F5" s="18"/>
      <c r="G5" s="18"/>
      <c r="H5" s="18"/>
    </row>
    <row r="6" customFormat="false" ht="15" hidden="false" customHeight="true" outlineLevel="0" collapsed="false">
      <c r="A6" s="14" t="s">
        <v>170</v>
      </c>
      <c r="B6" s="14"/>
      <c r="C6" s="14"/>
      <c r="D6" s="14"/>
      <c r="E6" s="14"/>
      <c r="F6" s="14"/>
      <c r="G6" s="14"/>
      <c r="H6" s="14"/>
    </row>
    <row r="7" customFormat="false" ht="30" hidden="false" customHeight="true" outlineLevel="0" collapsed="false">
      <c r="A7" s="19" t="s">
        <v>68</v>
      </c>
      <c r="B7" s="20" t="s">
        <v>171</v>
      </c>
      <c r="C7" s="19" t="s">
        <v>172</v>
      </c>
      <c r="D7" s="21" t="s">
        <v>173</v>
      </c>
      <c r="E7" s="21" t="s">
        <v>174</v>
      </c>
      <c r="F7" s="21" t="s">
        <v>175</v>
      </c>
      <c r="G7" s="22" t="s">
        <v>176</v>
      </c>
      <c r="H7" s="19" t="s">
        <v>177</v>
      </c>
    </row>
    <row r="8" customFormat="false" ht="15" hidden="false" customHeight="true" outlineLevel="0" collapsed="false">
      <c r="A8" s="9" t="s">
        <v>12</v>
      </c>
      <c r="B8" s="15" t="n">
        <v>46258</v>
      </c>
      <c r="C8" s="9" t="s">
        <v>79</v>
      </c>
      <c r="D8" s="16" t="n">
        <v>5.614036</v>
      </c>
      <c r="E8" s="16" t="n">
        <v>8.5</v>
      </c>
      <c r="F8" s="16" t="n">
        <f aca="false">E8-D8</f>
        <v>2.885964</v>
      </c>
      <c r="G8" s="17" t="n">
        <f aca="false">IF(D8=0,"",F8/D8)</f>
        <v>0.514062253964884</v>
      </c>
      <c r="H8" s="23" t="str">
        <f aca="false">IF(F8=0,"On forecast",IF(F8&gt;0,"Above ETC","Below ETC"))</f>
        <v>Above ETC</v>
      </c>
    </row>
    <row r="9" customFormat="false" ht="15" hidden="false" customHeight="true" outlineLevel="0" collapsed="false">
      <c r="A9" s="9" t="s">
        <v>12</v>
      </c>
      <c r="B9" s="15" t="n">
        <v>46258</v>
      </c>
      <c r="C9" s="9" t="s">
        <v>121</v>
      </c>
      <c r="D9" s="16" t="n">
        <v>3</v>
      </c>
      <c r="E9" s="16" t="n">
        <v>10</v>
      </c>
      <c r="F9" s="16" t="n">
        <f aca="false">E9-D9</f>
        <v>7</v>
      </c>
      <c r="G9" s="17" t="n">
        <f aca="false">IF(D9=0,"",F9/D9)</f>
        <v>2.33333333333333</v>
      </c>
      <c r="H9" s="23" t="str">
        <f aca="false">IF(F9=0,"On forecast",IF(F9&gt;0,"Above ETC","Below ETC"))</f>
        <v>Above ETC</v>
      </c>
    </row>
    <row r="10" customFormat="false" ht="15" hidden="false" customHeight="true" outlineLevel="0" collapsed="false">
      <c r="A10" s="9" t="s">
        <v>12</v>
      </c>
      <c r="B10" s="15" t="n">
        <v>46258</v>
      </c>
      <c r="C10" s="9" t="s">
        <v>108</v>
      </c>
      <c r="D10" s="16" t="n">
        <v>4</v>
      </c>
      <c r="E10" s="16" t="n">
        <v>0</v>
      </c>
      <c r="F10" s="16" t="n">
        <f aca="false">E10-D10</f>
        <v>-4</v>
      </c>
      <c r="G10" s="17" t="n">
        <f aca="false">IF(D10=0,"",F10/D10)</f>
        <v>-1</v>
      </c>
      <c r="H10" s="24" t="str">
        <f aca="false">IF(F10=0,"On forecast",IF(F10&gt;0,"Above ETC","Below ETC"))</f>
        <v>Below ETC</v>
      </c>
    </row>
    <row r="11" customFormat="false" ht="15" hidden="false" customHeight="true" outlineLevel="0" collapsed="false">
      <c r="A11" s="9" t="s">
        <v>12</v>
      </c>
      <c r="B11" s="15" t="n">
        <v>46258</v>
      </c>
      <c r="C11" s="9" t="s">
        <v>81</v>
      </c>
      <c r="D11" s="16" t="n">
        <v>35.071997</v>
      </c>
      <c r="E11" s="16" t="n">
        <v>0</v>
      </c>
      <c r="F11" s="16" t="n">
        <f aca="false">E11-D11</f>
        <v>-35.071997</v>
      </c>
      <c r="G11" s="17" t="n">
        <f aca="false">IF(D11=0,"",F11/D11)</f>
        <v>-1</v>
      </c>
      <c r="H11" s="24" t="str">
        <f aca="false">IF(F11=0,"On forecast",IF(F11&gt;0,"Above ETC","Below ETC"))</f>
        <v>Below ETC</v>
      </c>
    </row>
    <row r="12" customFormat="false" ht="15" hidden="false" customHeight="true" outlineLevel="0" collapsed="false">
      <c r="A12" s="9" t="s">
        <v>12</v>
      </c>
      <c r="B12" s="15" t="n">
        <v>46258</v>
      </c>
      <c r="C12" s="9" t="s">
        <v>94</v>
      </c>
      <c r="D12" s="16" t="n">
        <v>6.9</v>
      </c>
      <c r="E12" s="16" t="n">
        <v>0</v>
      </c>
      <c r="F12" s="16" t="n">
        <f aca="false">E12-D12</f>
        <v>-6.9</v>
      </c>
      <c r="G12" s="17" t="n">
        <f aca="false">IF(D12=0,"",F12/D12)</f>
        <v>-1</v>
      </c>
      <c r="H12" s="24" t="str">
        <f aca="false">IF(F12=0,"On forecast",IF(F12&gt;0,"Above ETC","Below ETC"))</f>
        <v>Below ETC</v>
      </c>
    </row>
    <row r="13" customFormat="false" ht="15" hidden="false" customHeight="true" outlineLevel="0" collapsed="false">
      <c r="A13" s="9" t="s">
        <v>12</v>
      </c>
      <c r="B13" s="15" t="n">
        <v>46258</v>
      </c>
      <c r="C13" s="9" t="s">
        <v>109</v>
      </c>
      <c r="D13" s="16" t="n">
        <v>4</v>
      </c>
      <c r="E13" s="16" t="n">
        <v>8</v>
      </c>
      <c r="F13" s="16" t="n">
        <f aca="false">E13-D13</f>
        <v>4</v>
      </c>
      <c r="G13" s="17" t="n">
        <f aca="false">IF(D13=0,"",F13/D13)</f>
        <v>1</v>
      </c>
      <c r="H13" s="23" t="str">
        <f aca="false">IF(F13=0,"On forecast",IF(F13&gt;0,"Above ETC","Below ETC"))</f>
        <v>Above ETC</v>
      </c>
    </row>
    <row r="14" customFormat="false" ht="15" hidden="false" customHeight="true" outlineLevel="0" collapsed="false">
      <c r="A14" s="9" t="s">
        <v>12</v>
      </c>
      <c r="B14" s="15" t="n">
        <v>46258</v>
      </c>
      <c r="C14" s="9" t="s">
        <v>102</v>
      </c>
      <c r="D14" s="16" t="n">
        <v>21</v>
      </c>
      <c r="E14" s="16" t="n">
        <v>0</v>
      </c>
      <c r="F14" s="16" t="n">
        <f aca="false">E14-D14</f>
        <v>-21</v>
      </c>
      <c r="G14" s="17" t="n">
        <f aca="false">IF(D14=0,"",F14/D14)</f>
        <v>-1</v>
      </c>
      <c r="H14" s="24" t="str">
        <f aca="false">IF(F14=0,"On forecast",IF(F14&gt;0,"Above ETC","Below ETC"))</f>
        <v>Below ETC</v>
      </c>
    </row>
    <row r="15" customFormat="false" ht="15" hidden="false" customHeight="true" outlineLevel="0" collapsed="false">
      <c r="A15" s="9" t="s">
        <v>12</v>
      </c>
      <c r="B15" s="15" t="n">
        <v>46258</v>
      </c>
      <c r="C15" s="9" t="s">
        <v>110</v>
      </c>
      <c r="D15" s="16" t="n">
        <v>0</v>
      </c>
      <c r="E15" s="16" t="n">
        <v>2</v>
      </c>
      <c r="F15" s="16" t="n">
        <f aca="false">E15-D15</f>
        <v>2</v>
      </c>
      <c r="G15" s="17" t="str">
        <f aca="false">IF(D15=0,"",F15/D15)</f>
        <v/>
      </c>
      <c r="H15" s="23" t="str">
        <f aca="false">IF(F15=0,"On forecast",IF(F15&gt;0,"Above ETC","Below ETC"))</f>
        <v>Above ETC</v>
      </c>
    </row>
    <row r="16" customFormat="false" ht="15" hidden="false" customHeight="true" outlineLevel="0" collapsed="false">
      <c r="A16" s="9" t="s">
        <v>12</v>
      </c>
      <c r="B16" s="15" t="n">
        <v>46258</v>
      </c>
      <c r="C16" s="9" t="s">
        <v>95</v>
      </c>
      <c r="D16" s="16" t="n">
        <v>14</v>
      </c>
      <c r="E16" s="16" t="n">
        <v>8.5</v>
      </c>
      <c r="F16" s="16" t="n">
        <f aca="false">E16-D16</f>
        <v>-5.5</v>
      </c>
      <c r="G16" s="17" t="n">
        <f aca="false">IF(D16=0,"",F16/D16)</f>
        <v>-0.392857142857143</v>
      </c>
      <c r="H16" s="24" t="str">
        <f aca="false">IF(F16=0,"On forecast",IF(F16&gt;0,"Above ETC","Below ETC"))</f>
        <v>Below ETC</v>
      </c>
    </row>
    <row r="17" customFormat="false" ht="15" hidden="false" customHeight="true" outlineLevel="0" collapsed="false">
      <c r="A17" s="9" t="s">
        <v>12</v>
      </c>
      <c r="B17" s="15" t="n">
        <v>46258</v>
      </c>
      <c r="C17" s="9" t="s">
        <v>40</v>
      </c>
      <c r="D17" s="16" t="n">
        <v>18.7</v>
      </c>
      <c r="E17" s="16" t="n">
        <v>2.5</v>
      </c>
      <c r="F17" s="16" t="n">
        <f aca="false">E17-D17</f>
        <v>-16.2</v>
      </c>
      <c r="G17" s="17" t="n">
        <f aca="false">IF(D17=0,"",F17/D17)</f>
        <v>-0.866310160427808</v>
      </c>
      <c r="H17" s="24" t="str">
        <f aca="false">IF(F17=0,"On forecast",IF(F17&gt;0,"Above ETC","Below ETC"))</f>
        <v>Below ETC</v>
      </c>
    </row>
    <row r="18" customFormat="false" ht="15" hidden="false" customHeight="true" outlineLevel="0" collapsed="false">
      <c r="A18" s="9" t="s">
        <v>12</v>
      </c>
      <c r="B18" s="15" t="n">
        <v>46258</v>
      </c>
      <c r="C18" s="9" t="s">
        <v>96</v>
      </c>
      <c r="D18" s="16" t="n">
        <v>39.5</v>
      </c>
      <c r="E18" s="16" t="n">
        <v>36.2</v>
      </c>
      <c r="F18" s="16" t="n">
        <f aca="false">E18-D18</f>
        <v>-3.3</v>
      </c>
      <c r="G18" s="17" t="n">
        <f aca="false">IF(D18=0,"",F18/D18)</f>
        <v>-0.0835443037974683</v>
      </c>
      <c r="H18" s="24" t="str">
        <f aca="false">IF(F18=0,"On forecast",IF(F18&gt;0,"Above ETC","Below ETC"))</f>
        <v>Below ETC</v>
      </c>
    </row>
    <row r="19" customFormat="false" ht="15" hidden="false" customHeight="true" outlineLevel="0" collapsed="false">
      <c r="A19" s="9" t="s">
        <v>12</v>
      </c>
      <c r="B19" s="15" t="n">
        <v>46258</v>
      </c>
      <c r="C19" s="9" t="s">
        <v>97</v>
      </c>
      <c r="D19" s="16" t="n">
        <v>21</v>
      </c>
      <c r="E19" s="16" t="n">
        <v>27</v>
      </c>
      <c r="F19" s="16" t="n">
        <f aca="false">E19-D19</f>
        <v>6</v>
      </c>
      <c r="G19" s="17" t="n">
        <f aca="false">IF(D19=0,"",F19/D19)</f>
        <v>0.285714285714286</v>
      </c>
      <c r="H19" s="23" t="str">
        <f aca="false">IF(F19=0,"On forecast",IF(F19&gt;0,"Above ETC","Below ETC"))</f>
        <v>Above ETC</v>
      </c>
    </row>
    <row r="20" customFormat="false" ht="15" hidden="false" customHeight="true" outlineLevel="0" collapsed="false">
      <c r="A20" s="9" t="s">
        <v>12</v>
      </c>
      <c r="B20" s="15" t="n">
        <v>46258</v>
      </c>
      <c r="C20" s="9" t="s">
        <v>85</v>
      </c>
      <c r="D20" s="16" t="n">
        <v>26</v>
      </c>
      <c r="E20" s="16" t="n">
        <v>95.5</v>
      </c>
      <c r="F20" s="16" t="n">
        <f aca="false">E20-D20</f>
        <v>69.5</v>
      </c>
      <c r="G20" s="17" t="n">
        <f aca="false">IF(D20=0,"",F20/D20)</f>
        <v>2.67307692307692</v>
      </c>
      <c r="H20" s="23" t="str">
        <f aca="false">IF(F20=0,"On forecast",IF(F20&gt;0,"Above ETC","Below ETC"))</f>
        <v>Above ETC</v>
      </c>
    </row>
    <row r="21" customFormat="false" ht="15" hidden="false" customHeight="true" outlineLevel="0" collapsed="false">
      <c r="A21" s="9" t="s">
        <v>12</v>
      </c>
      <c r="B21" s="15" t="n">
        <v>46258</v>
      </c>
      <c r="C21" s="9" t="s">
        <v>103</v>
      </c>
      <c r="D21" s="16" t="n">
        <v>69</v>
      </c>
      <c r="E21" s="16" t="n">
        <v>83</v>
      </c>
      <c r="F21" s="16" t="n">
        <f aca="false">E21-D21</f>
        <v>14</v>
      </c>
      <c r="G21" s="17" t="n">
        <f aca="false">IF(D21=0,"",F21/D21)</f>
        <v>0.202898550724638</v>
      </c>
      <c r="H21" s="23" t="str">
        <f aca="false">IF(F21=0,"On forecast",IF(F21&gt;0,"Above ETC","Below ETC"))</f>
        <v>Above ETC</v>
      </c>
    </row>
    <row r="22" customFormat="false" ht="15" hidden="false" customHeight="true" outlineLevel="0" collapsed="false">
      <c r="A22" s="9" t="s">
        <v>12</v>
      </c>
      <c r="B22" s="15" t="n">
        <v>46258</v>
      </c>
      <c r="C22" s="9" t="s">
        <v>46</v>
      </c>
      <c r="D22" s="16" t="n">
        <v>7.5</v>
      </c>
      <c r="E22" s="16" t="n">
        <v>32.5</v>
      </c>
      <c r="F22" s="16" t="n">
        <f aca="false">E22-D22</f>
        <v>25</v>
      </c>
      <c r="G22" s="17" t="n">
        <f aca="false">IF(D22=0,"",F22/D22)</f>
        <v>3.33333333333333</v>
      </c>
      <c r="H22" s="23" t="str">
        <f aca="false">IF(F22=0,"On forecast",IF(F22&gt;0,"Above ETC","Below ETC"))</f>
        <v>Above ETC</v>
      </c>
    </row>
    <row r="23" customFormat="false" ht="15" hidden="false" customHeight="true" outlineLevel="0" collapsed="false">
      <c r="A23" s="9" t="s">
        <v>12</v>
      </c>
      <c r="B23" s="15" t="n">
        <v>46258</v>
      </c>
      <c r="C23" s="9" t="s">
        <v>98</v>
      </c>
      <c r="D23" s="16" t="n">
        <v>11</v>
      </c>
      <c r="E23" s="16" t="n">
        <v>0</v>
      </c>
      <c r="F23" s="16" t="n">
        <f aca="false">E23-D23</f>
        <v>-11</v>
      </c>
      <c r="G23" s="17" t="n">
        <f aca="false">IF(D23=0,"",F23/D23)</f>
        <v>-1</v>
      </c>
      <c r="H23" s="24" t="str">
        <f aca="false">IF(F23=0,"On forecast",IF(F23&gt;0,"Above ETC","Below ETC"))</f>
        <v>Below ETC</v>
      </c>
    </row>
    <row r="24" customFormat="false" ht="15" hidden="false" customHeight="true" outlineLevel="0" collapsed="false">
      <c r="A24" s="9" t="s">
        <v>12</v>
      </c>
      <c r="B24" s="15" t="n">
        <v>46258</v>
      </c>
      <c r="C24" s="9" t="s">
        <v>99</v>
      </c>
      <c r="D24" s="16" t="n">
        <v>50.6</v>
      </c>
      <c r="E24" s="16" t="n">
        <v>16</v>
      </c>
      <c r="F24" s="16" t="n">
        <f aca="false">E24-D24</f>
        <v>-34.6</v>
      </c>
      <c r="G24" s="17" t="n">
        <f aca="false">IF(D24=0,"",F24/D24)</f>
        <v>-0.683794466403162</v>
      </c>
      <c r="H24" s="24" t="str">
        <f aca="false">IF(F24=0,"On forecast",IF(F24&gt;0,"Above ETC","Below ETC"))</f>
        <v>Below ETC</v>
      </c>
    </row>
    <row r="25" customFormat="false" ht="15" hidden="false" customHeight="true" outlineLevel="0" collapsed="false">
      <c r="A25" s="9" t="s">
        <v>12</v>
      </c>
      <c r="B25" s="15" t="n">
        <v>46258</v>
      </c>
      <c r="C25" s="9" t="s">
        <v>106</v>
      </c>
      <c r="D25" s="16" t="n">
        <v>14</v>
      </c>
      <c r="E25" s="16" t="n">
        <v>30.5</v>
      </c>
      <c r="F25" s="16" t="n">
        <f aca="false">E25-D25</f>
        <v>16.5</v>
      </c>
      <c r="G25" s="17" t="n">
        <f aca="false">IF(D25=0,"",F25/D25)</f>
        <v>1.17857142857143</v>
      </c>
      <c r="H25" s="23" t="str">
        <f aca="false">IF(F25=0,"On forecast",IF(F25&gt;0,"Above ETC","Below ETC"))</f>
        <v>Above ETC</v>
      </c>
    </row>
    <row r="26" customFormat="false" ht="15" hidden="false" customHeight="true" outlineLevel="0" collapsed="false">
      <c r="A26" s="9" t="s">
        <v>12</v>
      </c>
      <c r="B26" s="15" t="n">
        <v>46258</v>
      </c>
      <c r="C26" s="9" t="s">
        <v>43</v>
      </c>
      <c r="D26" s="16" t="n">
        <v>39</v>
      </c>
      <c r="E26" s="16" t="n">
        <v>7.5</v>
      </c>
      <c r="F26" s="16" t="n">
        <f aca="false">E26-D26</f>
        <v>-31.5</v>
      </c>
      <c r="G26" s="17" t="n">
        <f aca="false">IF(D26=0,"",F26/D26)</f>
        <v>-0.807692307692308</v>
      </c>
      <c r="H26" s="24" t="str">
        <f aca="false">IF(F26=0,"On forecast",IF(F26&gt;0,"Above ETC","Below ETC"))</f>
        <v>Below ETC</v>
      </c>
    </row>
    <row r="27" customFormat="false" ht="15" hidden="false" customHeight="true" outlineLevel="0" collapsed="false">
      <c r="A27" s="9" t="s">
        <v>12</v>
      </c>
      <c r="B27" s="15" t="n">
        <v>46258</v>
      </c>
      <c r="C27" s="9" t="s">
        <v>111</v>
      </c>
      <c r="D27" s="16" t="n">
        <v>6.5</v>
      </c>
      <c r="E27" s="16" t="n">
        <v>14.5</v>
      </c>
      <c r="F27" s="16" t="n">
        <f aca="false">E27-D27</f>
        <v>8</v>
      </c>
      <c r="G27" s="17" t="n">
        <f aca="false">IF(D27=0,"",F27/D27)</f>
        <v>1.23076923076923</v>
      </c>
      <c r="H27" s="23" t="str">
        <f aca="false">IF(F27=0,"On forecast",IF(F27&gt;0,"Above ETC","Below ETC"))</f>
        <v>Above ETC</v>
      </c>
    </row>
    <row r="28" customFormat="false" ht="15" hidden="false" customHeight="true" outlineLevel="0" collapsed="false">
      <c r="A28" s="9" t="s">
        <v>12</v>
      </c>
      <c r="B28" s="15" t="n">
        <v>46258</v>
      </c>
      <c r="C28" s="9" t="s">
        <v>100</v>
      </c>
      <c r="D28" s="16" t="n">
        <v>11.3</v>
      </c>
      <c r="E28" s="16" t="n">
        <v>9</v>
      </c>
      <c r="F28" s="16" t="n">
        <f aca="false">E28-D28</f>
        <v>-2.3</v>
      </c>
      <c r="G28" s="17" t="n">
        <f aca="false">IF(D28=0,"",F28/D28)</f>
        <v>-0.20353982300885</v>
      </c>
      <c r="H28" s="24" t="str">
        <f aca="false">IF(F28=0,"On forecast",IF(F28&gt;0,"Above ETC","Below ETC"))</f>
        <v>Below ETC</v>
      </c>
    </row>
    <row r="29" customFormat="false" ht="15" hidden="false" customHeight="true" outlineLevel="0" collapsed="false">
      <c r="A29" s="9" t="s">
        <v>12</v>
      </c>
      <c r="B29" s="15" t="n">
        <v>46258</v>
      </c>
      <c r="C29" s="9" t="s">
        <v>112</v>
      </c>
      <c r="D29" s="16" t="n">
        <v>4</v>
      </c>
      <c r="E29" s="16" t="n">
        <v>0</v>
      </c>
      <c r="F29" s="16" t="n">
        <f aca="false">E29-D29</f>
        <v>-4</v>
      </c>
      <c r="G29" s="17" t="n">
        <f aca="false">IF(D29=0,"",F29/D29)</f>
        <v>-1</v>
      </c>
      <c r="H29" s="24" t="str">
        <f aca="false">IF(F29=0,"On forecast",IF(F29&gt;0,"Above ETC","Below ETC"))</f>
        <v>Below ETC</v>
      </c>
    </row>
    <row r="30" customFormat="false" ht="15" hidden="false" customHeight="true" outlineLevel="0" collapsed="false">
      <c r="A30" s="9" t="s">
        <v>12</v>
      </c>
      <c r="B30" s="15" t="n">
        <v>46258</v>
      </c>
      <c r="C30" s="9" t="s">
        <v>107</v>
      </c>
      <c r="D30" s="16" t="n">
        <v>14</v>
      </c>
      <c r="E30" s="16" t="n">
        <v>1</v>
      </c>
      <c r="F30" s="16" t="n">
        <f aca="false">E30-D30</f>
        <v>-13</v>
      </c>
      <c r="G30" s="17" t="n">
        <f aca="false">IF(D30=0,"",F30/D30)</f>
        <v>-0.928571428571429</v>
      </c>
      <c r="H30" s="24" t="str">
        <f aca="false">IF(F30=0,"On forecast",IF(F30&gt;0,"Above ETC","Below ETC"))</f>
        <v>Below ETC</v>
      </c>
    </row>
    <row r="31" customFormat="false" ht="15" hidden="false" customHeight="true" outlineLevel="0" collapsed="false">
      <c r="A31" s="25" t="s">
        <v>178</v>
      </c>
      <c r="B31" s="26"/>
      <c r="C31" s="25" t="s">
        <v>179</v>
      </c>
      <c r="D31" s="27" t="n">
        <f aca="false">SUM(D8:D30)</f>
        <v>425.686033</v>
      </c>
      <c r="E31" s="27" t="n">
        <f aca="false">SUM(E8:E30)</f>
        <v>392.2</v>
      </c>
      <c r="F31" s="27" t="n">
        <f aca="false">E31-D31</f>
        <v>-33.486033</v>
      </c>
      <c r="G31" s="28" t="n">
        <f aca="false">IF(D31=0,NA(),F31/D31)</f>
        <v>-0.0786636873284495</v>
      </c>
      <c r="H31" s="25" t="str">
        <f aca="false">IF(F31=0,"On forecast",IF(F31&gt;0,"Above ETC","Below ETC"))</f>
        <v>Below ETC</v>
      </c>
    </row>
    <row r="32" customFormat="false" ht="15" hidden="false" customHeight="true" outlineLevel="0" collapsed="false">
      <c r="A32" s="9"/>
      <c r="B32" s="15"/>
      <c r="C32" s="9"/>
      <c r="D32" s="16"/>
      <c r="E32" s="16"/>
      <c r="F32" s="16"/>
      <c r="G32" s="17"/>
      <c r="H32" s="9"/>
    </row>
    <row r="33" customFormat="false" ht="15" hidden="false" customHeight="true" outlineLevel="0" collapsed="false">
      <c r="A33" s="18" t="s">
        <v>180</v>
      </c>
      <c r="B33" s="18"/>
      <c r="C33" s="18"/>
      <c r="D33" s="18"/>
      <c r="E33" s="18"/>
      <c r="F33" s="18"/>
      <c r="G33" s="18"/>
      <c r="H33" s="18"/>
    </row>
    <row r="34" customFormat="false" ht="30" hidden="false" customHeight="true" outlineLevel="0" collapsed="false">
      <c r="A34" s="19" t="s">
        <v>68</v>
      </c>
      <c r="B34" s="20" t="s">
        <v>181</v>
      </c>
      <c r="C34" s="19" t="s">
        <v>172</v>
      </c>
      <c r="D34" s="21" t="s">
        <v>182</v>
      </c>
      <c r="E34" s="21" t="s">
        <v>183</v>
      </c>
      <c r="F34" s="21" t="s">
        <v>175</v>
      </c>
      <c r="G34" s="22" t="s">
        <v>176</v>
      </c>
      <c r="H34" s="19" t="s">
        <v>177</v>
      </c>
    </row>
    <row r="35" customFormat="false" ht="15" hidden="false" customHeight="true" outlineLevel="0" collapsed="false">
      <c r="A35" s="9" t="s">
        <v>12</v>
      </c>
      <c r="B35" s="15" t="n">
        <v>46267</v>
      </c>
      <c r="C35" s="9" t="s">
        <v>79</v>
      </c>
      <c r="D35" s="16" t="n">
        <v>121.1</v>
      </c>
      <c r="E35" s="16" t="n">
        <v>185.3</v>
      </c>
      <c r="F35" s="16" t="n">
        <f aca="false">E35-D35</f>
        <v>64.2</v>
      </c>
      <c r="G35" s="17" t="n">
        <f aca="false">IF(D35=0,"",F35/D35)</f>
        <v>0.530140379851363</v>
      </c>
      <c r="H35" s="9" t="str">
        <f aca="false">IF(F35=0,"On budget",IF(F35&gt;0,"Over budget to date","Under budget to date"))</f>
        <v>Over budget to date</v>
      </c>
    </row>
    <row r="36" customFormat="false" ht="15" hidden="false" customHeight="true" outlineLevel="0" collapsed="false">
      <c r="A36" s="9" t="s">
        <v>12</v>
      </c>
      <c r="B36" s="15" t="n">
        <v>46267</v>
      </c>
      <c r="C36" s="9" t="s">
        <v>80</v>
      </c>
      <c r="D36" s="16" t="n">
        <v>36</v>
      </c>
      <c r="E36" s="16" t="n">
        <v>4</v>
      </c>
      <c r="F36" s="16" t="n">
        <f aca="false">E36-D36</f>
        <v>-32</v>
      </c>
      <c r="G36" s="17" t="n">
        <f aca="false">IF(D36=0,"",F36/D36)</f>
        <v>-0.888888888888889</v>
      </c>
      <c r="H36" s="9" t="str">
        <f aca="false">IF(F36=0,"On budget",IF(F36&gt;0,"Over budget to date","Under budget to date"))</f>
        <v>Under budget to date</v>
      </c>
    </row>
    <row r="37" customFormat="false" ht="15" hidden="false" customHeight="true" outlineLevel="0" collapsed="false">
      <c r="A37" s="9" t="s">
        <v>12</v>
      </c>
      <c r="B37" s="15" t="n">
        <v>46267</v>
      </c>
      <c r="C37" s="9" t="s">
        <v>121</v>
      </c>
      <c r="D37" s="16" t="n">
        <v>11</v>
      </c>
      <c r="E37" s="16" t="n">
        <v>85</v>
      </c>
      <c r="F37" s="16" t="n">
        <f aca="false">E37-D37</f>
        <v>74</v>
      </c>
      <c r="G37" s="17" t="n">
        <f aca="false">IF(D37=0,"",F37/D37)</f>
        <v>6.72727272727273</v>
      </c>
      <c r="H37" s="9" t="str">
        <f aca="false">IF(F37=0,"On budget",IF(F37&gt;0,"Over budget to date","Under budget to date"))</f>
        <v>Over budget to date</v>
      </c>
    </row>
    <row r="38" customFormat="false" ht="15" hidden="false" customHeight="true" outlineLevel="0" collapsed="false">
      <c r="A38" s="9" t="s">
        <v>12</v>
      </c>
      <c r="B38" s="15" t="n">
        <v>46267</v>
      </c>
      <c r="C38" s="9" t="s">
        <v>113</v>
      </c>
      <c r="D38" s="16" t="n">
        <v>0</v>
      </c>
      <c r="E38" s="16" t="n">
        <v>0.5</v>
      </c>
      <c r="F38" s="16" t="n">
        <f aca="false">E38-D38</f>
        <v>0.5</v>
      </c>
      <c r="G38" s="17" t="str">
        <f aca="false">IF(D38=0,"",F38/D38)</f>
        <v/>
      </c>
      <c r="H38" s="9" t="str">
        <f aca="false">IF(F38=0,"On budget",IF(F38&gt;0,"Over budget to date","Under budget to date"))</f>
        <v>Over budget to date</v>
      </c>
    </row>
    <row r="39" customFormat="false" ht="15" hidden="false" customHeight="true" outlineLevel="0" collapsed="false">
      <c r="A39" s="9" t="s">
        <v>12</v>
      </c>
      <c r="B39" s="15" t="n">
        <v>46267</v>
      </c>
      <c r="C39" s="9" t="s">
        <v>108</v>
      </c>
      <c r="D39" s="16" t="n">
        <v>39.9</v>
      </c>
      <c r="E39" s="16" t="n">
        <v>2</v>
      </c>
      <c r="F39" s="16" t="n">
        <f aca="false">E39-D39</f>
        <v>-37.9</v>
      </c>
      <c r="G39" s="17" t="n">
        <f aca="false">IF(D39=0,"",F39/D39)</f>
        <v>-0.949874686716792</v>
      </c>
      <c r="H39" s="9" t="str">
        <f aca="false">IF(F39=0,"On budget",IF(F39&gt;0,"Over budget to date","Under budget to date"))</f>
        <v>Under budget to date</v>
      </c>
    </row>
    <row r="40" customFormat="false" ht="15" hidden="false" customHeight="true" outlineLevel="0" collapsed="false">
      <c r="A40" s="9" t="s">
        <v>12</v>
      </c>
      <c r="B40" s="15" t="n">
        <v>46267</v>
      </c>
      <c r="C40" s="9" t="s">
        <v>81</v>
      </c>
      <c r="D40" s="16" t="n">
        <v>184.8</v>
      </c>
      <c r="E40" s="16" t="n">
        <v>61</v>
      </c>
      <c r="F40" s="16" t="n">
        <f aca="false">E40-D40</f>
        <v>-123.8</v>
      </c>
      <c r="G40" s="17" t="n">
        <f aca="false">IF(D40=0,"",F40/D40)</f>
        <v>-0.66991341991342</v>
      </c>
      <c r="H40" s="9" t="str">
        <f aca="false">IF(F40=0,"On budget",IF(F40&gt;0,"Over budget to date","Under budget to date"))</f>
        <v>Under budget to date</v>
      </c>
    </row>
    <row r="41" customFormat="false" ht="15" hidden="false" customHeight="true" outlineLevel="0" collapsed="false">
      <c r="A41" s="9" t="s">
        <v>12</v>
      </c>
      <c r="B41" s="15" t="n">
        <v>46267</v>
      </c>
      <c r="C41" s="9" t="s">
        <v>94</v>
      </c>
      <c r="D41" s="16" t="n">
        <v>210.4</v>
      </c>
      <c r="E41" s="16" t="n">
        <v>176.2</v>
      </c>
      <c r="F41" s="16" t="n">
        <f aca="false">E41-D41</f>
        <v>-34.2</v>
      </c>
      <c r="G41" s="17" t="n">
        <f aca="false">IF(D41=0,"",F41/D41)</f>
        <v>-0.16254752851711</v>
      </c>
      <c r="H41" s="9" t="str">
        <f aca="false">IF(F41=0,"On budget",IF(F41&gt;0,"Over budget to date","Under budget to date"))</f>
        <v>Under budget to date</v>
      </c>
    </row>
    <row r="42" customFormat="false" ht="15" hidden="false" customHeight="true" outlineLevel="0" collapsed="false">
      <c r="A42" s="9" t="s">
        <v>12</v>
      </c>
      <c r="B42" s="15" t="n">
        <v>46267</v>
      </c>
      <c r="C42" s="9" t="s">
        <v>109</v>
      </c>
      <c r="D42" s="16" t="n">
        <v>59</v>
      </c>
      <c r="E42" s="16" t="n">
        <v>62</v>
      </c>
      <c r="F42" s="16" t="n">
        <f aca="false">E42-D42</f>
        <v>3</v>
      </c>
      <c r="G42" s="17" t="n">
        <f aca="false">IF(D42=0,"",F42/D42)</f>
        <v>0.0508474576271187</v>
      </c>
      <c r="H42" s="9" t="str">
        <f aca="false">IF(F42=0,"On budget",IF(F42&gt;0,"Over budget to date","Under budget to date"))</f>
        <v>Over budget to date</v>
      </c>
    </row>
    <row r="43" customFormat="false" ht="15" hidden="false" customHeight="true" outlineLevel="0" collapsed="false">
      <c r="A43" s="9" t="s">
        <v>12</v>
      </c>
      <c r="B43" s="15" t="n">
        <v>46267</v>
      </c>
      <c r="C43" s="9" t="s">
        <v>102</v>
      </c>
      <c r="D43" s="16" t="n">
        <v>56</v>
      </c>
      <c r="E43" s="16" t="n">
        <v>0</v>
      </c>
      <c r="F43" s="16" t="n">
        <f aca="false">E43-D43</f>
        <v>-56</v>
      </c>
      <c r="G43" s="17" t="n">
        <f aca="false">IF(D43=0,"",F43/D43)</f>
        <v>-1</v>
      </c>
      <c r="H43" s="9" t="str">
        <f aca="false">IF(F43=0,"On budget",IF(F43&gt;0,"Over budget to date","Under budget to date"))</f>
        <v>Under budget to date</v>
      </c>
    </row>
    <row r="44" customFormat="false" ht="15" hidden="false" customHeight="true" outlineLevel="0" collapsed="false">
      <c r="A44" s="9" t="s">
        <v>12</v>
      </c>
      <c r="B44" s="15" t="n">
        <v>46267</v>
      </c>
      <c r="C44" s="9" t="s">
        <v>110</v>
      </c>
      <c r="D44" s="16" t="n">
        <v>58.6</v>
      </c>
      <c r="E44" s="16" t="n">
        <v>32.5</v>
      </c>
      <c r="F44" s="16" t="n">
        <f aca="false">E44-D44</f>
        <v>-26.1</v>
      </c>
      <c r="G44" s="17" t="n">
        <f aca="false">IF(D44=0,"",F44/D44)</f>
        <v>-0.445392491467577</v>
      </c>
      <c r="H44" s="9" t="str">
        <f aca="false">IF(F44=0,"On budget",IF(F44&gt;0,"Over budget to date","Under budget to date"))</f>
        <v>Under budget to date</v>
      </c>
    </row>
    <row r="45" customFormat="false" ht="15" hidden="false" customHeight="true" outlineLevel="0" collapsed="false">
      <c r="A45" s="9" t="s">
        <v>12</v>
      </c>
      <c r="B45" s="15" t="n">
        <v>46267</v>
      </c>
      <c r="C45" s="9" t="s">
        <v>95</v>
      </c>
      <c r="D45" s="16" t="n">
        <v>554</v>
      </c>
      <c r="E45" s="16" t="n">
        <v>558.5</v>
      </c>
      <c r="F45" s="16" t="n">
        <f aca="false">E45-D45</f>
        <v>4.5</v>
      </c>
      <c r="G45" s="17" t="n">
        <f aca="false">IF(D45=0,"",F45/D45)</f>
        <v>0.00812274368231047</v>
      </c>
      <c r="H45" s="9" t="str">
        <f aca="false">IF(F45=0,"On budget",IF(F45&gt;0,"Over budget to date","Under budget to date"))</f>
        <v>Over budget to date</v>
      </c>
    </row>
    <row r="46" customFormat="false" ht="15" hidden="false" customHeight="true" outlineLevel="0" collapsed="false">
      <c r="A46" s="9" t="s">
        <v>12</v>
      </c>
      <c r="B46" s="15" t="n">
        <v>46267</v>
      </c>
      <c r="C46" s="9" t="s">
        <v>82</v>
      </c>
      <c r="D46" s="16" t="n">
        <v>139.6</v>
      </c>
      <c r="E46" s="16" t="n">
        <v>256.6</v>
      </c>
      <c r="F46" s="16" t="n">
        <f aca="false">E46-D46</f>
        <v>117</v>
      </c>
      <c r="G46" s="17" t="n">
        <f aca="false">IF(D46=0,"",F46/D46)</f>
        <v>0.83810888252149</v>
      </c>
      <c r="H46" s="9" t="str">
        <f aca="false">IF(F46=0,"On budget",IF(F46&gt;0,"Over budget to date","Under budget to date"))</f>
        <v>Over budget to date</v>
      </c>
    </row>
    <row r="47" customFormat="false" ht="15" hidden="false" customHeight="true" outlineLevel="0" collapsed="false">
      <c r="A47" s="9" t="s">
        <v>12</v>
      </c>
      <c r="B47" s="15" t="n">
        <v>46267</v>
      </c>
      <c r="C47" s="9" t="s">
        <v>83</v>
      </c>
      <c r="D47" s="16" t="n">
        <v>111</v>
      </c>
      <c r="E47" s="16" t="n">
        <v>321</v>
      </c>
      <c r="F47" s="16" t="n">
        <f aca="false">E47-D47</f>
        <v>210</v>
      </c>
      <c r="G47" s="17" t="n">
        <f aca="false">IF(D47=0,"",F47/D47)</f>
        <v>1.89189189189189</v>
      </c>
      <c r="H47" s="9" t="str">
        <f aca="false">IF(F47=0,"On budget",IF(F47&gt;0,"Over budget to date","Under budget to date"))</f>
        <v>Over budget to date</v>
      </c>
    </row>
    <row r="48" customFormat="false" ht="15" hidden="false" customHeight="true" outlineLevel="0" collapsed="false">
      <c r="A48" s="9" t="s">
        <v>12</v>
      </c>
      <c r="B48" s="15" t="n">
        <v>46267</v>
      </c>
      <c r="C48" s="9" t="s">
        <v>40</v>
      </c>
      <c r="D48" s="16" t="n">
        <v>44.8</v>
      </c>
      <c r="E48" s="16" t="n">
        <v>34</v>
      </c>
      <c r="F48" s="16" t="n">
        <f aca="false">E48-D48</f>
        <v>-10.8</v>
      </c>
      <c r="G48" s="17" t="n">
        <f aca="false">IF(D48=0,"",F48/D48)</f>
        <v>-0.241071428571429</v>
      </c>
      <c r="H48" s="9" t="str">
        <f aca="false">IF(F48=0,"On budget",IF(F48&gt;0,"Over budget to date","Under budget to date"))</f>
        <v>Under budget to date</v>
      </c>
    </row>
    <row r="49" customFormat="false" ht="15" hidden="false" customHeight="true" outlineLevel="0" collapsed="false">
      <c r="A49" s="9" t="s">
        <v>12</v>
      </c>
      <c r="B49" s="15" t="n">
        <v>46267</v>
      </c>
      <c r="C49" s="9" t="s">
        <v>96</v>
      </c>
      <c r="D49" s="16" t="n">
        <v>411.3</v>
      </c>
      <c r="E49" s="16" t="n">
        <v>349</v>
      </c>
      <c r="F49" s="16" t="n">
        <f aca="false">E49-D49</f>
        <v>-62.3</v>
      </c>
      <c r="G49" s="17" t="n">
        <f aca="false">IF(D49=0,"",F49/D49)</f>
        <v>-0.151470945781668</v>
      </c>
      <c r="H49" s="9" t="str">
        <f aca="false">IF(F49=0,"On budget",IF(F49&gt;0,"Over budget to date","Under budget to date"))</f>
        <v>Under budget to date</v>
      </c>
    </row>
    <row r="50" customFormat="false" ht="15" hidden="false" customHeight="true" outlineLevel="0" collapsed="false">
      <c r="A50" s="9" t="s">
        <v>12</v>
      </c>
      <c r="B50" s="15" t="n">
        <v>46267</v>
      </c>
      <c r="C50" s="9" t="s">
        <v>97</v>
      </c>
      <c r="D50" s="16" t="n">
        <v>255</v>
      </c>
      <c r="E50" s="16" t="n">
        <v>465.7</v>
      </c>
      <c r="F50" s="16" t="n">
        <f aca="false">E50-D50</f>
        <v>210.7</v>
      </c>
      <c r="G50" s="17" t="n">
        <f aca="false">IF(D50=0,"",F50/D50)</f>
        <v>0.826274509803922</v>
      </c>
      <c r="H50" s="9" t="str">
        <f aca="false">IF(F50=0,"On budget",IF(F50&gt;0,"Over budget to date","Under budget to date"))</f>
        <v>Over budget to date</v>
      </c>
    </row>
    <row r="51" customFormat="false" ht="15" hidden="false" customHeight="true" outlineLevel="0" collapsed="false">
      <c r="A51" s="9" t="s">
        <v>12</v>
      </c>
      <c r="B51" s="15" t="n">
        <v>46267</v>
      </c>
      <c r="C51" s="9" t="s">
        <v>85</v>
      </c>
      <c r="D51" s="16" t="n">
        <v>647.5</v>
      </c>
      <c r="E51" s="16" t="n">
        <v>706</v>
      </c>
      <c r="F51" s="16" t="n">
        <f aca="false">E51-D51</f>
        <v>58.5</v>
      </c>
      <c r="G51" s="17" t="n">
        <f aca="false">IF(D51=0,"",F51/D51)</f>
        <v>0.0903474903474903</v>
      </c>
      <c r="H51" s="9" t="str">
        <f aca="false">IF(F51=0,"On budget",IF(F51&gt;0,"Over budget to date","Under budget to date"))</f>
        <v>Over budget to date</v>
      </c>
    </row>
    <row r="52" customFormat="false" ht="15" hidden="false" customHeight="true" outlineLevel="0" collapsed="false">
      <c r="A52" s="9" t="s">
        <v>12</v>
      </c>
      <c r="B52" s="15" t="n">
        <v>46267</v>
      </c>
      <c r="C52" s="9" t="s">
        <v>103</v>
      </c>
      <c r="D52" s="16" t="n">
        <v>1172</v>
      </c>
      <c r="E52" s="16" t="n">
        <v>1054.5</v>
      </c>
      <c r="F52" s="16" t="n">
        <f aca="false">E52-D52</f>
        <v>-117.5</v>
      </c>
      <c r="G52" s="17" t="n">
        <f aca="false">IF(D52=0,"",F52/D52)</f>
        <v>-0.100255972696246</v>
      </c>
      <c r="H52" s="9" t="str">
        <f aca="false">IF(F52=0,"On budget",IF(F52&gt;0,"Over budget to date","Under budget to date"))</f>
        <v>Under budget to date</v>
      </c>
    </row>
    <row r="53" customFormat="false" ht="15" hidden="false" customHeight="true" outlineLevel="0" collapsed="false">
      <c r="A53" s="9" t="s">
        <v>12</v>
      </c>
      <c r="B53" s="15" t="n">
        <v>46267</v>
      </c>
      <c r="C53" s="9" t="s">
        <v>46</v>
      </c>
      <c r="D53" s="16" t="n">
        <v>415</v>
      </c>
      <c r="E53" s="16" t="n">
        <v>454.5</v>
      </c>
      <c r="F53" s="16" t="n">
        <f aca="false">E53-D53</f>
        <v>39.5</v>
      </c>
      <c r="G53" s="17" t="n">
        <f aca="false">IF(D53=0,"",F53/D53)</f>
        <v>0.0951807228915663</v>
      </c>
      <c r="H53" s="9" t="str">
        <f aca="false">IF(F53=0,"On budget",IF(F53&gt;0,"Over budget to date","Under budget to date"))</f>
        <v>Over budget to date</v>
      </c>
    </row>
    <row r="54" customFormat="false" ht="15" hidden="false" customHeight="true" outlineLevel="0" collapsed="false">
      <c r="A54" s="9" t="s">
        <v>12</v>
      </c>
      <c r="B54" s="15" t="n">
        <v>46267</v>
      </c>
      <c r="C54" s="9" t="s">
        <v>86</v>
      </c>
      <c r="D54" s="16" t="n">
        <v>12.5</v>
      </c>
      <c r="E54" s="16" t="n">
        <v>489.1</v>
      </c>
      <c r="F54" s="16" t="n">
        <f aca="false">E54-D54</f>
        <v>476.6</v>
      </c>
      <c r="G54" s="17" t="n">
        <f aca="false">IF(D54=0,"",F54/D54)</f>
        <v>38.128</v>
      </c>
      <c r="H54" s="9" t="str">
        <f aca="false">IF(F54=0,"On budget",IF(F54&gt;0,"Over budget to date","Under budget to date"))</f>
        <v>Over budget to date</v>
      </c>
    </row>
    <row r="55" customFormat="false" ht="15" hidden="false" customHeight="true" outlineLevel="0" collapsed="false">
      <c r="A55" s="9" t="s">
        <v>12</v>
      </c>
      <c r="B55" s="15" t="n">
        <v>46267</v>
      </c>
      <c r="C55" s="9" t="s">
        <v>98</v>
      </c>
      <c r="D55" s="16" t="n">
        <v>106</v>
      </c>
      <c r="E55" s="16" t="n">
        <v>30</v>
      </c>
      <c r="F55" s="16" t="n">
        <f aca="false">E55-D55</f>
        <v>-76</v>
      </c>
      <c r="G55" s="17" t="n">
        <f aca="false">IF(D55=0,"",F55/D55)</f>
        <v>-0.716981132075472</v>
      </c>
      <c r="H55" s="9" t="str">
        <f aca="false">IF(F55=0,"On budget",IF(F55&gt;0,"Over budget to date","Under budget to date"))</f>
        <v>Under budget to date</v>
      </c>
    </row>
    <row r="56" customFormat="false" ht="15" hidden="false" customHeight="true" outlineLevel="0" collapsed="false">
      <c r="A56" s="9" t="s">
        <v>12</v>
      </c>
      <c r="B56" s="15" t="n">
        <v>46267</v>
      </c>
      <c r="C56" s="9" t="s">
        <v>99</v>
      </c>
      <c r="D56" s="16" t="n">
        <v>545.2</v>
      </c>
      <c r="E56" s="16" t="n">
        <v>320.5</v>
      </c>
      <c r="F56" s="16" t="n">
        <f aca="false">E56-D56</f>
        <v>-224.7</v>
      </c>
      <c r="G56" s="17" t="n">
        <f aca="false">IF(D56=0,"",F56/D56)</f>
        <v>-0.412142333088775</v>
      </c>
      <c r="H56" s="9" t="str">
        <f aca="false">IF(F56=0,"On budget",IF(F56&gt;0,"Over budget to date","Under budget to date"))</f>
        <v>Under budget to date</v>
      </c>
    </row>
    <row r="57" customFormat="false" ht="15" hidden="false" customHeight="true" outlineLevel="0" collapsed="false">
      <c r="A57" s="9" t="s">
        <v>12</v>
      </c>
      <c r="B57" s="15" t="n">
        <v>46267</v>
      </c>
      <c r="C57" s="9" t="s">
        <v>106</v>
      </c>
      <c r="D57" s="16" t="n">
        <v>325.5</v>
      </c>
      <c r="E57" s="16" t="n">
        <v>278</v>
      </c>
      <c r="F57" s="16" t="n">
        <f aca="false">E57-D57</f>
        <v>-47.5</v>
      </c>
      <c r="G57" s="17" t="n">
        <f aca="false">IF(D57=0,"",F57/D57)</f>
        <v>-0.145929339477727</v>
      </c>
      <c r="H57" s="9" t="str">
        <f aca="false">IF(F57=0,"On budget",IF(F57&gt;0,"Over budget to date","Under budget to date"))</f>
        <v>Under budget to date</v>
      </c>
    </row>
    <row r="58" customFormat="false" ht="15" hidden="false" customHeight="true" outlineLevel="0" collapsed="false">
      <c r="A58" s="9" t="s">
        <v>12</v>
      </c>
      <c r="B58" s="15" t="n">
        <v>46267</v>
      </c>
      <c r="C58" s="9" t="s">
        <v>43</v>
      </c>
      <c r="D58" s="16" t="n">
        <v>63.4</v>
      </c>
      <c r="E58" s="16" t="n">
        <v>78.5</v>
      </c>
      <c r="F58" s="16" t="n">
        <f aca="false">E58-D58</f>
        <v>15.1</v>
      </c>
      <c r="G58" s="17" t="n">
        <f aca="false">IF(D58=0,"",F58/D58)</f>
        <v>0.238170347003155</v>
      </c>
      <c r="H58" s="9" t="str">
        <f aca="false">IF(F58=0,"On budget",IF(F58&gt;0,"Over budget to date","Under budget to date"))</f>
        <v>Over budget to date</v>
      </c>
    </row>
    <row r="59" customFormat="false" ht="15" hidden="false" customHeight="true" outlineLevel="0" collapsed="false">
      <c r="A59" s="9" t="s">
        <v>12</v>
      </c>
      <c r="B59" s="15" t="n">
        <v>46267</v>
      </c>
      <c r="C59" s="9" t="s">
        <v>93</v>
      </c>
      <c r="D59" s="16" t="n">
        <v>18</v>
      </c>
      <c r="E59" s="16" t="n">
        <v>18</v>
      </c>
      <c r="F59" s="16" t="n">
        <f aca="false">E59-D59</f>
        <v>0</v>
      </c>
      <c r="G59" s="17" t="n">
        <f aca="false">IF(D59=0,"",F59/D59)</f>
        <v>0</v>
      </c>
      <c r="H59" s="9" t="str">
        <f aca="false">IF(F59=0,"On budget",IF(F59&gt;0,"Over budget to date","Under budget to date"))</f>
        <v>On budget</v>
      </c>
    </row>
    <row r="60" customFormat="false" ht="15" hidden="false" customHeight="true" outlineLevel="0" collapsed="false">
      <c r="A60" s="9" t="s">
        <v>12</v>
      </c>
      <c r="B60" s="15" t="n">
        <v>46267</v>
      </c>
      <c r="C60" s="9" t="s">
        <v>111</v>
      </c>
      <c r="D60" s="16" t="n">
        <v>92</v>
      </c>
      <c r="E60" s="16" t="n">
        <v>81</v>
      </c>
      <c r="F60" s="16" t="n">
        <f aca="false">E60-D60</f>
        <v>-11</v>
      </c>
      <c r="G60" s="17" t="n">
        <f aca="false">IF(D60=0,"",F60/D60)</f>
        <v>-0.119565217391304</v>
      </c>
      <c r="H60" s="9" t="str">
        <f aca="false">IF(F60=0,"On budget",IF(F60&gt;0,"Over budget to date","Under budget to date"))</f>
        <v>Under budget to date</v>
      </c>
    </row>
    <row r="61" customFormat="false" ht="15" hidden="false" customHeight="true" outlineLevel="0" collapsed="false">
      <c r="A61" s="9" t="s">
        <v>12</v>
      </c>
      <c r="B61" s="15" t="n">
        <v>46267</v>
      </c>
      <c r="C61" s="9" t="s">
        <v>100</v>
      </c>
      <c r="D61" s="16" t="n">
        <v>152.8</v>
      </c>
      <c r="E61" s="16" t="n">
        <v>235.5</v>
      </c>
      <c r="F61" s="16" t="n">
        <f aca="false">E61-D61</f>
        <v>82.7</v>
      </c>
      <c r="G61" s="17" t="n">
        <f aca="false">IF(D61=0,"",F61/D61)</f>
        <v>0.541230366492147</v>
      </c>
      <c r="H61" s="9" t="str">
        <f aca="false">IF(F61=0,"On budget",IF(F61&gt;0,"Over budget to date","Under budget to date"))</f>
        <v>Over budget to date</v>
      </c>
    </row>
    <row r="62" customFormat="false" ht="15" hidden="false" customHeight="true" outlineLevel="0" collapsed="false">
      <c r="A62" s="9" t="s">
        <v>12</v>
      </c>
      <c r="B62" s="15" t="n">
        <v>46267</v>
      </c>
      <c r="C62" s="9" t="s">
        <v>112</v>
      </c>
      <c r="D62" s="16" t="n">
        <v>12</v>
      </c>
      <c r="E62" s="16" t="n">
        <v>0</v>
      </c>
      <c r="F62" s="16" t="n">
        <f aca="false">E62-D62</f>
        <v>-12</v>
      </c>
      <c r="G62" s="17" t="n">
        <f aca="false">IF(D62=0,"",F62/D62)</f>
        <v>-1</v>
      </c>
      <c r="H62" s="9" t="str">
        <f aca="false">IF(F62=0,"On budget",IF(F62&gt;0,"Over budget to date","Under budget to date"))</f>
        <v>Under budget to date</v>
      </c>
    </row>
    <row r="63" customFormat="false" ht="15" hidden="false" customHeight="true" outlineLevel="0" collapsed="false">
      <c r="A63" s="9" t="s">
        <v>12</v>
      </c>
      <c r="B63" s="15" t="n">
        <v>46267</v>
      </c>
      <c r="C63" s="9" t="s">
        <v>87</v>
      </c>
      <c r="D63" s="16" t="n">
        <v>260</v>
      </c>
      <c r="E63" s="16" t="n">
        <v>546.3</v>
      </c>
      <c r="F63" s="16" t="n">
        <f aca="false">E63-D63</f>
        <v>286.3</v>
      </c>
      <c r="G63" s="17" t="n">
        <f aca="false">IF(D63=0,"",F63/D63)</f>
        <v>1.10115384615385</v>
      </c>
      <c r="H63" s="9" t="str">
        <f aca="false">IF(F63=0,"On budget",IF(F63&gt;0,"Over budget to date","Under budget to date"))</f>
        <v>Over budget to date</v>
      </c>
    </row>
    <row r="64" customFormat="false" ht="15" hidden="false" customHeight="true" outlineLevel="0" collapsed="false">
      <c r="A64" s="9" t="s">
        <v>12</v>
      </c>
      <c r="B64" s="15" t="n">
        <v>46267</v>
      </c>
      <c r="C64" s="9" t="s">
        <v>107</v>
      </c>
      <c r="D64" s="16" t="n">
        <v>24.3</v>
      </c>
      <c r="E64" s="16" t="n">
        <v>1</v>
      </c>
      <c r="F64" s="16" t="n">
        <f aca="false">E64-D64</f>
        <v>-23.3</v>
      </c>
      <c r="G64" s="17" t="n">
        <f aca="false">IF(D64=0,"",F64/D64)</f>
        <v>-0.958847736625514</v>
      </c>
      <c r="H64" s="9" t="str">
        <f aca="false">IF(F64=0,"On budget",IF(F64&gt;0,"Over budget to date","Under budget to date"))</f>
        <v>Under budget to date</v>
      </c>
    </row>
    <row r="65" customFormat="false" ht="15" hidden="false" customHeight="true" outlineLevel="0" collapsed="false">
      <c r="A65" s="9" t="s">
        <v>12</v>
      </c>
      <c r="B65" s="15" t="n">
        <v>46267</v>
      </c>
      <c r="C65" s="9" t="s">
        <v>105</v>
      </c>
      <c r="D65" s="16" t="n">
        <v>61.5</v>
      </c>
      <c r="E65" s="16" t="n">
        <v>33.5</v>
      </c>
      <c r="F65" s="16" t="n">
        <f aca="false">E65-D65</f>
        <v>-28</v>
      </c>
      <c r="G65" s="17" t="n">
        <f aca="false">IF(D65=0,"",F65/D65)</f>
        <v>-0.455284552845528</v>
      </c>
      <c r="H65" s="9" t="str">
        <f aca="false">IF(F65=0,"On budget",IF(F65&gt;0,"Over budget to date","Under budget to date"))</f>
        <v>Under budget to date</v>
      </c>
    </row>
    <row r="66" customFormat="false" ht="15" hidden="false" customHeight="true" outlineLevel="0" collapsed="false">
      <c r="A66" s="9" t="s">
        <v>29</v>
      </c>
      <c r="B66" s="15" t="n">
        <v>46267</v>
      </c>
      <c r="C66" s="9" t="s">
        <v>91</v>
      </c>
      <c r="D66" s="16" t="n">
        <v>246</v>
      </c>
      <c r="E66" s="16" t="n">
        <v>148.5</v>
      </c>
      <c r="F66" s="16" t="n">
        <f aca="false">E66-D66</f>
        <v>-97.5</v>
      </c>
      <c r="G66" s="17" t="n">
        <f aca="false">IF(D66=0,"",F66/D66)</f>
        <v>-0.396341463414634</v>
      </c>
      <c r="H66" s="9" t="str">
        <f aca="false">IF(F66=0,"On budget",IF(F66&gt;0,"Over budget to date","Under budget to date"))</f>
        <v>Under budget to date</v>
      </c>
    </row>
    <row r="67" customFormat="false" ht="15" hidden="false" customHeight="true" outlineLevel="0" collapsed="false">
      <c r="A67" s="9" t="s">
        <v>29</v>
      </c>
      <c r="B67" s="15" t="n">
        <v>46267</v>
      </c>
      <c r="C67" s="9" t="s">
        <v>92</v>
      </c>
      <c r="D67" s="16" t="n">
        <v>1606</v>
      </c>
      <c r="E67" s="16" t="n">
        <v>1292</v>
      </c>
      <c r="F67" s="16" t="n">
        <f aca="false">E67-D67</f>
        <v>-314</v>
      </c>
      <c r="G67" s="17" t="n">
        <f aca="false">IF(D67=0,"",F67/D67)</f>
        <v>-0.195516811955168</v>
      </c>
      <c r="H67" s="9" t="str">
        <f aca="false">IF(F67=0,"On budget",IF(F67&gt;0,"Over budget to date","Under budget to date"))</f>
        <v>Under budget to date</v>
      </c>
    </row>
    <row r="68" customFormat="false" ht="15" hidden="false" customHeight="true" outlineLevel="0" collapsed="false">
      <c r="A68" s="9"/>
      <c r="B68" s="15"/>
      <c r="C68" s="9"/>
      <c r="D68" s="16"/>
      <c r="E68" s="16"/>
      <c r="F68" s="16"/>
      <c r="G68" s="17"/>
      <c r="H68" s="9"/>
    </row>
    <row r="69" customFormat="false" ht="15" hidden="false" customHeight="true" outlineLevel="0" collapsed="false">
      <c r="A69" s="18" t="s">
        <v>184</v>
      </c>
      <c r="B69" s="18"/>
      <c r="C69" s="18"/>
      <c r="D69" s="18"/>
      <c r="E69" s="18"/>
      <c r="F69" s="18"/>
      <c r="G69" s="18"/>
      <c r="H69" s="18"/>
    </row>
    <row r="70" customFormat="false" ht="15" hidden="false" customHeight="true" outlineLevel="0" collapsed="false">
      <c r="A70" s="14" t="s">
        <v>185</v>
      </c>
      <c r="B70" s="14"/>
      <c r="C70" s="14"/>
      <c r="D70" s="14"/>
      <c r="E70" s="14"/>
      <c r="F70" s="14"/>
      <c r="G70" s="14"/>
      <c r="H70" s="14"/>
    </row>
    <row r="71" customFormat="false" ht="30" hidden="false" customHeight="true" outlineLevel="0" collapsed="false">
      <c r="A71" s="19" t="s">
        <v>68</v>
      </c>
      <c r="B71" s="20" t="s">
        <v>181</v>
      </c>
      <c r="C71" s="19" t="s">
        <v>172</v>
      </c>
      <c r="D71" s="21" t="s">
        <v>72</v>
      </c>
      <c r="E71" s="21" t="s">
        <v>186</v>
      </c>
      <c r="F71" s="21" t="s">
        <v>175</v>
      </c>
      <c r="G71" s="22" t="s">
        <v>176</v>
      </c>
      <c r="H71" s="19" t="s">
        <v>177</v>
      </c>
    </row>
    <row r="72" customFormat="false" ht="15" hidden="false" customHeight="true" outlineLevel="0" collapsed="false">
      <c r="A72" s="9" t="s">
        <v>12</v>
      </c>
      <c r="B72" s="15" t="n">
        <v>46267</v>
      </c>
      <c r="C72" s="9" t="s">
        <v>79</v>
      </c>
      <c r="D72" s="16" t="n">
        <v>329.1</v>
      </c>
      <c r="E72" s="16" t="n">
        <v>390</v>
      </c>
      <c r="F72" s="16" t="n">
        <f aca="false">E72-D72</f>
        <v>60.9</v>
      </c>
      <c r="G72" s="17" t="n">
        <f aca="false">IF(D72=0,"",F72/D72)</f>
        <v>0.185050136736554</v>
      </c>
      <c r="H72" s="9" t="str">
        <f aca="false">IF(F72=0,"On budget",IF(F72&gt;0,"Projected over budget","Projected under budget"))</f>
        <v>Projected over budget</v>
      </c>
    </row>
    <row r="73" customFormat="false" ht="15" hidden="false" customHeight="true" outlineLevel="0" collapsed="false">
      <c r="A73" s="9" t="s">
        <v>12</v>
      </c>
      <c r="B73" s="15" t="n">
        <v>46267</v>
      </c>
      <c r="C73" s="9" t="s">
        <v>80</v>
      </c>
      <c r="D73" s="16" t="n">
        <v>283</v>
      </c>
      <c r="E73" s="16" t="n">
        <v>263</v>
      </c>
      <c r="F73" s="16" t="n">
        <f aca="false">E73-D73</f>
        <v>-20</v>
      </c>
      <c r="G73" s="17" t="n">
        <f aca="false">IF(D73=0,"",F73/D73)</f>
        <v>-0.0706713780918728</v>
      </c>
      <c r="H73" s="9" t="str">
        <f aca="false">IF(F73=0,"On budget",IF(F73&gt;0,"Projected over budget","Projected under budget"))</f>
        <v>Projected under budget</v>
      </c>
    </row>
    <row r="74" customFormat="false" ht="15" hidden="false" customHeight="true" outlineLevel="0" collapsed="false">
      <c r="A74" s="9" t="s">
        <v>12</v>
      </c>
      <c r="B74" s="15" t="n">
        <v>46267</v>
      </c>
      <c r="C74" s="9" t="s">
        <v>121</v>
      </c>
      <c r="D74" s="16" t="n">
        <v>46</v>
      </c>
      <c r="E74" s="16" t="n">
        <v>120</v>
      </c>
      <c r="F74" s="16" t="n">
        <f aca="false">E74-D74</f>
        <v>74</v>
      </c>
      <c r="G74" s="17" t="n">
        <f aca="false">IF(D74=0,"",F74/D74)</f>
        <v>1.60869565217391</v>
      </c>
      <c r="H74" s="9" t="str">
        <f aca="false">IF(F74=0,"On budget",IF(F74&gt;0,"Projected over budget","Projected under budget"))</f>
        <v>Projected over budget</v>
      </c>
    </row>
    <row r="75" customFormat="false" ht="15" hidden="false" customHeight="true" outlineLevel="0" collapsed="false">
      <c r="A75" s="9" t="s">
        <v>12</v>
      </c>
      <c r="B75" s="15" t="n">
        <v>46267</v>
      </c>
      <c r="C75" s="9" t="s">
        <v>113</v>
      </c>
      <c r="D75" s="16" t="n">
        <v>180</v>
      </c>
      <c r="E75" s="16" t="n">
        <v>180.5</v>
      </c>
      <c r="F75" s="16" t="n">
        <f aca="false">E75-D75</f>
        <v>0.5</v>
      </c>
      <c r="G75" s="17" t="n">
        <f aca="false">IF(D75=0,"",F75/D75)</f>
        <v>0.00277777777777778</v>
      </c>
      <c r="H75" s="9" t="str">
        <f aca="false">IF(F75=0,"On budget",IF(F75&gt;0,"Projected over budget","Projected under budget"))</f>
        <v>Projected over budget</v>
      </c>
    </row>
    <row r="76" customFormat="false" ht="15" hidden="false" customHeight="true" outlineLevel="0" collapsed="false">
      <c r="A76" s="9" t="s">
        <v>12</v>
      </c>
      <c r="B76" s="15" t="n">
        <v>46267</v>
      </c>
      <c r="C76" s="9" t="s">
        <v>108</v>
      </c>
      <c r="D76" s="16" t="n">
        <v>135.9</v>
      </c>
      <c r="E76" s="16" t="n">
        <v>220.3</v>
      </c>
      <c r="F76" s="16" t="n">
        <f aca="false">E76-D76</f>
        <v>84.4</v>
      </c>
      <c r="G76" s="17" t="n">
        <f aca="false">IF(D76=0,"",F76/D76)</f>
        <v>0.621044885945548</v>
      </c>
      <c r="H76" s="9" t="str">
        <f aca="false">IF(F76=0,"On budget",IF(F76&gt;0,"Projected over budget","Projected under budget"))</f>
        <v>Projected over budget</v>
      </c>
    </row>
    <row r="77" customFormat="false" ht="15" hidden="false" customHeight="true" outlineLevel="0" collapsed="false">
      <c r="A77" s="9" t="s">
        <v>12</v>
      </c>
      <c r="B77" s="15" t="n">
        <v>46267</v>
      </c>
      <c r="C77" s="9" t="s">
        <v>81</v>
      </c>
      <c r="D77" s="16" t="n">
        <v>795.8</v>
      </c>
      <c r="E77" s="16" t="n">
        <v>672.1</v>
      </c>
      <c r="F77" s="16" t="n">
        <f aca="false">E77-D77</f>
        <v>-123.7</v>
      </c>
      <c r="G77" s="17" t="n">
        <f aca="false">IF(D77=0,"",F77/D77)</f>
        <v>-0.15544106559437</v>
      </c>
      <c r="H77" s="9" t="str">
        <f aca="false">IF(F77=0,"On budget",IF(F77&gt;0,"Projected over budget","Projected under budget"))</f>
        <v>Projected under budget</v>
      </c>
    </row>
    <row r="78" customFormat="false" ht="15" hidden="false" customHeight="true" outlineLevel="0" collapsed="false">
      <c r="A78" s="9" t="s">
        <v>12</v>
      </c>
      <c r="B78" s="15" t="n">
        <v>46267</v>
      </c>
      <c r="C78" s="9" t="s">
        <v>94</v>
      </c>
      <c r="D78" s="16" t="n">
        <v>508.7</v>
      </c>
      <c r="E78" s="16" t="n">
        <v>474.5</v>
      </c>
      <c r="F78" s="16" t="n">
        <f aca="false">E78-D78</f>
        <v>-34.2</v>
      </c>
      <c r="G78" s="17" t="n">
        <f aca="false">IF(D78=0,"",F78/D78)</f>
        <v>-0.0672301946137212</v>
      </c>
      <c r="H78" s="9" t="str">
        <f aca="false">IF(F78=0,"On budget",IF(F78&gt;0,"Projected over budget","Projected under budget"))</f>
        <v>Projected under budget</v>
      </c>
    </row>
    <row r="79" customFormat="false" ht="15" hidden="false" customHeight="true" outlineLevel="0" collapsed="false">
      <c r="A79" s="9" t="s">
        <v>12</v>
      </c>
      <c r="B79" s="15" t="n">
        <v>46267</v>
      </c>
      <c r="C79" s="9" t="s">
        <v>109</v>
      </c>
      <c r="D79" s="16" t="n">
        <v>133</v>
      </c>
      <c r="E79" s="16" t="n">
        <v>133</v>
      </c>
      <c r="F79" s="16" t="n">
        <f aca="false">E79-D79</f>
        <v>0</v>
      </c>
      <c r="G79" s="17" t="n">
        <f aca="false">IF(D79=0,"",F79/D79)</f>
        <v>0</v>
      </c>
      <c r="H79" s="9" t="str">
        <f aca="false">IF(F79=0,"On budget",IF(F79&gt;0,"Projected over budget","Projected under budget"))</f>
        <v>On budget</v>
      </c>
    </row>
    <row r="80" customFormat="false" ht="15" hidden="false" customHeight="true" outlineLevel="0" collapsed="false">
      <c r="A80" s="9" t="s">
        <v>12</v>
      </c>
      <c r="B80" s="15" t="n">
        <v>46267</v>
      </c>
      <c r="C80" s="9" t="s">
        <v>102</v>
      </c>
      <c r="D80" s="16" t="n">
        <v>1170</v>
      </c>
      <c r="E80" s="16" t="n">
        <v>1158</v>
      </c>
      <c r="F80" s="16" t="n">
        <f aca="false">E80-D80</f>
        <v>-12</v>
      </c>
      <c r="G80" s="17" t="n">
        <f aca="false">IF(D80=0,"",F80/D80)</f>
        <v>-0.0102564102564103</v>
      </c>
      <c r="H80" s="9" t="str">
        <f aca="false">IF(F80=0,"On budget",IF(F80&gt;0,"Projected over budget","Projected under budget"))</f>
        <v>Projected under budget</v>
      </c>
    </row>
    <row r="81" customFormat="false" ht="15" hidden="false" customHeight="true" outlineLevel="0" collapsed="false">
      <c r="A81" s="9" t="s">
        <v>12</v>
      </c>
      <c r="B81" s="15" t="n">
        <v>46267</v>
      </c>
      <c r="C81" s="9" t="s">
        <v>110</v>
      </c>
      <c r="D81" s="16" t="n">
        <v>210.8</v>
      </c>
      <c r="E81" s="16" t="n">
        <v>191.5</v>
      </c>
      <c r="F81" s="16" t="n">
        <f aca="false">E81-D81</f>
        <v>-19.3</v>
      </c>
      <c r="G81" s="17" t="n">
        <f aca="false">IF(D81=0,"",F81/D81)</f>
        <v>-0.0915559772296016</v>
      </c>
      <c r="H81" s="9" t="str">
        <f aca="false">IF(F81=0,"On budget",IF(F81&gt;0,"Projected over budget","Projected under budget"))</f>
        <v>Projected under budget</v>
      </c>
    </row>
    <row r="82" customFormat="false" ht="15" hidden="false" customHeight="true" outlineLevel="0" collapsed="false">
      <c r="A82" s="9" t="s">
        <v>12</v>
      </c>
      <c r="B82" s="15" t="n">
        <v>46267</v>
      </c>
      <c r="C82" s="9" t="s">
        <v>95</v>
      </c>
      <c r="D82" s="16" t="n">
        <v>1511.5</v>
      </c>
      <c r="E82" s="16" t="n">
        <v>1516</v>
      </c>
      <c r="F82" s="16" t="n">
        <f aca="false">E82-D82</f>
        <v>4.5</v>
      </c>
      <c r="G82" s="17" t="n">
        <f aca="false">IF(D82=0,"",F82/D82)</f>
        <v>0.00297717499173007</v>
      </c>
      <c r="H82" s="9" t="str">
        <f aca="false">IF(F82=0,"On budget",IF(F82&gt;0,"Projected over budget","Projected under budget"))</f>
        <v>Projected over budget</v>
      </c>
    </row>
    <row r="83" customFormat="false" ht="15" hidden="false" customHeight="true" outlineLevel="0" collapsed="false">
      <c r="A83" s="9" t="s">
        <v>12</v>
      </c>
      <c r="B83" s="15" t="n">
        <v>46267</v>
      </c>
      <c r="C83" s="9" t="s">
        <v>82</v>
      </c>
      <c r="D83" s="16" t="n">
        <v>139.6</v>
      </c>
      <c r="E83" s="16" t="n">
        <v>256.6</v>
      </c>
      <c r="F83" s="16" t="n">
        <f aca="false">E83-D83</f>
        <v>117</v>
      </c>
      <c r="G83" s="17" t="n">
        <f aca="false">IF(D83=0,"",F83/D83)</f>
        <v>0.83810888252149</v>
      </c>
      <c r="H83" s="9" t="str">
        <f aca="false">IF(F83=0,"On budget",IF(F83&gt;0,"Projected over budget","Projected under budget"))</f>
        <v>Projected over budget</v>
      </c>
    </row>
    <row r="84" customFormat="false" ht="15" hidden="false" customHeight="true" outlineLevel="0" collapsed="false">
      <c r="A84" s="9" t="s">
        <v>12</v>
      </c>
      <c r="B84" s="15" t="n">
        <v>46267</v>
      </c>
      <c r="C84" s="9" t="s">
        <v>83</v>
      </c>
      <c r="D84" s="16" t="n">
        <v>111</v>
      </c>
      <c r="E84" s="16" t="n">
        <v>321</v>
      </c>
      <c r="F84" s="16" t="n">
        <f aca="false">E84-D84</f>
        <v>210</v>
      </c>
      <c r="G84" s="17" t="n">
        <f aca="false">IF(D84=0,"",F84/D84)</f>
        <v>1.89189189189189</v>
      </c>
      <c r="H84" s="9" t="str">
        <f aca="false">IF(F84=0,"On budget",IF(F84&gt;0,"Projected over budget","Projected under budget"))</f>
        <v>Projected over budget</v>
      </c>
    </row>
    <row r="85" customFormat="false" ht="15" hidden="false" customHeight="true" outlineLevel="0" collapsed="false">
      <c r="A85" s="9" t="s">
        <v>12</v>
      </c>
      <c r="B85" s="15" t="n">
        <v>46267</v>
      </c>
      <c r="C85" s="9" t="s">
        <v>84</v>
      </c>
      <c r="D85" s="16" t="n">
        <v>121</v>
      </c>
      <c r="E85" s="16" t="n">
        <v>131</v>
      </c>
      <c r="F85" s="16" t="n">
        <f aca="false">E85-D85</f>
        <v>10</v>
      </c>
      <c r="G85" s="17" t="n">
        <f aca="false">IF(D85=0,"",F85/D85)</f>
        <v>0.0826446280991736</v>
      </c>
      <c r="H85" s="9" t="str">
        <f aca="false">IF(F85=0,"On budget",IF(F85&gt;0,"Projected over budget","Projected under budget"))</f>
        <v>Projected over budget</v>
      </c>
    </row>
    <row r="86" customFormat="false" ht="15" hidden="false" customHeight="true" outlineLevel="0" collapsed="false">
      <c r="A86" s="9" t="s">
        <v>12</v>
      </c>
      <c r="B86" s="15" t="n">
        <v>46267</v>
      </c>
      <c r="C86" s="9" t="s">
        <v>40</v>
      </c>
      <c r="D86" s="16" t="n">
        <v>535.9</v>
      </c>
      <c r="E86" s="16" t="n">
        <v>577.6</v>
      </c>
      <c r="F86" s="16" t="n">
        <f aca="false">E86-D86</f>
        <v>41.7</v>
      </c>
      <c r="G86" s="17" t="n">
        <f aca="false">IF(D86=0,"",F86/D86)</f>
        <v>0.0778130248180632</v>
      </c>
      <c r="H86" s="9" t="str">
        <f aca="false">IF(F86=0,"On budget",IF(F86&gt;0,"Projected over budget","Projected under budget"))</f>
        <v>Projected over budget</v>
      </c>
    </row>
    <row r="87" customFormat="false" ht="15" hidden="false" customHeight="true" outlineLevel="0" collapsed="false">
      <c r="A87" s="9" t="s">
        <v>12</v>
      </c>
      <c r="B87" s="15" t="n">
        <v>46267</v>
      </c>
      <c r="C87" s="9" t="s">
        <v>96</v>
      </c>
      <c r="D87" s="16" t="n">
        <v>1108.8</v>
      </c>
      <c r="E87" s="16" t="n">
        <v>1270.7</v>
      </c>
      <c r="F87" s="16" t="n">
        <f aca="false">E87-D87</f>
        <v>161.9</v>
      </c>
      <c r="G87" s="17" t="n">
        <f aca="false">IF(D87=0,"",F87/D87)</f>
        <v>0.146013708513709</v>
      </c>
      <c r="H87" s="9" t="str">
        <f aca="false">IF(F87=0,"On budget",IF(F87&gt;0,"Projected over budget","Projected under budget"))</f>
        <v>Projected over budget</v>
      </c>
    </row>
    <row r="88" customFormat="false" ht="15" hidden="false" customHeight="true" outlineLevel="0" collapsed="false">
      <c r="A88" s="9" t="s">
        <v>12</v>
      </c>
      <c r="B88" s="15" t="n">
        <v>46267</v>
      </c>
      <c r="C88" s="9" t="s">
        <v>97</v>
      </c>
      <c r="D88" s="16" t="n">
        <v>682</v>
      </c>
      <c r="E88" s="16" t="n">
        <v>889.7</v>
      </c>
      <c r="F88" s="16" t="n">
        <f aca="false">E88-D88</f>
        <v>207.7</v>
      </c>
      <c r="G88" s="17" t="n">
        <f aca="false">IF(D88=0,"",F88/D88)</f>
        <v>0.304545454545455</v>
      </c>
      <c r="H88" s="9" t="str">
        <f aca="false">IF(F88=0,"On budget",IF(F88&gt;0,"Projected over budget","Projected under budget"))</f>
        <v>Projected over budget</v>
      </c>
    </row>
    <row r="89" customFormat="false" ht="15" hidden="false" customHeight="true" outlineLevel="0" collapsed="false">
      <c r="A89" s="9" t="s">
        <v>12</v>
      </c>
      <c r="B89" s="15" t="n">
        <v>46267</v>
      </c>
      <c r="C89" s="9" t="s">
        <v>85</v>
      </c>
      <c r="D89" s="16" t="n">
        <v>2225.5</v>
      </c>
      <c r="E89" s="16" t="n">
        <v>2691</v>
      </c>
      <c r="F89" s="16" t="n">
        <f aca="false">E89-D89</f>
        <v>465.5</v>
      </c>
      <c r="G89" s="17" t="n">
        <f aca="false">IF(D89=0,"",F89/D89)</f>
        <v>0.209166479442822</v>
      </c>
      <c r="H89" s="9" t="str">
        <f aca="false">IF(F89=0,"On budget",IF(F89&gt;0,"Projected over budget","Projected under budget"))</f>
        <v>Projected over budget</v>
      </c>
    </row>
    <row r="90" customFormat="false" ht="15" hidden="false" customHeight="true" outlineLevel="0" collapsed="false">
      <c r="A90" s="9" t="s">
        <v>12</v>
      </c>
      <c r="B90" s="15" t="n">
        <v>46267</v>
      </c>
      <c r="C90" s="9" t="s">
        <v>103</v>
      </c>
      <c r="D90" s="16" t="n">
        <v>4064</v>
      </c>
      <c r="E90" s="16" t="n">
        <v>4050.5</v>
      </c>
      <c r="F90" s="16" t="n">
        <f aca="false">E90-D90</f>
        <v>-13.5</v>
      </c>
      <c r="G90" s="17" t="n">
        <f aca="false">IF(D90=0,"",F90/D90)</f>
        <v>-0.00332185039370079</v>
      </c>
      <c r="H90" s="9" t="str">
        <f aca="false">IF(F90=0,"On budget",IF(F90&gt;0,"Projected over budget","Projected under budget"))</f>
        <v>Projected under budget</v>
      </c>
    </row>
    <row r="91" customFormat="false" ht="15" hidden="false" customHeight="true" outlineLevel="0" collapsed="false">
      <c r="A91" s="9" t="s">
        <v>12</v>
      </c>
      <c r="B91" s="15" t="n">
        <v>46267</v>
      </c>
      <c r="C91" s="9" t="s">
        <v>46</v>
      </c>
      <c r="D91" s="16" t="n">
        <v>1389.5</v>
      </c>
      <c r="E91" s="16" t="n">
        <v>1393</v>
      </c>
      <c r="F91" s="16" t="n">
        <f aca="false">E91-D91</f>
        <v>3.5</v>
      </c>
      <c r="G91" s="17" t="n">
        <f aca="false">IF(D91=0,"",F91/D91)</f>
        <v>0.00251889168765743</v>
      </c>
      <c r="H91" s="9" t="str">
        <f aca="false">IF(F91=0,"On budget",IF(F91&gt;0,"Projected over budget","Projected under budget"))</f>
        <v>Projected over budget</v>
      </c>
    </row>
    <row r="92" customFormat="false" ht="15" hidden="false" customHeight="true" outlineLevel="0" collapsed="false">
      <c r="A92" s="9" t="s">
        <v>12</v>
      </c>
      <c r="B92" s="15" t="n">
        <v>46267</v>
      </c>
      <c r="C92" s="9" t="s">
        <v>86</v>
      </c>
      <c r="D92" s="16" t="n">
        <v>12.5</v>
      </c>
      <c r="E92" s="16" t="n">
        <v>489.1</v>
      </c>
      <c r="F92" s="16" t="n">
        <f aca="false">E92-D92</f>
        <v>476.6</v>
      </c>
      <c r="G92" s="17" t="n">
        <f aca="false">IF(D92=0,"",F92/D92)</f>
        <v>38.128</v>
      </c>
      <c r="H92" s="9" t="str">
        <f aca="false">IF(F92=0,"On budget",IF(F92&gt;0,"Projected over budget","Projected under budget"))</f>
        <v>Projected over budget</v>
      </c>
    </row>
    <row r="93" customFormat="false" ht="15" hidden="false" customHeight="true" outlineLevel="0" collapsed="false">
      <c r="A93" s="9" t="s">
        <v>12</v>
      </c>
      <c r="B93" s="15" t="n">
        <v>46267</v>
      </c>
      <c r="C93" s="9" t="s">
        <v>98</v>
      </c>
      <c r="D93" s="16" t="n">
        <v>322</v>
      </c>
      <c r="E93" s="16" t="n">
        <v>245</v>
      </c>
      <c r="F93" s="16" t="n">
        <f aca="false">E93-D93</f>
        <v>-77</v>
      </c>
      <c r="G93" s="17" t="n">
        <f aca="false">IF(D93=0,"",F93/D93)</f>
        <v>-0.239130434782609</v>
      </c>
      <c r="H93" s="9" t="str">
        <f aca="false">IF(F93=0,"On budget",IF(F93&gt;0,"Projected over budget","Projected under budget"))</f>
        <v>Projected under budget</v>
      </c>
    </row>
    <row r="94" customFormat="false" ht="15" hidden="false" customHeight="true" outlineLevel="0" collapsed="false">
      <c r="A94" s="9" t="s">
        <v>12</v>
      </c>
      <c r="B94" s="15" t="n">
        <v>46267</v>
      </c>
      <c r="C94" s="9" t="s">
        <v>99</v>
      </c>
      <c r="D94" s="16" t="n">
        <v>1774.1</v>
      </c>
      <c r="E94" s="16" t="n">
        <v>1557.9</v>
      </c>
      <c r="F94" s="16" t="n">
        <f aca="false">E94-D94</f>
        <v>-216.2</v>
      </c>
      <c r="G94" s="17" t="n">
        <f aca="false">IF(D94=0,"",F94/D94)</f>
        <v>-0.121864607406572</v>
      </c>
      <c r="H94" s="9" t="str">
        <f aca="false">IF(F94=0,"On budget",IF(F94&gt;0,"Projected over budget","Projected under budget"))</f>
        <v>Projected under budget</v>
      </c>
    </row>
    <row r="95" customFormat="false" ht="15" hidden="false" customHeight="true" outlineLevel="0" collapsed="false">
      <c r="A95" s="9" t="s">
        <v>12</v>
      </c>
      <c r="B95" s="15" t="n">
        <v>46267</v>
      </c>
      <c r="C95" s="9" t="s">
        <v>106</v>
      </c>
      <c r="D95" s="16" t="n">
        <v>638.5</v>
      </c>
      <c r="E95" s="16" t="n">
        <v>595</v>
      </c>
      <c r="F95" s="16" t="n">
        <f aca="false">E95-D95</f>
        <v>-43.5</v>
      </c>
      <c r="G95" s="17" t="n">
        <f aca="false">IF(D95=0,"",F95/D95)</f>
        <v>-0.0681284259984338</v>
      </c>
      <c r="H95" s="9" t="str">
        <f aca="false">IF(F95=0,"On budget",IF(F95&gt;0,"Projected over budget","Projected under budget"))</f>
        <v>Projected under budget</v>
      </c>
    </row>
    <row r="96" customFormat="false" ht="15" hidden="false" customHeight="true" outlineLevel="0" collapsed="false">
      <c r="A96" s="9" t="s">
        <v>12</v>
      </c>
      <c r="B96" s="15" t="n">
        <v>46267</v>
      </c>
      <c r="C96" s="9" t="s">
        <v>43</v>
      </c>
      <c r="D96" s="16" t="n">
        <v>755.2</v>
      </c>
      <c r="E96" s="16" t="n">
        <v>944.8</v>
      </c>
      <c r="F96" s="16" t="n">
        <f aca="false">E96-D96</f>
        <v>189.6</v>
      </c>
      <c r="G96" s="17" t="n">
        <f aca="false">IF(D96=0,"",F96/D96)</f>
        <v>0.251059322033898</v>
      </c>
      <c r="H96" s="9" t="str">
        <f aca="false">IF(F96=0,"On budget",IF(F96&gt;0,"Projected over budget","Projected under budget"))</f>
        <v>Projected over budget</v>
      </c>
    </row>
    <row r="97" customFormat="false" ht="15" hidden="false" customHeight="true" outlineLevel="0" collapsed="false">
      <c r="A97" s="9" t="s">
        <v>12</v>
      </c>
      <c r="B97" s="15" t="n">
        <v>46267</v>
      </c>
      <c r="C97" s="9" t="s">
        <v>93</v>
      </c>
      <c r="D97" s="16" t="n">
        <v>18</v>
      </c>
      <c r="E97" s="16" t="n">
        <v>18</v>
      </c>
      <c r="F97" s="16" t="n">
        <f aca="false">E97-D97</f>
        <v>0</v>
      </c>
      <c r="G97" s="17" t="n">
        <f aca="false">IF(D97=0,"",F97/D97)</f>
        <v>0</v>
      </c>
      <c r="H97" s="9" t="str">
        <f aca="false">IF(F97=0,"On budget",IF(F97&gt;0,"Projected over budget","Projected under budget"))</f>
        <v>On budget</v>
      </c>
    </row>
    <row r="98" customFormat="false" ht="15" hidden="false" customHeight="true" outlineLevel="0" collapsed="false">
      <c r="A98" s="9" t="s">
        <v>12</v>
      </c>
      <c r="B98" s="15" t="n">
        <v>46267</v>
      </c>
      <c r="C98" s="9" t="s">
        <v>111</v>
      </c>
      <c r="D98" s="16" t="n">
        <v>306</v>
      </c>
      <c r="E98" s="16" t="n">
        <v>291</v>
      </c>
      <c r="F98" s="16" t="n">
        <f aca="false">E98-D98</f>
        <v>-15</v>
      </c>
      <c r="G98" s="17" t="n">
        <f aca="false">IF(D98=0,"",F98/D98)</f>
        <v>-0.0490196078431373</v>
      </c>
      <c r="H98" s="9" t="str">
        <f aca="false">IF(F98=0,"On budget",IF(F98&gt;0,"Projected over budget","Projected under budget"))</f>
        <v>Projected under budget</v>
      </c>
    </row>
    <row r="99" customFormat="false" ht="15" hidden="false" customHeight="true" outlineLevel="0" collapsed="false">
      <c r="A99" s="9" t="s">
        <v>12</v>
      </c>
      <c r="B99" s="15" t="n">
        <v>46267</v>
      </c>
      <c r="C99" s="9" t="s">
        <v>100</v>
      </c>
      <c r="D99" s="16" t="n">
        <v>684.6</v>
      </c>
      <c r="E99" s="16" t="n">
        <v>1041.3</v>
      </c>
      <c r="F99" s="16" t="n">
        <f aca="false">E99-D99</f>
        <v>356.7</v>
      </c>
      <c r="G99" s="17" t="n">
        <f aca="false">IF(D99=0,"",F99/D99)</f>
        <v>0.521034180543383</v>
      </c>
      <c r="H99" s="9" t="str">
        <f aca="false">IF(F99=0,"On budget",IF(F99&gt;0,"Projected over budget","Projected under budget"))</f>
        <v>Projected over budget</v>
      </c>
    </row>
    <row r="100" customFormat="false" ht="15" hidden="false" customHeight="true" outlineLevel="0" collapsed="false">
      <c r="A100" s="9" t="s">
        <v>12</v>
      </c>
      <c r="B100" s="15" t="n">
        <v>46267</v>
      </c>
      <c r="C100" s="9" t="s">
        <v>112</v>
      </c>
      <c r="D100" s="16" t="n">
        <v>170</v>
      </c>
      <c r="E100" s="16" t="n">
        <v>158</v>
      </c>
      <c r="F100" s="16" t="n">
        <f aca="false">E100-D100</f>
        <v>-12</v>
      </c>
      <c r="G100" s="17" t="n">
        <f aca="false">IF(D100=0,"",F100/D100)</f>
        <v>-0.0705882352941177</v>
      </c>
      <c r="H100" s="9" t="str">
        <f aca="false">IF(F100=0,"On budget",IF(F100&gt;0,"Projected over budget","Projected under budget"))</f>
        <v>Projected under budget</v>
      </c>
    </row>
    <row r="101" customFormat="false" ht="15" hidden="false" customHeight="true" outlineLevel="0" collapsed="false">
      <c r="A101" s="9" t="s">
        <v>12</v>
      </c>
      <c r="B101" s="15" t="n">
        <v>46267</v>
      </c>
      <c r="C101" s="9" t="s">
        <v>114</v>
      </c>
      <c r="D101" s="16" t="n">
        <v>270</v>
      </c>
      <c r="E101" s="16" t="n">
        <v>270</v>
      </c>
      <c r="F101" s="16" t="n">
        <f aca="false">E101-D101</f>
        <v>0</v>
      </c>
      <c r="G101" s="17" t="n">
        <f aca="false">IF(D101=0,"",F101/D101)</f>
        <v>0</v>
      </c>
      <c r="H101" s="9" t="str">
        <f aca="false">IF(F101=0,"On budget",IF(F101&gt;0,"Projected over budget","Projected under budget"))</f>
        <v>On budget</v>
      </c>
    </row>
    <row r="102" customFormat="false" ht="15" hidden="false" customHeight="true" outlineLevel="0" collapsed="false">
      <c r="A102" s="9" t="s">
        <v>12</v>
      </c>
      <c r="B102" s="15" t="n">
        <v>46267</v>
      </c>
      <c r="C102" s="9" t="s">
        <v>87</v>
      </c>
      <c r="D102" s="16" t="n">
        <v>260</v>
      </c>
      <c r="E102" s="16" t="n">
        <v>546.3</v>
      </c>
      <c r="F102" s="16" t="n">
        <f aca="false">E102-D102</f>
        <v>286.3</v>
      </c>
      <c r="G102" s="17" t="n">
        <f aca="false">IF(D102=0,"",F102/D102)</f>
        <v>1.10115384615385</v>
      </c>
      <c r="H102" s="9" t="str">
        <f aca="false">IF(F102=0,"On budget",IF(F102&gt;0,"Projected over budget","Projected under budget"))</f>
        <v>Projected over budget</v>
      </c>
    </row>
    <row r="103" customFormat="false" ht="15" hidden="false" customHeight="true" outlineLevel="0" collapsed="false">
      <c r="A103" s="9" t="s">
        <v>12</v>
      </c>
      <c r="B103" s="15" t="n">
        <v>46267</v>
      </c>
      <c r="C103" s="9" t="s">
        <v>88</v>
      </c>
      <c r="D103" s="16" t="n">
        <v>255</v>
      </c>
      <c r="E103" s="16" t="n">
        <v>255</v>
      </c>
      <c r="F103" s="16" t="n">
        <f aca="false">E103-D103</f>
        <v>0</v>
      </c>
      <c r="G103" s="17" t="n">
        <f aca="false">IF(D103=0,"",F103/D103)</f>
        <v>0</v>
      </c>
      <c r="H103" s="9" t="str">
        <f aca="false">IF(F103=0,"On budget",IF(F103&gt;0,"Projected over budget","Projected under budget"))</f>
        <v>On budget</v>
      </c>
    </row>
    <row r="104" customFormat="false" ht="15" hidden="false" customHeight="true" outlineLevel="0" collapsed="false">
      <c r="A104" s="9" t="s">
        <v>12</v>
      </c>
      <c r="B104" s="15" t="n">
        <v>46267</v>
      </c>
      <c r="C104" s="9" t="s">
        <v>122</v>
      </c>
      <c r="D104" s="16" t="n">
        <v>114</v>
      </c>
      <c r="E104" s="16" t="n">
        <v>114</v>
      </c>
      <c r="F104" s="16" t="n">
        <f aca="false">E104-D104</f>
        <v>0</v>
      </c>
      <c r="G104" s="17" t="n">
        <f aca="false">IF(D104=0,"",F104/D104)</f>
        <v>0</v>
      </c>
      <c r="H104" s="9" t="str">
        <f aca="false">IF(F104=0,"On budget",IF(F104&gt;0,"Projected over budget","Projected under budget"))</f>
        <v>On budget</v>
      </c>
    </row>
    <row r="105" customFormat="false" ht="15" hidden="false" customHeight="true" outlineLevel="0" collapsed="false">
      <c r="A105" s="9" t="s">
        <v>12</v>
      </c>
      <c r="B105" s="15" t="n">
        <v>46267</v>
      </c>
      <c r="C105" s="9" t="s">
        <v>107</v>
      </c>
      <c r="D105" s="16" t="n">
        <v>351.6</v>
      </c>
      <c r="E105" s="16" t="n">
        <v>328.3</v>
      </c>
      <c r="F105" s="16" t="n">
        <f aca="false">E105-D105</f>
        <v>-23.3</v>
      </c>
      <c r="G105" s="17" t="n">
        <f aca="false">IF(D105=0,"",F105/D105)</f>
        <v>-0.0662684869169511</v>
      </c>
      <c r="H105" s="9" t="str">
        <f aca="false">IF(F105=0,"On budget",IF(F105&gt;0,"Projected over budget","Projected under budget"))</f>
        <v>Projected under budget</v>
      </c>
    </row>
    <row r="106" customFormat="false" ht="15" hidden="false" customHeight="true" outlineLevel="0" collapsed="false">
      <c r="A106" s="9" t="s">
        <v>12</v>
      </c>
      <c r="B106" s="15" t="n">
        <v>46267</v>
      </c>
      <c r="C106" s="9" t="s">
        <v>105</v>
      </c>
      <c r="D106" s="16" t="n">
        <v>301.5</v>
      </c>
      <c r="E106" s="16" t="n">
        <v>273.5</v>
      </c>
      <c r="F106" s="16" t="n">
        <f aca="false">E106-D106</f>
        <v>-28</v>
      </c>
      <c r="G106" s="17" t="n">
        <f aca="false">IF(D106=0,"",F106/D106)</f>
        <v>-0.0928689883913764</v>
      </c>
      <c r="H106" s="9" t="str">
        <f aca="false">IF(F106=0,"On budget",IF(F106&gt;0,"Projected over budget","Projected under budget"))</f>
        <v>Projected under budget</v>
      </c>
    </row>
    <row r="107" customFormat="false" ht="15" hidden="false" customHeight="true" outlineLevel="0" collapsed="false">
      <c r="A107" s="9" t="s">
        <v>29</v>
      </c>
      <c r="B107" s="15" t="n">
        <v>46267</v>
      </c>
      <c r="C107" s="9" t="s">
        <v>91</v>
      </c>
      <c r="D107" s="16" t="n">
        <v>2356</v>
      </c>
      <c r="E107" s="16" t="n">
        <v>2271.5</v>
      </c>
      <c r="F107" s="16" t="n">
        <f aca="false">E107-D107</f>
        <v>-84.5</v>
      </c>
      <c r="G107" s="17" t="n">
        <f aca="false">IF(D107=0,"",F107/D107)</f>
        <v>-0.0358658743633277</v>
      </c>
      <c r="H107" s="9" t="str">
        <f aca="false">IF(F107=0,"On budget",IF(F107&gt;0,"Projected over budget","Projected under budget"))</f>
        <v>Projected under budget</v>
      </c>
    </row>
    <row r="108" customFormat="false" ht="15" hidden="false" customHeight="true" outlineLevel="0" collapsed="false">
      <c r="A108" s="9" t="s">
        <v>29</v>
      </c>
      <c r="B108" s="15" t="n">
        <v>46267</v>
      </c>
      <c r="C108" s="9" t="s">
        <v>92</v>
      </c>
      <c r="D108" s="16" t="n">
        <v>5568</v>
      </c>
      <c r="E108" s="16" t="n">
        <v>5174.6</v>
      </c>
      <c r="F108" s="16" t="n">
        <f aca="false">E108-D108</f>
        <v>-393.4</v>
      </c>
      <c r="G108" s="17" t="n">
        <f aca="false">IF(D108=0,"",F108/D108)</f>
        <v>-0.0706537356321838</v>
      </c>
      <c r="H108" s="9" t="str">
        <f aca="false">IF(F108=0,"On budget",IF(F108&gt;0,"Projected over budget","Projected under budget"))</f>
        <v>Projected under budget</v>
      </c>
    </row>
  </sheetData>
  <autoFilter ref="A6:H30"/>
  <mergeCells count="8">
    <mergeCell ref="A1:H1"/>
    <mergeCell ref="A2:H2"/>
    <mergeCell ref="A3:H3"/>
    <mergeCell ref="A5:H5"/>
    <mergeCell ref="A6:H6"/>
    <mergeCell ref="A33:H33"/>
    <mergeCell ref="A69:H69"/>
    <mergeCell ref="A70:H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34"/>
    <col collapsed="false" customWidth="true" hidden="false" outlineLevel="0" max="6" min="5" style="1" width="46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34"/>
    <col collapsed="false" customWidth="true" hidden="false" outlineLevel="0" max="12" min="10" style="1" width="13"/>
  </cols>
  <sheetData>
    <row r="1" customFormat="false" ht="31.5" hidden="false" customHeight="true" outlineLevel="0" collapsed="false">
      <c r="A1" s="5" t="s">
        <v>68</v>
      </c>
      <c r="B1" s="5" t="s">
        <v>187</v>
      </c>
      <c r="C1" s="5" t="s">
        <v>188</v>
      </c>
      <c r="D1" s="5" t="s">
        <v>189</v>
      </c>
      <c r="E1" s="5" t="s">
        <v>190</v>
      </c>
      <c r="F1" s="5" t="s">
        <v>70</v>
      </c>
      <c r="G1" s="5" t="s">
        <v>171</v>
      </c>
      <c r="H1" s="5" t="s">
        <v>191</v>
      </c>
      <c r="I1" s="5" t="s">
        <v>192</v>
      </c>
      <c r="J1" s="5" t="s">
        <v>193</v>
      </c>
      <c r="K1" s="5" t="s">
        <v>194</v>
      </c>
      <c r="L1" s="5" t="s">
        <v>195</v>
      </c>
    </row>
    <row r="2" customFormat="false" ht="15" hidden="false" customHeight="true" outlineLevel="0" collapsed="false">
      <c r="A2" s="1" t="s">
        <v>12</v>
      </c>
      <c r="B2" s="1" t="s">
        <v>13</v>
      </c>
      <c r="C2" s="1" t="s">
        <v>14</v>
      </c>
      <c r="D2" s="1" t="s">
        <v>123</v>
      </c>
      <c r="E2" s="1" t="s">
        <v>14</v>
      </c>
      <c r="F2" s="1" t="s">
        <v>81</v>
      </c>
      <c r="G2" s="29" t="n">
        <v>46265</v>
      </c>
      <c r="H2" s="30" t="n">
        <v>16</v>
      </c>
      <c r="I2" s="1" t="s">
        <v>196</v>
      </c>
      <c r="J2" s="1" t="s">
        <v>197</v>
      </c>
      <c r="K2" s="1" t="n">
        <v>17.384615</v>
      </c>
      <c r="L2" s="1" t="s">
        <v>198</v>
      </c>
    </row>
    <row r="3" customFormat="false" ht="15" hidden="false" customHeight="true" outlineLevel="0" collapsed="false">
      <c r="A3" s="1" t="s">
        <v>12</v>
      </c>
      <c r="B3" s="1" t="s">
        <v>13</v>
      </c>
      <c r="C3" s="1" t="s">
        <v>14</v>
      </c>
      <c r="D3" s="1" t="s">
        <v>163</v>
      </c>
      <c r="E3" s="1" t="s">
        <v>14</v>
      </c>
      <c r="F3" s="1" t="s">
        <v>98</v>
      </c>
      <c r="G3" s="29" t="n">
        <v>46265</v>
      </c>
      <c r="H3" s="30" t="n">
        <v>8</v>
      </c>
      <c r="I3" s="1" t="s">
        <v>199</v>
      </c>
      <c r="J3" s="1" t="s">
        <v>200</v>
      </c>
      <c r="K3" s="1" t="n">
        <v>8</v>
      </c>
      <c r="L3" s="1" t="s">
        <v>201</v>
      </c>
    </row>
    <row r="4" customFormat="false" ht="15" hidden="false" customHeight="true" outlineLevel="0" collapsed="false">
      <c r="A4" s="1" t="s">
        <v>12</v>
      </c>
      <c r="B4" s="1" t="s">
        <v>13</v>
      </c>
      <c r="C4" s="1" t="s">
        <v>14</v>
      </c>
      <c r="D4" s="1" t="s">
        <v>30</v>
      </c>
      <c r="E4" s="1" t="s">
        <v>14</v>
      </c>
      <c r="F4" s="1" t="s">
        <v>99</v>
      </c>
      <c r="G4" s="29" t="n">
        <v>46265</v>
      </c>
      <c r="H4" s="30" t="n">
        <v>6</v>
      </c>
      <c r="I4" s="1" t="s">
        <v>196</v>
      </c>
      <c r="J4" s="1" t="s">
        <v>197</v>
      </c>
      <c r="K4" s="1" t="n">
        <v>31</v>
      </c>
      <c r="L4" s="1" t="s">
        <v>198</v>
      </c>
    </row>
    <row r="5" customFormat="false" ht="15" hidden="false" customHeight="true" outlineLevel="0" collapsed="false">
      <c r="A5" s="1" t="s">
        <v>12</v>
      </c>
      <c r="B5" s="1" t="s">
        <v>13</v>
      </c>
      <c r="C5" s="1" t="s">
        <v>14</v>
      </c>
      <c r="D5" s="1" t="s">
        <v>135</v>
      </c>
      <c r="E5" s="1" t="s">
        <v>14</v>
      </c>
      <c r="F5" s="1" t="s">
        <v>43</v>
      </c>
      <c r="G5" s="29" t="n">
        <v>46265</v>
      </c>
      <c r="H5" s="30" t="n">
        <v>4</v>
      </c>
      <c r="I5" s="1" t="s">
        <v>196</v>
      </c>
      <c r="J5" s="1" t="s">
        <v>197</v>
      </c>
      <c r="K5" s="1" t="n">
        <v>4</v>
      </c>
      <c r="L5" s="1" t="s">
        <v>198</v>
      </c>
    </row>
    <row r="6" customFormat="false" ht="15" hidden="false" customHeight="true" outlineLevel="0" collapsed="false">
      <c r="A6" s="1" t="s">
        <v>12</v>
      </c>
      <c r="B6" s="1" t="s">
        <v>13</v>
      </c>
      <c r="C6" s="1" t="s">
        <v>14</v>
      </c>
      <c r="D6" s="1" t="s">
        <v>30</v>
      </c>
      <c r="E6" s="1" t="s">
        <v>14</v>
      </c>
      <c r="F6" s="1" t="s">
        <v>100</v>
      </c>
      <c r="G6" s="29" t="n">
        <v>46265</v>
      </c>
      <c r="H6" s="30" t="n">
        <v>2</v>
      </c>
      <c r="I6" s="1" t="s">
        <v>196</v>
      </c>
      <c r="J6" s="1" t="s">
        <v>197</v>
      </c>
      <c r="K6" s="1" t="n">
        <v>25</v>
      </c>
      <c r="L6" s="1" t="s">
        <v>198</v>
      </c>
    </row>
    <row r="7" customFormat="false" ht="15" hidden="false" customHeight="true" outlineLevel="0" collapsed="false">
      <c r="A7" s="1" t="s">
        <v>12</v>
      </c>
      <c r="B7" s="1" t="s">
        <v>26</v>
      </c>
      <c r="C7" s="1" t="s">
        <v>14</v>
      </c>
      <c r="D7" s="1" t="s">
        <v>161</v>
      </c>
      <c r="E7" s="1" t="s">
        <v>14</v>
      </c>
      <c r="F7" s="1" t="s">
        <v>97</v>
      </c>
      <c r="G7" s="29" t="n">
        <v>46265</v>
      </c>
      <c r="H7" s="30" t="n">
        <v>2.5</v>
      </c>
      <c r="I7" s="1" t="s">
        <v>199</v>
      </c>
      <c r="J7" s="1" t="s">
        <v>200</v>
      </c>
      <c r="K7" s="1" t="n">
        <v>2.5</v>
      </c>
      <c r="L7" s="1" t="s">
        <v>201</v>
      </c>
    </row>
    <row r="8" customFormat="false" ht="15" hidden="false" customHeight="true" outlineLevel="0" collapsed="false">
      <c r="A8" s="1" t="s">
        <v>12</v>
      </c>
      <c r="B8" s="1" t="s">
        <v>26</v>
      </c>
      <c r="C8" s="1" t="s">
        <v>14</v>
      </c>
      <c r="D8" s="1" t="s">
        <v>163</v>
      </c>
      <c r="E8" s="1" t="s">
        <v>14</v>
      </c>
      <c r="F8" s="1" t="s">
        <v>98</v>
      </c>
      <c r="G8" s="29" t="n">
        <v>46265</v>
      </c>
      <c r="H8" s="30" t="n">
        <v>1</v>
      </c>
      <c r="I8" s="1" t="s">
        <v>199</v>
      </c>
      <c r="J8" s="1" t="s">
        <v>200</v>
      </c>
      <c r="K8" s="1" t="n">
        <v>1</v>
      </c>
      <c r="L8" s="1" t="s">
        <v>201</v>
      </c>
    </row>
    <row r="9" customFormat="false" ht="15" hidden="false" customHeight="true" outlineLevel="0" collapsed="false">
      <c r="A9" s="1" t="s">
        <v>12</v>
      </c>
      <c r="B9" s="1" t="s">
        <v>26</v>
      </c>
      <c r="C9" s="1" t="s">
        <v>14</v>
      </c>
      <c r="D9" s="1" t="s">
        <v>17</v>
      </c>
      <c r="E9" s="1" t="s">
        <v>14</v>
      </c>
      <c r="F9" s="1" t="s">
        <v>111</v>
      </c>
      <c r="G9" s="29" t="n">
        <v>46265</v>
      </c>
      <c r="H9" s="30" t="n">
        <v>10</v>
      </c>
      <c r="I9" s="1" t="s">
        <v>196</v>
      </c>
      <c r="J9" s="1" t="s">
        <v>200</v>
      </c>
      <c r="K9" s="1" t="n">
        <v>35</v>
      </c>
      <c r="L9" s="1" t="s">
        <v>198</v>
      </c>
    </row>
    <row r="10" customFormat="false" ht="15" hidden="false" customHeight="true" outlineLevel="0" collapsed="false">
      <c r="A10" s="1" t="s">
        <v>12</v>
      </c>
      <c r="B10" s="1" t="s">
        <v>26</v>
      </c>
      <c r="C10" s="1" t="s">
        <v>14</v>
      </c>
      <c r="D10" s="1" t="s">
        <v>164</v>
      </c>
      <c r="E10" s="1" t="s">
        <v>14</v>
      </c>
      <c r="F10" s="1" t="s">
        <v>112</v>
      </c>
      <c r="G10" s="29" t="n">
        <v>46265</v>
      </c>
      <c r="H10" s="30" t="n">
        <v>4</v>
      </c>
      <c r="I10" s="1" t="s">
        <v>199</v>
      </c>
      <c r="J10" s="1" t="s">
        <v>200</v>
      </c>
      <c r="K10" s="1" t="n">
        <v>4</v>
      </c>
      <c r="L10" s="1" t="s">
        <v>201</v>
      </c>
    </row>
    <row r="11" customFormat="false" ht="15" hidden="false" customHeight="true" outlineLevel="0" collapsed="false">
      <c r="A11" s="1" t="s">
        <v>12</v>
      </c>
      <c r="B11" s="1" t="s">
        <v>26</v>
      </c>
      <c r="C11" s="1" t="s">
        <v>14</v>
      </c>
      <c r="D11" s="1" t="s">
        <v>126</v>
      </c>
      <c r="E11" s="1" t="s">
        <v>14</v>
      </c>
      <c r="F11" s="1" t="s">
        <v>107</v>
      </c>
      <c r="G11" s="29" t="n">
        <v>46265</v>
      </c>
      <c r="H11" s="30" t="n">
        <v>8</v>
      </c>
      <c r="I11" s="1" t="s">
        <v>196</v>
      </c>
      <c r="J11" s="1" t="s">
        <v>200</v>
      </c>
      <c r="K11" s="1" t="n">
        <v>8</v>
      </c>
      <c r="L11" s="1" t="s">
        <v>198</v>
      </c>
    </row>
    <row r="12" customFormat="false" ht="15" hidden="false" customHeight="true" outlineLevel="0" collapsed="false">
      <c r="A12" s="1" t="s">
        <v>12</v>
      </c>
      <c r="B12" s="1" t="s">
        <v>20</v>
      </c>
      <c r="C12" s="1" t="s">
        <v>10</v>
      </c>
      <c r="D12" s="1" t="s">
        <v>116</v>
      </c>
      <c r="E12" s="1" t="s">
        <v>10</v>
      </c>
      <c r="F12" s="1" t="s">
        <v>43</v>
      </c>
      <c r="G12" s="29" t="n">
        <v>46265</v>
      </c>
      <c r="H12" s="30" t="n">
        <v>3</v>
      </c>
      <c r="I12" s="1" t="s">
        <v>196</v>
      </c>
      <c r="J12" s="1" t="s">
        <v>197</v>
      </c>
      <c r="K12" s="1" t="n">
        <v>23</v>
      </c>
      <c r="L12" s="1" t="s">
        <v>198</v>
      </c>
    </row>
    <row r="13" customFormat="false" ht="15" hidden="false" customHeight="true" outlineLevel="0" collapsed="false">
      <c r="A13" s="1" t="s">
        <v>12</v>
      </c>
      <c r="B13" s="1" t="s">
        <v>20</v>
      </c>
      <c r="C13" s="1" t="s">
        <v>10</v>
      </c>
      <c r="D13" s="1" t="s">
        <v>33</v>
      </c>
      <c r="E13" s="1" t="s">
        <v>10</v>
      </c>
      <c r="F13" s="1" t="s">
        <v>100</v>
      </c>
      <c r="G13" s="29" t="n">
        <v>46265</v>
      </c>
      <c r="H13" s="30" t="n">
        <v>2</v>
      </c>
      <c r="I13" s="1" t="s">
        <v>196</v>
      </c>
      <c r="J13" s="1" t="s">
        <v>197</v>
      </c>
      <c r="K13" s="1" t="n">
        <v>24</v>
      </c>
      <c r="L13" s="1" t="s">
        <v>198</v>
      </c>
    </row>
    <row r="14" customFormat="false" ht="15" hidden="false" customHeight="true" outlineLevel="0" collapsed="false">
      <c r="A14" s="1" t="s">
        <v>12</v>
      </c>
      <c r="B14" s="1" t="s">
        <v>21</v>
      </c>
      <c r="C14" s="1" t="s">
        <v>14</v>
      </c>
      <c r="D14" s="1" t="s">
        <v>27</v>
      </c>
      <c r="E14" s="1" t="s">
        <v>14</v>
      </c>
      <c r="F14" s="1" t="s">
        <v>85</v>
      </c>
      <c r="G14" s="29" t="n">
        <v>46265</v>
      </c>
      <c r="H14" s="30" t="n">
        <v>13.178571</v>
      </c>
      <c r="I14" s="1" t="s">
        <v>196</v>
      </c>
      <c r="J14" s="1" t="s">
        <v>200</v>
      </c>
      <c r="K14" s="1" t="n">
        <v>40</v>
      </c>
      <c r="L14" s="1" t="s">
        <v>198</v>
      </c>
    </row>
    <row r="15" customFormat="false" ht="15" hidden="false" customHeight="true" outlineLevel="0" collapsed="false">
      <c r="A15" s="1" t="s">
        <v>12</v>
      </c>
      <c r="B15" s="1" t="s">
        <v>21</v>
      </c>
      <c r="C15" s="1" t="s">
        <v>14</v>
      </c>
      <c r="D15" s="1" t="s">
        <v>30</v>
      </c>
      <c r="E15" s="1" t="s">
        <v>14</v>
      </c>
      <c r="F15" s="1" t="s">
        <v>85</v>
      </c>
      <c r="G15" s="29" t="n">
        <v>46265</v>
      </c>
      <c r="H15" s="30" t="n">
        <v>9</v>
      </c>
      <c r="I15" s="1" t="s">
        <v>196</v>
      </c>
      <c r="J15" s="1" t="s">
        <v>197</v>
      </c>
      <c r="K15" s="1" t="n">
        <v>40</v>
      </c>
      <c r="L15" s="1" t="s">
        <v>198</v>
      </c>
    </row>
    <row r="16" customFormat="false" ht="15" hidden="false" customHeight="true" outlineLevel="0" collapsed="false">
      <c r="A16" s="1" t="s">
        <v>12</v>
      </c>
      <c r="B16" s="1" t="s">
        <v>21</v>
      </c>
      <c r="C16" s="1" t="s">
        <v>14</v>
      </c>
      <c r="D16" s="1" t="s">
        <v>130</v>
      </c>
      <c r="E16" s="1" t="s">
        <v>14</v>
      </c>
      <c r="F16" s="1" t="s">
        <v>85</v>
      </c>
      <c r="G16" s="29" t="n">
        <v>46265</v>
      </c>
      <c r="H16" s="30" t="n">
        <v>8.821429</v>
      </c>
      <c r="I16" s="1" t="s">
        <v>199</v>
      </c>
      <c r="J16" s="1" t="s">
        <v>197</v>
      </c>
      <c r="K16" s="1" t="n">
        <v>8.821429</v>
      </c>
      <c r="L16" s="1" t="s">
        <v>201</v>
      </c>
    </row>
    <row r="17" customFormat="false" ht="15" hidden="false" customHeight="true" outlineLevel="0" collapsed="false">
      <c r="A17" s="1" t="s">
        <v>12</v>
      </c>
      <c r="B17" s="1" t="s">
        <v>138</v>
      </c>
      <c r="C17" s="1" t="s">
        <v>14</v>
      </c>
      <c r="D17" s="1" t="s">
        <v>17</v>
      </c>
      <c r="E17" s="1" t="s">
        <v>14</v>
      </c>
      <c r="F17" s="1" t="s">
        <v>81</v>
      </c>
      <c r="G17" s="29" t="n">
        <v>46265</v>
      </c>
      <c r="H17" s="30" t="n">
        <v>2.230769</v>
      </c>
      <c r="I17" s="1" t="s">
        <v>202</v>
      </c>
      <c r="J17" s="1" t="s">
        <v>200</v>
      </c>
      <c r="K17" s="1" t="n">
        <v>37.230769</v>
      </c>
      <c r="L17" s="1" t="s">
        <v>198</v>
      </c>
    </row>
    <row r="18" customFormat="false" ht="15" hidden="false" customHeight="true" outlineLevel="0" collapsed="false">
      <c r="A18" s="1" t="s">
        <v>12</v>
      </c>
      <c r="B18" s="1" t="s">
        <v>138</v>
      </c>
      <c r="C18" s="1" t="s">
        <v>14</v>
      </c>
      <c r="D18" s="1" t="s">
        <v>123</v>
      </c>
      <c r="E18" s="1" t="s">
        <v>14</v>
      </c>
      <c r="F18" s="1" t="s">
        <v>81</v>
      </c>
      <c r="G18" s="29" t="n">
        <v>46265</v>
      </c>
      <c r="H18" s="30" t="n">
        <v>2.615385</v>
      </c>
      <c r="I18" s="1" t="s">
        <v>202</v>
      </c>
      <c r="J18" s="1" t="s">
        <v>197</v>
      </c>
      <c r="K18" s="1" t="n">
        <v>20</v>
      </c>
      <c r="L18" s="1" t="s">
        <v>198</v>
      </c>
    </row>
    <row r="19" customFormat="false" ht="15" hidden="false" customHeight="true" outlineLevel="0" collapsed="false">
      <c r="A19" s="1" t="s">
        <v>12</v>
      </c>
      <c r="B19" s="1" t="s">
        <v>138</v>
      </c>
      <c r="C19" s="1" t="s">
        <v>14</v>
      </c>
      <c r="D19" s="1" t="s">
        <v>24</v>
      </c>
      <c r="E19" s="1" t="s">
        <v>14</v>
      </c>
      <c r="F19" s="1" t="s">
        <v>81</v>
      </c>
      <c r="G19" s="29" t="n">
        <v>46265</v>
      </c>
      <c r="H19" s="30" t="n">
        <v>1.153846</v>
      </c>
      <c r="I19" s="1" t="s">
        <v>202</v>
      </c>
      <c r="J19" s="1" t="s">
        <v>197</v>
      </c>
      <c r="K19" s="1" t="n">
        <v>40</v>
      </c>
      <c r="L19" s="1" t="s">
        <v>198</v>
      </c>
    </row>
    <row r="20" customFormat="false" ht="15" hidden="false" customHeight="true" outlineLevel="0" collapsed="false">
      <c r="A20" s="1" t="s">
        <v>12</v>
      </c>
      <c r="B20" s="1" t="s">
        <v>128</v>
      </c>
      <c r="C20" s="1" t="s">
        <v>14</v>
      </c>
      <c r="D20" s="1" t="s">
        <v>128</v>
      </c>
      <c r="E20" s="1" t="s">
        <v>14</v>
      </c>
      <c r="F20" s="1" t="s">
        <v>108</v>
      </c>
      <c r="G20" s="29" t="n">
        <v>46265</v>
      </c>
      <c r="H20" s="30" t="n">
        <v>2</v>
      </c>
      <c r="I20" s="1" t="s">
        <v>203</v>
      </c>
      <c r="J20" s="1" t="s">
        <v>200</v>
      </c>
      <c r="K20" s="1" t="n">
        <v>2</v>
      </c>
      <c r="L20" s="1" t="s">
        <v>201</v>
      </c>
    </row>
    <row r="21" customFormat="false" ht="15" hidden="false" customHeight="true" outlineLevel="0" collapsed="false">
      <c r="A21" s="1" t="s">
        <v>12</v>
      </c>
      <c r="B21" s="1" t="s">
        <v>20</v>
      </c>
      <c r="C21" s="1" t="s">
        <v>10</v>
      </c>
      <c r="D21" s="1" t="s">
        <v>36</v>
      </c>
      <c r="E21" s="1" t="s">
        <v>10</v>
      </c>
      <c r="F21" s="1" t="s">
        <v>85</v>
      </c>
      <c r="G21" s="29" t="n">
        <v>46272</v>
      </c>
      <c r="H21" s="30" t="n">
        <v>5.5</v>
      </c>
      <c r="I21" s="1" t="s">
        <v>196</v>
      </c>
      <c r="J21" s="1" t="s">
        <v>197</v>
      </c>
      <c r="K21" s="1" t="n">
        <v>23.5</v>
      </c>
      <c r="L21" s="1" t="s">
        <v>198</v>
      </c>
    </row>
    <row r="22" customFormat="false" ht="15" hidden="false" customHeight="true" outlineLevel="0" collapsed="false">
      <c r="A22" s="1" t="s">
        <v>12</v>
      </c>
      <c r="B22" s="1" t="s">
        <v>20</v>
      </c>
      <c r="C22" s="1" t="s">
        <v>10</v>
      </c>
      <c r="D22" s="1" t="s">
        <v>116</v>
      </c>
      <c r="E22" s="1" t="s">
        <v>10</v>
      </c>
      <c r="F22" s="1" t="s">
        <v>43</v>
      </c>
      <c r="G22" s="29" t="n">
        <v>46272</v>
      </c>
      <c r="H22" s="30" t="n">
        <v>10</v>
      </c>
      <c r="I22" s="1" t="s">
        <v>196</v>
      </c>
      <c r="J22" s="1" t="s">
        <v>197</v>
      </c>
      <c r="K22" s="1" t="n">
        <v>31</v>
      </c>
      <c r="L22" s="1" t="s">
        <v>198</v>
      </c>
    </row>
    <row r="23" customFormat="false" ht="15" hidden="false" customHeight="true" outlineLevel="0" collapsed="false">
      <c r="A23" s="1" t="s">
        <v>12</v>
      </c>
      <c r="B23" s="1" t="s">
        <v>20</v>
      </c>
      <c r="C23" s="1" t="s">
        <v>10</v>
      </c>
      <c r="D23" s="1" t="s">
        <v>33</v>
      </c>
      <c r="E23" s="1" t="s">
        <v>10</v>
      </c>
      <c r="F23" s="1" t="s">
        <v>100</v>
      </c>
      <c r="G23" s="29" t="n">
        <v>46272</v>
      </c>
      <c r="H23" s="30" t="n">
        <v>1</v>
      </c>
      <c r="I23" s="1" t="s">
        <v>196</v>
      </c>
      <c r="J23" s="1" t="s">
        <v>197</v>
      </c>
      <c r="K23" s="1" t="n">
        <v>8</v>
      </c>
      <c r="L23" s="1" t="s">
        <v>198</v>
      </c>
    </row>
    <row r="24" customFormat="false" ht="15" hidden="false" customHeight="true" outlineLevel="0" collapsed="false">
      <c r="A24" s="1" t="s">
        <v>12</v>
      </c>
      <c r="B24" s="1" t="s">
        <v>21</v>
      </c>
      <c r="C24" s="1" t="s">
        <v>14</v>
      </c>
      <c r="D24" s="1" t="s">
        <v>30</v>
      </c>
      <c r="E24" s="1" t="s">
        <v>14</v>
      </c>
      <c r="F24" s="1" t="s">
        <v>85</v>
      </c>
      <c r="G24" s="29" t="n">
        <v>46272</v>
      </c>
      <c r="H24" s="30" t="n">
        <v>9</v>
      </c>
      <c r="I24" s="1" t="s">
        <v>196</v>
      </c>
      <c r="J24" s="1" t="s">
        <v>197</v>
      </c>
      <c r="K24" s="1" t="n">
        <v>28</v>
      </c>
      <c r="L24" s="1" t="s">
        <v>198</v>
      </c>
    </row>
    <row r="25" customFormat="false" ht="15" hidden="false" customHeight="true" outlineLevel="0" collapsed="false">
      <c r="A25" s="1" t="s">
        <v>12</v>
      </c>
      <c r="B25" s="1" t="s">
        <v>21</v>
      </c>
      <c r="C25" s="1" t="s">
        <v>14</v>
      </c>
      <c r="D25" s="1" t="s">
        <v>13</v>
      </c>
      <c r="E25" s="1" t="s">
        <v>14</v>
      </c>
      <c r="F25" s="1" t="s">
        <v>43</v>
      </c>
      <c r="G25" s="29" t="n">
        <v>46272</v>
      </c>
      <c r="H25" s="30" t="n">
        <v>15</v>
      </c>
      <c r="I25" s="1" t="s">
        <v>196</v>
      </c>
      <c r="J25" s="1" t="s">
        <v>197</v>
      </c>
      <c r="K25" s="1" t="n">
        <v>32</v>
      </c>
      <c r="L25" s="1" t="s">
        <v>198</v>
      </c>
    </row>
    <row r="26" customFormat="false" ht="15" hidden="false" customHeight="true" outlineLevel="0" collapsed="false">
      <c r="A26" s="1" t="s">
        <v>12</v>
      </c>
      <c r="B26" s="1" t="s">
        <v>130</v>
      </c>
      <c r="C26" s="1" t="s">
        <v>14</v>
      </c>
      <c r="D26" s="1" t="s">
        <v>30</v>
      </c>
      <c r="E26" s="1" t="s">
        <v>14</v>
      </c>
      <c r="F26" s="1" t="s">
        <v>85</v>
      </c>
      <c r="G26" s="29" t="n">
        <v>46272</v>
      </c>
      <c r="H26" s="30" t="n">
        <v>12</v>
      </c>
      <c r="I26" s="1" t="s">
        <v>202</v>
      </c>
      <c r="J26" s="1" t="s">
        <v>197</v>
      </c>
      <c r="K26" s="1" t="n">
        <v>40</v>
      </c>
      <c r="L26" s="1" t="s">
        <v>198</v>
      </c>
    </row>
    <row r="27" customFormat="false" ht="15" hidden="false" customHeight="true" outlineLevel="0" collapsed="false">
      <c r="A27" s="1" t="s">
        <v>12</v>
      </c>
      <c r="B27" s="1" t="s">
        <v>130</v>
      </c>
      <c r="C27" s="1" t="s">
        <v>14</v>
      </c>
      <c r="D27" s="1" t="s">
        <v>130</v>
      </c>
      <c r="E27" s="1" t="s">
        <v>14</v>
      </c>
      <c r="F27" s="1" t="s">
        <v>85</v>
      </c>
      <c r="G27" s="29" t="n">
        <v>46272</v>
      </c>
      <c r="H27" s="30" t="n">
        <v>12</v>
      </c>
      <c r="I27" s="1" t="s">
        <v>203</v>
      </c>
      <c r="J27" s="1" t="s">
        <v>197</v>
      </c>
      <c r="K27" s="1" t="n">
        <v>12</v>
      </c>
      <c r="L27" s="1" t="s">
        <v>201</v>
      </c>
    </row>
    <row r="28" customFormat="false" ht="15" hidden="false" customHeight="true" outlineLevel="0" collapsed="false">
      <c r="A28" s="1" t="s">
        <v>12</v>
      </c>
      <c r="B28" s="1" t="s">
        <v>128</v>
      </c>
      <c r="C28" s="1" t="s">
        <v>14</v>
      </c>
      <c r="D28" s="1" t="s">
        <v>17</v>
      </c>
      <c r="E28" s="1" t="s">
        <v>14</v>
      </c>
      <c r="F28" s="1" t="s">
        <v>108</v>
      </c>
      <c r="G28" s="29" t="n">
        <v>46272</v>
      </c>
      <c r="H28" s="30" t="n">
        <v>5</v>
      </c>
      <c r="I28" s="1" t="s">
        <v>202</v>
      </c>
      <c r="J28" s="1" t="s">
        <v>200</v>
      </c>
      <c r="K28" s="1" t="n">
        <v>8</v>
      </c>
      <c r="L28" s="1" t="s">
        <v>198</v>
      </c>
    </row>
    <row r="29" customFormat="false" ht="15" hidden="false" customHeight="true" outlineLevel="0" collapsed="false">
      <c r="A29" s="1" t="s">
        <v>12</v>
      </c>
      <c r="B29" s="1" t="s">
        <v>129</v>
      </c>
      <c r="C29" s="1" t="s">
        <v>14</v>
      </c>
      <c r="D29" s="1" t="s">
        <v>27</v>
      </c>
      <c r="E29" s="1" t="s">
        <v>14</v>
      </c>
      <c r="F29" s="1" t="s">
        <v>102</v>
      </c>
      <c r="G29" s="29" t="n">
        <v>46272</v>
      </c>
      <c r="H29" s="30" t="n">
        <v>20</v>
      </c>
      <c r="I29" s="1" t="s">
        <v>202</v>
      </c>
      <c r="J29" s="1" t="s">
        <v>200</v>
      </c>
      <c r="K29" s="1" t="n">
        <v>25.821429</v>
      </c>
      <c r="L29" s="1" t="s">
        <v>198</v>
      </c>
    </row>
    <row r="30" customFormat="false" ht="15" hidden="false" customHeight="true" outlineLevel="0" collapsed="false">
      <c r="A30" s="1" t="s">
        <v>12</v>
      </c>
      <c r="B30" s="1" t="s">
        <v>20</v>
      </c>
      <c r="C30" s="1" t="s">
        <v>10</v>
      </c>
      <c r="D30" s="1" t="s">
        <v>36</v>
      </c>
      <c r="E30" s="1" t="s">
        <v>10</v>
      </c>
      <c r="F30" s="1" t="s">
        <v>85</v>
      </c>
      <c r="G30" s="29" t="n">
        <v>46279</v>
      </c>
      <c r="H30" s="30" t="n">
        <v>5.5</v>
      </c>
      <c r="I30" s="1" t="s">
        <v>196</v>
      </c>
      <c r="J30" s="1" t="s">
        <v>197</v>
      </c>
      <c r="K30" s="1" t="n">
        <v>13.5</v>
      </c>
      <c r="L30" s="1" t="s">
        <v>198</v>
      </c>
    </row>
    <row r="31" customFormat="false" ht="15" hidden="false" customHeight="true" outlineLevel="0" collapsed="false">
      <c r="A31" s="1" t="s">
        <v>12</v>
      </c>
      <c r="B31" s="1" t="s">
        <v>20</v>
      </c>
      <c r="C31" s="1" t="s">
        <v>10</v>
      </c>
      <c r="D31" s="1" t="s">
        <v>9</v>
      </c>
      <c r="E31" s="1" t="s">
        <v>10</v>
      </c>
      <c r="F31" s="1" t="s">
        <v>43</v>
      </c>
      <c r="G31" s="29" t="n">
        <v>46279</v>
      </c>
      <c r="H31" s="30" t="n">
        <v>10</v>
      </c>
      <c r="I31" s="1" t="s">
        <v>196</v>
      </c>
      <c r="J31" s="1" t="s">
        <v>197</v>
      </c>
      <c r="K31" s="1" t="n">
        <v>12</v>
      </c>
      <c r="L31" s="1" t="s">
        <v>198</v>
      </c>
    </row>
    <row r="32" customFormat="false" ht="15" hidden="false" customHeight="true" outlineLevel="0" collapsed="false">
      <c r="A32" s="1" t="s">
        <v>12</v>
      </c>
      <c r="B32" s="1" t="s">
        <v>20</v>
      </c>
      <c r="C32" s="1" t="s">
        <v>10</v>
      </c>
      <c r="D32" s="1" t="s">
        <v>9</v>
      </c>
      <c r="E32" s="1" t="s">
        <v>10</v>
      </c>
      <c r="F32" s="1" t="s">
        <v>100</v>
      </c>
      <c r="G32" s="29" t="n">
        <v>46279</v>
      </c>
      <c r="H32" s="30" t="n">
        <v>2</v>
      </c>
      <c r="I32" s="1" t="s">
        <v>196</v>
      </c>
      <c r="J32" s="1" t="s">
        <v>197</v>
      </c>
      <c r="K32" s="1" t="n">
        <v>2</v>
      </c>
      <c r="L32" s="1" t="s">
        <v>198</v>
      </c>
    </row>
    <row r="33" customFormat="false" ht="15" hidden="false" customHeight="true" outlineLevel="0" collapsed="false">
      <c r="A33" s="1" t="s">
        <v>12</v>
      </c>
      <c r="B33" s="1" t="s">
        <v>21</v>
      </c>
      <c r="C33" s="1" t="s">
        <v>14</v>
      </c>
      <c r="D33" s="1" t="s">
        <v>27</v>
      </c>
      <c r="E33" s="1" t="s">
        <v>14</v>
      </c>
      <c r="F33" s="1" t="s">
        <v>85</v>
      </c>
      <c r="G33" s="29" t="n">
        <v>46279</v>
      </c>
      <c r="H33" s="30" t="n">
        <v>4</v>
      </c>
      <c r="I33" s="1" t="s">
        <v>196</v>
      </c>
      <c r="J33" s="1" t="s">
        <v>200</v>
      </c>
      <c r="K33" s="1" t="n">
        <v>8.821429</v>
      </c>
      <c r="L33" s="1" t="s">
        <v>198</v>
      </c>
    </row>
    <row r="34" customFormat="false" ht="15" hidden="false" customHeight="true" outlineLevel="0" collapsed="false">
      <c r="A34" s="1" t="s">
        <v>12</v>
      </c>
      <c r="B34" s="1" t="s">
        <v>21</v>
      </c>
      <c r="C34" s="1" t="s">
        <v>14</v>
      </c>
      <c r="D34" s="1" t="s">
        <v>30</v>
      </c>
      <c r="E34" s="1" t="s">
        <v>14</v>
      </c>
      <c r="F34" s="1" t="s">
        <v>85</v>
      </c>
      <c r="G34" s="29" t="n">
        <v>46279</v>
      </c>
      <c r="H34" s="30" t="n">
        <v>6</v>
      </c>
      <c r="I34" s="1" t="s">
        <v>196</v>
      </c>
      <c r="J34" s="1" t="s">
        <v>197</v>
      </c>
      <c r="K34" s="1" t="n">
        <v>40</v>
      </c>
      <c r="L34" s="1" t="s">
        <v>198</v>
      </c>
    </row>
    <row r="35" customFormat="false" ht="15" hidden="false" customHeight="true" outlineLevel="0" collapsed="false">
      <c r="A35" s="1" t="s">
        <v>12</v>
      </c>
      <c r="B35" s="1" t="s">
        <v>21</v>
      </c>
      <c r="C35" s="1" t="s">
        <v>14</v>
      </c>
      <c r="D35" s="1" t="s">
        <v>13</v>
      </c>
      <c r="E35" s="1" t="s">
        <v>14</v>
      </c>
      <c r="F35" s="1" t="s">
        <v>43</v>
      </c>
      <c r="G35" s="29" t="n">
        <v>46279</v>
      </c>
      <c r="H35" s="30" t="n">
        <v>2</v>
      </c>
      <c r="I35" s="1" t="s">
        <v>196</v>
      </c>
      <c r="J35" s="1" t="s">
        <v>197</v>
      </c>
      <c r="K35" s="1" t="n">
        <v>40</v>
      </c>
      <c r="L35" s="1" t="s">
        <v>198</v>
      </c>
    </row>
    <row r="36" customFormat="false" ht="15" hidden="false" customHeight="true" outlineLevel="0" collapsed="false">
      <c r="A36" s="1" t="s">
        <v>12</v>
      </c>
      <c r="B36" s="1" t="s">
        <v>21</v>
      </c>
      <c r="C36" s="1" t="s">
        <v>14</v>
      </c>
      <c r="D36" s="1" t="s">
        <v>135</v>
      </c>
      <c r="E36" s="1" t="s">
        <v>14</v>
      </c>
      <c r="F36" s="1" t="s">
        <v>43</v>
      </c>
      <c r="G36" s="29" t="n">
        <v>46279</v>
      </c>
      <c r="H36" s="30" t="n">
        <v>13</v>
      </c>
      <c r="I36" s="1" t="s">
        <v>196</v>
      </c>
      <c r="J36" s="1" t="s">
        <v>197</v>
      </c>
      <c r="K36" s="1" t="n">
        <v>13</v>
      </c>
      <c r="L36" s="1" t="s">
        <v>198</v>
      </c>
    </row>
    <row r="37" customFormat="false" ht="15" hidden="false" customHeight="true" outlineLevel="0" collapsed="false">
      <c r="A37" s="1" t="s">
        <v>12</v>
      </c>
      <c r="B37" s="1" t="s">
        <v>138</v>
      </c>
      <c r="C37" s="1" t="s">
        <v>14</v>
      </c>
      <c r="D37" s="1" t="s">
        <v>27</v>
      </c>
      <c r="E37" s="1" t="s">
        <v>14</v>
      </c>
      <c r="F37" s="1" t="s">
        <v>81</v>
      </c>
      <c r="G37" s="29" t="n">
        <v>46279</v>
      </c>
      <c r="H37" s="30" t="n">
        <v>6</v>
      </c>
      <c r="I37" s="1" t="s">
        <v>202</v>
      </c>
      <c r="J37" s="1" t="s">
        <v>197</v>
      </c>
      <c r="K37" s="1" t="n">
        <v>14.821429</v>
      </c>
      <c r="L37" s="1" t="s">
        <v>198</v>
      </c>
    </row>
    <row r="38" customFormat="false" ht="15" hidden="false" customHeight="true" outlineLevel="0" collapsed="false">
      <c r="A38" s="1" t="s">
        <v>12</v>
      </c>
      <c r="B38" s="1" t="s">
        <v>130</v>
      </c>
      <c r="C38" s="1" t="s">
        <v>14</v>
      </c>
      <c r="D38" s="1" t="s">
        <v>17</v>
      </c>
      <c r="E38" s="1" t="s">
        <v>14</v>
      </c>
      <c r="F38" s="1" t="s">
        <v>85</v>
      </c>
      <c r="G38" s="29" t="n">
        <v>46279</v>
      </c>
      <c r="H38" s="30" t="n">
        <v>24</v>
      </c>
      <c r="I38" s="1" t="s">
        <v>202</v>
      </c>
      <c r="J38" s="1" t="s">
        <v>200</v>
      </c>
      <c r="K38" s="1" t="n">
        <v>29</v>
      </c>
      <c r="L38" s="1" t="s">
        <v>198</v>
      </c>
    </row>
    <row r="39" customFormat="false" ht="15" hidden="false" customHeight="true" outlineLevel="0" collapsed="false">
      <c r="A39" s="1" t="s">
        <v>12</v>
      </c>
      <c r="B39" s="1" t="s">
        <v>128</v>
      </c>
      <c r="C39" s="1" t="s">
        <v>14</v>
      </c>
      <c r="D39" s="1" t="s">
        <v>24</v>
      </c>
      <c r="E39" s="1" t="s">
        <v>14</v>
      </c>
      <c r="F39" s="1" t="s">
        <v>108</v>
      </c>
      <c r="G39" s="29" t="n">
        <v>46279</v>
      </c>
      <c r="H39" s="30" t="n">
        <v>5</v>
      </c>
      <c r="I39" s="1" t="s">
        <v>202</v>
      </c>
      <c r="J39" s="1" t="s">
        <v>200</v>
      </c>
      <c r="K39" s="1" t="n">
        <v>17.346154</v>
      </c>
      <c r="L39" s="1" t="s">
        <v>198</v>
      </c>
    </row>
    <row r="40" customFormat="false" ht="15" hidden="false" customHeight="true" outlineLevel="0" collapsed="false">
      <c r="A40" s="1" t="s">
        <v>12</v>
      </c>
      <c r="B40" s="1" t="s">
        <v>129</v>
      </c>
      <c r="C40" s="1" t="s">
        <v>14</v>
      </c>
      <c r="D40" s="1" t="s">
        <v>26</v>
      </c>
      <c r="E40" s="1" t="s">
        <v>14</v>
      </c>
      <c r="F40" s="1" t="s">
        <v>102</v>
      </c>
      <c r="G40" s="29" t="n">
        <v>46279</v>
      </c>
      <c r="H40" s="30" t="n">
        <v>1</v>
      </c>
      <c r="I40" s="1" t="s">
        <v>202</v>
      </c>
      <c r="J40" s="1" t="s">
        <v>197</v>
      </c>
      <c r="K40" s="1" t="n">
        <v>40</v>
      </c>
      <c r="L40" s="1" t="s">
        <v>198</v>
      </c>
    </row>
    <row r="41" customFormat="false" ht="15" hidden="false" customHeight="true" outlineLevel="0" collapsed="false">
      <c r="A41" s="1" t="s">
        <v>12</v>
      </c>
      <c r="B41" s="1" t="s">
        <v>129</v>
      </c>
      <c r="C41" s="1" t="s">
        <v>14</v>
      </c>
      <c r="D41" s="1" t="s">
        <v>129</v>
      </c>
      <c r="E41" s="1" t="s">
        <v>14</v>
      </c>
      <c r="F41" s="1" t="s">
        <v>102</v>
      </c>
      <c r="G41" s="29" t="n">
        <v>46279</v>
      </c>
      <c r="H41" s="30" t="n">
        <v>19</v>
      </c>
      <c r="I41" s="1" t="s">
        <v>203</v>
      </c>
      <c r="J41" s="1" t="s">
        <v>200</v>
      </c>
      <c r="K41" s="1" t="n">
        <v>19</v>
      </c>
      <c r="L41" s="1" t="s">
        <v>201</v>
      </c>
    </row>
    <row r="42" customFormat="false" ht="15" hidden="false" customHeight="true" outlineLevel="0" collapsed="false">
      <c r="A42" s="1" t="s">
        <v>12</v>
      </c>
      <c r="B42" s="1" t="s">
        <v>130</v>
      </c>
      <c r="C42" s="1" t="s">
        <v>14</v>
      </c>
      <c r="D42" s="1" t="s">
        <v>21</v>
      </c>
      <c r="E42" s="1" t="s">
        <v>14</v>
      </c>
      <c r="F42" s="1" t="s">
        <v>85</v>
      </c>
      <c r="G42" s="29" t="n">
        <v>46286</v>
      </c>
      <c r="H42" s="30" t="n">
        <v>2</v>
      </c>
      <c r="I42" s="1" t="s">
        <v>202</v>
      </c>
      <c r="J42" s="1" t="s">
        <v>197</v>
      </c>
      <c r="K42" s="1" t="n">
        <v>20</v>
      </c>
      <c r="L42" s="1" t="s">
        <v>198</v>
      </c>
    </row>
    <row r="43" customFormat="false" ht="15" hidden="false" customHeight="true" outlineLevel="0" collapsed="false">
      <c r="A43" s="1" t="s">
        <v>12</v>
      </c>
      <c r="B43" s="1" t="s">
        <v>128</v>
      </c>
      <c r="C43" s="1" t="s">
        <v>14</v>
      </c>
      <c r="D43" s="1" t="s">
        <v>128</v>
      </c>
      <c r="E43" s="1" t="s">
        <v>14</v>
      </c>
      <c r="F43" s="1" t="s">
        <v>108</v>
      </c>
      <c r="G43" s="29" t="n">
        <v>46286</v>
      </c>
      <c r="H43" s="30" t="n">
        <v>4</v>
      </c>
      <c r="I43" s="1" t="s">
        <v>203</v>
      </c>
      <c r="J43" s="1" t="s">
        <v>200</v>
      </c>
      <c r="K43" s="1" t="n">
        <v>4</v>
      </c>
      <c r="L43" s="1" t="s">
        <v>201</v>
      </c>
    </row>
    <row r="44" customFormat="false" ht="15" hidden="false" customHeight="true" outlineLevel="0" collapsed="false">
      <c r="A44" s="1" t="s">
        <v>12</v>
      </c>
      <c r="B44" s="1" t="s">
        <v>129</v>
      </c>
      <c r="C44" s="1" t="s">
        <v>14</v>
      </c>
      <c r="D44" s="1" t="s">
        <v>17</v>
      </c>
      <c r="E44" s="1" t="s">
        <v>14</v>
      </c>
      <c r="F44" s="1" t="s">
        <v>102</v>
      </c>
      <c r="G44" s="29" t="n">
        <v>46286</v>
      </c>
      <c r="H44" s="30" t="n">
        <v>28</v>
      </c>
      <c r="I44" s="1" t="s">
        <v>202</v>
      </c>
      <c r="J44" s="1" t="s">
        <v>200</v>
      </c>
      <c r="K44" s="1" t="n">
        <v>31</v>
      </c>
      <c r="L44" s="1" t="s">
        <v>198</v>
      </c>
    </row>
    <row r="45" customFormat="false" ht="15" hidden="false" customHeight="true" outlineLevel="0" collapsed="false">
      <c r="A45" s="1" t="s">
        <v>12</v>
      </c>
      <c r="B45" s="1" t="s">
        <v>132</v>
      </c>
      <c r="C45" s="1" t="s">
        <v>14</v>
      </c>
      <c r="D45" s="1" t="s">
        <v>24</v>
      </c>
      <c r="E45" s="1" t="s">
        <v>14</v>
      </c>
      <c r="F45" s="1" t="s">
        <v>103</v>
      </c>
      <c r="G45" s="29" t="n">
        <v>46286</v>
      </c>
      <c r="H45" s="30" t="n">
        <v>15</v>
      </c>
      <c r="I45" s="1" t="s">
        <v>202</v>
      </c>
      <c r="J45" s="1" t="s">
        <v>197</v>
      </c>
      <c r="K45" s="1" t="n">
        <v>25.346154</v>
      </c>
      <c r="L45" s="1" t="s">
        <v>198</v>
      </c>
    </row>
    <row r="46" customFormat="false" ht="15" hidden="false" customHeight="true" outlineLevel="0" collapsed="false">
      <c r="A46" s="1" t="s">
        <v>29</v>
      </c>
      <c r="B46" s="1" t="s">
        <v>28</v>
      </c>
      <c r="C46" s="1" t="s">
        <v>10</v>
      </c>
      <c r="D46" s="1" t="s">
        <v>35</v>
      </c>
      <c r="E46" s="1" t="s">
        <v>10</v>
      </c>
      <c r="F46" s="1" t="s">
        <v>91</v>
      </c>
      <c r="G46" s="29" t="n">
        <v>46293</v>
      </c>
      <c r="H46" s="30" t="n">
        <v>5</v>
      </c>
      <c r="I46" s="1" t="s">
        <v>196</v>
      </c>
      <c r="J46" s="1" t="s">
        <v>197</v>
      </c>
      <c r="K46" s="1" t="n">
        <v>40</v>
      </c>
      <c r="L46" s="1" t="s">
        <v>198</v>
      </c>
    </row>
    <row r="47" customFormat="false" ht="15" hidden="false" customHeight="true" outlineLevel="0" collapsed="false">
      <c r="A47" s="1" t="s">
        <v>12</v>
      </c>
      <c r="B47" s="1" t="s">
        <v>130</v>
      </c>
      <c r="C47" s="1" t="s">
        <v>14</v>
      </c>
      <c r="D47" s="1" t="s">
        <v>21</v>
      </c>
      <c r="E47" s="1" t="s">
        <v>14</v>
      </c>
      <c r="F47" s="1" t="s">
        <v>85</v>
      </c>
      <c r="G47" s="29" t="n">
        <v>46293</v>
      </c>
      <c r="H47" s="30" t="n">
        <v>22</v>
      </c>
      <c r="I47" s="1" t="s">
        <v>202</v>
      </c>
      <c r="J47" s="1" t="s">
        <v>197</v>
      </c>
      <c r="K47" s="1" t="n">
        <v>34</v>
      </c>
      <c r="L47" s="1" t="s">
        <v>198</v>
      </c>
    </row>
    <row r="48" customFormat="false" ht="15" hidden="false" customHeight="true" outlineLevel="0" collapsed="false">
      <c r="A48" s="1" t="s">
        <v>12</v>
      </c>
      <c r="B48" s="1" t="s">
        <v>128</v>
      </c>
      <c r="C48" s="1" t="s">
        <v>14</v>
      </c>
      <c r="D48" s="1" t="s">
        <v>128</v>
      </c>
      <c r="E48" s="1" t="s">
        <v>14</v>
      </c>
      <c r="F48" s="1" t="s">
        <v>108</v>
      </c>
      <c r="G48" s="29" t="n">
        <v>46293</v>
      </c>
      <c r="H48" s="30" t="n">
        <v>3</v>
      </c>
      <c r="I48" s="1" t="s">
        <v>203</v>
      </c>
      <c r="J48" s="1" t="s">
        <v>200</v>
      </c>
      <c r="K48" s="1" t="n">
        <v>3</v>
      </c>
      <c r="L48" s="1" t="s">
        <v>201</v>
      </c>
    </row>
    <row r="49" customFormat="false" ht="15" hidden="false" customHeight="true" outlineLevel="0" collapsed="false">
      <c r="A49" s="1" t="s">
        <v>12</v>
      </c>
      <c r="B49" s="1" t="s">
        <v>129</v>
      </c>
      <c r="C49" s="1" t="s">
        <v>14</v>
      </c>
      <c r="D49" s="1" t="s">
        <v>17</v>
      </c>
      <c r="E49" s="1" t="s">
        <v>14</v>
      </c>
      <c r="F49" s="1" t="s">
        <v>102</v>
      </c>
      <c r="G49" s="29" t="n">
        <v>46293</v>
      </c>
      <c r="H49" s="30" t="n">
        <v>16</v>
      </c>
      <c r="I49" s="1" t="s">
        <v>202</v>
      </c>
      <c r="J49" s="1" t="s">
        <v>200</v>
      </c>
      <c r="K49" s="1" t="n">
        <v>19</v>
      </c>
      <c r="L49" s="1" t="s">
        <v>198</v>
      </c>
    </row>
    <row r="50" customFormat="false" ht="15" hidden="false" customHeight="true" outlineLevel="0" collapsed="false">
      <c r="A50" s="1" t="s">
        <v>12</v>
      </c>
      <c r="B50" s="1" t="s">
        <v>132</v>
      </c>
      <c r="C50" s="1" t="s">
        <v>14</v>
      </c>
      <c r="D50" s="1" t="s">
        <v>24</v>
      </c>
      <c r="E50" s="1" t="s">
        <v>14</v>
      </c>
      <c r="F50" s="1" t="s">
        <v>103</v>
      </c>
      <c r="G50" s="29" t="n">
        <v>46293</v>
      </c>
      <c r="H50" s="30" t="n">
        <v>15</v>
      </c>
      <c r="I50" s="1" t="s">
        <v>202</v>
      </c>
      <c r="J50" s="1" t="s">
        <v>197</v>
      </c>
      <c r="K50" s="1" t="n">
        <v>31.346154</v>
      </c>
      <c r="L50" s="1" t="s">
        <v>198</v>
      </c>
    </row>
    <row r="51" customFormat="false" ht="15" hidden="false" customHeight="true" outlineLevel="0" collapsed="false">
      <c r="A51" s="1" t="s">
        <v>12</v>
      </c>
      <c r="B51" s="1" t="s">
        <v>130</v>
      </c>
      <c r="C51" s="1" t="s">
        <v>14</v>
      </c>
      <c r="D51" s="1" t="s">
        <v>21</v>
      </c>
      <c r="E51" s="1" t="s">
        <v>14</v>
      </c>
      <c r="F51" s="1" t="s">
        <v>85</v>
      </c>
      <c r="G51" s="29" t="n">
        <v>46300</v>
      </c>
      <c r="H51" s="30" t="n">
        <v>24</v>
      </c>
      <c r="I51" s="1" t="s">
        <v>202</v>
      </c>
      <c r="J51" s="1" t="s">
        <v>197</v>
      </c>
      <c r="K51" s="1" t="n">
        <v>40</v>
      </c>
      <c r="L51" s="1" t="s">
        <v>198</v>
      </c>
    </row>
    <row r="52" customFormat="false" ht="15" hidden="false" customHeight="true" outlineLevel="0" collapsed="false">
      <c r="A52" s="1" t="s">
        <v>12</v>
      </c>
      <c r="B52" s="1" t="s">
        <v>130</v>
      </c>
      <c r="C52" s="1" t="s">
        <v>14</v>
      </c>
      <c r="D52" s="1" t="s">
        <v>30</v>
      </c>
      <c r="E52" s="1" t="s">
        <v>14</v>
      </c>
      <c r="F52" s="1" t="s">
        <v>85</v>
      </c>
      <c r="G52" s="29" t="n">
        <v>46300</v>
      </c>
      <c r="H52" s="30" t="n">
        <v>2</v>
      </c>
      <c r="I52" s="1" t="s">
        <v>202</v>
      </c>
      <c r="J52" s="1" t="s">
        <v>197</v>
      </c>
      <c r="K52" s="1" t="n">
        <v>26</v>
      </c>
      <c r="L52" s="1" t="s">
        <v>198</v>
      </c>
    </row>
    <row r="53" customFormat="false" ht="15" hidden="false" customHeight="true" outlineLevel="0" collapsed="false">
      <c r="A53" s="1" t="s">
        <v>12</v>
      </c>
      <c r="B53" s="1" t="s">
        <v>133</v>
      </c>
      <c r="C53" s="1" t="s">
        <v>14</v>
      </c>
      <c r="D53" s="1" t="s">
        <v>17</v>
      </c>
      <c r="E53" s="1" t="s">
        <v>14</v>
      </c>
      <c r="F53" s="1" t="s">
        <v>46</v>
      </c>
      <c r="G53" s="29" t="n">
        <v>46300</v>
      </c>
      <c r="H53" s="30" t="n">
        <v>1.5</v>
      </c>
      <c r="I53" s="1" t="s">
        <v>204</v>
      </c>
      <c r="J53" s="1" t="s">
        <v>197</v>
      </c>
      <c r="K53" s="1" t="n">
        <v>14.5</v>
      </c>
      <c r="L53" s="1" t="s">
        <v>198</v>
      </c>
    </row>
    <row r="54" customFormat="false" ht="15" hidden="false" customHeight="true" outlineLevel="0" collapsed="false">
      <c r="A54" s="1" t="s">
        <v>12</v>
      </c>
      <c r="B54" s="1" t="s">
        <v>128</v>
      </c>
      <c r="C54" s="1" t="s">
        <v>14</v>
      </c>
      <c r="D54" s="1" t="s">
        <v>128</v>
      </c>
      <c r="E54" s="1" t="s">
        <v>14</v>
      </c>
      <c r="F54" s="1" t="s">
        <v>108</v>
      </c>
      <c r="G54" s="29" t="n">
        <v>46300</v>
      </c>
      <c r="H54" s="30" t="n">
        <v>0.9</v>
      </c>
      <c r="I54" s="1" t="s">
        <v>203</v>
      </c>
      <c r="J54" s="1" t="s">
        <v>200</v>
      </c>
      <c r="K54" s="1" t="n">
        <v>0.9</v>
      </c>
      <c r="L54" s="1" t="s">
        <v>201</v>
      </c>
    </row>
    <row r="55" customFormat="false" ht="15" hidden="false" customHeight="true" outlineLevel="0" collapsed="false">
      <c r="A55" s="1" t="s">
        <v>12</v>
      </c>
      <c r="B55" s="1" t="s">
        <v>129</v>
      </c>
      <c r="C55" s="1" t="s">
        <v>14</v>
      </c>
      <c r="D55" s="1" t="s">
        <v>26</v>
      </c>
      <c r="E55" s="1" t="s">
        <v>14</v>
      </c>
      <c r="F55" s="1" t="s">
        <v>102</v>
      </c>
      <c r="G55" s="29" t="n">
        <v>46300</v>
      </c>
      <c r="H55" s="30" t="n">
        <v>20</v>
      </c>
      <c r="I55" s="1" t="s">
        <v>202</v>
      </c>
      <c r="J55" s="1" t="s">
        <v>197</v>
      </c>
      <c r="K55" s="1" t="n">
        <v>40</v>
      </c>
      <c r="L55" s="1" t="s">
        <v>198</v>
      </c>
    </row>
    <row r="56" customFormat="false" ht="15" hidden="false" customHeight="true" outlineLevel="0" collapsed="false">
      <c r="A56" s="1" t="s">
        <v>12</v>
      </c>
      <c r="B56" s="1" t="s">
        <v>132</v>
      </c>
      <c r="C56" s="1" t="s">
        <v>14</v>
      </c>
      <c r="D56" s="1" t="s">
        <v>24</v>
      </c>
      <c r="E56" s="1" t="s">
        <v>14</v>
      </c>
      <c r="F56" s="1" t="s">
        <v>103</v>
      </c>
      <c r="G56" s="29" t="n">
        <v>46300</v>
      </c>
      <c r="H56" s="30" t="n">
        <v>10</v>
      </c>
      <c r="I56" s="1" t="s">
        <v>202</v>
      </c>
      <c r="J56" s="1" t="s">
        <v>197</v>
      </c>
      <c r="K56" s="1" t="n">
        <v>26.346154</v>
      </c>
      <c r="L56" s="1" t="s">
        <v>198</v>
      </c>
    </row>
    <row r="57" customFormat="false" ht="15" hidden="false" customHeight="true" outlineLevel="0" collapsed="false">
      <c r="A57" s="1" t="s">
        <v>29</v>
      </c>
      <c r="B57" s="1" t="s">
        <v>31</v>
      </c>
      <c r="C57" s="1" t="s">
        <v>14</v>
      </c>
      <c r="D57" s="1" t="s">
        <v>120</v>
      </c>
      <c r="E57" s="1" t="s">
        <v>14</v>
      </c>
      <c r="F57" s="1" t="s">
        <v>92</v>
      </c>
      <c r="G57" s="29" t="n">
        <v>46307</v>
      </c>
      <c r="H57" s="30" t="n">
        <v>10</v>
      </c>
      <c r="I57" s="1" t="s">
        <v>196</v>
      </c>
      <c r="J57" s="1" t="s">
        <v>197</v>
      </c>
      <c r="K57" s="1" t="n">
        <v>30</v>
      </c>
      <c r="L57" s="1" t="s">
        <v>198</v>
      </c>
    </row>
    <row r="58" customFormat="false" ht="15" hidden="false" customHeight="true" outlineLevel="0" collapsed="false">
      <c r="A58" s="1" t="s">
        <v>29</v>
      </c>
      <c r="B58" s="1" t="s">
        <v>32</v>
      </c>
      <c r="C58" s="1" t="s">
        <v>14</v>
      </c>
      <c r="D58" s="1" t="s">
        <v>120</v>
      </c>
      <c r="E58" s="1" t="s">
        <v>14</v>
      </c>
      <c r="F58" s="1" t="s">
        <v>92</v>
      </c>
      <c r="G58" s="29" t="n">
        <v>46307</v>
      </c>
      <c r="H58" s="30" t="n">
        <v>10</v>
      </c>
      <c r="I58" s="1" t="s">
        <v>196</v>
      </c>
      <c r="J58" s="1" t="s">
        <v>197</v>
      </c>
      <c r="K58" s="1" t="n">
        <v>40</v>
      </c>
      <c r="L58" s="1" t="s">
        <v>198</v>
      </c>
    </row>
    <row r="59" customFormat="false" ht="15" hidden="false" customHeight="true" outlineLevel="0" collapsed="false">
      <c r="A59" s="1" t="s">
        <v>12</v>
      </c>
      <c r="B59" s="1" t="s">
        <v>30</v>
      </c>
      <c r="C59" s="1" t="s">
        <v>14</v>
      </c>
      <c r="D59" s="1" t="s">
        <v>13</v>
      </c>
      <c r="E59" s="1" t="s">
        <v>14</v>
      </c>
      <c r="F59" s="1" t="s">
        <v>100</v>
      </c>
      <c r="G59" s="29" t="n">
        <v>46307</v>
      </c>
      <c r="H59" s="30" t="n">
        <v>15</v>
      </c>
      <c r="I59" s="1" t="s">
        <v>196</v>
      </c>
      <c r="J59" s="1" t="s">
        <v>197</v>
      </c>
      <c r="K59" s="1" t="n">
        <v>40</v>
      </c>
      <c r="L59" s="1" t="s">
        <v>198</v>
      </c>
    </row>
    <row r="60" customFormat="false" ht="15" hidden="false" customHeight="true" outlineLevel="0" collapsed="false">
      <c r="A60" s="1" t="s">
        <v>12</v>
      </c>
      <c r="B60" s="1" t="s">
        <v>130</v>
      </c>
      <c r="C60" s="1" t="s">
        <v>14</v>
      </c>
      <c r="D60" s="1" t="s">
        <v>21</v>
      </c>
      <c r="E60" s="1" t="s">
        <v>14</v>
      </c>
      <c r="F60" s="1" t="s">
        <v>85</v>
      </c>
      <c r="G60" s="29" t="n">
        <v>46307</v>
      </c>
      <c r="H60" s="30" t="n">
        <v>3</v>
      </c>
      <c r="I60" s="1" t="s">
        <v>202</v>
      </c>
      <c r="J60" s="1" t="s">
        <v>197</v>
      </c>
      <c r="K60" s="1" t="n">
        <v>40</v>
      </c>
      <c r="L60" s="1" t="s">
        <v>198</v>
      </c>
    </row>
    <row r="61" customFormat="false" ht="15" hidden="false" customHeight="true" outlineLevel="0" collapsed="false">
      <c r="A61" s="1" t="s">
        <v>12</v>
      </c>
      <c r="B61" s="1" t="s">
        <v>130</v>
      </c>
      <c r="C61" s="1" t="s">
        <v>14</v>
      </c>
      <c r="D61" s="1" t="s">
        <v>130</v>
      </c>
      <c r="E61" s="1" t="s">
        <v>14</v>
      </c>
      <c r="F61" s="1" t="s">
        <v>85</v>
      </c>
      <c r="G61" s="29" t="n">
        <v>46307</v>
      </c>
      <c r="H61" s="30" t="n">
        <v>19</v>
      </c>
      <c r="I61" s="1" t="s">
        <v>203</v>
      </c>
      <c r="J61" s="1" t="s">
        <v>197</v>
      </c>
      <c r="K61" s="1" t="n">
        <v>19</v>
      </c>
      <c r="L61" s="1" t="s">
        <v>201</v>
      </c>
    </row>
    <row r="62" customFormat="false" ht="15" hidden="false" customHeight="true" outlineLevel="0" collapsed="false">
      <c r="A62" s="1" t="s">
        <v>12</v>
      </c>
      <c r="B62" s="1" t="s">
        <v>134</v>
      </c>
      <c r="C62" s="1" t="s">
        <v>14</v>
      </c>
      <c r="D62" s="1" t="s">
        <v>17</v>
      </c>
      <c r="E62" s="1" t="s">
        <v>14</v>
      </c>
      <c r="F62" s="1" t="s">
        <v>99</v>
      </c>
      <c r="G62" s="29" t="n">
        <v>46307</v>
      </c>
      <c r="H62" s="30" t="n">
        <v>2.346154</v>
      </c>
      <c r="I62" s="1" t="s">
        <v>202</v>
      </c>
      <c r="J62" s="1" t="s">
        <v>200</v>
      </c>
      <c r="K62" s="1" t="n">
        <v>15.346154</v>
      </c>
      <c r="L62" s="1" t="s">
        <v>198</v>
      </c>
    </row>
    <row r="63" customFormat="false" ht="15" hidden="false" customHeight="true" outlineLevel="0" collapsed="false">
      <c r="A63" s="1" t="s">
        <v>12</v>
      </c>
      <c r="B63" s="1" t="s">
        <v>134</v>
      </c>
      <c r="C63" s="1" t="s">
        <v>14</v>
      </c>
      <c r="D63" s="1" t="s">
        <v>27</v>
      </c>
      <c r="E63" s="1" t="s">
        <v>14</v>
      </c>
      <c r="F63" s="1" t="s">
        <v>99</v>
      </c>
      <c r="G63" s="29" t="n">
        <v>46307</v>
      </c>
      <c r="H63" s="30" t="n">
        <v>22.653846</v>
      </c>
      <c r="I63" s="1" t="s">
        <v>202</v>
      </c>
      <c r="J63" s="1" t="s">
        <v>197</v>
      </c>
      <c r="K63" s="1" t="n">
        <v>40</v>
      </c>
      <c r="L63" s="1" t="s">
        <v>198</v>
      </c>
    </row>
    <row r="64" customFormat="false" ht="15" hidden="false" customHeight="true" outlineLevel="0" collapsed="false">
      <c r="A64" s="1" t="s">
        <v>12</v>
      </c>
      <c r="B64" s="1" t="s">
        <v>133</v>
      </c>
      <c r="C64" s="1" t="s">
        <v>14</v>
      </c>
      <c r="D64" s="1" t="s">
        <v>17</v>
      </c>
      <c r="E64" s="1" t="s">
        <v>14</v>
      </c>
      <c r="F64" s="1" t="s">
        <v>46</v>
      </c>
      <c r="G64" s="29" t="n">
        <v>46307</v>
      </c>
      <c r="H64" s="30" t="n">
        <v>1.5</v>
      </c>
      <c r="I64" s="1" t="s">
        <v>204</v>
      </c>
      <c r="J64" s="1" t="s">
        <v>197</v>
      </c>
      <c r="K64" s="1" t="n">
        <v>16.846154</v>
      </c>
      <c r="L64" s="1" t="s">
        <v>198</v>
      </c>
    </row>
    <row r="65" customFormat="false" ht="15" hidden="false" customHeight="true" outlineLevel="0" collapsed="false">
      <c r="A65" s="1" t="s">
        <v>12</v>
      </c>
      <c r="B65" s="1" t="s">
        <v>129</v>
      </c>
      <c r="C65" s="1" t="s">
        <v>14</v>
      </c>
      <c r="D65" s="1" t="s">
        <v>17</v>
      </c>
      <c r="E65" s="1" t="s">
        <v>14</v>
      </c>
      <c r="F65" s="1" t="s">
        <v>102</v>
      </c>
      <c r="G65" s="29" t="n">
        <v>46307</v>
      </c>
      <c r="H65" s="30" t="n">
        <v>20</v>
      </c>
      <c r="I65" s="1" t="s">
        <v>202</v>
      </c>
      <c r="J65" s="1" t="s">
        <v>200</v>
      </c>
      <c r="K65" s="1" t="n">
        <v>36.846154</v>
      </c>
      <c r="L65" s="1" t="s">
        <v>198</v>
      </c>
    </row>
    <row r="66" customFormat="false" ht="15" hidden="false" customHeight="true" outlineLevel="0" collapsed="false">
      <c r="A66" s="1" t="s">
        <v>12</v>
      </c>
      <c r="B66" s="1" t="s">
        <v>132</v>
      </c>
      <c r="C66" s="1" t="s">
        <v>14</v>
      </c>
      <c r="D66" s="1" t="s">
        <v>24</v>
      </c>
      <c r="E66" s="1" t="s">
        <v>14</v>
      </c>
      <c r="F66" s="1" t="s">
        <v>103</v>
      </c>
      <c r="G66" s="29" t="n">
        <v>46307</v>
      </c>
      <c r="H66" s="30" t="n">
        <v>8.653846</v>
      </c>
      <c r="I66" s="1" t="s">
        <v>202</v>
      </c>
      <c r="J66" s="1" t="s">
        <v>197</v>
      </c>
      <c r="K66" s="1" t="n">
        <v>40</v>
      </c>
      <c r="L66" s="1" t="s">
        <v>198</v>
      </c>
    </row>
    <row r="67" customFormat="false" ht="15" hidden="false" customHeight="true" outlineLevel="0" collapsed="false">
      <c r="A67" s="1" t="s">
        <v>12</v>
      </c>
      <c r="B67" s="1" t="s">
        <v>132</v>
      </c>
      <c r="C67" s="1" t="s">
        <v>14</v>
      </c>
      <c r="D67" s="1" t="s">
        <v>27</v>
      </c>
      <c r="E67" s="1" t="s">
        <v>14</v>
      </c>
      <c r="F67" s="1" t="s">
        <v>103</v>
      </c>
      <c r="G67" s="29" t="n">
        <v>46307</v>
      </c>
      <c r="H67" s="30" t="n">
        <v>6.346154</v>
      </c>
      <c r="I67" s="1" t="s">
        <v>202</v>
      </c>
      <c r="J67" s="1" t="s">
        <v>200</v>
      </c>
      <c r="K67" s="1" t="n">
        <v>17.346154</v>
      </c>
      <c r="L67" s="1" t="s">
        <v>198</v>
      </c>
    </row>
    <row r="68" customFormat="false" ht="15" hidden="false" customHeight="true" outlineLevel="0" collapsed="false">
      <c r="A68" s="1" t="s">
        <v>29</v>
      </c>
      <c r="B68" s="1" t="s">
        <v>28</v>
      </c>
      <c r="C68" s="1" t="s">
        <v>10</v>
      </c>
      <c r="D68" s="1" t="s">
        <v>143</v>
      </c>
      <c r="E68" s="1" t="s">
        <v>10</v>
      </c>
      <c r="F68" s="1" t="s">
        <v>92</v>
      </c>
      <c r="G68" s="29" t="n">
        <v>46314</v>
      </c>
      <c r="H68" s="30" t="n">
        <v>10</v>
      </c>
      <c r="I68" s="1" t="s">
        <v>196</v>
      </c>
      <c r="J68" s="1" t="s">
        <v>200</v>
      </c>
      <c r="K68" s="1" t="n">
        <v>10</v>
      </c>
      <c r="L68" s="1" t="s">
        <v>201</v>
      </c>
    </row>
    <row r="69" customFormat="false" ht="15" hidden="false" customHeight="true" outlineLevel="0" collapsed="false">
      <c r="A69" s="1" t="s">
        <v>29</v>
      </c>
      <c r="B69" s="1" t="s">
        <v>18</v>
      </c>
      <c r="C69" s="1" t="s">
        <v>16</v>
      </c>
      <c r="D69" s="1" t="s">
        <v>90</v>
      </c>
      <c r="E69" s="1" t="s">
        <v>16</v>
      </c>
      <c r="F69" s="1" t="s">
        <v>91</v>
      </c>
      <c r="G69" s="29" t="n">
        <v>46314</v>
      </c>
      <c r="H69" s="30" t="n">
        <v>5</v>
      </c>
      <c r="I69" s="1" t="s">
        <v>196</v>
      </c>
      <c r="J69" s="1" t="s">
        <v>197</v>
      </c>
      <c r="K69" s="1" t="n">
        <v>31.5</v>
      </c>
      <c r="L69" s="1" t="s">
        <v>198</v>
      </c>
    </row>
    <row r="70" customFormat="false" ht="15" hidden="false" customHeight="true" outlineLevel="0" collapsed="false">
      <c r="A70" s="1" t="s">
        <v>12</v>
      </c>
      <c r="B70" s="1" t="s">
        <v>36</v>
      </c>
      <c r="C70" s="1" t="s">
        <v>10</v>
      </c>
      <c r="D70" s="1" t="s">
        <v>9</v>
      </c>
      <c r="E70" s="1" t="s">
        <v>10</v>
      </c>
      <c r="F70" s="1" t="s">
        <v>84</v>
      </c>
      <c r="G70" s="29" t="n">
        <v>46314</v>
      </c>
      <c r="H70" s="30" t="n">
        <v>2.5</v>
      </c>
      <c r="I70" s="1" t="s">
        <v>196</v>
      </c>
      <c r="J70" s="1" t="s">
        <v>197</v>
      </c>
      <c r="K70" s="1" t="n">
        <v>17.5</v>
      </c>
      <c r="L70" s="1" t="s">
        <v>198</v>
      </c>
    </row>
    <row r="71" customFormat="false" ht="15" hidden="false" customHeight="true" outlineLevel="0" collapsed="false">
      <c r="A71" s="1" t="s">
        <v>12</v>
      </c>
      <c r="B71" s="1" t="s">
        <v>23</v>
      </c>
      <c r="C71" s="1" t="s">
        <v>10</v>
      </c>
      <c r="D71" s="1" t="s">
        <v>9</v>
      </c>
      <c r="E71" s="1" t="s">
        <v>10</v>
      </c>
      <c r="F71" s="1" t="s">
        <v>81</v>
      </c>
      <c r="G71" s="29" t="n">
        <v>46314</v>
      </c>
      <c r="H71" s="30" t="n">
        <v>0.614035</v>
      </c>
      <c r="I71" s="1" t="s">
        <v>196</v>
      </c>
      <c r="J71" s="1" t="s">
        <v>197</v>
      </c>
      <c r="K71" s="1" t="n">
        <v>18.114035</v>
      </c>
      <c r="L71" s="1" t="s">
        <v>198</v>
      </c>
    </row>
    <row r="72" customFormat="false" ht="15" hidden="false" customHeight="true" outlineLevel="0" collapsed="false">
      <c r="A72" s="1" t="s">
        <v>12</v>
      </c>
      <c r="B72" s="1" t="s">
        <v>23</v>
      </c>
      <c r="C72" s="1" t="s">
        <v>10</v>
      </c>
      <c r="D72" s="1" t="s">
        <v>22</v>
      </c>
      <c r="E72" s="1" t="s">
        <v>10</v>
      </c>
      <c r="F72" s="1" t="s">
        <v>102</v>
      </c>
      <c r="G72" s="29" t="n">
        <v>46314</v>
      </c>
      <c r="H72" s="30" t="n">
        <v>1</v>
      </c>
      <c r="I72" s="1" t="s">
        <v>196</v>
      </c>
      <c r="J72" s="1" t="s">
        <v>197</v>
      </c>
      <c r="K72" s="1" t="n">
        <v>14</v>
      </c>
      <c r="L72" s="1" t="s">
        <v>198</v>
      </c>
    </row>
    <row r="73" customFormat="false" ht="15" hidden="false" customHeight="true" outlineLevel="0" collapsed="false">
      <c r="A73" s="1" t="s">
        <v>12</v>
      </c>
      <c r="B73" s="1" t="s">
        <v>23</v>
      </c>
      <c r="C73" s="1" t="s">
        <v>10</v>
      </c>
      <c r="D73" s="1" t="s">
        <v>9</v>
      </c>
      <c r="E73" s="1" t="s">
        <v>10</v>
      </c>
      <c r="F73" s="1" t="s">
        <v>84</v>
      </c>
      <c r="G73" s="29" t="n">
        <v>46314</v>
      </c>
      <c r="H73" s="30" t="n">
        <v>5</v>
      </c>
      <c r="I73" s="1" t="s">
        <v>196</v>
      </c>
      <c r="J73" s="1" t="s">
        <v>197</v>
      </c>
      <c r="K73" s="1" t="n">
        <v>23.114035</v>
      </c>
      <c r="L73" s="1" t="s">
        <v>198</v>
      </c>
    </row>
    <row r="74" customFormat="false" ht="15" hidden="false" customHeight="true" outlineLevel="0" collapsed="false">
      <c r="A74" s="1" t="s">
        <v>12</v>
      </c>
      <c r="B74" s="1" t="s">
        <v>23</v>
      </c>
      <c r="C74" s="1" t="s">
        <v>10</v>
      </c>
      <c r="D74" s="1" t="s">
        <v>20</v>
      </c>
      <c r="E74" s="1" t="s">
        <v>10</v>
      </c>
      <c r="F74" s="1" t="s">
        <v>88</v>
      </c>
      <c r="G74" s="29" t="n">
        <v>46314</v>
      </c>
      <c r="H74" s="30" t="n">
        <v>1.5</v>
      </c>
      <c r="I74" s="1" t="s">
        <v>196</v>
      </c>
      <c r="J74" s="1" t="s">
        <v>197</v>
      </c>
      <c r="K74" s="1" t="n">
        <v>40</v>
      </c>
      <c r="L74" s="1" t="s">
        <v>198</v>
      </c>
    </row>
    <row r="75" customFormat="false" ht="15" hidden="false" customHeight="true" outlineLevel="0" collapsed="false">
      <c r="A75" s="1" t="s">
        <v>12</v>
      </c>
      <c r="B75" s="1" t="s">
        <v>23</v>
      </c>
      <c r="C75" s="1" t="s">
        <v>10</v>
      </c>
      <c r="D75" s="1" t="s">
        <v>117</v>
      </c>
      <c r="E75" s="1" t="s">
        <v>10</v>
      </c>
      <c r="F75" s="1" t="s">
        <v>88</v>
      </c>
      <c r="G75" s="29" t="n">
        <v>46314</v>
      </c>
      <c r="H75" s="30" t="n">
        <v>6.5</v>
      </c>
      <c r="I75" s="1" t="s">
        <v>196</v>
      </c>
      <c r="J75" s="1" t="s">
        <v>200</v>
      </c>
      <c r="K75" s="1" t="n">
        <v>6.5</v>
      </c>
      <c r="L75" s="1" t="s">
        <v>198</v>
      </c>
    </row>
    <row r="76" customFormat="false" ht="15" hidden="false" customHeight="true" outlineLevel="0" collapsed="false">
      <c r="A76" s="1" t="s">
        <v>12</v>
      </c>
      <c r="B76" s="1" t="s">
        <v>17</v>
      </c>
      <c r="C76" s="1" t="s">
        <v>14</v>
      </c>
      <c r="D76" s="1" t="s">
        <v>27</v>
      </c>
      <c r="E76" s="1" t="s">
        <v>14</v>
      </c>
      <c r="F76" s="1" t="s">
        <v>84</v>
      </c>
      <c r="G76" s="29" t="n">
        <v>46314</v>
      </c>
      <c r="H76" s="30" t="n">
        <v>2</v>
      </c>
      <c r="I76" s="1" t="s">
        <v>196</v>
      </c>
      <c r="J76" s="1" t="s">
        <v>197</v>
      </c>
      <c r="K76" s="1" t="n">
        <v>18</v>
      </c>
      <c r="L76" s="1" t="s">
        <v>198</v>
      </c>
    </row>
    <row r="77" customFormat="false" ht="15" hidden="false" customHeight="true" outlineLevel="0" collapsed="false">
      <c r="A77" s="1" t="s">
        <v>12</v>
      </c>
      <c r="B77" s="1" t="s">
        <v>17</v>
      </c>
      <c r="C77" s="1" t="s">
        <v>14</v>
      </c>
      <c r="D77" s="1" t="s">
        <v>123</v>
      </c>
      <c r="E77" s="1" t="s">
        <v>14</v>
      </c>
      <c r="F77" s="1" t="s">
        <v>46</v>
      </c>
      <c r="G77" s="29" t="n">
        <v>46314</v>
      </c>
      <c r="H77" s="30" t="n">
        <v>3</v>
      </c>
      <c r="I77" s="1" t="s">
        <v>196</v>
      </c>
      <c r="J77" s="1" t="s">
        <v>197</v>
      </c>
      <c r="K77" s="1" t="n">
        <v>4.384615</v>
      </c>
      <c r="L77" s="1" t="s">
        <v>198</v>
      </c>
    </row>
    <row r="78" customFormat="false" ht="15" hidden="false" customHeight="true" outlineLevel="0" collapsed="false">
      <c r="A78" s="1" t="s">
        <v>12</v>
      </c>
      <c r="B78" s="1" t="s">
        <v>24</v>
      </c>
      <c r="C78" s="1" t="s">
        <v>14</v>
      </c>
      <c r="D78" s="1" t="s">
        <v>13</v>
      </c>
      <c r="E78" s="1" t="s">
        <v>14</v>
      </c>
      <c r="F78" s="1" t="s">
        <v>81</v>
      </c>
      <c r="G78" s="29" t="n">
        <v>46314</v>
      </c>
      <c r="H78" s="30" t="n">
        <v>1.346154</v>
      </c>
      <c r="I78" s="1" t="s">
        <v>196</v>
      </c>
      <c r="J78" s="1" t="s">
        <v>197</v>
      </c>
      <c r="K78" s="1" t="n">
        <v>12.846154</v>
      </c>
      <c r="L78" s="1" t="s">
        <v>198</v>
      </c>
    </row>
    <row r="79" customFormat="false" ht="15" hidden="false" customHeight="true" outlineLevel="0" collapsed="false">
      <c r="A79" s="1" t="s">
        <v>12</v>
      </c>
      <c r="B79" s="1" t="s">
        <v>24</v>
      </c>
      <c r="C79" s="1" t="s">
        <v>14</v>
      </c>
      <c r="D79" s="1" t="s">
        <v>27</v>
      </c>
      <c r="E79" s="1" t="s">
        <v>14</v>
      </c>
      <c r="F79" s="1" t="s">
        <v>84</v>
      </c>
      <c r="G79" s="29" t="n">
        <v>46314</v>
      </c>
      <c r="H79" s="30" t="n">
        <v>5</v>
      </c>
      <c r="I79" s="1" t="s">
        <v>196</v>
      </c>
      <c r="J79" s="1" t="s">
        <v>197</v>
      </c>
      <c r="K79" s="1" t="n">
        <v>23</v>
      </c>
      <c r="L79" s="1" t="s">
        <v>198</v>
      </c>
    </row>
    <row r="80" customFormat="false" ht="15" hidden="false" customHeight="true" outlineLevel="0" collapsed="false">
      <c r="A80" s="1" t="s">
        <v>12</v>
      </c>
      <c r="B80" s="1" t="s">
        <v>18</v>
      </c>
      <c r="C80" s="1" t="s">
        <v>16</v>
      </c>
      <c r="D80" s="1" t="s">
        <v>15</v>
      </c>
      <c r="E80" s="1" t="s">
        <v>16</v>
      </c>
      <c r="F80" s="1" t="s">
        <v>79</v>
      </c>
      <c r="G80" s="29" t="n">
        <v>46314</v>
      </c>
      <c r="H80" s="30" t="n">
        <v>1.403509</v>
      </c>
      <c r="I80" s="1" t="s">
        <v>196</v>
      </c>
      <c r="J80" s="1" t="s">
        <v>197</v>
      </c>
      <c r="K80" s="1" t="n">
        <v>14.057018</v>
      </c>
      <c r="L80" s="1" t="s">
        <v>198</v>
      </c>
    </row>
    <row r="81" customFormat="false" ht="15" hidden="false" customHeight="true" outlineLevel="0" collapsed="false">
      <c r="A81" s="1" t="s">
        <v>12</v>
      </c>
      <c r="B81" s="1" t="s">
        <v>18</v>
      </c>
      <c r="C81" s="1" t="s">
        <v>16</v>
      </c>
      <c r="D81" s="1" t="s">
        <v>15</v>
      </c>
      <c r="E81" s="1" t="s">
        <v>16</v>
      </c>
      <c r="F81" s="1" t="s">
        <v>81</v>
      </c>
      <c r="G81" s="29" t="n">
        <v>46314</v>
      </c>
      <c r="H81" s="30" t="n">
        <v>0.25</v>
      </c>
      <c r="I81" s="1" t="s">
        <v>196</v>
      </c>
      <c r="J81" s="1" t="s">
        <v>197</v>
      </c>
      <c r="K81" s="1" t="n">
        <v>12.653509</v>
      </c>
      <c r="L81" s="1" t="s">
        <v>198</v>
      </c>
    </row>
    <row r="82" customFormat="false" ht="15" hidden="false" customHeight="true" outlineLevel="0" collapsed="false">
      <c r="A82" s="1" t="s">
        <v>12</v>
      </c>
      <c r="B82" s="1" t="s">
        <v>18</v>
      </c>
      <c r="C82" s="1" t="s">
        <v>16</v>
      </c>
      <c r="D82" s="1" t="s">
        <v>90</v>
      </c>
      <c r="E82" s="1" t="s">
        <v>16</v>
      </c>
      <c r="F82" s="1" t="s">
        <v>84</v>
      </c>
      <c r="G82" s="29" t="n">
        <v>46314</v>
      </c>
      <c r="H82" s="30" t="n">
        <v>1</v>
      </c>
      <c r="I82" s="1" t="s">
        <v>196</v>
      </c>
      <c r="J82" s="1" t="s">
        <v>197</v>
      </c>
      <c r="K82" s="1" t="n">
        <v>26.5</v>
      </c>
      <c r="L82" s="1" t="s">
        <v>198</v>
      </c>
    </row>
    <row r="83" customFormat="false" ht="15" hidden="false" customHeight="true" outlineLevel="0" collapsed="false">
      <c r="A83" s="1" t="s">
        <v>12</v>
      </c>
      <c r="B83" s="1" t="s">
        <v>18</v>
      </c>
      <c r="C83" s="1" t="s">
        <v>16</v>
      </c>
      <c r="D83" s="1" t="s">
        <v>75</v>
      </c>
      <c r="E83" s="1" t="s">
        <v>16</v>
      </c>
      <c r="F83" s="1" t="s">
        <v>85</v>
      </c>
      <c r="G83" s="29" t="n">
        <v>46314</v>
      </c>
      <c r="H83" s="30" t="n">
        <v>1</v>
      </c>
      <c r="I83" s="1" t="s">
        <v>196</v>
      </c>
      <c r="J83" s="1" t="s">
        <v>197</v>
      </c>
      <c r="K83" s="1" t="n">
        <v>34.929825</v>
      </c>
      <c r="L83" s="1" t="s">
        <v>198</v>
      </c>
    </row>
    <row r="84" customFormat="false" ht="15" hidden="false" customHeight="true" outlineLevel="0" collapsed="false">
      <c r="A84" s="1" t="s">
        <v>12</v>
      </c>
      <c r="B84" s="1" t="s">
        <v>18</v>
      </c>
      <c r="C84" s="1" t="s">
        <v>16</v>
      </c>
      <c r="D84" s="1" t="s">
        <v>15</v>
      </c>
      <c r="E84" s="1" t="s">
        <v>16</v>
      </c>
      <c r="F84" s="1" t="s">
        <v>103</v>
      </c>
      <c r="G84" s="29" t="n">
        <v>46314</v>
      </c>
      <c r="H84" s="30" t="n">
        <v>10</v>
      </c>
      <c r="I84" s="1" t="s">
        <v>196</v>
      </c>
      <c r="J84" s="1" t="s">
        <v>200</v>
      </c>
      <c r="K84" s="1" t="n">
        <v>26.057018</v>
      </c>
      <c r="L84" s="1" t="s">
        <v>198</v>
      </c>
    </row>
    <row r="85" customFormat="false" ht="15" hidden="false" customHeight="true" outlineLevel="0" collapsed="false">
      <c r="A85" s="1" t="s">
        <v>12</v>
      </c>
      <c r="B85" s="1" t="s">
        <v>18</v>
      </c>
      <c r="C85" s="1" t="s">
        <v>16</v>
      </c>
      <c r="D85" s="1" t="s">
        <v>15</v>
      </c>
      <c r="E85" s="1" t="s">
        <v>16</v>
      </c>
      <c r="F85" s="1" t="s">
        <v>99</v>
      </c>
      <c r="G85" s="29" t="n">
        <v>46314</v>
      </c>
      <c r="H85" s="30" t="n">
        <v>2</v>
      </c>
      <c r="I85" s="1" t="s">
        <v>196</v>
      </c>
      <c r="J85" s="1" t="s">
        <v>197</v>
      </c>
      <c r="K85" s="1" t="n">
        <v>16.057018</v>
      </c>
      <c r="L85" s="1" t="s">
        <v>198</v>
      </c>
    </row>
    <row r="86" customFormat="false" ht="15" hidden="false" customHeight="true" outlineLevel="0" collapsed="false">
      <c r="A86" s="1" t="s">
        <v>12</v>
      </c>
      <c r="B86" s="1" t="s">
        <v>18</v>
      </c>
      <c r="C86" s="1" t="s">
        <v>16</v>
      </c>
      <c r="D86" s="1" t="s">
        <v>75</v>
      </c>
      <c r="E86" s="1" t="s">
        <v>16</v>
      </c>
      <c r="F86" s="1" t="s">
        <v>88</v>
      </c>
      <c r="G86" s="29" t="n">
        <v>46314</v>
      </c>
      <c r="H86" s="30" t="n">
        <v>1.754386</v>
      </c>
      <c r="I86" s="1" t="s">
        <v>196</v>
      </c>
      <c r="J86" s="1" t="s">
        <v>197</v>
      </c>
      <c r="K86" s="1" t="n">
        <v>36.684211</v>
      </c>
      <c r="L86" s="1" t="s">
        <v>198</v>
      </c>
    </row>
    <row r="87" customFormat="false" ht="15" hidden="false" customHeight="true" outlineLevel="0" collapsed="false">
      <c r="A87" s="1" t="s">
        <v>12</v>
      </c>
      <c r="B87" s="1" t="s">
        <v>18</v>
      </c>
      <c r="C87" s="1" t="s">
        <v>16</v>
      </c>
      <c r="D87" s="1" t="s">
        <v>25</v>
      </c>
      <c r="E87" s="1" t="s">
        <v>16</v>
      </c>
      <c r="F87" s="1" t="s">
        <v>88</v>
      </c>
      <c r="G87" s="29" t="n">
        <v>46314</v>
      </c>
      <c r="H87" s="30" t="n">
        <v>5.245614</v>
      </c>
      <c r="I87" s="1" t="s">
        <v>196</v>
      </c>
      <c r="J87" s="1" t="s">
        <v>197</v>
      </c>
      <c r="K87" s="1" t="n">
        <v>40</v>
      </c>
      <c r="L87" s="1" t="s">
        <v>198</v>
      </c>
    </row>
    <row r="88" customFormat="false" ht="15" hidden="false" customHeight="true" outlineLevel="0" collapsed="false">
      <c r="A88" s="1" t="s">
        <v>12</v>
      </c>
      <c r="B88" s="1" t="s">
        <v>118</v>
      </c>
      <c r="C88" s="1" t="s">
        <v>10</v>
      </c>
      <c r="D88" s="1" t="s">
        <v>117</v>
      </c>
      <c r="E88" s="1" t="s">
        <v>10</v>
      </c>
      <c r="F88" s="1" t="s">
        <v>88</v>
      </c>
      <c r="G88" s="29" t="n">
        <v>46314</v>
      </c>
      <c r="H88" s="30" t="n">
        <v>10</v>
      </c>
      <c r="I88" s="1" t="s">
        <v>202</v>
      </c>
      <c r="J88" s="1" t="s">
        <v>200</v>
      </c>
      <c r="K88" s="1" t="n">
        <v>16.5</v>
      </c>
      <c r="L88" s="1" t="s">
        <v>198</v>
      </c>
    </row>
    <row r="89" customFormat="false" ht="15" hidden="false" customHeight="true" outlineLevel="0" collapsed="false">
      <c r="A89" s="1" t="s">
        <v>12</v>
      </c>
      <c r="B89" s="1" t="s">
        <v>119</v>
      </c>
      <c r="C89" s="1" t="s">
        <v>10</v>
      </c>
      <c r="D89" s="1" t="s">
        <v>116</v>
      </c>
      <c r="E89" s="1" t="s">
        <v>10</v>
      </c>
      <c r="F89" s="1" t="s">
        <v>88</v>
      </c>
      <c r="G89" s="29" t="n">
        <v>46314</v>
      </c>
      <c r="H89" s="30" t="n">
        <v>10</v>
      </c>
      <c r="I89" s="1" t="s">
        <v>202</v>
      </c>
      <c r="J89" s="1" t="s">
        <v>200</v>
      </c>
      <c r="K89" s="1" t="n">
        <v>21</v>
      </c>
      <c r="L89" s="1" t="s">
        <v>198</v>
      </c>
    </row>
    <row r="90" customFormat="false" ht="15" hidden="false" customHeight="true" outlineLevel="0" collapsed="false">
      <c r="A90" s="1" t="s">
        <v>12</v>
      </c>
      <c r="B90" s="1" t="s">
        <v>126</v>
      </c>
      <c r="C90" s="1" t="s">
        <v>14</v>
      </c>
      <c r="D90" s="1" t="s">
        <v>27</v>
      </c>
      <c r="E90" s="1" t="s">
        <v>14</v>
      </c>
      <c r="F90" s="1" t="s">
        <v>84</v>
      </c>
      <c r="G90" s="29" t="n">
        <v>46314</v>
      </c>
      <c r="H90" s="30" t="n">
        <v>5</v>
      </c>
      <c r="I90" s="1" t="s">
        <v>202</v>
      </c>
      <c r="J90" s="1" t="s">
        <v>197</v>
      </c>
      <c r="K90" s="1" t="n">
        <v>28</v>
      </c>
      <c r="L90" s="1" t="s">
        <v>198</v>
      </c>
    </row>
    <row r="91" customFormat="false" ht="15" hidden="false" customHeight="true" outlineLevel="0" collapsed="false">
      <c r="A91" s="1" t="s">
        <v>12</v>
      </c>
      <c r="B91" s="1" t="s">
        <v>130</v>
      </c>
      <c r="C91" s="1" t="s">
        <v>14</v>
      </c>
      <c r="D91" s="1" t="s">
        <v>30</v>
      </c>
      <c r="E91" s="1" t="s">
        <v>14</v>
      </c>
      <c r="F91" s="1" t="s">
        <v>85</v>
      </c>
      <c r="G91" s="29" t="n">
        <v>46314</v>
      </c>
      <c r="H91" s="30" t="n">
        <v>2</v>
      </c>
      <c r="I91" s="1" t="s">
        <v>202</v>
      </c>
      <c r="J91" s="1" t="s">
        <v>197</v>
      </c>
      <c r="K91" s="1" t="n">
        <v>31</v>
      </c>
      <c r="L91" s="1" t="s">
        <v>198</v>
      </c>
    </row>
    <row r="92" customFormat="false" ht="15" hidden="false" customHeight="true" outlineLevel="0" collapsed="false">
      <c r="A92" s="1" t="s">
        <v>12</v>
      </c>
      <c r="B92" s="1" t="s">
        <v>134</v>
      </c>
      <c r="C92" s="1" t="s">
        <v>14</v>
      </c>
      <c r="D92" s="1" t="s">
        <v>13</v>
      </c>
      <c r="E92" s="1" t="s">
        <v>14</v>
      </c>
      <c r="F92" s="1" t="s">
        <v>99</v>
      </c>
      <c r="G92" s="29" t="n">
        <v>46314</v>
      </c>
      <c r="H92" s="30" t="n">
        <v>25</v>
      </c>
      <c r="I92" s="1" t="s">
        <v>202</v>
      </c>
      <c r="J92" s="1" t="s">
        <v>197</v>
      </c>
      <c r="K92" s="1" t="n">
        <v>37.846154</v>
      </c>
      <c r="L92" s="1" t="s">
        <v>198</v>
      </c>
    </row>
    <row r="93" customFormat="false" ht="15" hidden="false" customHeight="true" outlineLevel="0" collapsed="false">
      <c r="A93" s="1" t="s">
        <v>12</v>
      </c>
      <c r="B93" s="1" t="s">
        <v>133</v>
      </c>
      <c r="C93" s="1" t="s">
        <v>14</v>
      </c>
      <c r="D93" s="1" t="s">
        <v>123</v>
      </c>
      <c r="E93" s="1" t="s">
        <v>14</v>
      </c>
      <c r="F93" s="1" t="s">
        <v>46</v>
      </c>
      <c r="G93" s="29" t="n">
        <v>46314</v>
      </c>
      <c r="H93" s="30" t="n">
        <v>1.5</v>
      </c>
      <c r="I93" s="1" t="s">
        <v>204</v>
      </c>
      <c r="J93" s="1" t="s">
        <v>197</v>
      </c>
      <c r="K93" s="1" t="n">
        <v>5.884615</v>
      </c>
      <c r="L93" s="1" t="s">
        <v>198</v>
      </c>
    </row>
    <row r="94" customFormat="false" ht="15" hidden="false" customHeight="true" outlineLevel="0" collapsed="false">
      <c r="A94" s="1" t="s">
        <v>12</v>
      </c>
      <c r="B94" s="1" t="s">
        <v>129</v>
      </c>
      <c r="C94" s="1" t="s">
        <v>14</v>
      </c>
      <c r="D94" s="1" t="s">
        <v>26</v>
      </c>
      <c r="E94" s="1" t="s">
        <v>14</v>
      </c>
      <c r="F94" s="1" t="s">
        <v>102</v>
      </c>
      <c r="G94" s="29" t="n">
        <v>46314</v>
      </c>
      <c r="H94" s="30" t="n">
        <v>11.9</v>
      </c>
      <c r="I94" s="1" t="s">
        <v>202</v>
      </c>
      <c r="J94" s="1" t="s">
        <v>197</v>
      </c>
      <c r="K94" s="1" t="n">
        <v>40</v>
      </c>
      <c r="L94" s="1" t="s">
        <v>198</v>
      </c>
    </row>
    <row r="95" customFormat="false" ht="15" hidden="false" customHeight="true" outlineLevel="0" collapsed="false">
      <c r="A95" s="1" t="s">
        <v>12</v>
      </c>
      <c r="B95" s="1" t="s">
        <v>129</v>
      </c>
      <c r="C95" s="1" t="s">
        <v>14</v>
      </c>
      <c r="D95" s="1" t="s">
        <v>129</v>
      </c>
      <c r="E95" s="1" t="s">
        <v>14</v>
      </c>
      <c r="F95" s="1" t="s">
        <v>102</v>
      </c>
      <c r="G95" s="29" t="n">
        <v>46314</v>
      </c>
      <c r="H95" s="30" t="n">
        <v>3.1</v>
      </c>
      <c r="I95" s="1" t="s">
        <v>203</v>
      </c>
      <c r="J95" s="1" t="s">
        <v>200</v>
      </c>
      <c r="K95" s="1" t="n">
        <v>3.1</v>
      </c>
      <c r="L95" s="1" t="s">
        <v>201</v>
      </c>
    </row>
    <row r="96" customFormat="false" ht="15" hidden="false" customHeight="true" outlineLevel="0" collapsed="false">
      <c r="A96" s="1" t="s">
        <v>12</v>
      </c>
      <c r="B96" s="1" t="s">
        <v>132</v>
      </c>
      <c r="C96" s="1" t="s">
        <v>14</v>
      </c>
      <c r="D96" s="1" t="s">
        <v>162</v>
      </c>
      <c r="E96" s="1" t="s">
        <v>14</v>
      </c>
      <c r="F96" s="1" t="s">
        <v>103</v>
      </c>
      <c r="G96" s="29" t="n">
        <v>46314</v>
      </c>
      <c r="H96" s="30" t="n">
        <v>15</v>
      </c>
      <c r="I96" s="1" t="s">
        <v>203</v>
      </c>
      <c r="J96" s="1" t="s">
        <v>197</v>
      </c>
      <c r="K96" s="1" t="n">
        <v>15</v>
      </c>
      <c r="L96" s="1" t="s">
        <v>201</v>
      </c>
    </row>
    <row r="97" customFormat="false" ht="15" hidden="false" customHeight="true" outlineLevel="0" collapsed="false">
      <c r="A97" s="1" t="s">
        <v>29</v>
      </c>
      <c r="B97" s="1" t="s">
        <v>28</v>
      </c>
      <c r="C97" s="1" t="s">
        <v>10</v>
      </c>
      <c r="D97" s="1" t="s">
        <v>143</v>
      </c>
      <c r="E97" s="1" t="s">
        <v>10</v>
      </c>
      <c r="F97" s="1" t="s">
        <v>92</v>
      </c>
      <c r="G97" s="29" t="n">
        <v>46321</v>
      </c>
      <c r="H97" s="30" t="n">
        <v>10</v>
      </c>
      <c r="I97" s="1" t="s">
        <v>196</v>
      </c>
      <c r="J97" s="1" t="s">
        <v>197</v>
      </c>
      <c r="K97" s="1" t="n">
        <v>10</v>
      </c>
      <c r="L97" s="1" t="s">
        <v>201</v>
      </c>
    </row>
    <row r="98" customFormat="false" ht="15" hidden="false" customHeight="true" outlineLevel="0" collapsed="false">
      <c r="A98" s="1" t="s">
        <v>29</v>
      </c>
      <c r="B98" s="1" t="s">
        <v>18</v>
      </c>
      <c r="C98" s="1" t="s">
        <v>16</v>
      </c>
      <c r="D98" s="1" t="s">
        <v>90</v>
      </c>
      <c r="E98" s="1" t="s">
        <v>16</v>
      </c>
      <c r="F98" s="1" t="s">
        <v>91</v>
      </c>
      <c r="G98" s="29" t="n">
        <v>46321</v>
      </c>
      <c r="H98" s="30" t="n">
        <v>5</v>
      </c>
      <c r="I98" s="1" t="s">
        <v>196</v>
      </c>
      <c r="J98" s="1" t="s">
        <v>197</v>
      </c>
      <c r="K98" s="1" t="n">
        <v>32.5</v>
      </c>
      <c r="L98" s="1" t="s">
        <v>198</v>
      </c>
    </row>
    <row r="99" customFormat="false" ht="15" hidden="false" customHeight="true" outlineLevel="0" collapsed="false">
      <c r="A99" s="1" t="s">
        <v>12</v>
      </c>
      <c r="B99" s="1" t="s">
        <v>23</v>
      </c>
      <c r="C99" s="1" t="s">
        <v>10</v>
      </c>
      <c r="D99" s="1" t="s">
        <v>9</v>
      </c>
      <c r="E99" s="1" t="s">
        <v>10</v>
      </c>
      <c r="F99" s="1" t="s">
        <v>81</v>
      </c>
      <c r="G99" s="29" t="n">
        <v>46321</v>
      </c>
      <c r="H99" s="30" t="n">
        <v>0.614035</v>
      </c>
      <c r="I99" s="1" t="s">
        <v>196</v>
      </c>
      <c r="J99" s="1" t="s">
        <v>197</v>
      </c>
      <c r="K99" s="1" t="n">
        <v>15.614035</v>
      </c>
      <c r="L99" s="1" t="s">
        <v>198</v>
      </c>
    </row>
    <row r="100" customFormat="false" ht="15" hidden="false" customHeight="true" outlineLevel="0" collapsed="false">
      <c r="A100" s="1" t="s">
        <v>12</v>
      </c>
      <c r="B100" s="1" t="s">
        <v>23</v>
      </c>
      <c r="C100" s="1" t="s">
        <v>10</v>
      </c>
      <c r="D100" s="1" t="s">
        <v>22</v>
      </c>
      <c r="E100" s="1" t="s">
        <v>10</v>
      </c>
      <c r="F100" s="1" t="s">
        <v>102</v>
      </c>
      <c r="G100" s="29" t="n">
        <v>46321</v>
      </c>
      <c r="H100" s="30" t="n">
        <v>6</v>
      </c>
      <c r="I100" s="1" t="s">
        <v>196</v>
      </c>
      <c r="J100" s="1" t="s">
        <v>197</v>
      </c>
      <c r="K100" s="1" t="n">
        <v>6</v>
      </c>
      <c r="L100" s="1" t="s">
        <v>198</v>
      </c>
    </row>
    <row r="101" customFormat="false" ht="15" hidden="false" customHeight="true" outlineLevel="0" collapsed="false">
      <c r="A101" s="1" t="s">
        <v>12</v>
      </c>
      <c r="B101" s="1" t="s">
        <v>23</v>
      </c>
      <c r="C101" s="1" t="s">
        <v>10</v>
      </c>
      <c r="D101" s="1" t="s">
        <v>9</v>
      </c>
      <c r="E101" s="1" t="s">
        <v>10</v>
      </c>
      <c r="F101" s="1" t="s">
        <v>84</v>
      </c>
      <c r="G101" s="29" t="n">
        <v>46321</v>
      </c>
      <c r="H101" s="30" t="n">
        <v>5</v>
      </c>
      <c r="I101" s="1" t="s">
        <v>196</v>
      </c>
      <c r="J101" s="1" t="s">
        <v>197</v>
      </c>
      <c r="K101" s="1" t="n">
        <v>20.614035</v>
      </c>
      <c r="L101" s="1" t="s">
        <v>198</v>
      </c>
    </row>
    <row r="102" customFormat="false" ht="15" hidden="false" customHeight="true" outlineLevel="0" collapsed="false">
      <c r="A102" s="1" t="s">
        <v>12</v>
      </c>
      <c r="B102" s="1" t="s">
        <v>23</v>
      </c>
      <c r="C102" s="1" t="s">
        <v>10</v>
      </c>
      <c r="D102" s="1" t="s">
        <v>20</v>
      </c>
      <c r="E102" s="1" t="s">
        <v>10</v>
      </c>
      <c r="F102" s="1" t="s">
        <v>88</v>
      </c>
      <c r="G102" s="29" t="n">
        <v>46321</v>
      </c>
      <c r="H102" s="30" t="n">
        <v>6</v>
      </c>
      <c r="I102" s="1" t="s">
        <v>196</v>
      </c>
      <c r="J102" s="1" t="s">
        <v>197</v>
      </c>
      <c r="K102" s="1" t="n">
        <v>36.5</v>
      </c>
      <c r="L102" s="1" t="s">
        <v>198</v>
      </c>
    </row>
    <row r="103" customFormat="false" ht="15" hidden="false" customHeight="true" outlineLevel="0" collapsed="false">
      <c r="A103" s="1" t="s">
        <v>12</v>
      </c>
      <c r="B103" s="1" t="s">
        <v>17</v>
      </c>
      <c r="C103" s="1" t="s">
        <v>14</v>
      </c>
      <c r="D103" s="1" t="s">
        <v>27</v>
      </c>
      <c r="E103" s="1" t="s">
        <v>14</v>
      </c>
      <c r="F103" s="1" t="s">
        <v>84</v>
      </c>
      <c r="G103" s="29" t="n">
        <v>46321</v>
      </c>
      <c r="H103" s="30" t="n">
        <v>3</v>
      </c>
      <c r="I103" s="1" t="s">
        <v>196</v>
      </c>
      <c r="J103" s="1" t="s">
        <v>197</v>
      </c>
      <c r="K103" s="1" t="n">
        <v>14</v>
      </c>
      <c r="L103" s="1" t="s">
        <v>198</v>
      </c>
    </row>
    <row r="104" customFormat="false" ht="15" hidden="false" customHeight="true" outlineLevel="0" collapsed="false">
      <c r="A104" s="1" t="s">
        <v>12</v>
      </c>
      <c r="B104" s="1" t="s">
        <v>17</v>
      </c>
      <c r="C104" s="1" t="s">
        <v>14</v>
      </c>
      <c r="D104" s="1" t="s">
        <v>123</v>
      </c>
      <c r="E104" s="1" t="s">
        <v>14</v>
      </c>
      <c r="F104" s="1" t="s">
        <v>46</v>
      </c>
      <c r="G104" s="29" t="n">
        <v>46321</v>
      </c>
      <c r="H104" s="30" t="n">
        <v>3</v>
      </c>
      <c r="I104" s="1" t="s">
        <v>196</v>
      </c>
      <c r="J104" s="1" t="s">
        <v>197</v>
      </c>
      <c r="K104" s="1" t="n">
        <v>4.384615</v>
      </c>
      <c r="L104" s="1" t="s">
        <v>198</v>
      </c>
    </row>
    <row r="105" customFormat="false" ht="15" hidden="false" customHeight="true" outlineLevel="0" collapsed="false">
      <c r="A105" s="1" t="s">
        <v>12</v>
      </c>
      <c r="B105" s="1" t="s">
        <v>21</v>
      </c>
      <c r="C105" s="1" t="s">
        <v>14</v>
      </c>
      <c r="D105" s="1" t="s">
        <v>27</v>
      </c>
      <c r="E105" s="1" t="s">
        <v>14</v>
      </c>
      <c r="F105" s="1" t="s">
        <v>84</v>
      </c>
      <c r="G105" s="29" t="n">
        <v>46321</v>
      </c>
      <c r="H105" s="30" t="n">
        <v>5</v>
      </c>
      <c r="I105" s="1" t="s">
        <v>196</v>
      </c>
      <c r="J105" s="1" t="s">
        <v>197</v>
      </c>
      <c r="K105" s="1" t="n">
        <v>19</v>
      </c>
      <c r="L105" s="1" t="s">
        <v>198</v>
      </c>
    </row>
    <row r="106" customFormat="false" ht="15" hidden="false" customHeight="true" outlineLevel="0" collapsed="false">
      <c r="A106" s="1" t="s">
        <v>12</v>
      </c>
      <c r="B106" s="1" t="s">
        <v>21</v>
      </c>
      <c r="C106" s="1" t="s">
        <v>14</v>
      </c>
      <c r="D106" s="1" t="s">
        <v>13</v>
      </c>
      <c r="E106" s="1" t="s">
        <v>14</v>
      </c>
      <c r="F106" s="1" t="s">
        <v>43</v>
      </c>
      <c r="G106" s="29" t="n">
        <v>46321</v>
      </c>
      <c r="H106" s="30" t="n">
        <v>1</v>
      </c>
      <c r="I106" s="1" t="s">
        <v>196</v>
      </c>
      <c r="J106" s="1" t="s">
        <v>197</v>
      </c>
      <c r="K106" s="1" t="n">
        <v>30</v>
      </c>
      <c r="L106" s="1" t="s">
        <v>198</v>
      </c>
    </row>
    <row r="107" customFormat="false" ht="15" hidden="false" customHeight="true" outlineLevel="0" collapsed="false">
      <c r="A107" s="1" t="s">
        <v>12</v>
      </c>
      <c r="B107" s="1" t="s">
        <v>18</v>
      </c>
      <c r="C107" s="1" t="s">
        <v>16</v>
      </c>
      <c r="D107" s="1" t="s">
        <v>15</v>
      </c>
      <c r="E107" s="1" t="s">
        <v>16</v>
      </c>
      <c r="F107" s="1" t="s">
        <v>79</v>
      </c>
      <c r="G107" s="29" t="n">
        <v>46321</v>
      </c>
      <c r="H107" s="30" t="n">
        <v>1.403509</v>
      </c>
      <c r="I107" s="1" t="s">
        <v>196</v>
      </c>
      <c r="J107" s="1" t="s">
        <v>197</v>
      </c>
      <c r="K107" s="1" t="n">
        <v>10.057018</v>
      </c>
      <c r="L107" s="1" t="s">
        <v>198</v>
      </c>
    </row>
    <row r="108" customFormat="false" ht="15" hidden="false" customHeight="true" outlineLevel="0" collapsed="false">
      <c r="A108" s="1" t="s">
        <v>12</v>
      </c>
      <c r="B108" s="1" t="s">
        <v>18</v>
      </c>
      <c r="C108" s="1" t="s">
        <v>16</v>
      </c>
      <c r="D108" s="1" t="s">
        <v>15</v>
      </c>
      <c r="E108" s="1" t="s">
        <v>16</v>
      </c>
      <c r="F108" s="1" t="s">
        <v>81</v>
      </c>
      <c r="G108" s="29" t="n">
        <v>46321</v>
      </c>
      <c r="H108" s="30" t="n">
        <v>0.25</v>
      </c>
      <c r="I108" s="1" t="s">
        <v>196</v>
      </c>
      <c r="J108" s="1" t="s">
        <v>197</v>
      </c>
      <c r="K108" s="1" t="n">
        <v>8.653509</v>
      </c>
      <c r="L108" s="1" t="s">
        <v>198</v>
      </c>
    </row>
    <row r="109" customFormat="false" ht="15" hidden="false" customHeight="true" outlineLevel="0" collapsed="false">
      <c r="A109" s="1" t="s">
        <v>12</v>
      </c>
      <c r="B109" s="1" t="s">
        <v>18</v>
      </c>
      <c r="C109" s="1" t="s">
        <v>16</v>
      </c>
      <c r="D109" s="1" t="s">
        <v>90</v>
      </c>
      <c r="E109" s="1" t="s">
        <v>16</v>
      </c>
      <c r="F109" s="1" t="s">
        <v>84</v>
      </c>
      <c r="G109" s="29" t="n">
        <v>46321</v>
      </c>
      <c r="H109" s="30" t="n">
        <v>2</v>
      </c>
      <c r="I109" s="1" t="s">
        <v>196</v>
      </c>
      <c r="J109" s="1" t="s">
        <v>197</v>
      </c>
      <c r="K109" s="1" t="n">
        <v>27.5</v>
      </c>
      <c r="L109" s="1" t="s">
        <v>198</v>
      </c>
    </row>
    <row r="110" customFormat="false" ht="15" hidden="false" customHeight="true" outlineLevel="0" collapsed="false">
      <c r="A110" s="1" t="s">
        <v>12</v>
      </c>
      <c r="B110" s="1" t="s">
        <v>18</v>
      </c>
      <c r="C110" s="1" t="s">
        <v>16</v>
      </c>
      <c r="D110" s="1" t="s">
        <v>75</v>
      </c>
      <c r="E110" s="1" t="s">
        <v>16</v>
      </c>
      <c r="F110" s="1" t="s">
        <v>85</v>
      </c>
      <c r="G110" s="29" t="n">
        <v>46321</v>
      </c>
      <c r="H110" s="30" t="n">
        <v>1</v>
      </c>
      <c r="I110" s="1" t="s">
        <v>196</v>
      </c>
      <c r="J110" s="1" t="s">
        <v>197</v>
      </c>
      <c r="K110" s="1" t="n">
        <v>34.929825</v>
      </c>
      <c r="L110" s="1" t="s">
        <v>198</v>
      </c>
    </row>
    <row r="111" customFormat="false" ht="15" hidden="false" customHeight="true" outlineLevel="0" collapsed="false">
      <c r="A111" s="1" t="s">
        <v>12</v>
      </c>
      <c r="B111" s="1" t="s">
        <v>18</v>
      </c>
      <c r="C111" s="1" t="s">
        <v>16</v>
      </c>
      <c r="D111" s="1" t="s">
        <v>15</v>
      </c>
      <c r="E111" s="1" t="s">
        <v>16</v>
      </c>
      <c r="F111" s="1" t="s">
        <v>103</v>
      </c>
      <c r="G111" s="29" t="n">
        <v>46321</v>
      </c>
      <c r="H111" s="30" t="n">
        <v>6.85438600000001</v>
      </c>
      <c r="I111" s="1" t="s">
        <v>196</v>
      </c>
      <c r="J111" s="1" t="s">
        <v>200</v>
      </c>
      <c r="K111" s="1" t="n">
        <v>16.911404</v>
      </c>
      <c r="L111" s="1" t="s">
        <v>198</v>
      </c>
    </row>
    <row r="112" customFormat="false" ht="15" hidden="false" customHeight="true" outlineLevel="0" collapsed="false">
      <c r="A112" s="1" t="s">
        <v>12</v>
      </c>
      <c r="B112" s="1" t="s">
        <v>18</v>
      </c>
      <c r="C112" s="1" t="s">
        <v>16</v>
      </c>
      <c r="D112" s="1" t="s">
        <v>25</v>
      </c>
      <c r="E112" s="1" t="s">
        <v>16</v>
      </c>
      <c r="F112" s="1" t="s">
        <v>103</v>
      </c>
      <c r="G112" s="29" t="n">
        <v>46321</v>
      </c>
      <c r="H112" s="30" t="n">
        <v>3.145614</v>
      </c>
      <c r="I112" s="1" t="s">
        <v>196</v>
      </c>
      <c r="J112" s="1" t="s">
        <v>197</v>
      </c>
      <c r="K112" s="1" t="n">
        <v>40</v>
      </c>
      <c r="L112" s="1" t="s">
        <v>198</v>
      </c>
    </row>
    <row r="113" customFormat="false" ht="15" hidden="false" customHeight="true" outlineLevel="0" collapsed="false">
      <c r="A113" s="1" t="s">
        <v>12</v>
      </c>
      <c r="B113" s="1" t="s">
        <v>18</v>
      </c>
      <c r="C113" s="1" t="s">
        <v>16</v>
      </c>
      <c r="D113" s="1" t="s">
        <v>75</v>
      </c>
      <c r="E113" s="1" t="s">
        <v>16</v>
      </c>
      <c r="F113" s="1" t="s">
        <v>88</v>
      </c>
      <c r="G113" s="29" t="n">
        <v>46321</v>
      </c>
      <c r="H113" s="30" t="n">
        <v>5.070175</v>
      </c>
      <c r="I113" s="1" t="s">
        <v>196</v>
      </c>
      <c r="J113" s="1" t="s">
        <v>197</v>
      </c>
      <c r="K113" s="1" t="n">
        <v>40</v>
      </c>
      <c r="L113" s="1" t="s">
        <v>198</v>
      </c>
    </row>
    <row r="114" customFormat="false" ht="15" hidden="false" customHeight="true" outlineLevel="0" collapsed="false">
      <c r="A114" s="1" t="s">
        <v>12</v>
      </c>
      <c r="B114" s="1" t="s">
        <v>18</v>
      </c>
      <c r="C114" s="1" t="s">
        <v>16</v>
      </c>
      <c r="D114" s="1" t="s">
        <v>15</v>
      </c>
      <c r="E114" s="1" t="s">
        <v>16</v>
      </c>
      <c r="F114" s="1" t="s">
        <v>88</v>
      </c>
      <c r="G114" s="29" t="n">
        <v>46321</v>
      </c>
      <c r="H114" s="30" t="n">
        <v>4.929825</v>
      </c>
      <c r="I114" s="1" t="s">
        <v>196</v>
      </c>
      <c r="J114" s="1" t="s">
        <v>200</v>
      </c>
      <c r="K114" s="1" t="n">
        <v>21.841229</v>
      </c>
      <c r="L114" s="1" t="s">
        <v>198</v>
      </c>
    </row>
    <row r="115" customFormat="false" ht="15" hidden="false" customHeight="true" outlineLevel="0" collapsed="false">
      <c r="A115" s="1" t="s">
        <v>12</v>
      </c>
      <c r="B115" s="1" t="s">
        <v>118</v>
      </c>
      <c r="C115" s="1" t="s">
        <v>10</v>
      </c>
      <c r="D115" s="1" t="s">
        <v>36</v>
      </c>
      <c r="E115" s="1" t="s">
        <v>10</v>
      </c>
      <c r="F115" s="1" t="s">
        <v>88</v>
      </c>
      <c r="G115" s="29" t="n">
        <v>46321</v>
      </c>
      <c r="H115" s="30" t="n">
        <v>8</v>
      </c>
      <c r="I115" s="1" t="s">
        <v>202</v>
      </c>
      <c r="J115" s="1" t="s">
        <v>197</v>
      </c>
      <c r="K115" s="1" t="n">
        <v>39.5</v>
      </c>
      <c r="L115" s="1" t="s">
        <v>198</v>
      </c>
    </row>
    <row r="116" customFormat="false" ht="15" hidden="false" customHeight="true" outlineLevel="0" collapsed="false">
      <c r="A116" s="1" t="s">
        <v>12</v>
      </c>
      <c r="B116" s="1" t="s">
        <v>119</v>
      </c>
      <c r="C116" s="1" t="s">
        <v>10</v>
      </c>
      <c r="D116" s="1" t="s">
        <v>36</v>
      </c>
      <c r="E116" s="1" t="s">
        <v>10</v>
      </c>
      <c r="F116" s="1" t="s">
        <v>88</v>
      </c>
      <c r="G116" s="29" t="n">
        <v>46321</v>
      </c>
      <c r="H116" s="30" t="n">
        <v>0.5</v>
      </c>
      <c r="I116" s="1" t="s">
        <v>202</v>
      </c>
      <c r="J116" s="1" t="s">
        <v>197</v>
      </c>
      <c r="K116" s="1" t="n">
        <v>40</v>
      </c>
      <c r="L116" s="1" t="s">
        <v>198</v>
      </c>
    </row>
    <row r="117" customFormat="false" ht="15" hidden="false" customHeight="true" outlineLevel="0" collapsed="false">
      <c r="A117" s="1" t="s">
        <v>12</v>
      </c>
      <c r="B117" s="1" t="s">
        <v>119</v>
      </c>
      <c r="C117" s="1" t="s">
        <v>10</v>
      </c>
      <c r="D117" s="1" t="s">
        <v>20</v>
      </c>
      <c r="E117" s="1" t="s">
        <v>10</v>
      </c>
      <c r="F117" s="1" t="s">
        <v>88</v>
      </c>
      <c r="G117" s="29" t="n">
        <v>46321</v>
      </c>
      <c r="H117" s="30" t="n">
        <v>3.5</v>
      </c>
      <c r="I117" s="1" t="s">
        <v>202</v>
      </c>
      <c r="J117" s="1" t="s">
        <v>197</v>
      </c>
      <c r="K117" s="1" t="n">
        <v>40</v>
      </c>
      <c r="L117" s="1" t="s">
        <v>198</v>
      </c>
    </row>
    <row r="118" customFormat="false" ht="15" hidden="false" customHeight="true" outlineLevel="0" collapsed="false">
      <c r="A118" s="1" t="s">
        <v>12</v>
      </c>
      <c r="B118" s="1" t="s">
        <v>119</v>
      </c>
      <c r="C118" s="1" t="s">
        <v>10</v>
      </c>
      <c r="D118" s="1" t="s">
        <v>117</v>
      </c>
      <c r="E118" s="1" t="s">
        <v>10</v>
      </c>
      <c r="F118" s="1" t="s">
        <v>88</v>
      </c>
      <c r="G118" s="29" t="n">
        <v>46321</v>
      </c>
      <c r="H118" s="30" t="n">
        <v>6</v>
      </c>
      <c r="I118" s="1" t="s">
        <v>202</v>
      </c>
      <c r="J118" s="1" t="s">
        <v>200</v>
      </c>
      <c r="K118" s="1" t="n">
        <v>6</v>
      </c>
      <c r="L118" s="1" t="s">
        <v>198</v>
      </c>
    </row>
    <row r="119" customFormat="false" ht="15" hidden="false" customHeight="true" outlineLevel="0" collapsed="false">
      <c r="A119" s="1" t="s">
        <v>12</v>
      </c>
      <c r="B119" s="1" t="s">
        <v>126</v>
      </c>
      <c r="C119" s="1" t="s">
        <v>14</v>
      </c>
      <c r="D119" s="1" t="s">
        <v>27</v>
      </c>
      <c r="E119" s="1" t="s">
        <v>14</v>
      </c>
      <c r="F119" s="1" t="s">
        <v>84</v>
      </c>
      <c r="G119" s="29" t="n">
        <v>46321</v>
      </c>
      <c r="H119" s="30" t="n">
        <v>5</v>
      </c>
      <c r="I119" s="1" t="s">
        <v>202</v>
      </c>
      <c r="J119" s="1" t="s">
        <v>197</v>
      </c>
      <c r="K119" s="1" t="n">
        <v>24</v>
      </c>
      <c r="L119" s="1" t="s">
        <v>198</v>
      </c>
    </row>
    <row r="120" customFormat="false" ht="15" hidden="false" customHeight="true" outlineLevel="0" collapsed="false">
      <c r="A120" s="1" t="s">
        <v>12</v>
      </c>
      <c r="B120" s="1" t="s">
        <v>130</v>
      </c>
      <c r="C120" s="1" t="s">
        <v>14</v>
      </c>
      <c r="D120" s="1" t="s">
        <v>30</v>
      </c>
      <c r="E120" s="1" t="s">
        <v>14</v>
      </c>
      <c r="F120" s="1" t="s">
        <v>85</v>
      </c>
      <c r="G120" s="29" t="n">
        <v>46321</v>
      </c>
      <c r="H120" s="30" t="n">
        <v>2</v>
      </c>
      <c r="I120" s="1" t="s">
        <v>202</v>
      </c>
      <c r="J120" s="1" t="s">
        <v>197</v>
      </c>
      <c r="K120" s="1" t="n">
        <v>19</v>
      </c>
      <c r="L120" s="1" t="s">
        <v>198</v>
      </c>
    </row>
    <row r="121" customFormat="false" ht="15" hidden="false" customHeight="true" outlineLevel="0" collapsed="false">
      <c r="A121" s="1" t="s">
        <v>12</v>
      </c>
      <c r="B121" s="1" t="s">
        <v>133</v>
      </c>
      <c r="C121" s="1" t="s">
        <v>14</v>
      </c>
      <c r="D121" s="1" t="s">
        <v>123</v>
      </c>
      <c r="E121" s="1" t="s">
        <v>14</v>
      </c>
      <c r="F121" s="1" t="s">
        <v>46</v>
      </c>
      <c r="G121" s="29" t="n">
        <v>46321</v>
      </c>
      <c r="H121" s="30" t="n">
        <v>1.5</v>
      </c>
      <c r="I121" s="1" t="s">
        <v>204</v>
      </c>
      <c r="J121" s="1" t="s">
        <v>197</v>
      </c>
      <c r="K121" s="1" t="n">
        <v>5.884615</v>
      </c>
      <c r="L121" s="1" t="s">
        <v>198</v>
      </c>
    </row>
    <row r="122" customFormat="false" ht="15" hidden="false" customHeight="true" outlineLevel="0" collapsed="false">
      <c r="A122" s="1" t="s">
        <v>12</v>
      </c>
      <c r="B122" s="1" t="s">
        <v>129</v>
      </c>
      <c r="C122" s="1" t="s">
        <v>14</v>
      </c>
      <c r="D122" s="1" t="s">
        <v>26</v>
      </c>
      <c r="E122" s="1" t="s">
        <v>14</v>
      </c>
      <c r="F122" s="1" t="s">
        <v>102</v>
      </c>
      <c r="G122" s="29" t="n">
        <v>46321</v>
      </c>
      <c r="H122" s="30" t="n">
        <v>15</v>
      </c>
      <c r="I122" s="1" t="s">
        <v>202</v>
      </c>
      <c r="J122" s="1" t="s">
        <v>197</v>
      </c>
      <c r="K122" s="1" t="n">
        <v>34.2</v>
      </c>
      <c r="L122" s="1" t="s">
        <v>198</v>
      </c>
    </row>
    <row r="123" customFormat="false" ht="15" hidden="false" customHeight="true" outlineLevel="0" collapsed="false">
      <c r="A123" s="1" t="s">
        <v>12</v>
      </c>
      <c r="B123" s="1" t="s">
        <v>132</v>
      </c>
      <c r="C123" s="1" t="s">
        <v>14</v>
      </c>
      <c r="D123" s="1" t="s">
        <v>24</v>
      </c>
      <c r="E123" s="1" t="s">
        <v>14</v>
      </c>
      <c r="F123" s="1" t="s">
        <v>103</v>
      </c>
      <c r="G123" s="29" t="n">
        <v>46321</v>
      </c>
      <c r="H123" s="30" t="n">
        <v>15</v>
      </c>
      <c r="I123" s="1" t="s">
        <v>202</v>
      </c>
      <c r="J123" s="1" t="s">
        <v>197</v>
      </c>
      <c r="K123" s="1" t="n">
        <v>36.346154</v>
      </c>
      <c r="L123" s="1" t="s">
        <v>198</v>
      </c>
    </row>
    <row r="124" customFormat="false" ht="15" hidden="false" customHeight="true" outlineLevel="0" collapsed="false">
      <c r="A124" s="1" t="s">
        <v>29</v>
      </c>
      <c r="B124" s="1" t="s">
        <v>28</v>
      </c>
      <c r="C124" s="1" t="s">
        <v>10</v>
      </c>
      <c r="D124" s="1" t="s">
        <v>35</v>
      </c>
      <c r="E124" s="1" t="s">
        <v>10</v>
      </c>
      <c r="F124" s="1" t="s">
        <v>92</v>
      </c>
      <c r="G124" s="29" t="n">
        <v>46328</v>
      </c>
      <c r="H124" s="30" t="n">
        <v>10</v>
      </c>
      <c r="I124" s="1" t="s">
        <v>196</v>
      </c>
      <c r="J124" s="1" t="s">
        <v>197</v>
      </c>
      <c r="K124" s="1" t="n">
        <v>30</v>
      </c>
      <c r="L124" s="1" t="s">
        <v>198</v>
      </c>
    </row>
    <row r="125" customFormat="false" ht="15" hidden="false" customHeight="true" outlineLevel="0" collapsed="false">
      <c r="A125" s="1" t="s">
        <v>12</v>
      </c>
      <c r="B125" s="1" t="s">
        <v>13</v>
      </c>
      <c r="C125" s="1" t="s">
        <v>14</v>
      </c>
      <c r="D125" s="1" t="s">
        <v>17</v>
      </c>
      <c r="E125" s="1" t="s">
        <v>14</v>
      </c>
      <c r="F125" s="1" t="s">
        <v>40</v>
      </c>
      <c r="G125" s="29" t="n">
        <v>46328</v>
      </c>
      <c r="H125" s="30" t="n">
        <v>8</v>
      </c>
      <c r="I125" s="1" t="s">
        <v>196</v>
      </c>
      <c r="J125" s="1" t="s">
        <v>197</v>
      </c>
      <c r="K125" s="1" t="n">
        <v>23</v>
      </c>
      <c r="L125" s="1" t="s">
        <v>198</v>
      </c>
    </row>
    <row r="126" customFormat="false" ht="15" hidden="false" customHeight="true" outlineLevel="0" collapsed="false">
      <c r="A126" s="1" t="s">
        <v>12</v>
      </c>
      <c r="B126" s="1" t="s">
        <v>13</v>
      </c>
      <c r="C126" s="1" t="s">
        <v>14</v>
      </c>
      <c r="D126" s="1" t="s">
        <v>26</v>
      </c>
      <c r="E126" s="1" t="s">
        <v>14</v>
      </c>
      <c r="F126" s="1" t="s">
        <v>98</v>
      </c>
      <c r="G126" s="29" t="n">
        <v>46328</v>
      </c>
      <c r="H126" s="30" t="n">
        <v>5</v>
      </c>
      <c r="I126" s="1" t="s">
        <v>196</v>
      </c>
      <c r="J126" s="1" t="s">
        <v>197</v>
      </c>
      <c r="K126" s="1" t="n">
        <v>39.4</v>
      </c>
      <c r="L126" s="1" t="s">
        <v>198</v>
      </c>
    </row>
    <row r="127" customFormat="false" ht="15" hidden="false" customHeight="true" outlineLevel="0" collapsed="false">
      <c r="A127" s="1" t="s">
        <v>12</v>
      </c>
      <c r="B127" s="1" t="s">
        <v>13</v>
      </c>
      <c r="C127" s="1" t="s">
        <v>14</v>
      </c>
      <c r="D127" s="1" t="s">
        <v>27</v>
      </c>
      <c r="E127" s="1" t="s">
        <v>14</v>
      </c>
      <c r="F127" s="1" t="s">
        <v>99</v>
      </c>
      <c r="G127" s="29" t="n">
        <v>46328</v>
      </c>
      <c r="H127" s="30" t="n">
        <v>9</v>
      </c>
      <c r="I127" s="1" t="s">
        <v>196</v>
      </c>
      <c r="J127" s="1" t="s">
        <v>197</v>
      </c>
      <c r="K127" s="1" t="n">
        <v>19</v>
      </c>
      <c r="L127" s="1" t="s">
        <v>198</v>
      </c>
    </row>
    <row r="128" customFormat="false" ht="15" hidden="false" customHeight="true" outlineLevel="0" collapsed="false">
      <c r="A128" s="1" t="s">
        <v>12</v>
      </c>
      <c r="B128" s="1" t="s">
        <v>13</v>
      </c>
      <c r="C128" s="1" t="s">
        <v>14</v>
      </c>
      <c r="D128" s="1" t="s">
        <v>30</v>
      </c>
      <c r="E128" s="1" t="s">
        <v>14</v>
      </c>
      <c r="F128" s="1" t="s">
        <v>100</v>
      </c>
      <c r="G128" s="29" t="n">
        <v>46328</v>
      </c>
      <c r="H128" s="30" t="n">
        <v>7</v>
      </c>
      <c r="I128" s="1" t="s">
        <v>196</v>
      </c>
      <c r="J128" s="1" t="s">
        <v>197</v>
      </c>
      <c r="K128" s="1" t="n">
        <v>12</v>
      </c>
      <c r="L128" s="1" t="s">
        <v>198</v>
      </c>
    </row>
    <row r="129" customFormat="false" ht="15" hidden="false" customHeight="true" outlineLevel="0" collapsed="false">
      <c r="A129" s="1" t="s">
        <v>12</v>
      </c>
      <c r="B129" s="1" t="s">
        <v>18</v>
      </c>
      <c r="C129" s="1" t="s">
        <v>16</v>
      </c>
      <c r="D129" s="1" t="s">
        <v>75</v>
      </c>
      <c r="E129" s="1" t="s">
        <v>16</v>
      </c>
      <c r="F129" s="1" t="s">
        <v>79</v>
      </c>
      <c r="G129" s="29" t="n">
        <v>46328</v>
      </c>
      <c r="H129" s="30" t="n">
        <v>1.403509</v>
      </c>
      <c r="I129" s="1" t="s">
        <v>196</v>
      </c>
      <c r="J129" s="1" t="s">
        <v>197</v>
      </c>
      <c r="K129" s="1" t="n">
        <v>12.583334</v>
      </c>
      <c r="L129" s="1" t="s">
        <v>198</v>
      </c>
    </row>
    <row r="130" customFormat="false" ht="15" hidden="false" customHeight="true" outlineLevel="0" collapsed="false">
      <c r="A130" s="1" t="s">
        <v>12</v>
      </c>
      <c r="B130" s="1" t="s">
        <v>18</v>
      </c>
      <c r="C130" s="1" t="s">
        <v>16</v>
      </c>
      <c r="D130" s="1" t="s">
        <v>75</v>
      </c>
      <c r="E130" s="1" t="s">
        <v>16</v>
      </c>
      <c r="F130" s="1" t="s">
        <v>81</v>
      </c>
      <c r="G130" s="29" t="n">
        <v>46328</v>
      </c>
      <c r="H130" s="30" t="n">
        <v>0.25</v>
      </c>
      <c r="I130" s="1" t="s">
        <v>196</v>
      </c>
      <c r="J130" s="1" t="s">
        <v>197</v>
      </c>
      <c r="K130" s="1" t="n">
        <v>10.179825</v>
      </c>
      <c r="L130" s="1" t="s">
        <v>198</v>
      </c>
    </row>
    <row r="131" customFormat="false" ht="15" hidden="false" customHeight="true" outlineLevel="0" collapsed="false">
      <c r="A131" s="1" t="s">
        <v>12</v>
      </c>
      <c r="B131" s="1" t="s">
        <v>18</v>
      </c>
      <c r="C131" s="1" t="s">
        <v>16</v>
      </c>
      <c r="D131" s="1" t="s">
        <v>75</v>
      </c>
      <c r="E131" s="1" t="s">
        <v>16</v>
      </c>
      <c r="F131" s="1" t="s">
        <v>85</v>
      </c>
      <c r="G131" s="29" t="n">
        <v>46328</v>
      </c>
      <c r="H131" s="30" t="n">
        <v>1</v>
      </c>
      <c r="I131" s="1" t="s">
        <v>196</v>
      </c>
      <c r="J131" s="1" t="s">
        <v>197</v>
      </c>
      <c r="K131" s="1" t="n">
        <v>11.179825</v>
      </c>
      <c r="L131" s="1" t="s">
        <v>198</v>
      </c>
    </row>
    <row r="132" customFormat="false" ht="15" hidden="false" customHeight="true" outlineLevel="0" collapsed="false">
      <c r="A132" s="1" t="s">
        <v>12</v>
      </c>
      <c r="B132" s="1" t="s">
        <v>130</v>
      </c>
      <c r="C132" s="1" t="s">
        <v>14</v>
      </c>
      <c r="D132" s="1" t="s">
        <v>30</v>
      </c>
      <c r="E132" s="1" t="s">
        <v>14</v>
      </c>
      <c r="F132" s="1" t="s">
        <v>85</v>
      </c>
      <c r="G132" s="29" t="n">
        <v>46328</v>
      </c>
      <c r="H132" s="30" t="n">
        <v>2</v>
      </c>
      <c r="I132" s="1" t="s">
        <v>202</v>
      </c>
      <c r="J132" s="1" t="s">
        <v>197</v>
      </c>
      <c r="K132" s="1" t="n">
        <v>14</v>
      </c>
      <c r="L132" s="1" t="s">
        <v>198</v>
      </c>
    </row>
    <row r="133" customFormat="false" ht="15" hidden="false" customHeight="true" outlineLevel="0" collapsed="false">
      <c r="A133" s="1" t="s">
        <v>12</v>
      </c>
      <c r="B133" s="1" t="s">
        <v>133</v>
      </c>
      <c r="C133" s="1" t="s">
        <v>14</v>
      </c>
      <c r="D133" s="1" t="s">
        <v>17</v>
      </c>
      <c r="E133" s="1" t="s">
        <v>14</v>
      </c>
      <c r="F133" s="1" t="s">
        <v>46</v>
      </c>
      <c r="G133" s="29" t="n">
        <v>46328</v>
      </c>
      <c r="H133" s="30" t="n">
        <v>3.884615</v>
      </c>
      <c r="I133" s="1" t="s">
        <v>204</v>
      </c>
      <c r="J133" s="1" t="s">
        <v>197</v>
      </c>
      <c r="K133" s="1" t="n">
        <v>26.884615</v>
      </c>
      <c r="L133" s="1" t="s">
        <v>198</v>
      </c>
    </row>
    <row r="134" customFormat="false" ht="15" hidden="false" customHeight="true" outlineLevel="0" collapsed="false">
      <c r="A134" s="1" t="s">
        <v>12</v>
      </c>
      <c r="B134" s="1" t="s">
        <v>133</v>
      </c>
      <c r="C134" s="1" t="s">
        <v>14</v>
      </c>
      <c r="D134" s="1" t="s">
        <v>123</v>
      </c>
      <c r="E134" s="1" t="s">
        <v>14</v>
      </c>
      <c r="F134" s="1" t="s">
        <v>46</v>
      </c>
      <c r="G134" s="29" t="n">
        <v>46328</v>
      </c>
      <c r="H134" s="30" t="n">
        <v>18.615385</v>
      </c>
      <c r="I134" s="1" t="s">
        <v>204</v>
      </c>
      <c r="J134" s="1" t="s">
        <v>197</v>
      </c>
      <c r="K134" s="1" t="n">
        <v>20</v>
      </c>
      <c r="L134" s="1" t="s">
        <v>198</v>
      </c>
    </row>
    <row r="135" customFormat="false" ht="15" hidden="false" customHeight="true" outlineLevel="0" collapsed="false">
      <c r="A135" s="1" t="s">
        <v>12</v>
      </c>
      <c r="B135" s="1" t="s">
        <v>129</v>
      </c>
      <c r="C135" s="1" t="s">
        <v>14</v>
      </c>
      <c r="D135" s="1" t="s">
        <v>26</v>
      </c>
      <c r="E135" s="1" t="s">
        <v>14</v>
      </c>
      <c r="F135" s="1" t="s">
        <v>102</v>
      </c>
      <c r="G135" s="29" t="n">
        <v>46328</v>
      </c>
      <c r="H135" s="30" t="n">
        <v>0.600000000000001</v>
      </c>
      <c r="I135" s="1" t="s">
        <v>202</v>
      </c>
      <c r="J135" s="1" t="s">
        <v>197</v>
      </c>
      <c r="K135" s="1" t="n">
        <v>40</v>
      </c>
      <c r="L135" s="1" t="s">
        <v>198</v>
      </c>
    </row>
    <row r="136" customFormat="false" ht="15" hidden="false" customHeight="true" outlineLevel="0" collapsed="false">
      <c r="A136" s="1" t="s">
        <v>12</v>
      </c>
      <c r="B136" s="1" t="s">
        <v>129</v>
      </c>
      <c r="C136" s="1" t="s">
        <v>14</v>
      </c>
      <c r="D136" s="1" t="s">
        <v>129</v>
      </c>
      <c r="E136" s="1" t="s">
        <v>14</v>
      </c>
      <c r="F136" s="1" t="s">
        <v>102</v>
      </c>
      <c r="G136" s="29" t="n">
        <v>46328</v>
      </c>
      <c r="H136" s="30" t="n">
        <v>13.4</v>
      </c>
      <c r="I136" s="1" t="s">
        <v>203</v>
      </c>
      <c r="J136" s="1" t="s">
        <v>200</v>
      </c>
      <c r="K136" s="1" t="n">
        <v>13.4</v>
      </c>
      <c r="L136" s="1" t="s">
        <v>201</v>
      </c>
    </row>
    <row r="137" customFormat="false" ht="15" hidden="false" customHeight="true" outlineLevel="0" collapsed="false">
      <c r="A137" s="1" t="s">
        <v>12</v>
      </c>
      <c r="B137" s="1" t="s">
        <v>132</v>
      </c>
      <c r="C137" s="1" t="s">
        <v>14</v>
      </c>
      <c r="D137" s="1" t="s">
        <v>24</v>
      </c>
      <c r="E137" s="1" t="s">
        <v>14</v>
      </c>
      <c r="F137" s="1" t="s">
        <v>103</v>
      </c>
      <c r="G137" s="29" t="n">
        <v>46328</v>
      </c>
      <c r="H137" s="30" t="n">
        <v>8.653846</v>
      </c>
      <c r="I137" s="1" t="s">
        <v>202</v>
      </c>
      <c r="J137" s="1" t="s">
        <v>197</v>
      </c>
      <c r="K137" s="1" t="n">
        <v>40</v>
      </c>
      <c r="L137" s="1" t="s">
        <v>198</v>
      </c>
    </row>
    <row r="138" customFormat="false" ht="15" hidden="false" customHeight="true" outlineLevel="0" collapsed="false">
      <c r="A138" s="1" t="s">
        <v>12</v>
      </c>
      <c r="B138" s="1" t="s">
        <v>132</v>
      </c>
      <c r="C138" s="1" t="s">
        <v>14</v>
      </c>
      <c r="D138" s="1" t="s">
        <v>162</v>
      </c>
      <c r="E138" s="1" t="s">
        <v>14</v>
      </c>
      <c r="F138" s="1" t="s">
        <v>103</v>
      </c>
      <c r="G138" s="29" t="n">
        <v>46328</v>
      </c>
      <c r="H138" s="30" t="n">
        <v>6.346154</v>
      </c>
      <c r="I138" s="1" t="s">
        <v>203</v>
      </c>
      <c r="J138" s="1" t="s">
        <v>197</v>
      </c>
      <c r="K138" s="1" t="n">
        <v>6.346154</v>
      </c>
      <c r="L138" s="1" t="s">
        <v>201</v>
      </c>
    </row>
    <row r="139" customFormat="false" ht="15" hidden="false" customHeight="true" outlineLevel="0" collapsed="false">
      <c r="A139" s="1" t="s">
        <v>12</v>
      </c>
      <c r="B139" s="1" t="s">
        <v>13</v>
      </c>
      <c r="C139" s="1" t="s">
        <v>14</v>
      </c>
      <c r="D139" s="1" t="s">
        <v>17</v>
      </c>
      <c r="E139" s="1" t="s">
        <v>14</v>
      </c>
      <c r="F139" s="1" t="s">
        <v>40</v>
      </c>
      <c r="G139" s="29" t="n">
        <v>46335</v>
      </c>
      <c r="H139" s="30" t="n">
        <v>15</v>
      </c>
      <c r="I139" s="1" t="s">
        <v>196</v>
      </c>
      <c r="J139" s="1" t="s">
        <v>197</v>
      </c>
      <c r="K139" s="1" t="n">
        <v>30</v>
      </c>
      <c r="L139" s="1" t="s">
        <v>198</v>
      </c>
    </row>
    <row r="140" customFormat="false" ht="15" hidden="false" customHeight="true" outlineLevel="0" collapsed="false">
      <c r="A140" s="1" t="s">
        <v>12</v>
      </c>
      <c r="B140" s="1" t="s">
        <v>13</v>
      </c>
      <c r="C140" s="1" t="s">
        <v>14</v>
      </c>
      <c r="D140" s="1" t="s">
        <v>26</v>
      </c>
      <c r="E140" s="1" t="s">
        <v>14</v>
      </c>
      <c r="F140" s="1" t="s">
        <v>98</v>
      </c>
      <c r="G140" s="29" t="n">
        <v>46335</v>
      </c>
      <c r="H140" s="30" t="n">
        <v>2</v>
      </c>
      <c r="I140" s="1" t="s">
        <v>196</v>
      </c>
      <c r="J140" s="1" t="s">
        <v>197</v>
      </c>
      <c r="K140" s="1" t="n">
        <v>40</v>
      </c>
      <c r="L140" s="1" t="s">
        <v>198</v>
      </c>
    </row>
    <row r="141" customFormat="false" ht="15" hidden="false" customHeight="true" outlineLevel="0" collapsed="false">
      <c r="A141" s="1" t="s">
        <v>12</v>
      </c>
      <c r="B141" s="1" t="s">
        <v>13</v>
      </c>
      <c r="C141" s="1" t="s">
        <v>14</v>
      </c>
      <c r="D141" s="1" t="s">
        <v>163</v>
      </c>
      <c r="E141" s="1" t="s">
        <v>14</v>
      </c>
      <c r="F141" s="1" t="s">
        <v>98</v>
      </c>
      <c r="G141" s="29" t="n">
        <v>46335</v>
      </c>
      <c r="H141" s="30" t="n">
        <v>3</v>
      </c>
      <c r="I141" s="1" t="s">
        <v>199</v>
      </c>
      <c r="J141" s="1" t="s">
        <v>200</v>
      </c>
      <c r="K141" s="1" t="n">
        <v>3</v>
      </c>
      <c r="L141" s="1" t="s">
        <v>201</v>
      </c>
    </row>
    <row r="142" customFormat="false" ht="15" hidden="false" customHeight="true" outlineLevel="0" collapsed="false">
      <c r="A142" s="1" t="s">
        <v>12</v>
      </c>
      <c r="B142" s="1" t="s">
        <v>13</v>
      </c>
      <c r="C142" s="1" t="s">
        <v>14</v>
      </c>
      <c r="D142" s="1" t="s">
        <v>30</v>
      </c>
      <c r="E142" s="1" t="s">
        <v>14</v>
      </c>
      <c r="F142" s="1" t="s">
        <v>99</v>
      </c>
      <c r="G142" s="29" t="n">
        <v>46335</v>
      </c>
      <c r="H142" s="30" t="n">
        <v>11</v>
      </c>
      <c r="I142" s="1" t="s">
        <v>196</v>
      </c>
      <c r="J142" s="1" t="s">
        <v>197</v>
      </c>
      <c r="K142" s="1" t="n">
        <v>20</v>
      </c>
      <c r="L142" s="1" t="s">
        <v>198</v>
      </c>
    </row>
    <row r="143" customFormat="false" ht="15" hidden="false" customHeight="true" outlineLevel="0" collapsed="false">
      <c r="A143" s="1" t="s">
        <v>12</v>
      </c>
      <c r="B143" s="1" t="s">
        <v>13</v>
      </c>
      <c r="C143" s="1" t="s">
        <v>14</v>
      </c>
      <c r="D143" s="1" t="s">
        <v>21</v>
      </c>
      <c r="E143" s="1" t="s">
        <v>14</v>
      </c>
      <c r="F143" s="1" t="s">
        <v>43</v>
      </c>
      <c r="G143" s="29" t="n">
        <v>46335</v>
      </c>
      <c r="H143" s="30" t="n">
        <v>9</v>
      </c>
      <c r="I143" s="1" t="s">
        <v>196</v>
      </c>
      <c r="J143" s="1" t="s">
        <v>197</v>
      </c>
      <c r="K143" s="1" t="n">
        <v>31</v>
      </c>
      <c r="L143" s="1" t="s">
        <v>198</v>
      </c>
    </row>
    <row r="144" customFormat="false" ht="15" hidden="false" customHeight="true" outlineLevel="0" collapsed="false">
      <c r="A144" s="1" t="s">
        <v>12</v>
      </c>
      <c r="B144" s="1" t="s">
        <v>13</v>
      </c>
      <c r="C144" s="1" t="s">
        <v>14</v>
      </c>
      <c r="D144" s="1" t="s">
        <v>30</v>
      </c>
      <c r="E144" s="1" t="s">
        <v>14</v>
      </c>
      <c r="F144" s="1" t="s">
        <v>100</v>
      </c>
      <c r="G144" s="29" t="n">
        <v>46335</v>
      </c>
      <c r="H144" s="30" t="n">
        <v>6</v>
      </c>
      <c r="I144" s="1" t="s">
        <v>196</v>
      </c>
      <c r="J144" s="1" t="s">
        <v>197</v>
      </c>
      <c r="K144" s="1" t="n">
        <v>9</v>
      </c>
      <c r="L144" s="1" t="s">
        <v>198</v>
      </c>
    </row>
    <row r="145" customFormat="false" ht="15" hidden="false" customHeight="true" outlineLevel="0" collapsed="false">
      <c r="A145" s="1" t="s">
        <v>12</v>
      </c>
      <c r="B145" s="1" t="s">
        <v>130</v>
      </c>
      <c r="C145" s="1" t="s">
        <v>14</v>
      </c>
      <c r="D145" s="1" t="s">
        <v>30</v>
      </c>
      <c r="E145" s="1" t="s">
        <v>14</v>
      </c>
      <c r="F145" s="1" t="s">
        <v>85</v>
      </c>
      <c r="G145" s="29" t="n">
        <v>46335</v>
      </c>
      <c r="H145" s="30" t="n">
        <v>2</v>
      </c>
      <c r="I145" s="1" t="s">
        <v>202</v>
      </c>
      <c r="J145" s="1" t="s">
        <v>197</v>
      </c>
      <c r="K145" s="1" t="n">
        <v>22</v>
      </c>
      <c r="L145" s="1" t="s">
        <v>198</v>
      </c>
    </row>
    <row r="146" customFormat="false" ht="15" hidden="false" customHeight="true" outlineLevel="0" collapsed="false">
      <c r="A146" s="1" t="s">
        <v>12</v>
      </c>
      <c r="B146" s="1" t="s">
        <v>133</v>
      </c>
      <c r="C146" s="1" t="s">
        <v>14</v>
      </c>
      <c r="D146" s="1" t="s">
        <v>17</v>
      </c>
      <c r="E146" s="1" t="s">
        <v>14</v>
      </c>
      <c r="F146" s="1" t="s">
        <v>46</v>
      </c>
      <c r="G146" s="29" t="n">
        <v>46335</v>
      </c>
      <c r="H146" s="30" t="n">
        <v>9.884615</v>
      </c>
      <c r="I146" s="1" t="s">
        <v>204</v>
      </c>
      <c r="J146" s="1" t="s">
        <v>197</v>
      </c>
      <c r="K146" s="1" t="n">
        <v>39.884615</v>
      </c>
      <c r="L146" s="1" t="s">
        <v>198</v>
      </c>
    </row>
    <row r="147" customFormat="false" ht="15" hidden="false" customHeight="true" outlineLevel="0" collapsed="false">
      <c r="A147" s="1" t="s">
        <v>12</v>
      </c>
      <c r="B147" s="1" t="s">
        <v>133</v>
      </c>
      <c r="C147" s="1" t="s">
        <v>14</v>
      </c>
      <c r="D147" s="1" t="s">
        <v>123</v>
      </c>
      <c r="E147" s="1" t="s">
        <v>14</v>
      </c>
      <c r="F147" s="1" t="s">
        <v>46</v>
      </c>
      <c r="G147" s="29" t="n">
        <v>46335</v>
      </c>
      <c r="H147" s="30" t="n">
        <v>18.615385</v>
      </c>
      <c r="I147" s="1" t="s">
        <v>204</v>
      </c>
      <c r="J147" s="1" t="s">
        <v>197</v>
      </c>
      <c r="K147" s="1" t="n">
        <v>20</v>
      </c>
      <c r="L147" s="1" t="s">
        <v>198</v>
      </c>
    </row>
    <row r="148" customFormat="false" ht="15" hidden="false" customHeight="true" outlineLevel="0" collapsed="false">
      <c r="A148" s="1" t="s">
        <v>12</v>
      </c>
      <c r="B148" s="1" t="s">
        <v>129</v>
      </c>
      <c r="C148" s="1" t="s">
        <v>14</v>
      </c>
      <c r="D148" s="1" t="s">
        <v>129</v>
      </c>
      <c r="E148" s="1" t="s">
        <v>14</v>
      </c>
      <c r="F148" s="1" t="s">
        <v>102</v>
      </c>
      <c r="G148" s="29" t="n">
        <v>46335</v>
      </c>
      <c r="H148" s="30" t="n">
        <v>15</v>
      </c>
      <c r="I148" s="1" t="s">
        <v>203</v>
      </c>
      <c r="J148" s="1" t="s">
        <v>200</v>
      </c>
      <c r="K148" s="1" t="n">
        <v>15</v>
      </c>
      <c r="L148" s="1" t="s">
        <v>201</v>
      </c>
    </row>
    <row r="149" customFormat="false" ht="15" hidden="false" customHeight="true" outlineLevel="0" collapsed="false">
      <c r="A149" s="1" t="s">
        <v>12</v>
      </c>
      <c r="B149" s="1" t="s">
        <v>132</v>
      </c>
      <c r="C149" s="1" t="s">
        <v>14</v>
      </c>
      <c r="D149" s="1" t="s">
        <v>24</v>
      </c>
      <c r="E149" s="1" t="s">
        <v>14</v>
      </c>
      <c r="F149" s="1" t="s">
        <v>103</v>
      </c>
      <c r="G149" s="29" t="n">
        <v>46335</v>
      </c>
      <c r="H149" s="30" t="n">
        <v>8.653846</v>
      </c>
      <c r="I149" s="1" t="s">
        <v>202</v>
      </c>
      <c r="J149" s="1" t="s">
        <v>197</v>
      </c>
      <c r="K149" s="1" t="n">
        <v>40</v>
      </c>
      <c r="L149" s="1" t="s">
        <v>198</v>
      </c>
    </row>
    <row r="150" customFormat="false" ht="15" hidden="false" customHeight="true" outlineLevel="0" collapsed="false">
      <c r="A150" s="1" t="s">
        <v>12</v>
      </c>
      <c r="B150" s="1" t="s">
        <v>132</v>
      </c>
      <c r="C150" s="1" t="s">
        <v>14</v>
      </c>
      <c r="D150" s="1" t="s">
        <v>162</v>
      </c>
      <c r="E150" s="1" t="s">
        <v>14</v>
      </c>
      <c r="F150" s="1" t="s">
        <v>103</v>
      </c>
      <c r="G150" s="29" t="n">
        <v>46335</v>
      </c>
      <c r="H150" s="30" t="n">
        <v>11.346154</v>
      </c>
      <c r="I150" s="1" t="s">
        <v>203</v>
      </c>
      <c r="J150" s="1" t="s">
        <v>197</v>
      </c>
      <c r="K150" s="1" t="n">
        <v>11.346154</v>
      </c>
      <c r="L150" s="1" t="s">
        <v>201</v>
      </c>
    </row>
    <row r="151" customFormat="false" ht="15" hidden="false" customHeight="true" outlineLevel="0" collapsed="false">
      <c r="A151" s="1" t="s">
        <v>12</v>
      </c>
      <c r="B151" s="1" t="s">
        <v>13</v>
      </c>
      <c r="C151" s="1" t="s">
        <v>14</v>
      </c>
      <c r="D151" s="1" t="s">
        <v>123</v>
      </c>
      <c r="E151" s="1" t="s">
        <v>14</v>
      </c>
      <c r="F151" s="1" t="s">
        <v>81</v>
      </c>
      <c r="G151" s="29" t="n">
        <v>46342</v>
      </c>
      <c r="H151" s="30" t="n">
        <v>16</v>
      </c>
      <c r="I151" s="1" t="s">
        <v>196</v>
      </c>
      <c r="J151" s="1" t="s">
        <v>197</v>
      </c>
      <c r="K151" s="1" t="n">
        <v>17.384615</v>
      </c>
      <c r="L151" s="1" t="s">
        <v>198</v>
      </c>
    </row>
    <row r="152" customFormat="false" ht="15" hidden="false" customHeight="true" outlineLevel="0" collapsed="false">
      <c r="A152" s="1" t="s">
        <v>12</v>
      </c>
      <c r="B152" s="1" t="s">
        <v>13</v>
      </c>
      <c r="C152" s="1" t="s">
        <v>14</v>
      </c>
      <c r="D152" s="1" t="s">
        <v>17</v>
      </c>
      <c r="E152" s="1" t="s">
        <v>14</v>
      </c>
      <c r="F152" s="1" t="s">
        <v>40</v>
      </c>
      <c r="G152" s="29" t="n">
        <v>46342</v>
      </c>
      <c r="H152" s="30" t="n">
        <v>10</v>
      </c>
      <c r="I152" s="1" t="s">
        <v>196</v>
      </c>
      <c r="J152" s="1" t="s">
        <v>197</v>
      </c>
      <c r="K152" s="1" t="n">
        <v>20</v>
      </c>
      <c r="L152" s="1" t="s">
        <v>198</v>
      </c>
    </row>
    <row r="153" customFormat="false" ht="15" hidden="false" customHeight="true" outlineLevel="0" collapsed="false">
      <c r="A153" s="1" t="s">
        <v>12</v>
      </c>
      <c r="B153" s="1" t="s">
        <v>13</v>
      </c>
      <c r="C153" s="1" t="s">
        <v>14</v>
      </c>
      <c r="D153" s="1" t="s">
        <v>163</v>
      </c>
      <c r="E153" s="1" t="s">
        <v>14</v>
      </c>
      <c r="F153" s="1" t="s">
        <v>98</v>
      </c>
      <c r="G153" s="29" t="n">
        <v>46342</v>
      </c>
      <c r="H153" s="30" t="n">
        <v>5</v>
      </c>
      <c r="I153" s="1" t="s">
        <v>199</v>
      </c>
      <c r="J153" s="1" t="s">
        <v>200</v>
      </c>
      <c r="K153" s="1" t="n">
        <v>5</v>
      </c>
      <c r="L153" s="1" t="s">
        <v>201</v>
      </c>
    </row>
    <row r="154" customFormat="false" ht="15" hidden="false" customHeight="true" outlineLevel="0" collapsed="false">
      <c r="A154" s="1" t="s">
        <v>12</v>
      </c>
      <c r="B154" s="1" t="s">
        <v>13</v>
      </c>
      <c r="C154" s="1" t="s">
        <v>14</v>
      </c>
      <c r="D154" s="1" t="s">
        <v>30</v>
      </c>
      <c r="E154" s="1" t="s">
        <v>14</v>
      </c>
      <c r="F154" s="1" t="s">
        <v>99</v>
      </c>
      <c r="G154" s="29" t="n">
        <v>46342</v>
      </c>
      <c r="H154" s="30" t="n">
        <v>7</v>
      </c>
      <c r="I154" s="1" t="s">
        <v>196</v>
      </c>
      <c r="J154" s="1" t="s">
        <v>197</v>
      </c>
      <c r="K154" s="1" t="n">
        <v>12</v>
      </c>
      <c r="L154" s="1" t="s">
        <v>198</v>
      </c>
    </row>
    <row r="155" customFormat="false" ht="15" hidden="false" customHeight="true" outlineLevel="0" collapsed="false">
      <c r="A155" s="1" t="s">
        <v>12</v>
      </c>
      <c r="B155" s="1" t="s">
        <v>13</v>
      </c>
      <c r="C155" s="1" t="s">
        <v>14</v>
      </c>
      <c r="D155" s="1" t="s">
        <v>135</v>
      </c>
      <c r="E155" s="1" t="s">
        <v>14</v>
      </c>
      <c r="F155" s="1" t="s">
        <v>43</v>
      </c>
      <c r="G155" s="29" t="n">
        <v>46342</v>
      </c>
      <c r="H155" s="30" t="n">
        <v>1</v>
      </c>
      <c r="I155" s="1" t="s">
        <v>196</v>
      </c>
      <c r="J155" s="1" t="s">
        <v>197</v>
      </c>
      <c r="K155" s="1" t="n">
        <v>1</v>
      </c>
      <c r="L155" s="1" t="s">
        <v>198</v>
      </c>
    </row>
    <row r="156" customFormat="false" ht="15" hidden="false" customHeight="true" outlineLevel="0" collapsed="false">
      <c r="A156" s="1" t="s">
        <v>12</v>
      </c>
      <c r="B156" s="1" t="s">
        <v>13</v>
      </c>
      <c r="C156" s="1" t="s">
        <v>14</v>
      </c>
      <c r="D156" s="1" t="s">
        <v>30</v>
      </c>
      <c r="E156" s="1" t="s">
        <v>14</v>
      </c>
      <c r="F156" s="1" t="s">
        <v>100</v>
      </c>
      <c r="G156" s="29" t="n">
        <v>46342</v>
      </c>
      <c r="H156" s="30" t="n">
        <v>3</v>
      </c>
      <c r="I156" s="1" t="s">
        <v>196</v>
      </c>
      <c r="J156" s="1" t="s">
        <v>197</v>
      </c>
      <c r="K156" s="1" t="n">
        <v>5</v>
      </c>
      <c r="L156" s="1" t="s">
        <v>198</v>
      </c>
    </row>
    <row r="157" customFormat="false" ht="15" hidden="false" customHeight="true" outlineLevel="0" collapsed="false">
      <c r="A157" s="1" t="s">
        <v>12</v>
      </c>
      <c r="B157" s="1" t="s">
        <v>27</v>
      </c>
      <c r="C157" s="1" t="s">
        <v>14</v>
      </c>
      <c r="D157" s="1" t="s">
        <v>160</v>
      </c>
      <c r="E157" s="1" t="s">
        <v>14</v>
      </c>
      <c r="F157" s="1" t="s">
        <v>94</v>
      </c>
      <c r="G157" s="29" t="n">
        <v>46342</v>
      </c>
      <c r="H157" s="30" t="n">
        <v>6</v>
      </c>
      <c r="I157" s="1" t="s">
        <v>199</v>
      </c>
      <c r="J157" s="1" t="s">
        <v>200</v>
      </c>
      <c r="K157" s="1" t="n">
        <v>6</v>
      </c>
      <c r="L157" s="1" t="s">
        <v>201</v>
      </c>
    </row>
    <row r="158" customFormat="false" ht="15" hidden="false" customHeight="true" outlineLevel="0" collapsed="false">
      <c r="A158" s="1" t="s">
        <v>12</v>
      </c>
      <c r="B158" s="1" t="s">
        <v>21</v>
      </c>
      <c r="C158" s="1" t="s">
        <v>14</v>
      </c>
      <c r="D158" s="1" t="s">
        <v>30</v>
      </c>
      <c r="E158" s="1" t="s">
        <v>14</v>
      </c>
      <c r="F158" s="1" t="s">
        <v>85</v>
      </c>
      <c r="G158" s="29" t="n">
        <v>46342</v>
      </c>
      <c r="H158" s="30" t="n">
        <v>27</v>
      </c>
      <c r="I158" s="1" t="s">
        <v>196</v>
      </c>
      <c r="J158" s="1" t="s">
        <v>197</v>
      </c>
      <c r="K158" s="1" t="n">
        <v>39</v>
      </c>
      <c r="L158" s="1" t="s">
        <v>198</v>
      </c>
    </row>
    <row r="159" customFormat="false" ht="15" hidden="false" customHeight="true" outlineLevel="0" collapsed="false">
      <c r="A159" s="1" t="s">
        <v>12</v>
      </c>
      <c r="B159" s="1" t="s">
        <v>18</v>
      </c>
      <c r="C159" s="1" t="s">
        <v>16</v>
      </c>
      <c r="D159" s="1" t="s">
        <v>25</v>
      </c>
      <c r="E159" s="1" t="s">
        <v>16</v>
      </c>
      <c r="F159" s="1" t="s">
        <v>79</v>
      </c>
      <c r="G159" s="29" t="n">
        <v>46342</v>
      </c>
      <c r="H159" s="30" t="n">
        <v>1.403509</v>
      </c>
      <c r="I159" s="1" t="s">
        <v>196</v>
      </c>
      <c r="J159" s="1" t="s">
        <v>197</v>
      </c>
      <c r="K159" s="1" t="n">
        <v>9.407895</v>
      </c>
      <c r="L159" s="1" t="s">
        <v>198</v>
      </c>
    </row>
    <row r="160" customFormat="false" ht="15" hidden="false" customHeight="true" outlineLevel="0" collapsed="false">
      <c r="A160" s="1" t="s">
        <v>12</v>
      </c>
      <c r="B160" s="1" t="s">
        <v>18</v>
      </c>
      <c r="C160" s="1" t="s">
        <v>16</v>
      </c>
      <c r="D160" s="1" t="s">
        <v>25</v>
      </c>
      <c r="E160" s="1" t="s">
        <v>16</v>
      </c>
      <c r="F160" s="1" t="s">
        <v>81</v>
      </c>
      <c r="G160" s="29" t="n">
        <v>46342</v>
      </c>
      <c r="H160" s="30" t="n">
        <v>0.25</v>
      </c>
      <c r="I160" s="1" t="s">
        <v>196</v>
      </c>
      <c r="J160" s="1" t="s">
        <v>197</v>
      </c>
      <c r="K160" s="1" t="n">
        <v>8.004386</v>
      </c>
      <c r="L160" s="1" t="s">
        <v>198</v>
      </c>
    </row>
    <row r="161" customFormat="false" ht="15" hidden="false" customHeight="true" outlineLevel="0" collapsed="false">
      <c r="A161" s="1" t="s">
        <v>12</v>
      </c>
      <c r="B161" s="1" t="s">
        <v>18</v>
      </c>
      <c r="C161" s="1" t="s">
        <v>16</v>
      </c>
      <c r="D161" s="1" t="s">
        <v>75</v>
      </c>
      <c r="E161" s="1" t="s">
        <v>16</v>
      </c>
      <c r="F161" s="1" t="s">
        <v>85</v>
      </c>
      <c r="G161" s="29" t="n">
        <v>46342</v>
      </c>
      <c r="H161" s="30" t="n">
        <v>2.5</v>
      </c>
      <c r="I161" s="1" t="s">
        <v>196</v>
      </c>
      <c r="J161" s="1" t="s">
        <v>197</v>
      </c>
      <c r="K161" s="1" t="n">
        <v>16.429825</v>
      </c>
      <c r="L161" s="1" t="s">
        <v>198</v>
      </c>
    </row>
    <row r="162" customFormat="false" ht="15" hidden="false" customHeight="true" outlineLevel="0" collapsed="false">
      <c r="A162" s="1" t="s">
        <v>12</v>
      </c>
      <c r="B162" s="1" t="s">
        <v>18</v>
      </c>
      <c r="C162" s="1" t="s">
        <v>16</v>
      </c>
      <c r="D162" s="1" t="s">
        <v>25</v>
      </c>
      <c r="E162" s="1" t="s">
        <v>16</v>
      </c>
      <c r="F162" s="1" t="s">
        <v>103</v>
      </c>
      <c r="G162" s="29" t="n">
        <v>46342</v>
      </c>
      <c r="H162" s="30" t="n">
        <v>5</v>
      </c>
      <c r="I162" s="1" t="s">
        <v>196</v>
      </c>
      <c r="J162" s="1" t="s">
        <v>197</v>
      </c>
      <c r="K162" s="1" t="n">
        <v>14.407895</v>
      </c>
      <c r="L162" s="1" t="s">
        <v>198</v>
      </c>
    </row>
    <row r="163" customFormat="false" ht="15" hidden="false" customHeight="true" outlineLevel="0" collapsed="false">
      <c r="A163" s="1" t="s">
        <v>12</v>
      </c>
      <c r="B163" s="1" t="s">
        <v>130</v>
      </c>
      <c r="C163" s="1" t="s">
        <v>14</v>
      </c>
      <c r="D163" s="1" t="s">
        <v>30</v>
      </c>
      <c r="E163" s="1" t="s">
        <v>14</v>
      </c>
      <c r="F163" s="1" t="s">
        <v>85</v>
      </c>
      <c r="G163" s="29" t="n">
        <v>46342</v>
      </c>
      <c r="H163" s="30" t="n">
        <v>1</v>
      </c>
      <c r="I163" s="1" t="s">
        <v>202</v>
      </c>
      <c r="J163" s="1" t="s">
        <v>197</v>
      </c>
      <c r="K163" s="1" t="n">
        <v>40</v>
      </c>
      <c r="L163" s="1" t="s">
        <v>198</v>
      </c>
    </row>
    <row r="164" customFormat="false" ht="15" hidden="false" customHeight="true" outlineLevel="0" collapsed="false">
      <c r="A164" s="1" t="s">
        <v>12</v>
      </c>
      <c r="B164" s="1" t="s">
        <v>130</v>
      </c>
      <c r="C164" s="1" t="s">
        <v>14</v>
      </c>
      <c r="D164" s="1" t="s">
        <v>130</v>
      </c>
      <c r="E164" s="1" t="s">
        <v>14</v>
      </c>
      <c r="F164" s="1" t="s">
        <v>85</v>
      </c>
      <c r="G164" s="29" t="n">
        <v>46342</v>
      </c>
      <c r="H164" s="30" t="n">
        <v>1</v>
      </c>
      <c r="I164" s="1" t="s">
        <v>203</v>
      </c>
      <c r="J164" s="1" t="s">
        <v>197</v>
      </c>
      <c r="K164" s="1" t="n">
        <v>1</v>
      </c>
      <c r="L164" s="1" t="s">
        <v>201</v>
      </c>
    </row>
    <row r="165" customFormat="false" ht="15" hidden="false" customHeight="true" outlineLevel="0" collapsed="false">
      <c r="A165" s="1" t="s">
        <v>12</v>
      </c>
      <c r="B165" s="1" t="s">
        <v>133</v>
      </c>
      <c r="C165" s="1" t="s">
        <v>14</v>
      </c>
      <c r="D165" s="1" t="s">
        <v>17</v>
      </c>
      <c r="E165" s="1" t="s">
        <v>14</v>
      </c>
      <c r="F165" s="1" t="s">
        <v>46</v>
      </c>
      <c r="G165" s="29" t="n">
        <v>46342</v>
      </c>
      <c r="H165" s="30" t="n">
        <v>1.5</v>
      </c>
      <c r="I165" s="1" t="s">
        <v>204</v>
      </c>
      <c r="J165" s="1" t="s">
        <v>197</v>
      </c>
      <c r="K165" s="1" t="n">
        <v>21.5</v>
      </c>
      <c r="L165" s="1" t="s">
        <v>198</v>
      </c>
    </row>
    <row r="166" customFormat="false" ht="15" hidden="false" customHeight="true" outlineLevel="0" collapsed="false">
      <c r="A166" s="1" t="s">
        <v>12</v>
      </c>
      <c r="B166" s="1" t="s">
        <v>129</v>
      </c>
      <c r="C166" s="1" t="s">
        <v>14</v>
      </c>
      <c r="D166" s="1" t="s">
        <v>17</v>
      </c>
      <c r="E166" s="1" t="s">
        <v>14</v>
      </c>
      <c r="F166" s="1" t="s">
        <v>102</v>
      </c>
      <c r="G166" s="29" t="n">
        <v>46342</v>
      </c>
      <c r="H166" s="30" t="n">
        <v>15</v>
      </c>
      <c r="I166" s="1" t="s">
        <v>202</v>
      </c>
      <c r="J166" s="1" t="s">
        <v>200</v>
      </c>
      <c r="K166" s="1" t="n">
        <v>36.5</v>
      </c>
      <c r="L166" s="1" t="s">
        <v>198</v>
      </c>
    </row>
    <row r="167" customFormat="false" ht="15" hidden="false" customHeight="true" outlineLevel="0" collapsed="false">
      <c r="A167" s="1" t="s">
        <v>12</v>
      </c>
      <c r="B167" s="1" t="s">
        <v>132</v>
      </c>
      <c r="C167" s="1" t="s">
        <v>14</v>
      </c>
      <c r="D167" s="1" t="s">
        <v>24</v>
      </c>
      <c r="E167" s="1" t="s">
        <v>14</v>
      </c>
      <c r="F167" s="1" t="s">
        <v>103</v>
      </c>
      <c r="G167" s="29" t="n">
        <v>46342</v>
      </c>
      <c r="H167" s="30" t="n">
        <v>8.653846</v>
      </c>
      <c r="I167" s="1" t="s">
        <v>202</v>
      </c>
      <c r="J167" s="1" t="s">
        <v>197</v>
      </c>
      <c r="K167" s="1" t="n">
        <v>40</v>
      </c>
      <c r="L167" s="1" t="s">
        <v>198</v>
      </c>
    </row>
    <row r="168" customFormat="false" ht="15" hidden="false" customHeight="true" outlineLevel="0" collapsed="false">
      <c r="A168" s="1" t="s">
        <v>12</v>
      </c>
      <c r="B168" s="1" t="s">
        <v>132</v>
      </c>
      <c r="C168" s="1" t="s">
        <v>14</v>
      </c>
      <c r="D168" s="1" t="s">
        <v>162</v>
      </c>
      <c r="E168" s="1" t="s">
        <v>14</v>
      </c>
      <c r="F168" s="1" t="s">
        <v>103</v>
      </c>
      <c r="G168" s="29" t="n">
        <v>46342</v>
      </c>
      <c r="H168" s="30" t="n">
        <v>11.346154</v>
      </c>
      <c r="I168" s="1" t="s">
        <v>203</v>
      </c>
      <c r="J168" s="1" t="s">
        <v>197</v>
      </c>
      <c r="K168" s="1" t="n">
        <v>11.346154</v>
      </c>
      <c r="L168" s="1" t="s">
        <v>201</v>
      </c>
    </row>
    <row r="169" customFormat="false" ht="15" hidden="false" customHeight="true" outlineLevel="0" collapsed="false">
      <c r="A169" s="1" t="s">
        <v>12</v>
      </c>
      <c r="B169" s="1" t="s">
        <v>20</v>
      </c>
      <c r="C169" s="1" t="s">
        <v>10</v>
      </c>
      <c r="D169" s="1" t="s">
        <v>36</v>
      </c>
      <c r="E169" s="1" t="s">
        <v>10</v>
      </c>
      <c r="F169" s="1" t="s">
        <v>85</v>
      </c>
      <c r="G169" s="29" t="n">
        <v>46349</v>
      </c>
      <c r="H169" s="30" t="n">
        <v>2.5</v>
      </c>
      <c r="I169" s="1" t="s">
        <v>196</v>
      </c>
      <c r="J169" s="1" t="s">
        <v>197</v>
      </c>
      <c r="K169" s="1" t="n">
        <v>2.5</v>
      </c>
      <c r="L169" s="1" t="s">
        <v>198</v>
      </c>
    </row>
    <row r="170" customFormat="false" ht="15" hidden="false" customHeight="true" outlineLevel="0" collapsed="false">
      <c r="A170" s="1" t="s">
        <v>12</v>
      </c>
      <c r="B170" s="1" t="s">
        <v>20</v>
      </c>
      <c r="C170" s="1" t="s">
        <v>10</v>
      </c>
      <c r="D170" s="1" t="s">
        <v>9</v>
      </c>
      <c r="E170" s="1" t="s">
        <v>10</v>
      </c>
      <c r="F170" s="1" t="s">
        <v>43</v>
      </c>
      <c r="G170" s="29" t="n">
        <v>46349</v>
      </c>
      <c r="H170" s="30" t="n">
        <v>10</v>
      </c>
      <c r="I170" s="1" t="s">
        <v>196</v>
      </c>
      <c r="J170" s="1" t="s">
        <v>197</v>
      </c>
      <c r="K170" s="1" t="n">
        <v>22</v>
      </c>
      <c r="L170" s="1" t="s">
        <v>198</v>
      </c>
    </row>
    <row r="171" customFormat="false" ht="15" hidden="false" customHeight="true" outlineLevel="0" collapsed="false">
      <c r="A171" s="1" t="s">
        <v>12</v>
      </c>
      <c r="B171" s="1" t="s">
        <v>27</v>
      </c>
      <c r="C171" s="1" t="s">
        <v>14</v>
      </c>
      <c r="D171" s="1" t="s">
        <v>26</v>
      </c>
      <c r="E171" s="1" t="s">
        <v>14</v>
      </c>
      <c r="F171" s="1" t="s">
        <v>94</v>
      </c>
      <c r="G171" s="29" t="n">
        <v>46349</v>
      </c>
      <c r="H171" s="30" t="n">
        <v>6</v>
      </c>
      <c r="I171" s="1" t="s">
        <v>196</v>
      </c>
      <c r="J171" s="1" t="s">
        <v>200</v>
      </c>
      <c r="K171" s="1" t="n">
        <v>6</v>
      </c>
      <c r="L171" s="1" t="s">
        <v>198</v>
      </c>
    </row>
    <row r="172" customFormat="false" ht="15" hidden="false" customHeight="true" outlineLevel="0" collapsed="false">
      <c r="A172" s="1" t="s">
        <v>12</v>
      </c>
      <c r="B172" s="1" t="s">
        <v>21</v>
      </c>
      <c r="C172" s="1" t="s">
        <v>14</v>
      </c>
      <c r="D172" s="1" t="s">
        <v>30</v>
      </c>
      <c r="E172" s="1" t="s">
        <v>14</v>
      </c>
      <c r="F172" s="1" t="s">
        <v>85</v>
      </c>
      <c r="G172" s="29" t="n">
        <v>46349</v>
      </c>
      <c r="H172" s="30" t="n">
        <v>4</v>
      </c>
      <c r="I172" s="1" t="s">
        <v>196</v>
      </c>
      <c r="J172" s="1" t="s">
        <v>197</v>
      </c>
      <c r="K172" s="1" t="n">
        <v>6</v>
      </c>
      <c r="L172" s="1" t="s">
        <v>198</v>
      </c>
    </row>
    <row r="173" customFormat="false" ht="15" hidden="false" customHeight="true" outlineLevel="0" collapsed="false">
      <c r="A173" s="1" t="s">
        <v>12</v>
      </c>
      <c r="B173" s="1" t="s">
        <v>21</v>
      </c>
      <c r="C173" s="1" t="s">
        <v>14</v>
      </c>
      <c r="D173" s="1" t="s">
        <v>13</v>
      </c>
      <c r="E173" s="1" t="s">
        <v>14</v>
      </c>
      <c r="F173" s="1" t="s">
        <v>43</v>
      </c>
      <c r="G173" s="29" t="n">
        <v>46349</v>
      </c>
      <c r="H173" s="30" t="n">
        <v>20</v>
      </c>
      <c r="I173" s="1" t="s">
        <v>196</v>
      </c>
      <c r="J173" s="1" t="s">
        <v>197</v>
      </c>
      <c r="K173" s="1" t="n">
        <v>35</v>
      </c>
      <c r="L173" s="1" t="s">
        <v>198</v>
      </c>
    </row>
    <row r="174" customFormat="false" ht="15" hidden="false" customHeight="true" outlineLevel="0" collapsed="false">
      <c r="A174" s="1" t="s">
        <v>12</v>
      </c>
      <c r="B174" s="1" t="s">
        <v>130</v>
      </c>
      <c r="C174" s="1" t="s">
        <v>14</v>
      </c>
      <c r="D174" s="1" t="s">
        <v>30</v>
      </c>
      <c r="E174" s="1" t="s">
        <v>14</v>
      </c>
      <c r="F174" s="1" t="s">
        <v>85</v>
      </c>
      <c r="G174" s="29" t="n">
        <v>46349</v>
      </c>
      <c r="H174" s="30" t="n">
        <v>22</v>
      </c>
      <c r="I174" s="1" t="s">
        <v>202</v>
      </c>
      <c r="J174" s="1" t="s">
        <v>197</v>
      </c>
      <c r="K174" s="1" t="n">
        <v>28</v>
      </c>
      <c r="L174" s="1" t="s">
        <v>198</v>
      </c>
    </row>
    <row r="175" customFormat="false" ht="15" hidden="false" customHeight="true" outlineLevel="0" collapsed="false">
      <c r="A175" s="1" t="s">
        <v>12</v>
      </c>
      <c r="B175" s="1" t="s">
        <v>133</v>
      </c>
      <c r="C175" s="1" t="s">
        <v>14</v>
      </c>
      <c r="D175" s="1" t="s">
        <v>17</v>
      </c>
      <c r="E175" s="1" t="s">
        <v>14</v>
      </c>
      <c r="F175" s="1" t="s">
        <v>46</v>
      </c>
      <c r="G175" s="29" t="n">
        <v>46349</v>
      </c>
      <c r="H175" s="30" t="n">
        <v>1.5</v>
      </c>
      <c r="I175" s="1" t="s">
        <v>204</v>
      </c>
      <c r="J175" s="1" t="s">
        <v>197</v>
      </c>
      <c r="K175" s="1" t="n">
        <v>9.5</v>
      </c>
      <c r="L175" s="1" t="s">
        <v>198</v>
      </c>
    </row>
    <row r="176" customFormat="false" ht="15" hidden="false" customHeight="true" outlineLevel="0" collapsed="false">
      <c r="A176" s="1" t="s">
        <v>12</v>
      </c>
      <c r="B176" s="1" t="s">
        <v>129</v>
      </c>
      <c r="C176" s="1" t="s">
        <v>14</v>
      </c>
      <c r="D176" s="1" t="s">
        <v>26</v>
      </c>
      <c r="E176" s="1" t="s">
        <v>14</v>
      </c>
      <c r="F176" s="1" t="s">
        <v>102</v>
      </c>
      <c r="G176" s="29" t="n">
        <v>46349</v>
      </c>
      <c r="H176" s="30" t="n">
        <v>15</v>
      </c>
      <c r="I176" s="1" t="s">
        <v>202</v>
      </c>
      <c r="J176" s="1" t="s">
        <v>197</v>
      </c>
      <c r="K176" s="1" t="n">
        <v>21</v>
      </c>
      <c r="L176" s="1" t="s">
        <v>198</v>
      </c>
    </row>
    <row r="177" customFormat="false" ht="15" hidden="false" customHeight="true" outlineLevel="0" collapsed="false">
      <c r="A177" s="1" t="s">
        <v>12</v>
      </c>
      <c r="B177" s="1" t="s">
        <v>132</v>
      </c>
      <c r="C177" s="1" t="s">
        <v>14</v>
      </c>
      <c r="D177" s="1" t="s">
        <v>24</v>
      </c>
      <c r="E177" s="1" t="s">
        <v>14</v>
      </c>
      <c r="F177" s="1" t="s">
        <v>103</v>
      </c>
      <c r="G177" s="29" t="n">
        <v>46349</v>
      </c>
      <c r="H177" s="30" t="n">
        <v>13.653846</v>
      </c>
      <c r="I177" s="1" t="s">
        <v>202</v>
      </c>
      <c r="J177" s="1" t="s">
        <v>197</v>
      </c>
      <c r="K177" s="1" t="n">
        <v>40</v>
      </c>
      <c r="L177" s="1" t="s">
        <v>198</v>
      </c>
    </row>
    <row r="178" customFormat="false" ht="15" hidden="false" customHeight="true" outlineLevel="0" collapsed="false">
      <c r="A178" s="1" t="s">
        <v>12</v>
      </c>
      <c r="B178" s="1" t="s">
        <v>132</v>
      </c>
      <c r="C178" s="1" t="s">
        <v>14</v>
      </c>
      <c r="D178" s="1" t="s">
        <v>162</v>
      </c>
      <c r="E178" s="1" t="s">
        <v>14</v>
      </c>
      <c r="F178" s="1" t="s">
        <v>103</v>
      </c>
      <c r="G178" s="29" t="n">
        <v>46349</v>
      </c>
      <c r="H178" s="30" t="n">
        <v>1.346154</v>
      </c>
      <c r="I178" s="1" t="s">
        <v>203</v>
      </c>
      <c r="J178" s="1" t="s">
        <v>197</v>
      </c>
      <c r="K178" s="1" t="n">
        <v>1.346154</v>
      </c>
      <c r="L178" s="1" t="s">
        <v>201</v>
      </c>
    </row>
    <row r="179" customFormat="false" ht="15" hidden="false" customHeight="true" outlineLevel="0" collapsed="false">
      <c r="A179" s="1" t="s">
        <v>12</v>
      </c>
      <c r="B179" s="1" t="s">
        <v>9</v>
      </c>
      <c r="C179" s="1" t="s">
        <v>10</v>
      </c>
      <c r="D179" s="1" t="s">
        <v>116</v>
      </c>
      <c r="E179" s="1" t="s">
        <v>10</v>
      </c>
      <c r="F179" s="1" t="s">
        <v>96</v>
      </c>
      <c r="G179" s="29" t="n">
        <v>46356</v>
      </c>
      <c r="H179" s="30" t="n">
        <v>9.9</v>
      </c>
      <c r="I179" s="1" t="s">
        <v>196</v>
      </c>
      <c r="J179" s="1" t="s">
        <v>197</v>
      </c>
      <c r="K179" s="1" t="n">
        <v>28.9</v>
      </c>
      <c r="L179" s="1" t="s">
        <v>198</v>
      </c>
    </row>
    <row r="180" customFormat="false" ht="15" hidden="false" customHeight="true" outlineLevel="0" collapsed="false">
      <c r="A180" s="1" t="s">
        <v>12</v>
      </c>
      <c r="B180" s="1" t="s">
        <v>9</v>
      </c>
      <c r="C180" s="1" t="s">
        <v>10</v>
      </c>
      <c r="D180" s="1" t="s">
        <v>33</v>
      </c>
      <c r="E180" s="1" t="s">
        <v>10</v>
      </c>
      <c r="F180" s="1" t="s">
        <v>100</v>
      </c>
      <c r="G180" s="29" t="n">
        <v>46356</v>
      </c>
      <c r="H180" s="30" t="n">
        <v>2.5</v>
      </c>
      <c r="I180" s="1" t="s">
        <v>196</v>
      </c>
      <c r="J180" s="1" t="s">
        <v>197</v>
      </c>
      <c r="K180" s="1" t="n">
        <v>34.5</v>
      </c>
      <c r="L180" s="1" t="s">
        <v>198</v>
      </c>
    </row>
    <row r="181" customFormat="false" ht="15" hidden="false" customHeight="true" outlineLevel="0" collapsed="false">
      <c r="A181" s="1" t="s">
        <v>12</v>
      </c>
      <c r="B181" s="1" t="s">
        <v>26</v>
      </c>
      <c r="C181" s="1" t="s">
        <v>14</v>
      </c>
      <c r="D181" s="1" t="s">
        <v>24</v>
      </c>
      <c r="E181" s="1" t="s">
        <v>14</v>
      </c>
      <c r="F181" s="1" t="s">
        <v>111</v>
      </c>
      <c r="G181" s="29" t="n">
        <v>46356</v>
      </c>
      <c r="H181" s="30" t="n">
        <v>3</v>
      </c>
      <c r="I181" s="1" t="s">
        <v>196</v>
      </c>
      <c r="J181" s="1" t="s">
        <v>197</v>
      </c>
      <c r="K181" s="1" t="n">
        <v>34.346154</v>
      </c>
      <c r="L181" s="1" t="s">
        <v>198</v>
      </c>
    </row>
    <row r="182" customFormat="false" ht="15" hidden="false" customHeight="true" outlineLevel="0" collapsed="false">
      <c r="A182" s="1" t="s">
        <v>12</v>
      </c>
      <c r="B182" s="1" t="s">
        <v>20</v>
      </c>
      <c r="C182" s="1" t="s">
        <v>10</v>
      </c>
      <c r="D182" s="1" t="s">
        <v>36</v>
      </c>
      <c r="E182" s="1" t="s">
        <v>10</v>
      </c>
      <c r="F182" s="1" t="s">
        <v>85</v>
      </c>
      <c r="G182" s="29" t="n">
        <v>46356</v>
      </c>
      <c r="H182" s="30" t="n">
        <v>4.5</v>
      </c>
      <c r="I182" s="1" t="s">
        <v>196</v>
      </c>
      <c r="J182" s="1" t="s">
        <v>197</v>
      </c>
      <c r="K182" s="1" t="n">
        <v>9.5</v>
      </c>
      <c r="L182" s="1" t="s">
        <v>198</v>
      </c>
    </row>
    <row r="183" customFormat="false" ht="15" hidden="false" customHeight="true" outlineLevel="0" collapsed="false">
      <c r="A183" s="1" t="s">
        <v>12</v>
      </c>
      <c r="B183" s="1" t="s">
        <v>20</v>
      </c>
      <c r="C183" s="1" t="s">
        <v>10</v>
      </c>
      <c r="D183" s="1" t="s">
        <v>116</v>
      </c>
      <c r="E183" s="1" t="s">
        <v>10</v>
      </c>
      <c r="F183" s="1" t="s">
        <v>43</v>
      </c>
      <c r="G183" s="29" t="n">
        <v>46356</v>
      </c>
      <c r="H183" s="30" t="n">
        <v>10</v>
      </c>
      <c r="I183" s="1" t="s">
        <v>196</v>
      </c>
      <c r="J183" s="1" t="s">
        <v>197</v>
      </c>
      <c r="K183" s="1" t="n">
        <v>38.9</v>
      </c>
      <c r="L183" s="1" t="s">
        <v>198</v>
      </c>
    </row>
    <row r="184" customFormat="false" ht="15" hidden="false" customHeight="true" outlineLevel="0" collapsed="false">
      <c r="A184" s="1" t="s">
        <v>12</v>
      </c>
      <c r="B184" s="1" t="s">
        <v>15</v>
      </c>
      <c r="C184" s="1" t="s">
        <v>16</v>
      </c>
      <c r="D184" s="1" t="s">
        <v>25</v>
      </c>
      <c r="E184" s="1" t="s">
        <v>16</v>
      </c>
      <c r="F184" s="1" t="s">
        <v>79</v>
      </c>
      <c r="G184" s="29" t="n">
        <v>46356</v>
      </c>
      <c r="H184" s="30" t="n">
        <v>1.403509</v>
      </c>
      <c r="I184" s="1" t="s">
        <v>196</v>
      </c>
      <c r="J184" s="1" t="s">
        <v>197</v>
      </c>
      <c r="K184" s="1" t="n">
        <v>18.557895</v>
      </c>
      <c r="L184" s="1" t="s">
        <v>198</v>
      </c>
    </row>
    <row r="185" customFormat="false" ht="15" hidden="false" customHeight="true" outlineLevel="0" collapsed="false">
      <c r="A185" s="1" t="s">
        <v>12</v>
      </c>
      <c r="B185" s="1" t="s">
        <v>15</v>
      </c>
      <c r="C185" s="1" t="s">
        <v>16</v>
      </c>
      <c r="D185" s="1" t="s">
        <v>25</v>
      </c>
      <c r="E185" s="1" t="s">
        <v>16</v>
      </c>
      <c r="F185" s="1" t="s">
        <v>40</v>
      </c>
      <c r="G185" s="29" t="n">
        <v>46356</v>
      </c>
      <c r="H185" s="30" t="n">
        <v>1.1</v>
      </c>
      <c r="I185" s="1" t="s">
        <v>196</v>
      </c>
      <c r="J185" s="1" t="s">
        <v>197</v>
      </c>
      <c r="K185" s="1" t="n">
        <v>19.657895</v>
      </c>
      <c r="L185" s="1" t="s">
        <v>198</v>
      </c>
    </row>
    <row r="186" customFormat="false" ht="15" hidden="false" customHeight="true" outlineLevel="0" collapsed="false">
      <c r="A186" s="1" t="s">
        <v>12</v>
      </c>
      <c r="B186" s="1" t="s">
        <v>15</v>
      </c>
      <c r="C186" s="1" t="s">
        <v>16</v>
      </c>
      <c r="D186" s="1" t="s">
        <v>25</v>
      </c>
      <c r="E186" s="1" t="s">
        <v>16</v>
      </c>
      <c r="F186" s="1" t="s">
        <v>98</v>
      </c>
      <c r="G186" s="29" t="n">
        <v>46356</v>
      </c>
      <c r="H186" s="30" t="n">
        <v>1</v>
      </c>
      <c r="I186" s="1" t="s">
        <v>196</v>
      </c>
      <c r="J186" s="1" t="s">
        <v>197</v>
      </c>
      <c r="K186" s="1" t="n">
        <v>15.754386</v>
      </c>
      <c r="L186" s="1" t="s">
        <v>198</v>
      </c>
    </row>
    <row r="187" customFormat="false" ht="15" hidden="false" customHeight="true" outlineLevel="0" collapsed="false">
      <c r="A187" s="1" t="s">
        <v>12</v>
      </c>
      <c r="B187" s="1" t="s">
        <v>15</v>
      </c>
      <c r="C187" s="1" t="s">
        <v>16</v>
      </c>
      <c r="D187" s="1" t="s">
        <v>25</v>
      </c>
      <c r="E187" s="1" t="s">
        <v>16</v>
      </c>
      <c r="F187" s="1" t="s">
        <v>99</v>
      </c>
      <c r="G187" s="29" t="n">
        <v>46356</v>
      </c>
      <c r="H187" s="30" t="n">
        <v>1.4</v>
      </c>
      <c r="I187" s="1" t="s">
        <v>196</v>
      </c>
      <c r="J187" s="1" t="s">
        <v>197</v>
      </c>
      <c r="K187" s="1" t="n">
        <v>17.154386</v>
      </c>
      <c r="L187" s="1" t="s">
        <v>198</v>
      </c>
    </row>
    <row r="188" customFormat="false" ht="15" hidden="false" customHeight="true" outlineLevel="0" collapsed="false">
      <c r="A188" s="1" t="s">
        <v>12</v>
      </c>
      <c r="B188" s="1" t="s">
        <v>27</v>
      </c>
      <c r="C188" s="1" t="s">
        <v>14</v>
      </c>
      <c r="D188" s="1" t="s">
        <v>17</v>
      </c>
      <c r="E188" s="1" t="s">
        <v>14</v>
      </c>
      <c r="F188" s="1" t="s">
        <v>40</v>
      </c>
      <c r="G188" s="29" t="n">
        <v>46356</v>
      </c>
      <c r="H188" s="30" t="n">
        <v>5</v>
      </c>
      <c r="I188" s="1" t="s">
        <v>196</v>
      </c>
      <c r="J188" s="1" t="s">
        <v>197</v>
      </c>
      <c r="K188" s="1" t="n">
        <v>11</v>
      </c>
      <c r="L188" s="1" t="s">
        <v>198</v>
      </c>
    </row>
    <row r="189" customFormat="false" ht="15" hidden="false" customHeight="true" outlineLevel="0" collapsed="false">
      <c r="A189" s="1" t="s">
        <v>12</v>
      </c>
      <c r="B189" s="1" t="s">
        <v>21</v>
      </c>
      <c r="C189" s="1" t="s">
        <v>14</v>
      </c>
      <c r="D189" s="1" t="s">
        <v>30</v>
      </c>
      <c r="E189" s="1" t="s">
        <v>14</v>
      </c>
      <c r="F189" s="1" t="s">
        <v>85</v>
      </c>
      <c r="G189" s="29" t="n">
        <v>46356</v>
      </c>
      <c r="H189" s="30" t="n">
        <v>7</v>
      </c>
      <c r="I189" s="1" t="s">
        <v>196</v>
      </c>
      <c r="J189" s="1" t="s">
        <v>197</v>
      </c>
      <c r="K189" s="1" t="n">
        <v>19</v>
      </c>
      <c r="L189" s="1" t="s">
        <v>198</v>
      </c>
    </row>
    <row r="190" customFormat="false" ht="15" hidden="false" customHeight="true" outlineLevel="0" collapsed="false">
      <c r="A190" s="1" t="s">
        <v>12</v>
      </c>
      <c r="B190" s="1" t="s">
        <v>21</v>
      </c>
      <c r="C190" s="1" t="s">
        <v>14</v>
      </c>
      <c r="D190" s="1" t="s">
        <v>13</v>
      </c>
      <c r="E190" s="1" t="s">
        <v>14</v>
      </c>
      <c r="F190" s="1" t="s">
        <v>43</v>
      </c>
      <c r="G190" s="29" t="n">
        <v>46356</v>
      </c>
      <c r="H190" s="30" t="n">
        <v>10</v>
      </c>
      <c r="I190" s="1" t="s">
        <v>196</v>
      </c>
      <c r="J190" s="1" t="s">
        <v>197</v>
      </c>
      <c r="K190" s="1" t="n">
        <v>40</v>
      </c>
      <c r="L190" s="1" t="s">
        <v>198</v>
      </c>
    </row>
    <row r="191" customFormat="false" ht="15" hidden="false" customHeight="true" outlineLevel="0" collapsed="false">
      <c r="A191" s="1" t="s">
        <v>12</v>
      </c>
      <c r="B191" s="1" t="s">
        <v>21</v>
      </c>
      <c r="C191" s="1" t="s">
        <v>14</v>
      </c>
      <c r="D191" s="1" t="s">
        <v>30</v>
      </c>
      <c r="E191" s="1" t="s">
        <v>14</v>
      </c>
      <c r="F191" s="1" t="s">
        <v>43</v>
      </c>
      <c r="G191" s="29" t="n">
        <v>46356</v>
      </c>
      <c r="H191" s="30" t="n">
        <v>10</v>
      </c>
      <c r="I191" s="1" t="s">
        <v>196</v>
      </c>
      <c r="J191" s="1" t="s">
        <v>200</v>
      </c>
      <c r="K191" s="1" t="n">
        <v>12</v>
      </c>
      <c r="L191" s="1" t="s">
        <v>198</v>
      </c>
    </row>
    <row r="192" customFormat="false" ht="15" hidden="false" customHeight="true" outlineLevel="0" collapsed="false">
      <c r="A192" s="1" t="s">
        <v>12</v>
      </c>
      <c r="B192" s="1" t="s">
        <v>130</v>
      </c>
      <c r="C192" s="1" t="s">
        <v>14</v>
      </c>
      <c r="D192" s="1" t="s">
        <v>30</v>
      </c>
      <c r="E192" s="1" t="s">
        <v>14</v>
      </c>
      <c r="F192" s="1" t="s">
        <v>85</v>
      </c>
      <c r="G192" s="29" t="n">
        <v>46356</v>
      </c>
      <c r="H192" s="30" t="n">
        <v>21</v>
      </c>
      <c r="I192" s="1" t="s">
        <v>202</v>
      </c>
      <c r="J192" s="1" t="s">
        <v>197</v>
      </c>
      <c r="K192" s="1" t="n">
        <v>40</v>
      </c>
      <c r="L192" s="1" t="s">
        <v>198</v>
      </c>
    </row>
    <row r="193" customFormat="false" ht="15" hidden="false" customHeight="true" outlineLevel="0" collapsed="false">
      <c r="A193" s="1" t="s">
        <v>12</v>
      </c>
      <c r="B193" s="1" t="s">
        <v>130</v>
      </c>
      <c r="C193" s="1" t="s">
        <v>14</v>
      </c>
      <c r="D193" s="1" t="s">
        <v>130</v>
      </c>
      <c r="E193" s="1" t="s">
        <v>14</v>
      </c>
      <c r="F193" s="1" t="s">
        <v>85</v>
      </c>
      <c r="G193" s="29" t="n">
        <v>46356</v>
      </c>
      <c r="H193" s="30" t="n">
        <v>1</v>
      </c>
      <c r="I193" s="1" t="s">
        <v>203</v>
      </c>
      <c r="J193" s="1" t="s">
        <v>197</v>
      </c>
      <c r="K193" s="1" t="n">
        <v>1</v>
      </c>
      <c r="L193" s="1" t="s">
        <v>201</v>
      </c>
    </row>
    <row r="194" customFormat="false" ht="15" hidden="false" customHeight="true" outlineLevel="0" collapsed="false">
      <c r="A194" s="1" t="s">
        <v>12</v>
      </c>
      <c r="B194" s="1" t="s">
        <v>133</v>
      </c>
      <c r="C194" s="1" t="s">
        <v>14</v>
      </c>
      <c r="D194" s="1" t="s">
        <v>17</v>
      </c>
      <c r="E194" s="1" t="s">
        <v>14</v>
      </c>
      <c r="F194" s="1" t="s">
        <v>46</v>
      </c>
      <c r="G194" s="29" t="n">
        <v>46356</v>
      </c>
      <c r="H194" s="30" t="n">
        <v>1.5</v>
      </c>
      <c r="I194" s="1" t="s">
        <v>204</v>
      </c>
      <c r="J194" s="1" t="s">
        <v>197</v>
      </c>
      <c r="K194" s="1" t="n">
        <v>12.5</v>
      </c>
      <c r="L194" s="1" t="s">
        <v>198</v>
      </c>
    </row>
    <row r="195" customFormat="false" ht="15" hidden="false" customHeight="true" outlineLevel="0" collapsed="false">
      <c r="A195" s="1" t="s">
        <v>12</v>
      </c>
      <c r="B195" s="1" t="s">
        <v>129</v>
      </c>
      <c r="C195" s="1" t="s">
        <v>14</v>
      </c>
      <c r="D195" s="1" t="s">
        <v>129</v>
      </c>
      <c r="E195" s="1" t="s">
        <v>14</v>
      </c>
      <c r="F195" s="1" t="s">
        <v>102</v>
      </c>
      <c r="G195" s="29" t="n">
        <v>46356</v>
      </c>
      <c r="H195" s="30" t="n">
        <v>10</v>
      </c>
      <c r="I195" s="1" t="s">
        <v>203</v>
      </c>
      <c r="J195" s="1" t="s">
        <v>200</v>
      </c>
      <c r="K195" s="1" t="n">
        <v>10</v>
      </c>
      <c r="L195" s="1" t="s">
        <v>201</v>
      </c>
    </row>
    <row r="196" customFormat="false" ht="15" hidden="false" customHeight="true" outlineLevel="0" collapsed="false">
      <c r="A196" s="1" t="s">
        <v>12</v>
      </c>
      <c r="B196" s="1" t="s">
        <v>132</v>
      </c>
      <c r="C196" s="1" t="s">
        <v>14</v>
      </c>
      <c r="D196" s="1" t="s">
        <v>24</v>
      </c>
      <c r="E196" s="1" t="s">
        <v>14</v>
      </c>
      <c r="F196" s="1" t="s">
        <v>103</v>
      </c>
      <c r="G196" s="29" t="n">
        <v>46356</v>
      </c>
      <c r="H196" s="30" t="n">
        <v>10</v>
      </c>
      <c r="I196" s="1" t="s">
        <v>202</v>
      </c>
      <c r="J196" s="1" t="s">
        <v>197</v>
      </c>
      <c r="K196" s="1" t="n">
        <v>31.346154</v>
      </c>
      <c r="L196" s="1" t="s">
        <v>198</v>
      </c>
    </row>
    <row r="197" customFormat="false" ht="15" hidden="false" customHeight="true" outlineLevel="0" collapsed="false">
      <c r="A197" s="1" t="s">
        <v>12</v>
      </c>
      <c r="B197" s="1" t="s">
        <v>9</v>
      </c>
      <c r="C197" s="1" t="s">
        <v>10</v>
      </c>
      <c r="D197" s="1" t="s">
        <v>116</v>
      </c>
      <c r="E197" s="1" t="s">
        <v>10</v>
      </c>
      <c r="F197" s="1" t="s">
        <v>96</v>
      </c>
      <c r="G197" s="29" t="n">
        <v>46363</v>
      </c>
      <c r="H197" s="30" t="n">
        <v>11.8</v>
      </c>
      <c r="I197" s="1" t="s">
        <v>196</v>
      </c>
      <c r="J197" s="1" t="s">
        <v>197</v>
      </c>
      <c r="K197" s="1" t="n">
        <v>29.8</v>
      </c>
      <c r="L197" s="1" t="s">
        <v>198</v>
      </c>
    </row>
    <row r="198" customFormat="false" ht="15" hidden="false" customHeight="true" outlineLevel="0" collapsed="false">
      <c r="A198" s="1" t="s">
        <v>12</v>
      </c>
      <c r="B198" s="1" t="s">
        <v>26</v>
      </c>
      <c r="C198" s="1" t="s">
        <v>14</v>
      </c>
      <c r="D198" s="1" t="s">
        <v>24</v>
      </c>
      <c r="E198" s="1" t="s">
        <v>14</v>
      </c>
      <c r="F198" s="1" t="s">
        <v>80</v>
      </c>
      <c r="G198" s="29" t="n">
        <v>46363</v>
      </c>
      <c r="H198" s="30" t="n">
        <v>5</v>
      </c>
      <c r="I198" s="1" t="s">
        <v>196</v>
      </c>
      <c r="J198" s="1" t="s">
        <v>197</v>
      </c>
      <c r="K198" s="1" t="n">
        <v>16.346154</v>
      </c>
      <c r="L198" s="1" t="s">
        <v>198</v>
      </c>
    </row>
    <row r="199" customFormat="false" ht="15" hidden="false" customHeight="true" outlineLevel="0" collapsed="false">
      <c r="A199" s="1" t="s">
        <v>12</v>
      </c>
      <c r="B199" s="1" t="s">
        <v>26</v>
      </c>
      <c r="C199" s="1" t="s">
        <v>14</v>
      </c>
      <c r="D199" s="1" t="s">
        <v>24</v>
      </c>
      <c r="E199" s="1" t="s">
        <v>14</v>
      </c>
      <c r="F199" s="1" t="s">
        <v>111</v>
      </c>
      <c r="G199" s="29" t="n">
        <v>46363</v>
      </c>
      <c r="H199" s="30" t="n">
        <v>5</v>
      </c>
      <c r="I199" s="1" t="s">
        <v>196</v>
      </c>
      <c r="J199" s="1" t="s">
        <v>197</v>
      </c>
      <c r="K199" s="1" t="n">
        <v>31.346154</v>
      </c>
      <c r="L199" s="1" t="s">
        <v>198</v>
      </c>
    </row>
    <row r="200" customFormat="false" ht="15" hidden="false" customHeight="true" outlineLevel="0" collapsed="false">
      <c r="A200" s="1" t="s">
        <v>12</v>
      </c>
      <c r="B200" s="1" t="s">
        <v>130</v>
      </c>
      <c r="C200" s="1" t="s">
        <v>14</v>
      </c>
      <c r="D200" s="1" t="s">
        <v>30</v>
      </c>
      <c r="E200" s="1" t="s">
        <v>14</v>
      </c>
      <c r="F200" s="1" t="s">
        <v>85</v>
      </c>
      <c r="G200" s="29" t="n">
        <v>46363</v>
      </c>
      <c r="H200" s="30" t="n">
        <v>25.5</v>
      </c>
      <c r="I200" s="1" t="s">
        <v>202</v>
      </c>
      <c r="J200" s="1" t="s">
        <v>197</v>
      </c>
      <c r="K200" s="1" t="n">
        <v>27.5</v>
      </c>
      <c r="L200" s="1" t="s">
        <v>198</v>
      </c>
    </row>
    <row r="201" customFormat="false" ht="15" hidden="false" customHeight="true" outlineLevel="0" collapsed="false">
      <c r="A201" s="1" t="s">
        <v>12</v>
      </c>
      <c r="B201" s="1" t="s">
        <v>133</v>
      </c>
      <c r="C201" s="1" t="s">
        <v>14</v>
      </c>
      <c r="D201" s="1" t="s">
        <v>17</v>
      </c>
      <c r="E201" s="1" t="s">
        <v>14</v>
      </c>
      <c r="F201" s="1" t="s">
        <v>46</v>
      </c>
      <c r="G201" s="29" t="n">
        <v>46363</v>
      </c>
      <c r="H201" s="30" t="n">
        <v>3.884615</v>
      </c>
      <c r="I201" s="1" t="s">
        <v>204</v>
      </c>
      <c r="J201" s="1" t="s">
        <v>197</v>
      </c>
      <c r="K201" s="1" t="n">
        <v>25.884615</v>
      </c>
      <c r="L201" s="1" t="s">
        <v>198</v>
      </c>
    </row>
    <row r="202" customFormat="false" ht="15" hidden="false" customHeight="true" outlineLevel="0" collapsed="false">
      <c r="A202" s="1" t="s">
        <v>12</v>
      </c>
      <c r="B202" s="1" t="s">
        <v>133</v>
      </c>
      <c r="C202" s="1" t="s">
        <v>14</v>
      </c>
      <c r="D202" s="1" t="s">
        <v>123</v>
      </c>
      <c r="E202" s="1" t="s">
        <v>14</v>
      </c>
      <c r="F202" s="1" t="s">
        <v>46</v>
      </c>
      <c r="G202" s="29" t="n">
        <v>46363</v>
      </c>
      <c r="H202" s="30" t="n">
        <v>18.615385</v>
      </c>
      <c r="I202" s="1" t="s">
        <v>204</v>
      </c>
      <c r="J202" s="1" t="s">
        <v>197</v>
      </c>
      <c r="K202" s="1" t="n">
        <v>20</v>
      </c>
      <c r="L202" s="1" t="s">
        <v>198</v>
      </c>
    </row>
    <row r="203" customFormat="false" ht="15" hidden="false" customHeight="true" outlineLevel="0" collapsed="false">
      <c r="A203" s="1" t="s">
        <v>12</v>
      </c>
      <c r="B203" s="1" t="s">
        <v>128</v>
      </c>
      <c r="C203" s="1" t="s">
        <v>14</v>
      </c>
      <c r="D203" s="1" t="s">
        <v>128</v>
      </c>
      <c r="E203" s="1" t="s">
        <v>14</v>
      </c>
      <c r="F203" s="1" t="s">
        <v>108</v>
      </c>
      <c r="G203" s="29" t="n">
        <v>46363</v>
      </c>
      <c r="H203" s="30" t="n">
        <v>1</v>
      </c>
      <c r="I203" s="1" t="s">
        <v>203</v>
      </c>
      <c r="J203" s="1" t="s">
        <v>200</v>
      </c>
      <c r="K203" s="1" t="n">
        <v>1</v>
      </c>
      <c r="L203" s="1" t="s">
        <v>201</v>
      </c>
    </row>
    <row r="204" customFormat="false" ht="15" hidden="false" customHeight="true" outlineLevel="0" collapsed="false">
      <c r="A204" s="1" t="s">
        <v>12</v>
      </c>
      <c r="B204" s="1" t="s">
        <v>129</v>
      </c>
      <c r="C204" s="1" t="s">
        <v>14</v>
      </c>
      <c r="D204" s="1" t="s">
        <v>129</v>
      </c>
      <c r="E204" s="1" t="s">
        <v>14</v>
      </c>
      <c r="F204" s="1" t="s">
        <v>102</v>
      </c>
      <c r="G204" s="29" t="n">
        <v>46363</v>
      </c>
      <c r="H204" s="30" t="n">
        <v>15</v>
      </c>
      <c r="I204" s="1" t="s">
        <v>203</v>
      </c>
      <c r="J204" s="1" t="s">
        <v>200</v>
      </c>
      <c r="K204" s="1" t="n">
        <v>15</v>
      </c>
      <c r="L204" s="1" t="s">
        <v>201</v>
      </c>
    </row>
    <row r="205" customFormat="false" ht="15" hidden="false" customHeight="true" outlineLevel="0" collapsed="false">
      <c r="A205" s="1" t="s">
        <v>12</v>
      </c>
      <c r="B205" s="1" t="s">
        <v>132</v>
      </c>
      <c r="C205" s="1" t="s">
        <v>14</v>
      </c>
      <c r="D205" s="1" t="s">
        <v>24</v>
      </c>
      <c r="E205" s="1" t="s">
        <v>14</v>
      </c>
      <c r="F205" s="1" t="s">
        <v>103</v>
      </c>
      <c r="G205" s="29" t="n">
        <v>46363</v>
      </c>
      <c r="H205" s="30" t="n">
        <v>10</v>
      </c>
      <c r="I205" s="1" t="s">
        <v>202</v>
      </c>
      <c r="J205" s="1" t="s">
        <v>197</v>
      </c>
      <c r="K205" s="1" t="n">
        <v>26.346154</v>
      </c>
      <c r="L205" s="1" t="s">
        <v>198</v>
      </c>
    </row>
    <row r="206" customFormat="false" ht="15" hidden="false" customHeight="true" outlineLevel="0" collapsed="false">
      <c r="A206" s="1" t="s">
        <v>12</v>
      </c>
      <c r="B206" s="1" t="s">
        <v>26</v>
      </c>
      <c r="C206" s="1" t="s">
        <v>14</v>
      </c>
      <c r="D206" s="1" t="s">
        <v>24</v>
      </c>
      <c r="E206" s="1" t="s">
        <v>14</v>
      </c>
      <c r="F206" s="1" t="s">
        <v>80</v>
      </c>
      <c r="G206" s="29" t="n">
        <v>46370</v>
      </c>
      <c r="H206" s="30" t="n">
        <v>6</v>
      </c>
      <c r="I206" s="1" t="s">
        <v>196</v>
      </c>
      <c r="J206" s="1" t="s">
        <v>197</v>
      </c>
      <c r="K206" s="1" t="n">
        <v>12.346154</v>
      </c>
      <c r="L206" s="1" t="s">
        <v>198</v>
      </c>
    </row>
    <row r="207" customFormat="false" ht="15" hidden="false" customHeight="true" outlineLevel="0" collapsed="false">
      <c r="A207" s="1" t="s">
        <v>12</v>
      </c>
      <c r="B207" s="1" t="s">
        <v>26</v>
      </c>
      <c r="C207" s="1" t="s">
        <v>14</v>
      </c>
      <c r="D207" s="1" t="s">
        <v>24</v>
      </c>
      <c r="E207" s="1" t="s">
        <v>14</v>
      </c>
      <c r="F207" s="1" t="s">
        <v>111</v>
      </c>
      <c r="G207" s="29" t="n">
        <v>46370</v>
      </c>
      <c r="H207" s="30" t="n">
        <v>7</v>
      </c>
      <c r="I207" s="1" t="s">
        <v>196</v>
      </c>
      <c r="J207" s="1" t="s">
        <v>197</v>
      </c>
      <c r="K207" s="1" t="n">
        <v>24.346154</v>
      </c>
      <c r="L207" s="1" t="s">
        <v>198</v>
      </c>
    </row>
    <row r="208" customFormat="false" ht="15" hidden="false" customHeight="true" outlineLevel="0" collapsed="false">
      <c r="A208" s="1" t="s">
        <v>12</v>
      </c>
      <c r="B208" s="1" t="s">
        <v>15</v>
      </c>
      <c r="C208" s="1" t="s">
        <v>16</v>
      </c>
      <c r="D208" s="1" t="s">
        <v>75</v>
      </c>
      <c r="E208" s="1" t="s">
        <v>16</v>
      </c>
      <c r="F208" s="1" t="s">
        <v>79</v>
      </c>
      <c r="G208" s="29" t="n">
        <v>46370</v>
      </c>
      <c r="H208" s="30" t="n">
        <v>1.403509</v>
      </c>
      <c r="I208" s="1" t="s">
        <v>196</v>
      </c>
      <c r="J208" s="1" t="s">
        <v>197</v>
      </c>
      <c r="K208" s="1" t="n">
        <v>11.333334</v>
      </c>
      <c r="L208" s="1" t="s">
        <v>198</v>
      </c>
    </row>
    <row r="209" customFormat="false" ht="15" hidden="false" customHeight="true" outlineLevel="0" collapsed="false">
      <c r="A209" s="1" t="s">
        <v>12</v>
      </c>
      <c r="B209" s="1" t="s">
        <v>15</v>
      </c>
      <c r="C209" s="1" t="s">
        <v>16</v>
      </c>
      <c r="D209" s="1" t="s">
        <v>75</v>
      </c>
      <c r="E209" s="1" t="s">
        <v>16</v>
      </c>
      <c r="F209" s="1" t="s">
        <v>40</v>
      </c>
      <c r="G209" s="29" t="n">
        <v>46370</v>
      </c>
      <c r="H209" s="30" t="n">
        <v>2.5</v>
      </c>
      <c r="I209" s="1" t="s">
        <v>196</v>
      </c>
      <c r="J209" s="1" t="s">
        <v>197</v>
      </c>
      <c r="K209" s="1" t="n">
        <v>13.833334</v>
      </c>
      <c r="L209" s="1" t="s">
        <v>198</v>
      </c>
    </row>
    <row r="210" customFormat="false" ht="15" hidden="false" customHeight="true" outlineLevel="0" collapsed="false">
      <c r="A210" s="1" t="s">
        <v>12</v>
      </c>
      <c r="B210" s="1" t="s">
        <v>15</v>
      </c>
      <c r="C210" s="1" t="s">
        <v>16</v>
      </c>
      <c r="D210" s="1" t="s">
        <v>25</v>
      </c>
      <c r="E210" s="1" t="s">
        <v>16</v>
      </c>
      <c r="F210" s="1" t="s">
        <v>98</v>
      </c>
      <c r="G210" s="29" t="n">
        <v>46370</v>
      </c>
      <c r="H210" s="30" t="n">
        <v>1</v>
      </c>
      <c r="I210" s="1" t="s">
        <v>196</v>
      </c>
      <c r="J210" s="1" t="s">
        <v>197</v>
      </c>
      <c r="K210" s="1" t="n">
        <v>25.754386</v>
      </c>
      <c r="L210" s="1" t="s">
        <v>198</v>
      </c>
    </row>
    <row r="211" customFormat="false" ht="15" hidden="false" customHeight="true" outlineLevel="0" collapsed="false">
      <c r="A211" s="1" t="s">
        <v>12</v>
      </c>
      <c r="B211" s="1" t="s">
        <v>130</v>
      </c>
      <c r="C211" s="1" t="s">
        <v>14</v>
      </c>
      <c r="D211" s="1" t="s">
        <v>30</v>
      </c>
      <c r="E211" s="1" t="s">
        <v>14</v>
      </c>
      <c r="F211" s="1" t="s">
        <v>85</v>
      </c>
      <c r="G211" s="29" t="n">
        <v>46370</v>
      </c>
      <c r="H211" s="30" t="n">
        <v>5.5</v>
      </c>
      <c r="I211" s="1" t="s">
        <v>202</v>
      </c>
      <c r="J211" s="1" t="s">
        <v>197</v>
      </c>
      <c r="K211" s="1" t="n">
        <v>22.5</v>
      </c>
      <c r="L211" s="1" t="s">
        <v>198</v>
      </c>
    </row>
    <row r="212" customFormat="false" ht="15" hidden="false" customHeight="true" outlineLevel="0" collapsed="false">
      <c r="A212" s="1" t="s">
        <v>12</v>
      </c>
      <c r="B212" s="1" t="s">
        <v>134</v>
      </c>
      <c r="C212" s="1" t="s">
        <v>14</v>
      </c>
      <c r="D212" s="1" t="s">
        <v>27</v>
      </c>
      <c r="E212" s="1" t="s">
        <v>14</v>
      </c>
      <c r="F212" s="1" t="s">
        <v>99</v>
      </c>
      <c r="G212" s="29" t="n">
        <v>46370</v>
      </c>
      <c r="H212" s="30" t="n">
        <v>25</v>
      </c>
      <c r="I212" s="1" t="s">
        <v>202</v>
      </c>
      <c r="J212" s="1" t="s">
        <v>197</v>
      </c>
      <c r="K212" s="1" t="n">
        <v>36</v>
      </c>
      <c r="L212" s="1" t="s">
        <v>198</v>
      </c>
    </row>
    <row r="213" customFormat="false" ht="15" hidden="false" customHeight="true" outlineLevel="0" collapsed="false">
      <c r="A213" s="1" t="s">
        <v>12</v>
      </c>
      <c r="B213" s="1" t="s">
        <v>133</v>
      </c>
      <c r="C213" s="1" t="s">
        <v>14</v>
      </c>
      <c r="D213" s="1" t="s">
        <v>17</v>
      </c>
      <c r="E213" s="1" t="s">
        <v>14</v>
      </c>
      <c r="F213" s="1" t="s">
        <v>46</v>
      </c>
      <c r="G213" s="29" t="n">
        <v>46370</v>
      </c>
      <c r="H213" s="30" t="n">
        <v>1.5</v>
      </c>
      <c r="I213" s="1" t="s">
        <v>204</v>
      </c>
      <c r="J213" s="1" t="s">
        <v>197</v>
      </c>
      <c r="K213" s="1" t="n">
        <v>19.5</v>
      </c>
      <c r="L213" s="1" t="s">
        <v>198</v>
      </c>
    </row>
    <row r="214" customFormat="false" ht="15" hidden="false" customHeight="true" outlineLevel="0" collapsed="false">
      <c r="A214" s="1" t="s">
        <v>12</v>
      </c>
      <c r="B214" s="1" t="s">
        <v>128</v>
      </c>
      <c r="C214" s="1" t="s">
        <v>14</v>
      </c>
      <c r="D214" s="1" t="s">
        <v>128</v>
      </c>
      <c r="E214" s="1" t="s">
        <v>14</v>
      </c>
      <c r="F214" s="1" t="s">
        <v>108</v>
      </c>
      <c r="G214" s="29" t="n">
        <v>46370</v>
      </c>
      <c r="H214" s="30" t="n">
        <v>1</v>
      </c>
      <c r="I214" s="1" t="s">
        <v>203</v>
      </c>
      <c r="J214" s="1" t="s">
        <v>200</v>
      </c>
      <c r="K214" s="1" t="n">
        <v>1</v>
      </c>
      <c r="L214" s="1" t="s">
        <v>201</v>
      </c>
    </row>
    <row r="215" customFormat="false" ht="15" hidden="false" customHeight="true" outlineLevel="0" collapsed="false">
      <c r="A215" s="1" t="s">
        <v>12</v>
      </c>
      <c r="B215" s="1" t="s">
        <v>129</v>
      </c>
      <c r="C215" s="1" t="s">
        <v>14</v>
      </c>
      <c r="D215" s="1" t="s">
        <v>129</v>
      </c>
      <c r="E215" s="1" t="s">
        <v>14</v>
      </c>
      <c r="F215" s="1" t="s">
        <v>102</v>
      </c>
      <c r="G215" s="29" t="n">
        <v>46370</v>
      </c>
      <c r="H215" s="30" t="n">
        <v>10</v>
      </c>
      <c r="I215" s="1" t="s">
        <v>203</v>
      </c>
      <c r="J215" s="1" t="s">
        <v>200</v>
      </c>
      <c r="K215" s="1" t="n">
        <v>10</v>
      </c>
      <c r="L215" s="1" t="s">
        <v>201</v>
      </c>
    </row>
    <row r="216" customFormat="false" ht="15" hidden="false" customHeight="true" outlineLevel="0" collapsed="false">
      <c r="A216" s="1" t="s">
        <v>12</v>
      </c>
      <c r="B216" s="1" t="s">
        <v>132</v>
      </c>
      <c r="C216" s="1" t="s">
        <v>14</v>
      </c>
      <c r="D216" s="1" t="s">
        <v>24</v>
      </c>
      <c r="E216" s="1" t="s">
        <v>14</v>
      </c>
      <c r="F216" s="1" t="s">
        <v>103</v>
      </c>
      <c r="G216" s="29" t="n">
        <v>46370</v>
      </c>
      <c r="H216" s="30" t="n">
        <v>5</v>
      </c>
      <c r="I216" s="1" t="s">
        <v>202</v>
      </c>
      <c r="J216" s="1" t="s">
        <v>197</v>
      </c>
      <c r="K216" s="1" t="n">
        <v>17.346154</v>
      </c>
      <c r="L216" s="1" t="s">
        <v>198</v>
      </c>
    </row>
    <row r="217" customFormat="false" ht="15" hidden="false" customHeight="true" outlineLevel="0" collapsed="false">
      <c r="A217" s="1" t="s">
        <v>12</v>
      </c>
      <c r="B217" s="1" t="s">
        <v>130</v>
      </c>
      <c r="C217" s="1" t="s">
        <v>14</v>
      </c>
      <c r="D217" s="1" t="s">
        <v>30</v>
      </c>
      <c r="E217" s="1" t="s">
        <v>14</v>
      </c>
      <c r="F217" s="1" t="s">
        <v>85</v>
      </c>
      <c r="G217" s="29" t="n">
        <v>46377</v>
      </c>
      <c r="H217" s="30" t="n">
        <v>2</v>
      </c>
      <c r="I217" s="1" t="s">
        <v>202</v>
      </c>
      <c r="J217" s="1" t="s">
        <v>197</v>
      </c>
      <c r="K217" s="1" t="n">
        <v>4</v>
      </c>
      <c r="L217" s="1" t="s">
        <v>198</v>
      </c>
    </row>
    <row r="218" customFormat="false" ht="15" hidden="false" customHeight="true" outlineLevel="0" collapsed="false">
      <c r="A218" s="1" t="s">
        <v>12</v>
      </c>
      <c r="B218" s="1" t="s">
        <v>18</v>
      </c>
      <c r="C218" s="1" t="s">
        <v>16</v>
      </c>
      <c r="D218" s="1" t="s">
        <v>15</v>
      </c>
      <c r="E218" s="1" t="s">
        <v>16</v>
      </c>
      <c r="F218" s="1" t="s">
        <v>79</v>
      </c>
      <c r="G218" s="29" t="n">
        <v>46391</v>
      </c>
      <c r="H218" s="30" t="n">
        <v>0.403509</v>
      </c>
      <c r="I218" s="1" t="s">
        <v>196</v>
      </c>
      <c r="J218" s="1" t="s">
        <v>197</v>
      </c>
      <c r="K218" s="1" t="n">
        <v>4.307018</v>
      </c>
      <c r="L218" s="1" t="s">
        <v>198</v>
      </c>
    </row>
    <row r="219" customFormat="false" ht="15" hidden="false" customHeight="true" outlineLevel="0" collapsed="false">
      <c r="A219" s="1" t="s">
        <v>12</v>
      </c>
      <c r="B219" s="1" t="s">
        <v>18</v>
      </c>
      <c r="C219" s="1" t="s">
        <v>16</v>
      </c>
      <c r="D219" s="1" t="s">
        <v>15</v>
      </c>
      <c r="E219" s="1" t="s">
        <v>16</v>
      </c>
      <c r="F219" s="1" t="s">
        <v>81</v>
      </c>
      <c r="G219" s="29" t="n">
        <v>46391</v>
      </c>
      <c r="H219" s="30" t="n">
        <v>0.5</v>
      </c>
      <c r="I219" s="1" t="s">
        <v>196</v>
      </c>
      <c r="J219" s="1" t="s">
        <v>197</v>
      </c>
      <c r="K219" s="1" t="n">
        <v>2.903509</v>
      </c>
      <c r="L219" s="1" t="s">
        <v>198</v>
      </c>
    </row>
    <row r="220" customFormat="false" ht="15" hidden="false" customHeight="true" outlineLevel="0" collapsed="false">
      <c r="A220" s="1" t="s">
        <v>12</v>
      </c>
      <c r="B220" s="1" t="s">
        <v>18</v>
      </c>
      <c r="C220" s="1" t="s">
        <v>16</v>
      </c>
      <c r="D220" s="1" t="s">
        <v>15</v>
      </c>
      <c r="E220" s="1" t="s">
        <v>16</v>
      </c>
      <c r="F220" s="1" t="s">
        <v>99</v>
      </c>
      <c r="G220" s="29" t="n">
        <v>46391</v>
      </c>
      <c r="H220" s="30" t="n">
        <v>1</v>
      </c>
      <c r="I220" s="1" t="s">
        <v>196</v>
      </c>
      <c r="J220" s="1" t="s">
        <v>197</v>
      </c>
      <c r="K220" s="1" t="n">
        <v>3.903509</v>
      </c>
      <c r="L220" s="1" t="s">
        <v>198</v>
      </c>
    </row>
    <row r="221" customFormat="false" ht="15" hidden="false" customHeight="true" outlineLevel="0" collapsed="false">
      <c r="A221" s="1" t="s">
        <v>12</v>
      </c>
      <c r="B221" s="1" t="s">
        <v>130</v>
      </c>
      <c r="C221" s="1" t="s">
        <v>14</v>
      </c>
      <c r="D221" s="1" t="s">
        <v>30</v>
      </c>
      <c r="E221" s="1" t="s">
        <v>14</v>
      </c>
      <c r="F221" s="1" t="s">
        <v>85</v>
      </c>
      <c r="G221" s="29" t="n">
        <v>46391</v>
      </c>
      <c r="H221" s="30" t="n">
        <v>6</v>
      </c>
      <c r="I221" s="1" t="s">
        <v>202</v>
      </c>
      <c r="J221" s="1" t="s">
        <v>197</v>
      </c>
      <c r="K221" s="1" t="n">
        <v>15</v>
      </c>
      <c r="L221" s="1" t="s">
        <v>198</v>
      </c>
    </row>
    <row r="222" customFormat="false" ht="15" hidden="false" customHeight="true" outlineLevel="0" collapsed="false">
      <c r="A222" s="1" t="s">
        <v>12</v>
      </c>
      <c r="B222" s="1" t="s">
        <v>134</v>
      </c>
      <c r="C222" s="1" t="s">
        <v>14</v>
      </c>
      <c r="D222" s="1" t="s">
        <v>30</v>
      </c>
      <c r="E222" s="1" t="s">
        <v>14</v>
      </c>
      <c r="F222" s="1" t="s">
        <v>99</v>
      </c>
      <c r="G222" s="29" t="n">
        <v>46391</v>
      </c>
      <c r="H222" s="30" t="n">
        <v>40</v>
      </c>
      <c r="I222" s="1" t="s">
        <v>202</v>
      </c>
      <c r="J222" s="1" t="s">
        <v>197</v>
      </c>
      <c r="K222" s="1" t="n">
        <v>55</v>
      </c>
      <c r="L222" s="1" t="s">
        <v>198</v>
      </c>
    </row>
    <row r="223" customFormat="false" ht="15" hidden="false" customHeight="true" outlineLevel="0" collapsed="false">
      <c r="A223" s="1" t="s">
        <v>12</v>
      </c>
      <c r="B223" s="1" t="s">
        <v>133</v>
      </c>
      <c r="C223" s="1" t="s">
        <v>14</v>
      </c>
      <c r="D223" s="1" t="s">
        <v>17</v>
      </c>
      <c r="E223" s="1" t="s">
        <v>14</v>
      </c>
      <c r="F223" s="1" t="s">
        <v>46</v>
      </c>
      <c r="G223" s="29" t="n">
        <v>46391</v>
      </c>
      <c r="H223" s="30" t="n">
        <v>1.5</v>
      </c>
      <c r="I223" s="1" t="s">
        <v>204</v>
      </c>
      <c r="J223" s="1" t="s">
        <v>197</v>
      </c>
      <c r="K223" s="1" t="n">
        <v>27.5</v>
      </c>
      <c r="L223" s="1" t="s">
        <v>198</v>
      </c>
    </row>
    <row r="224" customFormat="false" ht="15" hidden="false" customHeight="true" outlineLevel="0" collapsed="false">
      <c r="A224" s="1" t="s">
        <v>12</v>
      </c>
      <c r="B224" s="1" t="s">
        <v>128</v>
      </c>
      <c r="C224" s="1" t="s">
        <v>14</v>
      </c>
      <c r="D224" s="1" t="s">
        <v>13</v>
      </c>
      <c r="E224" s="1" t="s">
        <v>14</v>
      </c>
      <c r="F224" s="1" t="s">
        <v>108</v>
      </c>
      <c r="G224" s="29" t="n">
        <v>46391</v>
      </c>
      <c r="H224" s="30" t="n">
        <v>21</v>
      </c>
      <c r="I224" s="1" t="s">
        <v>202</v>
      </c>
      <c r="J224" s="1" t="s">
        <v>200</v>
      </c>
      <c r="K224" s="1" t="n">
        <v>37</v>
      </c>
      <c r="L224" s="1" t="s">
        <v>198</v>
      </c>
    </row>
    <row r="225" customFormat="false" ht="15" hidden="false" customHeight="true" outlineLevel="0" collapsed="false">
      <c r="A225" s="1" t="s">
        <v>12</v>
      </c>
      <c r="B225" s="1" t="s">
        <v>129</v>
      </c>
      <c r="C225" s="1" t="s">
        <v>14</v>
      </c>
      <c r="D225" s="1" t="s">
        <v>26</v>
      </c>
      <c r="E225" s="1" t="s">
        <v>14</v>
      </c>
      <c r="F225" s="1" t="s">
        <v>102</v>
      </c>
      <c r="G225" s="29" t="n">
        <v>46391</v>
      </c>
      <c r="H225" s="30" t="n">
        <v>5.3</v>
      </c>
      <c r="I225" s="1" t="s">
        <v>202</v>
      </c>
      <c r="J225" s="1" t="s">
        <v>197</v>
      </c>
      <c r="K225" s="1" t="n">
        <v>55</v>
      </c>
      <c r="L225" s="1" t="s">
        <v>198</v>
      </c>
    </row>
    <row r="226" customFormat="false" ht="15" hidden="false" customHeight="true" outlineLevel="0" collapsed="false">
      <c r="A226" s="1" t="s">
        <v>12</v>
      </c>
      <c r="B226" s="1" t="s">
        <v>129</v>
      </c>
      <c r="C226" s="1" t="s">
        <v>14</v>
      </c>
      <c r="D226" s="1" t="s">
        <v>129</v>
      </c>
      <c r="E226" s="1" t="s">
        <v>14</v>
      </c>
      <c r="F226" s="1" t="s">
        <v>102</v>
      </c>
      <c r="G226" s="29" t="n">
        <v>46391</v>
      </c>
      <c r="H226" s="30" t="n">
        <v>30.7</v>
      </c>
      <c r="I226" s="1" t="s">
        <v>203</v>
      </c>
      <c r="J226" s="1" t="s">
        <v>200</v>
      </c>
      <c r="K226" s="1" t="n">
        <v>30.7</v>
      </c>
      <c r="L226" s="1" t="s">
        <v>201</v>
      </c>
    </row>
    <row r="227" customFormat="false" ht="15" hidden="false" customHeight="true" outlineLevel="0" collapsed="false">
      <c r="A227" s="1" t="s">
        <v>12</v>
      </c>
      <c r="B227" s="1" t="s">
        <v>131</v>
      </c>
      <c r="C227" s="1" t="s">
        <v>14</v>
      </c>
      <c r="D227" s="1" t="s">
        <v>24</v>
      </c>
      <c r="E227" s="1" t="s">
        <v>14</v>
      </c>
      <c r="F227" s="1" t="s">
        <v>103</v>
      </c>
      <c r="G227" s="29" t="n">
        <v>46391</v>
      </c>
      <c r="H227" s="30" t="n">
        <v>17.5</v>
      </c>
      <c r="I227" s="1" t="s">
        <v>202</v>
      </c>
      <c r="J227" s="1" t="s">
        <v>197</v>
      </c>
      <c r="K227" s="1" t="n">
        <v>55</v>
      </c>
      <c r="L227" s="1" t="s">
        <v>198</v>
      </c>
    </row>
    <row r="228" customFormat="false" ht="15" hidden="false" customHeight="true" outlineLevel="0" collapsed="false">
      <c r="A228" s="1" t="s">
        <v>12</v>
      </c>
      <c r="B228" s="1" t="s">
        <v>131</v>
      </c>
      <c r="C228" s="1" t="s">
        <v>14</v>
      </c>
      <c r="D228" s="1" t="s">
        <v>162</v>
      </c>
      <c r="E228" s="1" t="s">
        <v>14</v>
      </c>
      <c r="F228" s="1" t="s">
        <v>103</v>
      </c>
      <c r="G228" s="29" t="n">
        <v>46391</v>
      </c>
      <c r="H228" s="30" t="n">
        <v>17.5</v>
      </c>
      <c r="I228" s="1" t="s">
        <v>203</v>
      </c>
      <c r="J228" s="1" t="s">
        <v>197</v>
      </c>
      <c r="K228" s="1" t="n">
        <v>17.5</v>
      </c>
      <c r="L228" s="1" t="s">
        <v>201</v>
      </c>
    </row>
    <row r="229" customFormat="false" ht="15" hidden="false" customHeight="true" outlineLevel="0" collapsed="false">
      <c r="A229" s="1" t="s">
        <v>12</v>
      </c>
      <c r="B229" s="1" t="s">
        <v>132</v>
      </c>
      <c r="C229" s="1" t="s">
        <v>14</v>
      </c>
      <c r="D229" s="1" t="s">
        <v>17</v>
      </c>
      <c r="E229" s="1" t="s">
        <v>14</v>
      </c>
      <c r="F229" s="1" t="s">
        <v>103</v>
      </c>
      <c r="G229" s="29" t="n">
        <v>46391</v>
      </c>
      <c r="H229" s="30" t="n">
        <v>20</v>
      </c>
      <c r="I229" s="1" t="s">
        <v>202</v>
      </c>
      <c r="J229" s="1" t="s">
        <v>200</v>
      </c>
      <c r="K229" s="1" t="n">
        <v>26</v>
      </c>
      <c r="L229" s="1" t="s">
        <v>198</v>
      </c>
    </row>
    <row r="230" customFormat="false" ht="15" hidden="false" customHeight="true" outlineLevel="0" collapsed="false">
      <c r="A230" s="1" t="s">
        <v>29</v>
      </c>
      <c r="B230" s="1" t="s">
        <v>18</v>
      </c>
      <c r="C230" s="1" t="s">
        <v>16</v>
      </c>
      <c r="D230" s="1" t="s">
        <v>90</v>
      </c>
      <c r="E230" s="1" t="s">
        <v>16</v>
      </c>
      <c r="F230" s="1" t="s">
        <v>92</v>
      </c>
      <c r="G230" s="29" t="n">
        <v>46398</v>
      </c>
      <c r="H230" s="30" t="n">
        <v>5</v>
      </c>
      <c r="I230" s="1" t="s">
        <v>196</v>
      </c>
      <c r="J230" s="1" t="s">
        <v>197</v>
      </c>
      <c r="K230" s="1" t="n">
        <v>28</v>
      </c>
      <c r="L230" s="1" t="s">
        <v>198</v>
      </c>
    </row>
    <row r="231" customFormat="false" ht="15" hidden="false" customHeight="true" outlineLevel="0" collapsed="false">
      <c r="A231" s="1" t="s">
        <v>12</v>
      </c>
      <c r="B231" s="1" t="s">
        <v>18</v>
      </c>
      <c r="C231" s="1" t="s">
        <v>16</v>
      </c>
      <c r="D231" s="1" t="s">
        <v>15</v>
      </c>
      <c r="E231" s="1" t="s">
        <v>16</v>
      </c>
      <c r="F231" s="1" t="s">
        <v>79</v>
      </c>
      <c r="G231" s="29" t="n">
        <v>46398</v>
      </c>
      <c r="H231" s="30" t="n">
        <v>1.403509</v>
      </c>
      <c r="I231" s="1" t="s">
        <v>196</v>
      </c>
      <c r="J231" s="1" t="s">
        <v>197</v>
      </c>
      <c r="K231" s="1" t="n">
        <v>8.807018</v>
      </c>
      <c r="L231" s="1" t="s">
        <v>198</v>
      </c>
    </row>
    <row r="232" customFormat="false" ht="15" hidden="false" customHeight="true" outlineLevel="0" collapsed="false">
      <c r="A232" s="1" t="s">
        <v>12</v>
      </c>
      <c r="B232" s="1" t="s">
        <v>18</v>
      </c>
      <c r="C232" s="1" t="s">
        <v>16</v>
      </c>
      <c r="D232" s="1" t="s">
        <v>15</v>
      </c>
      <c r="E232" s="1" t="s">
        <v>16</v>
      </c>
      <c r="F232" s="1" t="s">
        <v>81</v>
      </c>
      <c r="G232" s="29" t="n">
        <v>46398</v>
      </c>
      <c r="H232" s="30" t="n">
        <v>0.5</v>
      </c>
      <c r="I232" s="1" t="s">
        <v>196</v>
      </c>
      <c r="J232" s="1" t="s">
        <v>197</v>
      </c>
      <c r="K232" s="1" t="n">
        <v>7.403509</v>
      </c>
      <c r="L232" s="1" t="s">
        <v>198</v>
      </c>
    </row>
    <row r="233" customFormat="false" ht="15" hidden="false" customHeight="true" outlineLevel="0" collapsed="false">
      <c r="A233" s="1" t="s">
        <v>12</v>
      </c>
      <c r="B233" s="1" t="s">
        <v>18</v>
      </c>
      <c r="C233" s="1" t="s">
        <v>16</v>
      </c>
      <c r="D233" s="1" t="s">
        <v>75</v>
      </c>
      <c r="E233" s="1" t="s">
        <v>16</v>
      </c>
      <c r="F233" s="1" t="s">
        <v>85</v>
      </c>
      <c r="G233" s="29" t="n">
        <v>46398</v>
      </c>
      <c r="H233" s="30" t="n">
        <v>1</v>
      </c>
      <c r="I233" s="1" t="s">
        <v>196</v>
      </c>
      <c r="J233" s="1" t="s">
        <v>197</v>
      </c>
      <c r="K233" s="1" t="n">
        <v>21.903509</v>
      </c>
      <c r="L233" s="1" t="s">
        <v>198</v>
      </c>
    </row>
    <row r="234" customFormat="false" ht="15" hidden="false" customHeight="true" outlineLevel="0" collapsed="false">
      <c r="A234" s="1" t="s">
        <v>12</v>
      </c>
      <c r="B234" s="1" t="s">
        <v>18</v>
      </c>
      <c r="C234" s="1" t="s">
        <v>16</v>
      </c>
      <c r="D234" s="1" t="s">
        <v>15</v>
      </c>
      <c r="E234" s="1" t="s">
        <v>16</v>
      </c>
      <c r="F234" s="1" t="s">
        <v>99</v>
      </c>
      <c r="G234" s="29" t="n">
        <v>46398</v>
      </c>
      <c r="H234" s="30" t="n">
        <v>3</v>
      </c>
      <c r="I234" s="1" t="s">
        <v>196</v>
      </c>
      <c r="J234" s="1" t="s">
        <v>197</v>
      </c>
      <c r="K234" s="1" t="n">
        <v>11.807018</v>
      </c>
      <c r="L234" s="1" t="s">
        <v>198</v>
      </c>
    </row>
    <row r="235" customFormat="false" ht="15" hidden="false" customHeight="true" outlineLevel="0" collapsed="false">
      <c r="A235" s="1" t="s">
        <v>12</v>
      </c>
      <c r="B235" s="1" t="s">
        <v>138</v>
      </c>
      <c r="C235" s="1" t="s">
        <v>14</v>
      </c>
      <c r="D235" s="1" t="s">
        <v>13</v>
      </c>
      <c r="E235" s="1" t="s">
        <v>14</v>
      </c>
      <c r="F235" s="1" t="s">
        <v>100</v>
      </c>
      <c r="G235" s="29" t="n">
        <v>46398</v>
      </c>
      <c r="H235" s="30" t="n">
        <v>10</v>
      </c>
      <c r="I235" s="1" t="s">
        <v>202</v>
      </c>
      <c r="J235" s="1" t="s">
        <v>197</v>
      </c>
      <c r="K235" s="1" t="n">
        <v>34</v>
      </c>
      <c r="L235" s="1" t="s">
        <v>198</v>
      </c>
    </row>
    <row r="236" customFormat="false" ht="15" hidden="false" customHeight="true" outlineLevel="0" collapsed="false">
      <c r="A236" s="1" t="s">
        <v>12</v>
      </c>
      <c r="B236" s="1" t="s">
        <v>130</v>
      </c>
      <c r="C236" s="1" t="s">
        <v>14</v>
      </c>
      <c r="D236" s="1" t="s">
        <v>21</v>
      </c>
      <c r="E236" s="1" t="s">
        <v>14</v>
      </c>
      <c r="F236" s="1" t="s">
        <v>85</v>
      </c>
      <c r="G236" s="29" t="n">
        <v>46398</v>
      </c>
      <c r="H236" s="30" t="n">
        <v>2</v>
      </c>
      <c r="I236" s="1" t="s">
        <v>202</v>
      </c>
      <c r="J236" s="1" t="s">
        <v>197</v>
      </c>
      <c r="K236" s="1" t="n">
        <v>34.5</v>
      </c>
      <c r="L236" s="1" t="s">
        <v>198</v>
      </c>
    </row>
    <row r="237" customFormat="false" ht="15" hidden="false" customHeight="true" outlineLevel="0" collapsed="false">
      <c r="A237" s="1" t="s">
        <v>12</v>
      </c>
      <c r="B237" s="1" t="s">
        <v>139</v>
      </c>
      <c r="C237" s="1" t="s">
        <v>14</v>
      </c>
      <c r="D237" s="1" t="s">
        <v>27</v>
      </c>
      <c r="E237" s="1" t="s">
        <v>14</v>
      </c>
      <c r="F237" s="1" t="s">
        <v>95</v>
      </c>
      <c r="G237" s="29" t="n">
        <v>46398</v>
      </c>
      <c r="H237" s="30" t="n">
        <v>17</v>
      </c>
      <c r="I237" s="1" t="s">
        <v>202</v>
      </c>
      <c r="J237" s="1" t="s">
        <v>197</v>
      </c>
      <c r="K237" s="1" t="n">
        <v>55</v>
      </c>
      <c r="L237" s="1" t="s">
        <v>198</v>
      </c>
    </row>
    <row r="238" customFormat="false" ht="15" hidden="false" customHeight="true" outlineLevel="0" collapsed="false">
      <c r="A238" s="1" t="s">
        <v>12</v>
      </c>
      <c r="B238" s="1" t="s">
        <v>139</v>
      </c>
      <c r="C238" s="1" t="s">
        <v>14</v>
      </c>
      <c r="D238" s="1" t="s">
        <v>30</v>
      </c>
      <c r="E238" s="1" t="s">
        <v>14</v>
      </c>
      <c r="F238" s="1" t="s">
        <v>95</v>
      </c>
      <c r="G238" s="29" t="n">
        <v>46398</v>
      </c>
      <c r="H238" s="30" t="n">
        <v>8</v>
      </c>
      <c r="I238" s="1" t="s">
        <v>202</v>
      </c>
      <c r="J238" s="1" t="s">
        <v>200</v>
      </c>
      <c r="K238" s="1" t="n">
        <v>48</v>
      </c>
      <c r="L238" s="1" t="s">
        <v>198</v>
      </c>
    </row>
    <row r="239" customFormat="false" ht="15" hidden="false" customHeight="true" outlineLevel="0" collapsed="false">
      <c r="A239" s="1" t="s">
        <v>12</v>
      </c>
      <c r="B239" s="1" t="s">
        <v>134</v>
      </c>
      <c r="C239" s="1" t="s">
        <v>14</v>
      </c>
      <c r="D239" s="1" t="s">
        <v>26</v>
      </c>
      <c r="E239" s="1" t="s">
        <v>14</v>
      </c>
      <c r="F239" s="1" t="s">
        <v>99</v>
      </c>
      <c r="G239" s="29" t="n">
        <v>46398</v>
      </c>
      <c r="H239" s="30" t="n">
        <v>1.8</v>
      </c>
      <c r="I239" s="1" t="s">
        <v>202</v>
      </c>
      <c r="J239" s="1" t="s">
        <v>200</v>
      </c>
      <c r="K239" s="1" t="n">
        <v>55</v>
      </c>
      <c r="L239" s="1" t="s">
        <v>198</v>
      </c>
    </row>
    <row r="240" customFormat="false" ht="15" hidden="false" customHeight="true" outlineLevel="0" collapsed="false">
      <c r="A240" s="1" t="s">
        <v>12</v>
      </c>
      <c r="B240" s="1" t="s">
        <v>134</v>
      </c>
      <c r="C240" s="1" t="s">
        <v>14</v>
      </c>
      <c r="D240" s="1" t="s">
        <v>149</v>
      </c>
      <c r="E240" s="1" t="s">
        <v>14</v>
      </c>
      <c r="F240" s="1" t="s">
        <v>99</v>
      </c>
      <c r="G240" s="29" t="n">
        <v>46398</v>
      </c>
      <c r="H240" s="30" t="n">
        <v>9.2</v>
      </c>
      <c r="I240" s="1" t="s">
        <v>205</v>
      </c>
      <c r="J240" s="1" t="s">
        <v>200</v>
      </c>
      <c r="K240" s="1" t="n">
        <v>9.2</v>
      </c>
      <c r="L240" s="1" t="s">
        <v>201</v>
      </c>
    </row>
    <row r="241" customFormat="false" ht="15" hidden="false" customHeight="true" outlineLevel="0" collapsed="false">
      <c r="A241" s="1" t="s">
        <v>12</v>
      </c>
      <c r="B241" s="1" t="s">
        <v>134</v>
      </c>
      <c r="C241" s="1" t="s">
        <v>14</v>
      </c>
      <c r="D241" s="1" t="s">
        <v>123</v>
      </c>
      <c r="E241" s="1" t="s">
        <v>14</v>
      </c>
      <c r="F241" s="1" t="s">
        <v>99</v>
      </c>
      <c r="G241" s="29" t="n">
        <v>46398</v>
      </c>
      <c r="H241" s="30" t="n">
        <v>7.5</v>
      </c>
      <c r="I241" s="1" t="s">
        <v>202</v>
      </c>
      <c r="J241" s="1" t="s">
        <v>200</v>
      </c>
      <c r="K241" s="1" t="n">
        <v>20</v>
      </c>
      <c r="L241" s="1" t="s">
        <v>198</v>
      </c>
    </row>
    <row r="242" customFormat="false" ht="15" hidden="false" customHeight="true" outlineLevel="0" collapsed="false">
      <c r="A242" s="1" t="s">
        <v>12</v>
      </c>
      <c r="B242" s="1" t="s">
        <v>134</v>
      </c>
      <c r="C242" s="1" t="s">
        <v>14</v>
      </c>
      <c r="D242" s="1" t="s">
        <v>21</v>
      </c>
      <c r="E242" s="1" t="s">
        <v>14</v>
      </c>
      <c r="F242" s="1" t="s">
        <v>99</v>
      </c>
      <c r="G242" s="29" t="n">
        <v>46398</v>
      </c>
      <c r="H242" s="30" t="n">
        <v>12</v>
      </c>
      <c r="I242" s="1" t="s">
        <v>202</v>
      </c>
      <c r="J242" s="1" t="s">
        <v>200</v>
      </c>
      <c r="K242" s="1" t="n">
        <v>55</v>
      </c>
      <c r="L242" s="1" t="s">
        <v>198</v>
      </c>
    </row>
    <row r="243" customFormat="false" ht="15" hidden="false" customHeight="true" outlineLevel="0" collapsed="false">
      <c r="A243" s="1" t="s">
        <v>12</v>
      </c>
      <c r="B243" s="1" t="s">
        <v>134</v>
      </c>
      <c r="C243" s="1" t="s">
        <v>14</v>
      </c>
      <c r="D243" s="1" t="s">
        <v>30</v>
      </c>
      <c r="E243" s="1" t="s">
        <v>14</v>
      </c>
      <c r="F243" s="1" t="s">
        <v>99</v>
      </c>
      <c r="G243" s="29" t="n">
        <v>46398</v>
      </c>
      <c r="H243" s="30" t="n">
        <v>7</v>
      </c>
      <c r="I243" s="1" t="s">
        <v>202</v>
      </c>
      <c r="J243" s="1" t="s">
        <v>197</v>
      </c>
      <c r="K243" s="1" t="n">
        <v>55</v>
      </c>
      <c r="L243" s="1" t="s">
        <v>198</v>
      </c>
    </row>
    <row r="244" customFormat="false" ht="15" hidden="false" customHeight="true" outlineLevel="0" collapsed="false">
      <c r="A244" s="1" t="s">
        <v>12</v>
      </c>
      <c r="B244" s="1" t="s">
        <v>134</v>
      </c>
      <c r="C244" s="1" t="s">
        <v>14</v>
      </c>
      <c r="D244" s="1" t="s">
        <v>139</v>
      </c>
      <c r="E244" s="1" t="s">
        <v>14</v>
      </c>
      <c r="F244" s="1" t="s">
        <v>99</v>
      </c>
      <c r="G244" s="29" t="n">
        <v>46398</v>
      </c>
      <c r="H244" s="30" t="n">
        <v>12.5</v>
      </c>
      <c r="I244" s="1" t="s">
        <v>202</v>
      </c>
      <c r="J244" s="1" t="s">
        <v>197</v>
      </c>
      <c r="K244" s="1" t="n">
        <v>12.5</v>
      </c>
      <c r="L244" s="1" t="s">
        <v>198</v>
      </c>
    </row>
    <row r="245" customFormat="false" ht="15" hidden="false" customHeight="true" outlineLevel="0" collapsed="false">
      <c r="A245" s="1" t="s">
        <v>12</v>
      </c>
      <c r="B245" s="1" t="s">
        <v>133</v>
      </c>
      <c r="C245" s="1" t="s">
        <v>14</v>
      </c>
      <c r="D245" s="1" t="s">
        <v>148</v>
      </c>
      <c r="E245" s="1" t="s">
        <v>14</v>
      </c>
      <c r="F245" s="1" t="s">
        <v>46</v>
      </c>
      <c r="G245" s="29" t="n">
        <v>46398</v>
      </c>
      <c r="H245" s="30" t="n">
        <v>12.5</v>
      </c>
      <c r="I245" s="1" t="s">
        <v>204</v>
      </c>
      <c r="J245" s="1" t="s">
        <v>200</v>
      </c>
      <c r="K245" s="1" t="n">
        <v>12.5</v>
      </c>
      <c r="L245" s="1" t="s">
        <v>201</v>
      </c>
    </row>
    <row r="246" customFormat="false" ht="15" hidden="false" customHeight="true" outlineLevel="0" collapsed="false">
      <c r="A246" s="1" t="s">
        <v>12</v>
      </c>
      <c r="B246" s="1" t="s">
        <v>128</v>
      </c>
      <c r="C246" s="1" t="s">
        <v>14</v>
      </c>
      <c r="D246" s="1" t="s">
        <v>146</v>
      </c>
      <c r="E246" s="1" t="s">
        <v>14</v>
      </c>
      <c r="F246" s="1" t="s">
        <v>108</v>
      </c>
      <c r="G246" s="29" t="n">
        <v>46398</v>
      </c>
      <c r="H246" s="30" t="n">
        <v>31</v>
      </c>
      <c r="I246" s="1" t="s">
        <v>205</v>
      </c>
      <c r="J246" s="1" t="s">
        <v>200</v>
      </c>
      <c r="K246" s="1" t="n">
        <v>31</v>
      </c>
      <c r="L246" s="1" t="s">
        <v>201</v>
      </c>
    </row>
    <row r="247" customFormat="false" ht="15" hidden="false" customHeight="true" outlineLevel="0" collapsed="false">
      <c r="A247" s="1" t="s">
        <v>12</v>
      </c>
      <c r="B247" s="1" t="s">
        <v>129</v>
      </c>
      <c r="C247" s="1" t="s">
        <v>14</v>
      </c>
      <c r="D247" s="1" t="s">
        <v>146</v>
      </c>
      <c r="E247" s="1" t="s">
        <v>14</v>
      </c>
      <c r="F247" s="1" t="s">
        <v>102</v>
      </c>
      <c r="G247" s="29" t="n">
        <v>46398</v>
      </c>
      <c r="H247" s="30" t="n">
        <v>24</v>
      </c>
      <c r="I247" s="1" t="s">
        <v>205</v>
      </c>
      <c r="J247" s="1" t="s">
        <v>200</v>
      </c>
      <c r="K247" s="1" t="n">
        <v>55</v>
      </c>
      <c r="L247" s="1" t="s">
        <v>201</v>
      </c>
    </row>
    <row r="248" customFormat="false" ht="15" hidden="false" customHeight="true" outlineLevel="0" collapsed="false">
      <c r="A248" s="1" t="s">
        <v>12</v>
      </c>
      <c r="B248" s="1" t="s">
        <v>129</v>
      </c>
      <c r="C248" s="1" t="s">
        <v>14</v>
      </c>
      <c r="D248" s="1" t="s">
        <v>147</v>
      </c>
      <c r="E248" s="1" t="s">
        <v>14</v>
      </c>
      <c r="F248" s="1" t="s">
        <v>102</v>
      </c>
      <c r="G248" s="29" t="n">
        <v>46398</v>
      </c>
      <c r="H248" s="30" t="n">
        <v>17</v>
      </c>
      <c r="I248" s="1" t="s">
        <v>205</v>
      </c>
      <c r="J248" s="1" t="s">
        <v>200</v>
      </c>
      <c r="K248" s="1" t="n">
        <v>17</v>
      </c>
      <c r="L248" s="1" t="s">
        <v>201</v>
      </c>
    </row>
    <row r="249" customFormat="false" ht="15" hidden="false" customHeight="true" outlineLevel="0" collapsed="false">
      <c r="A249" s="1" t="s">
        <v>12</v>
      </c>
      <c r="B249" s="1" t="s">
        <v>131</v>
      </c>
      <c r="C249" s="1" t="s">
        <v>14</v>
      </c>
      <c r="D249" s="1" t="s">
        <v>24</v>
      </c>
      <c r="E249" s="1" t="s">
        <v>14</v>
      </c>
      <c r="F249" s="1" t="s">
        <v>103</v>
      </c>
      <c r="G249" s="29" t="n">
        <v>46398</v>
      </c>
      <c r="H249" s="30" t="n">
        <v>2.5</v>
      </c>
      <c r="I249" s="1" t="s">
        <v>202</v>
      </c>
      <c r="J249" s="1" t="s">
        <v>197</v>
      </c>
      <c r="K249" s="1" t="n">
        <v>55</v>
      </c>
      <c r="L249" s="1" t="s">
        <v>198</v>
      </c>
    </row>
    <row r="250" customFormat="false" ht="15" hidden="false" customHeight="true" outlineLevel="0" collapsed="false">
      <c r="A250" s="1" t="s">
        <v>12</v>
      </c>
      <c r="B250" s="1" t="s">
        <v>131</v>
      </c>
      <c r="C250" s="1" t="s">
        <v>14</v>
      </c>
      <c r="D250" s="1" t="s">
        <v>162</v>
      </c>
      <c r="E250" s="1" t="s">
        <v>14</v>
      </c>
      <c r="F250" s="1" t="s">
        <v>103</v>
      </c>
      <c r="G250" s="29" t="n">
        <v>46398</v>
      </c>
      <c r="H250" s="30" t="n">
        <v>42.5</v>
      </c>
      <c r="I250" s="1" t="s">
        <v>203</v>
      </c>
      <c r="J250" s="1" t="s">
        <v>197</v>
      </c>
      <c r="K250" s="1" t="n">
        <v>42.5</v>
      </c>
      <c r="L250" s="1" t="s">
        <v>201</v>
      </c>
    </row>
    <row r="251" customFormat="false" ht="15" hidden="false" customHeight="true" outlineLevel="0" collapsed="false">
      <c r="A251" s="1" t="s">
        <v>12</v>
      </c>
      <c r="B251" s="1" t="s">
        <v>132</v>
      </c>
      <c r="C251" s="1" t="s">
        <v>14</v>
      </c>
      <c r="D251" s="1" t="s">
        <v>13</v>
      </c>
      <c r="E251" s="1" t="s">
        <v>14</v>
      </c>
      <c r="F251" s="1" t="s">
        <v>103</v>
      </c>
      <c r="G251" s="29" t="n">
        <v>46398</v>
      </c>
      <c r="H251" s="30" t="n">
        <v>21</v>
      </c>
      <c r="I251" s="1" t="s">
        <v>202</v>
      </c>
      <c r="J251" s="1" t="s">
        <v>200</v>
      </c>
      <c r="K251" s="1" t="n">
        <v>55</v>
      </c>
      <c r="L251" s="1" t="s">
        <v>198</v>
      </c>
    </row>
    <row r="252" customFormat="false" ht="15" hidden="false" customHeight="true" outlineLevel="0" collapsed="false">
      <c r="A252" s="1" t="s">
        <v>12</v>
      </c>
      <c r="B252" s="1" t="s">
        <v>132</v>
      </c>
      <c r="C252" s="1" t="s">
        <v>14</v>
      </c>
      <c r="D252" s="1" t="s">
        <v>17</v>
      </c>
      <c r="E252" s="1" t="s">
        <v>14</v>
      </c>
      <c r="F252" s="1" t="s">
        <v>103</v>
      </c>
      <c r="G252" s="29" t="n">
        <v>46398</v>
      </c>
      <c r="H252" s="30" t="n">
        <v>20.5</v>
      </c>
      <c r="I252" s="1" t="s">
        <v>202</v>
      </c>
      <c r="J252" s="1" t="s">
        <v>200</v>
      </c>
      <c r="K252" s="1" t="n">
        <v>55</v>
      </c>
      <c r="L252" s="1" t="s">
        <v>198</v>
      </c>
    </row>
    <row r="253" customFormat="false" ht="15" hidden="false" customHeight="true" outlineLevel="0" collapsed="false">
      <c r="A253" s="1" t="s">
        <v>12</v>
      </c>
      <c r="B253" s="1" t="s">
        <v>132</v>
      </c>
      <c r="C253" s="1" t="s">
        <v>14</v>
      </c>
      <c r="D253" s="1" t="s">
        <v>21</v>
      </c>
      <c r="E253" s="1" t="s">
        <v>14</v>
      </c>
      <c r="F253" s="1" t="s">
        <v>103</v>
      </c>
      <c r="G253" s="29" t="n">
        <v>46398</v>
      </c>
      <c r="H253" s="30" t="n">
        <v>8.5</v>
      </c>
      <c r="I253" s="1" t="s">
        <v>202</v>
      </c>
      <c r="J253" s="1" t="s">
        <v>200</v>
      </c>
      <c r="K253" s="1" t="n">
        <v>43</v>
      </c>
      <c r="L253" s="1" t="s">
        <v>198</v>
      </c>
    </row>
    <row r="254" customFormat="false" ht="15" hidden="false" customHeight="true" outlineLevel="0" collapsed="false">
      <c r="A254" s="1" t="s">
        <v>12</v>
      </c>
      <c r="B254" s="1" t="s">
        <v>25</v>
      </c>
      <c r="C254" s="1" t="s">
        <v>16</v>
      </c>
      <c r="D254" s="1" t="s">
        <v>15</v>
      </c>
      <c r="E254" s="1" t="s">
        <v>16</v>
      </c>
      <c r="F254" s="1" t="s">
        <v>79</v>
      </c>
      <c r="G254" s="29" t="n">
        <v>46398</v>
      </c>
      <c r="H254" s="30" t="n">
        <v>1.403509</v>
      </c>
      <c r="I254" s="1" t="s">
        <v>196</v>
      </c>
      <c r="J254" s="1" t="s">
        <v>197</v>
      </c>
      <c r="K254" s="1" t="n">
        <v>13.810527</v>
      </c>
      <c r="L254" s="1" t="s">
        <v>198</v>
      </c>
    </row>
    <row r="255" customFormat="false" ht="15" hidden="false" customHeight="true" outlineLevel="0" collapsed="false">
      <c r="A255" s="1" t="s">
        <v>12</v>
      </c>
      <c r="B255" s="1" t="s">
        <v>25</v>
      </c>
      <c r="C255" s="1" t="s">
        <v>16</v>
      </c>
      <c r="D255" s="1" t="s">
        <v>75</v>
      </c>
      <c r="E255" s="1" t="s">
        <v>16</v>
      </c>
      <c r="F255" s="1" t="s">
        <v>80</v>
      </c>
      <c r="G255" s="29" t="n">
        <v>46398</v>
      </c>
      <c r="H255" s="30" t="n">
        <v>0.100000000000003</v>
      </c>
      <c r="I255" s="1" t="s">
        <v>196</v>
      </c>
      <c r="J255" s="1" t="s">
        <v>197</v>
      </c>
      <c r="K255" s="1" t="n">
        <v>22.003509</v>
      </c>
      <c r="L255" s="1" t="s">
        <v>198</v>
      </c>
    </row>
    <row r="256" customFormat="false" ht="15" hidden="false" customHeight="true" outlineLevel="0" collapsed="false">
      <c r="A256" s="1" t="s">
        <v>12</v>
      </c>
      <c r="B256" s="1" t="s">
        <v>25</v>
      </c>
      <c r="C256" s="1" t="s">
        <v>16</v>
      </c>
      <c r="D256" s="1" t="s">
        <v>15</v>
      </c>
      <c r="E256" s="1" t="s">
        <v>16</v>
      </c>
      <c r="F256" s="1" t="s">
        <v>81</v>
      </c>
      <c r="G256" s="29" t="n">
        <v>46398</v>
      </c>
      <c r="H256" s="30" t="n">
        <v>0.6</v>
      </c>
      <c r="I256" s="1" t="s">
        <v>196</v>
      </c>
      <c r="J256" s="1" t="s">
        <v>197</v>
      </c>
      <c r="K256" s="1" t="n">
        <v>12.407018</v>
      </c>
      <c r="L256" s="1" t="s">
        <v>198</v>
      </c>
    </row>
    <row r="257" customFormat="false" ht="15" hidden="false" customHeight="true" outlineLevel="0" collapsed="false">
      <c r="A257" s="1" t="s">
        <v>12</v>
      </c>
      <c r="B257" s="1" t="s">
        <v>26</v>
      </c>
      <c r="C257" s="1" t="s">
        <v>14</v>
      </c>
      <c r="D257" s="1" t="s">
        <v>13</v>
      </c>
      <c r="E257" s="1" t="s">
        <v>14</v>
      </c>
      <c r="F257" s="1" t="s">
        <v>98</v>
      </c>
      <c r="G257" s="29" t="n">
        <v>46405</v>
      </c>
      <c r="H257" s="30" t="n">
        <v>3</v>
      </c>
      <c r="I257" s="1" t="s">
        <v>196</v>
      </c>
      <c r="J257" s="1" t="s">
        <v>197</v>
      </c>
      <c r="K257" s="1" t="n">
        <v>27</v>
      </c>
      <c r="L257" s="1" t="s">
        <v>198</v>
      </c>
    </row>
    <row r="258" customFormat="false" ht="15" hidden="false" customHeight="true" outlineLevel="0" collapsed="false">
      <c r="A258" s="1" t="s">
        <v>12</v>
      </c>
      <c r="B258" s="1" t="s">
        <v>22</v>
      </c>
      <c r="C258" s="1" t="s">
        <v>10</v>
      </c>
      <c r="D258" s="1" t="s">
        <v>116</v>
      </c>
      <c r="E258" s="1" t="s">
        <v>10</v>
      </c>
      <c r="F258" s="1" t="s">
        <v>99</v>
      </c>
      <c r="G258" s="29" t="n">
        <v>46405</v>
      </c>
      <c r="H258" s="30" t="n">
        <v>5</v>
      </c>
      <c r="I258" s="1" t="s">
        <v>196</v>
      </c>
      <c r="J258" s="1" t="s">
        <v>197</v>
      </c>
      <c r="K258" s="1" t="n">
        <v>32</v>
      </c>
      <c r="L258" s="1" t="s">
        <v>198</v>
      </c>
    </row>
    <row r="259" customFormat="false" ht="15" hidden="false" customHeight="true" outlineLevel="0" collapsed="false">
      <c r="A259" s="1" t="s">
        <v>12</v>
      </c>
      <c r="B259" s="1" t="s">
        <v>23</v>
      </c>
      <c r="C259" s="1" t="s">
        <v>10</v>
      </c>
      <c r="D259" s="1" t="s">
        <v>117</v>
      </c>
      <c r="E259" s="1" t="s">
        <v>10</v>
      </c>
      <c r="F259" s="1" t="s">
        <v>80</v>
      </c>
      <c r="G259" s="29" t="n">
        <v>46405</v>
      </c>
      <c r="H259" s="30" t="n">
        <v>2</v>
      </c>
      <c r="I259" s="1" t="s">
        <v>196</v>
      </c>
      <c r="J259" s="1" t="s">
        <v>200</v>
      </c>
      <c r="K259" s="1" t="n">
        <v>2</v>
      </c>
      <c r="L259" s="1" t="s">
        <v>198</v>
      </c>
    </row>
    <row r="260" customFormat="false" ht="15" hidden="false" customHeight="true" outlineLevel="0" collapsed="false">
      <c r="A260" s="1" t="s">
        <v>12</v>
      </c>
      <c r="B260" s="1" t="s">
        <v>23</v>
      </c>
      <c r="C260" s="1" t="s">
        <v>10</v>
      </c>
      <c r="D260" s="1" t="s">
        <v>9</v>
      </c>
      <c r="E260" s="1" t="s">
        <v>10</v>
      </c>
      <c r="F260" s="1" t="s">
        <v>81</v>
      </c>
      <c r="G260" s="29" t="n">
        <v>46405</v>
      </c>
      <c r="H260" s="30" t="n">
        <v>1.5</v>
      </c>
      <c r="I260" s="1" t="s">
        <v>196</v>
      </c>
      <c r="J260" s="1" t="s">
        <v>197</v>
      </c>
      <c r="K260" s="1" t="n">
        <v>31.5</v>
      </c>
      <c r="L260" s="1" t="s">
        <v>198</v>
      </c>
    </row>
    <row r="261" customFormat="false" ht="15" hidden="false" customHeight="true" outlineLevel="0" collapsed="false">
      <c r="A261" s="1" t="s">
        <v>12</v>
      </c>
      <c r="B261" s="1" t="s">
        <v>123</v>
      </c>
      <c r="C261" s="1" t="s">
        <v>14</v>
      </c>
      <c r="D261" s="1" t="s">
        <v>13</v>
      </c>
      <c r="E261" s="1" t="s">
        <v>14</v>
      </c>
      <c r="F261" s="1" t="s">
        <v>81</v>
      </c>
      <c r="G261" s="29" t="n">
        <v>46405</v>
      </c>
      <c r="H261" s="30" t="n">
        <v>2</v>
      </c>
      <c r="I261" s="1" t="s">
        <v>196</v>
      </c>
      <c r="J261" s="1" t="s">
        <v>197</v>
      </c>
      <c r="K261" s="1" t="n">
        <v>29</v>
      </c>
      <c r="L261" s="1" t="s">
        <v>198</v>
      </c>
    </row>
    <row r="262" customFormat="false" ht="15" hidden="false" customHeight="true" outlineLevel="0" collapsed="false">
      <c r="A262" s="1" t="s">
        <v>12</v>
      </c>
      <c r="B262" s="1" t="s">
        <v>123</v>
      </c>
      <c r="C262" s="1" t="s">
        <v>14</v>
      </c>
      <c r="D262" s="1" t="s">
        <v>17</v>
      </c>
      <c r="E262" s="1" t="s">
        <v>14</v>
      </c>
      <c r="F262" s="1" t="s">
        <v>46</v>
      </c>
      <c r="G262" s="29" t="n">
        <v>46405</v>
      </c>
      <c r="H262" s="30" t="n">
        <v>7</v>
      </c>
      <c r="I262" s="1" t="s">
        <v>196</v>
      </c>
      <c r="J262" s="1" t="s">
        <v>197</v>
      </c>
      <c r="K262" s="1" t="n">
        <v>42</v>
      </c>
      <c r="L262" s="1" t="s">
        <v>198</v>
      </c>
    </row>
    <row r="263" customFormat="false" ht="15" hidden="false" customHeight="true" outlineLevel="0" collapsed="false">
      <c r="A263" s="1" t="s">
        <v>12</v>
      </c>
      <c r="B263" s="1" t="s">
        <v>33</v>
      </c>
      <c r="C263" s="1" t="s">
        <v>10</v>
      </c>
      <c r="D263" s="1" t="s">
        <v>117</v>
      </c>
      <c r="E263" s="1" t="s">
        <v>10</v>
      </c>
      <c r="F263" s="1" t="s">
        <v>103</v>
      </c>
      <c r="G263" s="29" t="n">
        <v>46405</v>
      </c>
      <c r="H263" s="30" t="n">
        <v>10</v>
      </c>
      <c r="I263" s="1" t="s">
        <v>196</v>
      </c>
      <c r="J263" s="1" t="s">
        <v>200</v>
      </c>
      <c r="K263" s="1" t="n">
        <v>12</v>
      </c>
      <c r="L263" s="1" t="s">
        <v>198</v>
      </c>
    </row>
    <row r="264" customFormat="false" ht="15" hidden="false" customHeight="true" outlineLevel="0" collapsed="false">
      <c r="A264" s="1" t="s">
        <v>12</v>
      </c>
      <c r="B264" s="1" t="s">
        <v>24</v>
      </c>
      <c r="C264" s="1" t="s">
        <v>14</v>
      </c>
      <c r="D264" s="1" t="s">
        <v>13</v>
      </c>
      <c r="E264" s="1" t="s">
        <v>14</v>
      </c>
      <c r="F264" s="1" t="s">
        <v>81</v>
      </c>
      <c r="G264" s="29" t="n">
        <v>46405</v>
      </c>
      <c r="H264" s="30" t="n">
        <v>3.1</v>
      </c>
      <c r="I264" s="1" t="s">
        <v>196</v>
      </c>
      <c r="J264" s="1" t="s">
        <v>197</v>
      </c>
      <c r="K264" s="1" t="n">
        <v>32.1</v>
      </c>
      <c r="L264" s="1" t="s">
        <v>198</v>
      </c>
    </row>
    <row r="265" customFormat="false" ht="15" hidden="false" customHeight="true" outlineLevel="0" collapsed="false">
      <c r="A265" s="1" t="s">
        <v>12</v>
      </c>
      <c r="B265" s="1" t="s">
        <v>24</v>
      </c>
      <c r="C265" s="1" t="s">
        <v>14</v>
      </c>
      <c r="D265" s="1" t="s">
        <v>162</v>
      </c>
      <c r="E265" s="1" t="s">
        <v>14</v>
      </c>
      <c r="F265" s="1" t="s">
        <v>103</v>
      </c>
      <c r="G265" s="29" t="n">
        <v>46405</v>
      </c>
      <c r="H265" s="30" t="n">
        <v>5</v>
      </c>
      <c r="I265" s="1" t="s">
        <v>199</v>
      </c>
      <c r="J265" s="1" t="s">
        <v>197</v>
      </c>
      <c r="K265" s="1" t="n">
        <v>5</v>
      </c>
      <c r="L265" s="1" t="s">
        <v>201</v>
      </c>
    </row>
    <row r="266" customFormat="false" ht="15" hidden="false" customHeight="true" outlineLevel="0" collapsed="false">
      <c r="A266" s="1" t="s">
        <v>12</v>
      </c>
      <c r="B266" s="1" t="s">
        <v>138</v>
      </c>
      <c r="C266" s="1" t="s">
        <v>14</v>
      </c>
      <c r="D266" s="1" t="s">
        <v>13</v>
      </c>
      <c r="E266" s="1" t="s">
        <v>14</v>
      </c>
      <c r="F266" s="1" t="s">
        <v>81</v>
      </c>
      <c r="G266" s="29" t="n">
        <v>46405</v>
      </c>
      <c r="H266" s="30" t="n">
        <v>8</v>
      </c>
      <c r="I266" s="1" t="s">
        <v>202</v>
      </c>
      <c r="J266" s="1" t="s">
        <v>197</v>
      </c>
      <c r="K266" s="1" t="n">
        <v>40.1</v>
      </c>
      <c r="L266" s="1" t="s">
        <v>198</v>
      </c>
    </row>
    <row r="267" customFormat="false" ht="15" hidden="false" customHeight="true" outlineLevel="0" collapsed="false">
      <c r="A267" s="1" t="s">
        <v>12</v>
      </c>
      <c r="B267" s="1" t="s">
        <v>138</v>
      </c>
      <c r="C267" s="1" t="s">
        <v>14</v>
      </c>
      <c r="D267" s="1" t="s">
        <v>30</v>
      </c>
      <c r="E267" s="1" t="s">
        <v>14</v>
      </c>
      <c r="F267" s="1" t="s">
        <v>100</v>
      </c>
      <c r="G267" s="29" t="n">
        <v>46405</v>
      </c>
      <c r="H267" s="30" t="n">
        <v>15</v>
      </c>
      <c r="I267" s="1" t="s">
        <v>202</v>
      </c>
      <c r="J267" s="1" t="s">
        <v>197</v>
      </c>
      <c r="K267" s="1" t="n">
        <v>27</v>
      </c>
      <c r="L267" s="1" t="s">
        <v>198</v>
      </c>
    </row>
    <row r="268" customFormat="false" ht="15" hidden="false" customHeight="true" outlineLevel="0" collapsed="false">
      <c r="A268" s="1" t="s">
        <v>12</v>
      </c>
      <c r="B268" s="1" t="s">
        <v>135</v>
      </c>
      <c r="C268" s="1" t="s">
        <v>14</v>
      </c>
      <c r="D268" s="1" t="s">
        <v>21</v>
      </c>
      <c r="E268" s="1" t="s">
        <v>14</v>
      </c>
      <c r="F268" s="1" t="s">
        <v>43</v>
      </c>
      <c r="G268" s="29" t="n">
        <v>46405</v>
      </c>
      <c r="H268" s="30" t="n">
        <v>27</v>
      </c>
      <c r="I268" s="1" t="s">
        <v>202</v>
      </c>
      <c r="J268" s="1" t="s">
        <v>197</v>
      </c>
      <c r="K268" s="1" t="n">
        <v>49.5</v>
      </c>
      <c r="L268" s="1" t="s">
        <v>198</v>
      </c>
    </row>
    <row r="269" customFormat="false" ht="15" hidden="false" customHeight="true" outlineLevel="0" collapsed="false">
      <c r="A269" s="1" t="s">
        <v>12</v>
      </c>
      <c r="B269" s="1" t="s">
        <v>130</v>
      </c>
      <c r="C269" s="1" t="s">
        <v>14</v>
      </c>
      <c r="D269" s="1" t="s">
        <v>21</v>
      </c>
      <c r="E269" s="1" t="s">
        <v>14</v>
      </c>
      <c r="F269" s="1" t="s">
        <v>85</v>
      </c>
      <c r="G269" s="29" t="n">
        <v>46405</v>
      </c>
      <c r="H269" s="30" t="n">
        <v>1</v>
      </c>
      <c r="I269" s="1" t="s">
        <v>202</v>
      </c>
      <c r="J269" s="1" t="s">
        <v>197</v>
      </c>
      <c r="K269" s="1" t="n">
        <v>50.5</v>
      </c>
      <c r="L269" s="1" t="s">
        <v>198</v>
      </c>
    </row>
    <row r="270" customFormat="false" ht="15" hidden="false" customHeight="true" outlineLevel="0" collapsed="false">
      <c r="A270" s="1" t="s">
        <v>12</v>
      </c>
      <c r="B270" s="1" t="s">
        <v>130</v>
      </c>
      <c r="C270" s="1" t="s">
        <v>14</v>
      </c>
      <c r="D270" s="1" t="s">
        <v>30</v>
      </c>
      <c r="E270" s="1" t="s">
        <v>14</v>
      </c>
      <c r="F270" s="1" t="s">
        <v>85</v>
      </c>
      <c r="G270" s="29" t="n">
        <v>46405</v>
      </c>
      <c r="H270" s="30" t="n">
        <v>28</v>
      </c>
      <c r="I270" s="1" t="s">
        <v>202</v>
      </c>
      <c r="J270" s="1" t="s">
        <v>197</v>
      </c>
      <c r="K270" s="1" t="n">
        <v>55</v>
      </c>
      <c r="L270" s="1" t="s">
        <v>198</v>
      </c>
    </row>
    <row r="271" customFormat="false" ht="15" hidden="false" customHeight="true" outlineLevel="0" collapsed="false">
      <c r="A271" s="1" t="s">
        <v>12</v>
      </c>
      <c r="B271" s="1" t="s">
        <v>139</v>
      </c>
      <c r="C271" s="1" t="s">
        <v>14</v>
      </c>
      <c r="D271" s="1" t="s">
        <v>146</v>
      </c>
      <c r="E271" s="1" t="s">
        <v>14</v>
      </c>
      <c r="F271" s="1" t="s">
        <v>95</v>
      </c>
      <c r="G271" s="29" t="n">
        <v>46405</v>
      </c>
      <c r="H271" s="30" t="n">
        <v>34.5</v>
      </c>
      <c r="I271" s="1" t="s">
        <v>205</v>
      </c>
      <c r="J271" s="1" t="s">
        <v>200</v>
      </c>
      <c r="K271" s="1" t="n">
        <v>55</v>
      </c>
      <c r="L271" s="1" t="s">
        <v>201</v>
      </c>
    </row>
    <row r="272" customFormat="false" ht="15" hidden="false" customHeight="true" outlineLevel="0" collapsed="false">
      <c r="A272" s="1" t="s">
        <v>12</v>
      </c>
      <c r="B272" s="1" t="s">
        <v>139</v>
      </c>
      <c r="C272" s="1" t="s">
        <v>14</v>
      </c>
      <c r="D272" s="1" t="s">
        <v>147</v>
      </c>
      <c r="E272" s="1" t="s">
        <v>14</v>
      </c>
      <c r="F272" s="1" t="s">
        <v>95</v>
      </c>
      <c r="G272" s="29" t="n">
        <v>46405</v>
      </c>
      <c r="H272" s="30" t="n">
        <v>4.5</v>
      </c>
      <c r="I272" s="1" t="s">
        <v>205</v>
      </c>
      <c r="J272" s="1" t="s">
        <v>200</v>
      </c>
      <c r="K272" s="1" t="n">
        <v>52.5</v>
      </c>
      <c r="L272" s="1" t="s">
        <v>201</v>
      </c>
    </row>
    <row r="273" customFormat="false" ht="15" hidden="false" customHeight="true" outlineLevel="0" collapsed="false">
      <c r="A273" s="1" t="s">
        <v>12</v>
      </c>
      <c r="B273" s="1" t="s">
        <v>134</v>
      </c>
      <c r="C273" s="1" t="s">
        <v>14</v>
      </c>
      <c r="D273" s="1" t="s">
        <v>149</v>
      </c>
      <c r="E273" s="1" t="s">
        <v>14</v>
      </c>
      <c r="F273" s="1" t="s">
        <v>99</v>
      </c>
      <c r="G273" s="29" t="n">
        <v>46405</v>
      </c>
      <c r="H273" s="30" t="n">
        <v>50</v>
      </c>
      <c r="I273" s="1" t="s">
        <v>205</v>
      </c>
      <c r="J273" s="1" t="s">
        <v>197</v>
      </c>
      <c r="K273" s="1" t="n">
        <v>51.1</v>
      </c>
      <c r="L273" s="1" t="s">
        <v>201</v>
      </c>
    </row>
    <row r="274" customFormat="false" ht="15" hidden="false" customHeight="true" outlineLevel="0" collapsed="false">
      <c r="A274" s="1" t="s">
        <v>12</v>
      </c>
      <c r="B274" s="1" t="s">
        <v>133</v>
      </c>
      <c r="C274" s="1" t="s">
        <v>14</v>
      </c>
      <c r="D274" s="1" t="s">
        <v>148</v>
      </c>
      <c r="E274" s="1" t="s">
        <v>14</v>
      </c>
      <c r="F274" s="1" t="s">
        <v>46</v>
      </c>
      <c r="G274" s="29" t="n">
        <v>46405</v>
      </c>
      <c r="H274" s="30" t="n">
        <v>31.4</v>
      </c>
      <c r="I274" s="1" t="s">
        <v>204</v>
      </c>
      <c r="J274" s="1" t="s">
        <v>197</v>
      </c>
      <c r="K274" s="1" t="n">
        <v>55</v>
      </c>
      <c r="L274" s="1" t="s">
        <v>201</v>
      </c>
    </row>
    <row r="275" customFormat="false" ht="15" hidden="false" customHeight="true" outlineLevel="0" collapsed="false">
      <c r="A275" s="1" t="s">
        <v>12</v>
      </c>
      <c r="B275" s="1" t="s">
        <v>133</v>
      </c>
      <c r="C275" s="1" t="s">
        <v>14</v>
      </c>
      <c r="D275" s="1" t="s">
        <v>149</v>
      </c>
      <c r="E275" s="1" t="s">
        <v>14</v>
      </c>
      <c r="F275" s="1" t="s">
        <v>46</v>
      </c>
      <c r="G275" s="29" t="n">
        <v>46405</v>
      </c>
      <c r="H275" s="30" t="n">
        <v>1.1</v>
      </c>
      <c r="I275" s="1" t="s">
        <v>204</v>
      </c>
      <c r="J275" s="1" t="s">
        <v>200</v>
      </c>
      <c r="K275" s="1" t="n">
        <v>1.1</v>
      </c>
      <c r="L275" s="1" t="s">
        <v>201</v>
      </c>
    </row>
    <row r="276" customFormat="false" ht="15" hidden="false" customHeight="true" outlineLevel="0" collapsed="false">
      <c r="A276" s="1" t="s">
        <v>12</v>
      </c>
      <c r="B276" s="1" t="s">
        <v>128</v>
      </c>
      <c r="C276" s="1" t="s">
        <v>14</v>
      </c>
      <c r="D276" s="1" t="s">
        <v>146</v>
      </c>
      <c r="E276" s="1" t="s">
        <v>14</v>
      </c>
      <c r="F276" s="1" t="s">
        <v>108</v>
      </c>
      <c r="G276" s="29" t="n">
        <v>46405</v>
      </c>
      <c r="H276" s="30" t="n">
        <v>20.5</v>
      </c>
      <c r="I276" s="1" t="s">
        <v>205</v>
      </c>
      <c r="J276" s="1" t="s">
        <v>197</v>
      </c>
      <c r="K276" s="1" t="n">
        <v>20.5</v>
      </c>
      <c r="L276" s="1" t="s">
        <v>201</v>
      </c>
    </row>
    <row r="277" customFormat="false" ht="15" hidden="false" customHeight="true" outlineLevel="0" collapsed="false">
      <c r="A277" s="1" t="s">
        <v>12</v>
      </c>
      <c r="B277" s="1" t="s">
        <v>129</v>
      </c>
      <c r="C277" s="1" t="s">
        <v>14</v>
      </c>
      <c r="D277" s="1" t="s">
        <v>147</v>
      </c>
      <c r="E277" s="1" t="s">
        <v>14</v>
      </c>
      <c r="F277" s="1" t="s">
        <v>102</v>
      </c>
      <c r="G277" s="29" t="n">
        <v>46405</v>
      </c>
      <c r="H277" s="30" t="n">
        <v>48</v>
      </c>
      <c r="I277" s="1" t="s">
        <v>205</v>
      </c>
      <c r="J277" s="1" t="s">
        <v>197</v>
      </c>
      <c r="K277" s="1" t="n">
        <v>48</v>
      </c>
      <c r="L277" s="1" t="s">
        <v>201</v>
      </c>
    </row>
    <row r="278" customFormat="false" ht="15" hidden="false" customHeight="true" outlineLevel="0" collapsed="false">
      <c r="A278" s="1" t="s">
        <v>12</v>
      </c>
      <c r="B278" s="1" t="s">
        <v>131</v>
      </c>
      <c r="C278" s="1" t="s">
        <v>14</v>
      </c>
      <c r="D278" s="1" t="s">
        <v>13</v>
      </c>
      <c r="E278" s="1" t="s">
        <v>14</v>
      </c>
      <c r="F278" s="1" t="s">
        <v>103</v>
      </c>
      <c r="G278" s="29" t="n">
        <v>46405</v>
      </c>
      <c r="H278" s="30" t="n">
        <v>5</v>
      </c>
      <c r="I278" s="1" t="s">
        <v>202</v>
      </c>
      <c r="J278" s="1" t="s">
        <v>200</v>
      </c>
      <c r="K278" s="1" t="n">
        <v>45.1</v>
      </c>
      <c r="L278" s="1" t="s">
        <v>198</v>
      </c>
    </row>
    <row r="279" customFormat="false" ht="15" hidden="false" customHeight="true" outlineLevel="0" collapsed="false">
      <c r="A279" s="1" t="s">
        <v>12</v>
      </c>
      <c r="B279" s="1" t="s">
        <v>131</v>
      </c>
      <c r="C279" s="1" t="s">
        <v>14</v>
      </c>
      <c r="D279" s="1" t="s">
        <v>132</v>
      </c>
      <c r="E279" s="1" t="s">
        <v>14</v>
      </c>
      <c r="F279" s="1" t="s">
        <v>103</v>
      </c>
      <c r="G279" s="29" t="n">
        <v>46405</v>
      </c>
      <c r="H279" s="30" t="n">
        <v>50</v>
      </c>
      <c r="I279" s="1" t="s">
        <v>202</v>
      </c>
      <c r="J279" s="1" t="s">
        <v>197</v>
      </c>
      <c r="K279" s="1" t="n">
        <v>50</v>
      </c>
      <c r="L279" s="1" t="s">
        <v>198</v>
      </c>
    </row>
    <row r="280" customFormat="false" ht="15" hidden="false" customHeight="true" outlineLevel="0" collapsed="false">
      <c r="A280" s="1" t="s">
        <v>12</v>
      </c>
      <c r="B280" s="1" t="s">
        <v>132</v>
      </c>
      <c r="C280" s="1" t="s">
        <v>14</v>
      </c>
      <c r="D280" s="1" t="s">
        <v>13</v>
      </c>
      <c r="E280" s="1" t="s">
        <v>14</v>
      </c>
      <c r="F280" s="1" t="s">
        <v>103</v>
      </c>
      <c r="G280" s="29" t="n">
        <v>46405</v>
      </c>
      <c r="H280" s="30" t="n">
        <v>9.9</v>
      </c>
      <c r="I280" s="1" t="s">
        <v>202</v>
      </c>
      <c r="J280" s="1" t="s">
        <v>200</v>
      </c>
      <c r="K280" s="1" t="n">
        <v>55</v>
      </c>
      <c r="L280" s="1" t="s">
        <v>198</v>
      </c>
    </row>
    <row r="281" customFormat="false" ht="15" hidden="false" customHeight="true" outlineLevel="0" collapsed="false">
      <c r="A281" s="1" t="s">
        <v>12</v>
      </c>
      <c r="B281" s="1" t="s">
        <v>132</v>
      </c>
      <c r="C281" s="1" t="s">
        <v>14</v>
      </c>
      <c r="D281" s="1" t="s">
        <v>148</v>
      </c>
      <c r="E281" s="1" t="s">
        <v>14</v>
      </c>
      <c r="F281" s="1" t="s">
        <v>103</v>
      </c>
      <c r="G281" s="29" t="n">
        <v>46405</v>
      </c>
      <c r="H281" s="30" t="n">
        <v>23.6</v>
      </c>
      <c r="I281" s="1" t="s">
        <v>205</v>
      </c>
      <c r="J281" s="1" t="s">
        <v>200</v>
      </c>
      <c r="K281" s="1" t="n">
        <v>23.6</v>
      </c>
      <c r="L281" s="1" t="s">
        <v>201</v>
      </c>
    </row>
    <row r="282" customFormat="false" ht="15" hidden="false" customHeight="true" outlineLevel="0" collapsed="false">
      <c r="A282" s="1" t="s">
        <v>12</v>
      </c>
      <c r="B282" s="1" t="s">
        <v>132</v>
      </c>
      <c r="C282" s="1" t="s">
        <v>14</v>
      </c>
      <c r="D282" s="1" t="s">
        <v>17</v>
      </c>
      <c r="E282" s="1" t="s">
        <v>14</v>
      </c>
      <c r="F282" s="1" t="s">
        <v>103</v>
      </c>
      <c r="G282" s="29" t="n">
        <v>46405</v>
      </c>
      <c r="H282" s="30" t="n">
        <v>13</v>
      </c>
      <c r="I282" s="1" t="s">
        <v>202</v>
      </c>
      <c r="J282" s="1" t="s">
        <v>200</v>
      </c>
      <c r="K282" s="1" t="n">
        <v>55</v>
      </c>
      <c r="L282" s="1" t="s">
        <v>198</v>
      </c>
    </row>
    <row r="283" customFormat="false" ht="15" hidden="false" customHeight="true" outlineLevel="0" collapsed="false">
      <c r="A283" s="1" t="s">
        <v>12</v>
      </c>
      <c r="B283" s="1" t="s">
        <v>132</v>
      </c>
      <c r="C283" s="1" t="s">
        <v>14</v>
      </c>
      <c r="D283" s="1" t="s">
        <v>27</v>
      </c>
      <c r="E283" s="1" t="s">
        <v>14</v>
      </c>
      <c r="F283" s="1" t="s">
        <v>103</v>
      </c>
      <c r="G283" s="29" t="n">
        <v>46405</v>
      </c>
      <c r="H283" s="30" t="n">
        <v>4</v>
      </c>
      <c r="I283" s="1" t="s">
        <v>202</v>
      </c>
      <c r="J283" s="1" t="s">
        <v>200</v>
      </c>
      <c r="K283" s="1" t="n">
        <v>55</v>
      </c>
      <c r="L283" s="1" t="s">
        <v>198</v>
      </c>
    </row>
    <row r="284" customFormat="false" ht="15" hidden="false" customHeight="true" outlineLevel="0" collapsed="false">
      <c r="A284" s="1" t="s">
        <v>12</v>
      </c>
      <c r="B284" s="1" t="s">
        <v>132</v>
      </c>
      <c r="C284" s="1" t="s">
        <v>14</v>
      </c>
      <c r="D284" s="1" t="s">
        <v>21</v>
      </c>
      <c r="E284" s="1" t="s">
        <v>14</v>
      </c>
      <c r="F284" s="1" t="s">
        <v>103</v>
      </c>
      <c r="G284" s="29" t="n">
        <v>46405</v>
      </c>
      <c r="H284" s="30" t="n">
        <v>4.5</v>
      </c>
      <c r="I284" s="1" t="s">
        <v>202</v>
      </c>
      <c r="J284" s="1" t="s">
        <v>200</v>
      </c>
      <c r="K284" s="1" t="n">
        <v>55</v>
      </c>
      <c r="L284" s="1" t="s">
        <v>198</v>
      </c>
    </row>
    <row r="285" customFormat="false" ht="15" hidden="false" customHeight="true" outlineLevel="0" collapsed="false">
      <c r="A285" s="1" t="s">
        <v>12</v>
      </c>
      <c r="B285" s="1" t="s">
        <v>22</v>
      </c>
      <c r="C285" s="1" t="s">
        <v>10</v>
      </c>
      <c r="D285" s="1" t="s">
        <v>116</v>
      </c>
      <c r="E285" s="1" t="s">
        <v>10</v>
      </c>
      <c r="F285" s="1" t="s">
        <v>99</v>
      </c>
      <c r="G285" s="29" t="n">
        <v>46412</v>
      </c>
      <c r="H285" s="30" t="n">
        <v>15</v>
      </c>
      <c r="I285" s="1" t="s">
        <v>196</v>
      </c>
      <c r="J285" s="1" t="s">
        <v>197</v>
      </c>
      <c r="K285" s="1" t="n">
        <v>42</v>
      </c>
      <c r="L285" s="1" t="s">
        <v>198</v>
      </c>
    </row>
    <row r="286" customFormat="false" ht="15" hidden="false" customHeight="true" outlineLevel="0" collapsed="false">
      <c r="A286" s="1" t="s">
        <v>12</v>
      </c>
      <c r="B286" s="1" t="s">
        <v>23</v>
      </c>
      <c r="C286" s="1" t="s">
        <v>10</v>
      </c>
      <c r="D286" s="1" t="s">
        <v>117</v>
      </c>
      <c r="E286" s="1" t="s">
        <v>10</v>
      </c>
      <c r="F286" s="1" t="s">
        <v>80</v>
      </c>
      <c r="G286" s="29" t="n">
        <v>46412</v>
      </c>
      <c r="H286" s="30" t="n">
        <v>2</v>
      </c>
      <c r="I286" s="1" t="s">
        <v>196</v>
      </c>
      <c r="J286" s="1" t="s">
        <v>200</v>
      </c>
      <c r="K286" s="1" t="n">
        <v>2</v>
      </c>
      <c r="L286" s="1" t="s">
        <v>198</v>
      </c>
    </row>
    <row r="287" customFormat="false" ht="15" hidden="false" customHeight="true" outlineLevel="0" collapsed="false">
      <c r="A287" s="1" t="s">
        <v>12</v>
      </c>
      <c r="B287" s="1" t="s">
        <v>23</v>
      </c>
      <c r="C287" s="1" t="s">
        <v>10</v>
      </c>
      <c r="D287" s="1" t="s">
        <v>9</v>
      </c>
      <c r="E287" s="1" t="s">
        <v>10</v>
      </c>
      <c r="F287" s="1" t="s">
        <v>81</v>
      </c>
      <c r="G287" s="29" t="n">
        <v>46412</v>
      </c>
      <c r="H287" s="30" t="n">
        <v>1.5</v>
      </c>
      <c r="I287" s="1" t="s">
        <v>196</v>
      </c>
      <c r="J287" s="1" t="s">
        <v>197</v>
      </c>
      <c r="K287" s="1" t="n">
        <v>30.5</v>
      </c>
      <c r="L287" s="1" t="s">
        <v>198</v>
      </c>
    </row>
    <row r="288" customFormat="false" ht="15" hidden="false" customHeight="true" outlineLevel="0" collapsed="false">
      <c r="A288" s="1" t="s">
        <v>12</v>
      </c>
      <c r="B288" s="1" t="s">
        <v>23</v>
      </c>
      <c r="C288" s="1" t="s">
        <v>10</v>
      </c>
      <c r="D288" s="1" t="s">
        <v>117</v>
      </c>
      <c r="E288" s="1" t="s">
        <v>10</v>
      </c>
      <c r="F288" s="1" t="s">
        <v>102</v>
      </c>
      <c r="G288" s="29" t="n">
        <v>46412</v>
      </c>
      <c r="H288" s="30" t="n">
        <v>5</v>
      </c>
      <c r="I288" s="1" t="s">
        <v>196</v>
      </c>
      <c r="J288" s="1" t="s">
        <v>200</v>
      </c>
      <c r="K288" s="1" t="n">
        <v>7</v>
      </c>
      <c r="L288" s="1" t="s">
        <v>198</v>
      </c>
    </row>
    <row r="289" customFormat="false" ht="15" hidden="false" customHeight="true" outlineLevel="0" collapsed="false">
      <c r="A289" s="1" t="s">
        <v>12</v>
      </c>
      <c r="B289" s="1" t="s">
        <v>17</v>
      </c>
      <c r="C289" s="1" t="s">
        <v>14</v>
      </c>
      <c r="D289" s="1" t="s">
        <v>158</v>
      </c>
      <c r="E289" s="1" t="s">
        <v>14</v>
      </c>
      <c r="F289" s="1" t="s">
        <v>121</v>
      </c>
      <c r="G289" s="29" t="n">
        <v>46412</v>
      </c>
      <c r="H289" s="30" t="n">
        <v>3</v>
      </c>
      <c r="I289" s="1" t="s">
        <v>199</v>
      </c>
      <c r="J289" s="1" t="s">
        <v>200</v>
      </c>
      <c r="K289" s="1" t="n">
        <v>3</v>
      </c>
      <c r="L289" s="1" t="s">
        <v>201</v>
      </c>
    </row>
    <row r="290" customFormat="false" ht="15" hidden="false" customHeight="true" outlineLevel="0" collapsed="false">
      <c r="A290" s="1" t="s">
        <v>12</v>
      </c>
      <c r="B290" s="1" t="s">
        <v>17</v>
      </c>
      <c r="C290" s="1" t="s">
        <v>14</v>
      </c>
      <c r="D290" s="1" t="s">
        <v>165</v>
      </c>
      <c r="E290" s="1" t="s">
        <v>14</v>
      </c>
      <c r="F290" s="1" t="s">
        <v>122</v>
      </c>
      <c r="G290" s="29" t="n">
        <v>46412</v>
      </c>
      <c r="H290" s="30" t="n">
        <v>10</v>
      </c>
      <c r="I290" s="1" t="s">
        <v>199</v>
      </c>
      <c r="J290" s="1" t="s">
        <v>200</v>
      </c>
      <c r="K290" s="1" t="n">
        <v>10</v>
      </c>
      <c r="L290" s="1" t="s">
        <v>201</v>
      </c>
    </row>
    <row r="291" customFormat="false" ht="15" hidden="false" customHeight="true" outlineLevel="0" collapsed="false">
      <c r="A291" s="1" t="s">
        <v>12</v>
      </c>
      <c r="B291" s="1" t="s">
        <v>123</v>
      </c>
      <c r="C291" s="1" t="s">
        <v>14</v>
      </c>
      <c r="D291" s="1" t="s">
        <v>13</v>
      </c>
      <c r="E291" s="1" t="s">
        <v>14</v>
      </c>
      <c r="F291" s="1" t="s">
        <v>81</v>
      </c>
      <c r="G291" s="29" t="n">
        <v>46412</v>
      </c>
      <c r="H291" s="30" t="n">
        <v>2.5</v>
      </c>
      <c r="I291" s="1" t="s">
        <v>196</v>
      </c>
      <c r="J291" s="1" t="s">
        <v>197</v>
      </c>
      <c r="K291" s="1" t="n">
        <v>50.5</v>
      </c>
      <c r="L291" s="1" t="s">
        <v>198</v>
      </c>
    </row>
    <row r="292" customFormat="false" ht="15" hidden="false" customHeight="true" outlineLevel="0" collapsed="false">
      <c r="A292" s="1" t="s">
        <v>12</v>
      </c>
      <c r="B292" s="1" t="s">
        <v>33</v>
      </c>
      <c r="C292" s="1" t="s">
        <v>10</v>
      </c>
      <c r="D292" s="1" t="s">
        <v>117</v>
      </c>
      <c r="E292" s="1" t="s">
        <v>10</v>
      </c>
      <c r="F292" s="1" t="s">
        <v>103</v>
      </c>
      <c r="G292" s="29" t="n">
        <v>46412</v>
      </c>
      <c r="H292" s="30" t="n">
        <v>8</v>
      </c>
      <c r="I292" s="1" t="s">
        <v>196</v>
      </c>
      <c r="J292" s="1" t="s">
        <v>200</v>
      </c>
      <c r="K292" s="1" t="n">
        <v>15</v>
      </c>
      <c r="L292" s="1" t="s">
        <v>198</v>
      </c>
    </row>
    <row r="293" customFormat="false" ht="15" hidden="false" customHeight="true" outlineLevel="0" collapsed="false">
      <c r="A293" s="1" t="s">
        <v>12</v>
      </c>
      <c r="B293" s="1" t="s">
        <v>24</v>
      </c>
      <c r="C293" s="1" t="s">
        <v>14</v>
      </c>
      <c r="D293" s="1" t="s">
        <v>13</v>
      </c>
      <c r="E293" s="1" t="s">
        <v>14</v>
      </c>
      <c r="F293" s="1" t="s">
        <v>81</v>
      </c>
      <c r="G293" s="29" t="n">
        <v>46412</v>
      </c>
      <c r="H293" s="30" t="n">
        <v>3.5</v>
      </c>
      <c r="I293" s="1" t="s">
        <v>196</v>
      </c>
      <c r="J293" s="1" t="s">
        <v>197</v>
      </c>
      <c r="K293" s="1" t="n">
        <v>54</v>
      </c>
      <c r="L293" s="1" t="s">
        <v>198</v>
      </c>
    </row>
    <row r="294" customFormat="false" ht="15" hidden="false" customHeight="true" outlineLevel="0" collapsed="false">
      <c r="A294" s="1" t="s">
        <v>12</v>
      </c>
      <c r="B294" s="1" t="s">
        <v>24</v>
      </c>
      <c r="C294" s="1" t="s">
        <v>14</v>
      </c>
      <c r="D294" s="1" t="s">
        <v>162</v>
      </c>
      <c r="E294" s="1" t="s">
        <v>14</v>
      </c>
      <c r="F294" s="1" t="s">
        <v>103</v>
      </c>
      <c r="G294" s="29" t="n">
        <v>46412</v>
      </c>
      <c r="H294" s="30" t="n">
        <v>10</v>
      </c>
      <c r="I294" s="1" t="s">
        <v>199</v>
      </c>
      <c r="J294" s="1" t="s">
        <v>197</v>
      </c>
      <c r="K294" s="1" t="n">
        <v>10</v>
      </c>
      <c r="L294" s="1" t="s">
        <v>201</v>
      </c>
    </row>
    <row r="295" customFormat="false" ht="15" hidden="false" customHeight="true" outlineLevel="0" collapsed="false">
      <c r="A295" s="1" t="s">
        <v>12</v>
      </c>
      <c r="B295" s="1" t="s">
        <v>27</v>
      </c>
      <c r="C295" s="1" t="s">
        <v>14</v>
      </c>
      <c r="D295" s="1" t="s">
        <v>30</v>
      </c>
      <c r="E295" s="1" t="s">
        <v>14</v>
      </c>
      <c r="F295" s="1" t="s">
        <v>94</v>
      </c>
      <c r="G295" s="29" t="n">
        <v>46412</v>
      </c>
      <c r="H295" s="30" t="n">
        <v>5</v>
      </c>
      <c r="I295" s="1" t="s">
        <v>196</v>
      </c>
      <c r="J295" s="1" t="s">
        <v>200</v>
      </c>
      <c r="K295" s="1" t="n">
        <v>19</v>
      </c>
      <c r="L295" s="1" t="s">
        <v>198</v>
      </c>
    </row>
    <row r="296" customFormat="false" ht="15" hidden="false" customHeight="true" outlineLevel="0" collapsed="false">
      <c r="A296" s="1" t="s">
        <v>12</v>
      </c>
      <c r="B296" s="1" t="s">
        <v>18</v>
      </c>
      <c r="C296" s="1" t="s">
        <v>16</v>
      </c>
      <c r="D296" s="1" t="s">
        <v>15</v>
      </c>
      <c r="E296" s="1" t="s">
        <v>16</v>
      </c>
      <c r="F296" s="1" t="s">
        <v>81</v>
      </c>
      <c r="G296" s="29" t="n">
        <v>46412</v>
      </c>
      <c r="H296" s="30" t="n">
        <v>0.5</v>
      </c>
      <c r="I296" s="1" t="s">
        <v>196</v>
      </c>
      <c r="J296" s="1" t="s">
        <v>197</v>
      </c>
      <c r="K296" s="1" t="n">
        <v>23.903509</v>
      </c>
      <c r="L296" s="1" t="s">
        <v>198</v>
      </c>
    </row>
    <row r="297" customFormat="false" ht="15" hidden="false" customHeight="true" outlineLevel="0" collapsed="false">
      <c r="A297" s="1" t="s">
        <v>12</v>
      </c>
      <c r="B297" s="1" t="s">
        <v>18</v>
      </c>
      <c r="C297" s="1" t="s">
        <v>16</v>
      </c>
      <c r="D297" s="1" t="s">
        <v>75</v>
      </c>
      <c r="E297" s="1" t="s">
        <v>16</v>
      </c>
      <c r="F297" s="1" t="s">
        <v>85</v>
      </c>
      <c r="G297" s="29" t="n">
        <v>46412</v>
      </c>
      <c r="H297" s="30" t="n">
        <v>0.403509</v>
      </c>
      <c r="I297" s="1" t="s">
        <v>196</v>
      </c>
      <c r="J297" s="1" t="s">
        <v>197</v>
      </c>
      <c r="K297" s="1" t="n">
        <v>31.307018</v>
      </c>
      <c r="L297" s="1" t="s">
        <v>198</v>
      </c>
    </row>
    <row r="298" customFormat="false" ht="15" hidden="false" customHeight="true" outlineLevel="0" collapsed="false">
      <c r="A298" s="1" t="s">
        <v>12</v>
      </c>
      <c r="B298" s="1" t="s">
        <v>138</v>
      </c>
      <c r="C298" s="1" t="s">
        <v>14</v>
      </c>
      <c r="D298" s="1" t="s">
        <v>13</v>
      </c>
      <c r="E298" s="1" t="s">
        <v>14</v>
      </c>
      <c r="F298" s="1" t="s">
        <v>81</v>
      </c>
      <c r="G298" s="29" t="n">
        <v>46412</v>
      </c>
      <c r="H298" s="30" t="n">
        <v>1</v>
      </c>
      <c r="I298" s="1" t="s">
        <v>202</v>
      </c>
      <c r="J298" s="1" t="s">
        <v>197</v>
      </c>
      <c r="K298" s="1" t="n">
        <v>55</v>
      </c>
      <c r="L298" s="1" t="s">
        <v>198</v>
      </c>
    </row>
    <row r="299" customFormat="false" ht="15" hidden="false" customHeight="true" outlineLevel="0" collapsed="false">
      <c r="A299" s="1" t="s">
        <v>12</v>
      </c>
      <c r="B299" s="1" t="s">
        <v>138</v>
      </c>
      <c r="C299" s="1" t="s">
        <v>14</v>
      </c>
      <c r="D299" s="1" t="s">
        <v>30</v>
      </c>
      <c r="E299" s="1" t="s">
        <v>14</v>
      </c>
      <c r="F299" s="1" t="s">
        <v>81</v>
      </c>
      <c r="G299" s="29" t="n">
        <v>46412</v>
      </c>
      <c r="H299" s="30" t="n">
        <v>7</v>
      </c>
      <c r="I299" s="1" t="s">
        <v>202</v>
      </c>
      <c r="J299" s="1" t="s">
        <v>200</v>
      </c>
      <c r="K299" s="1" t="n">
        <v>26</v>
      </c>
      <c r="L299" s="1" t="s">
        <v>198</v>
      </c>
    </row>
    <row r="300" customFormat="false" ht="15" hidden="false" customHeight="true" outlineLevel="0" collapsed="false">
      <c r="A300" s="1" t="s">
        <v>12</v>
      </c>
      <c r="B300" s="1" t="s">
        <v>138</v>
      </c>
      <c r="C300" s="1" t="s">
        <v>14</v>
      </c>
      <c r="D300" s="1" t="s">
        <v>30</v>
      </c>
      <c r="E300" s="1" t="s">
        <v>14</v>
      </c>
      <c r="F300" s="1" t="s">
        <v>100</v>
      </c>
      <c r="G300" s="29" t="n">
        <v>46412</v>
      </c>
      <c r="H300" s="30" t="n">
        <v>25</v>
      </c>
      <c r="I300" s="1" t="s">
        <v>202</v>
      </c>
      <c r="J300" s="1" t="s">
        <v>197</v>
      </c>
      <c r="K300" s="1" t="n">
        <v>51</v>
      </c>
      <c r="L300" s="1" t="s">
        <v>198</v>
      </c>
    </row>
    <row r="301" customFormat="false" ht="15" hidden="false" customHeight="true" outlineLevel="0" collapsed="false">
      <c r="A301" s="1" t="s">
        <v>12</v>
      </c>
      <c r="B301" s="1" t="s">
        <v>104</v>
      </c>
      <c r="C301" s="1" t="s">
        <v>16</v>
      </c>
      <c r="D301" s="1" t="s">
        <v>15</v>
      </c>
      <c r="E301" s="1" t="s">
        <v>16</v>
      </c>
      <c r="F301" s="1" t="s">
        <v>105</v>
      </c>
      <c r="G301" s="29" t="n">
        <v>46412</v>
      </c>
      <c r="H301" s="30" t="n">
        <v>4</v>
      </c>
      <c r="I301" s="1" t="s">
        <v>202</v>
      </c>
      <c r="J301" s="1" t="s">
        <v>200</v>
      </c>
      <c r="K301" s="1" t="n">
        <v>27.903509</v>
      </c>
      <c r="L301" s="1" t="s">
        <v>198</v>
      </c>
    </row>
    <row r="302" customFormat="false" ht="15" hidden="false" customHeight="true" outlineLevel="0" collapsed="false">
      <c r="A302" s="1" t="s">
        <v>12</v>
      </c>
      <c r="B302" s="1" t="s">
        <v>104</v>
      </c>
      <c r="C302" s="1" t="s">
        <v>10</v>
      </c>
      <c r="D302" s="1" t="s">
        <v>117</v>
      </c>
      <c r="E302" s="1" t="s">
        <v>10</v>
      </c>
      <c r="F302" s="1" t="s">
        <v>105</v>
      </c>
      <c r="G302" s="29" t="n">
        <v>46412</v>
      </c>
      <c r="H302" s="30" t="n">
        <v>16</v>
      </c>
      <c r="I302" s="1" t="s">
        <v>202</v>
      </c>
      <c r="J302" s="1" t="s">
        <v>200</v>
      </c>
      <c r="K302" s="1" t="n">
        <v>31</v>
      </c>
      <c r="L302" s="1" t="s">
        <v>198</v>
      </c>
    </row>
    <row r="303" customFormat="false" ht="15" hidden="false" customHeight="true" outlineLevel="0" collapsed="false">
      <c r="A303" s="1" t="s">
        <v>12</v>
      </c>
      <c r="B303" s="1" t="s">
        <v>104</v>
      </c>
      <c r="C303" s="1" t="s">
        <v>14</v>
      </c>
      <c r="D303" s="1" t="s">
        <v>21</v>
      </c>
      <c r="E303" s="1" t="s">
        <v>14</v>
      </c>
      <c r="F303" s="1" t="s">
        <v>105</v>
      </c>
      <c r="G303" s="29" t="n">
        <v>46412</v>
      </c>
      <c r="H303" s="30" t="n">
        <v>8</v>
      </c>
      <c r="I303" s="1" t="s">
        <v>202</v>
      </c>
      <c r="J303" s="1" t="s">
        <v>200</v>
      </c>
      <c r="K303" s="1" t="n">
        <v>43.5</v>
      </c>
      <c r="L303" s="1" t="s">
        <v>198</v>
      </c>
    </row>
    <row r="304" customFormat="false" ht="15" hidden="false" customHeight="true" outlineLevel="0" collapsed="false">
      <c r="A304" s="1" t="s">
        <v>12</v>
      </c>
      <c r="B304" s="1" t="s">
        <v>104</v>
      </c>
      <c r="C304" s="1" t="s">
        <v>14</v>
      </c>
      <c r="D304" s="1" t="s">
        <v>104</v>
      </c>
      <c r="E304" s="1" t="s">
        <v>14</v>
      </c>
      <c r="F304" s="1" t="s">
        <v>105</v>
      </c>
      <c r="G304" s="29" t="n">
        <v>46412</v>
      </c>
      <c r="H304" s="30" t="n">
        <v>32</v>
      </c>
      <c r="I304" s="1" t="s">
        <v>203</v>
      </c>
      <c r="J304" s="1" t="s">
        <v>200</v>
      </c>
      <c r="K304" s="1" t="n">
        <v>32</v>
      </c>
      <c r="L304" s="1" t="s">
        <v>201</v>
      </c>
    </row>
    <row r="305" customFormat="false" ht="15" hidden="false" customHeight="true" outlineLevel="0" collapsed="false">
      <c r="A305" s="1" t="s">
        <v>12</v>
      </c>
      <c r="B305" s="1" t="s">
        <v>135</v>
      </c>
      <c r="C305" s="1" t="s">
        <v>14</v>
      </c>
      <c r="D305" s="1" t="s">
        <v>153</v>
      </c>
      <c r="E305" s="1" t="s">
        <v>14</v>
      </c>
      <c r="F305" s="1" t="s">
        <v>43</v>
      </c>
      <c r="G305" s="29" t="n">
        <v>46412</v>
      </c>
      <c r="H305" s="30" t="n">
        <v>13.5</v>
      </c>
      <c r="I305" s="1" t="s">
        <v>205</v>
      </c>
      <c r="J305" s="1" t="s">
        <v>200</v>
      </c>
      <c r="K305" s="1" t="n">
        <v>13.5</v>
      </c>
      <c r="L305" s="1" t="s">
        <v>201</v>
      </c>
    </row>
    <row r="306" customFormat="false" ht="15" hidden="false" customHeight="true" outlineLevel="0" collapsed="false">
      <c r="A306" s="1" t="s">
        <v>12</v>
      </c>
      <c r="B306" s="1" t="s">
        <v>135</v>
      </c>
      <c r="C306" s="1" t="s">
        <v>14</v>
      </c>
      <c r="D306" s="1" t="s">
        <v>21</v>
      </c>
      <c r="E306" s="1" t="s">
        <v>14</v>
      </c>
      <c r="F306" s="1" t="s">
        <v>43</v>
      </c>
      <c r="G306" s="29" t="n">
        <v>46412</v>
      </c>
      <c r="H306" s="30" t="n">
        <v>11.5</v>
      </c>
      <c r="I306" s="1" t="s">
        <v>202</v>
      </c>
      <c r="J306" s="1" t="s">
        <v>197</v>
      </c>
      <c r="K306" s="1" t="n">
        <v>55</v>
      </c>
      <c r="L306" s="1" t="s">
        <v>198</v>
      </c>
    </row>
    <row r="307" customFormat="false" ht="15" hidden="false" customHeight="true" outlineLevel="0" collapsed="false">
      <c r="A307" s="1" t="s">
        <v>12</v>
      </c>
      <c r="B307" s="1" t="s">
        <v>135</v>
      </c>
      <c r="C307" s="1" t="s">
        <v>14</v>
      </c>
      <c r="D307" s="1" t="s">
        <v>30</v>
      </c>
      <c r="E307" s="1" t="s">
        <v>14</v>
      </c>
      <c r="F307" s="1" t="s">
        <v>43</v>
      </c>
      <c r="G307" s="29" t="n">
        <v>46412</v>
      </c>
      <c r="H307" s="30" t="n">
        <v>4</v>
      </c>
      <c r="I307" s="1" t="s">
        <v>202</v>
      </c>
      <c r="J307" s="1" t="s">
        <v>200</v>
      </c>
      <c r="K307" s="1" t="n">
        <v>55</v>
      </c>
      <c r="L307" s="1" t="s">
        <v>198</v>
      </c>
    </row>
    <row r="308" customFormat="false" ht="15" hidden="false" customHeight="true" outlineLevel="0" collapsed="false">
      <c r="A308" s="1" t="s">
        <v>12</v>
      </c>
      <c r="B308" s="1" t="s">
        <v>130</v>
      </c>
      <c r="C308" s="1" t="s">
        <v>14</v>
      </c>
      <c r="D308" s="1" t="s">
        <v>148</v>
      </c>
      <c r="E308" s="1" t="s">
        <v>14</v>
      </c>
      <c r="F308" s="1" t="s">
        <v>85</v>
      </c>
      <c r="G308" s="29" t="n">
        <v>46412</v>
      </c>
      <c r="H308" s="30" t="n">
        <v>29</v>
      </c>
      <c r="I308" s="1" t="s">
        <v>205</v>
      </c>
      <c r="J308" s="1" t="s">
        <v>200</v>
      </c>
      <c r="K308" s="1" t="n">
        <v>29</v>
      </c>
      <c r="L308" s="1" t="s">
        <v>201</v>
      </c>
    </row>
    <row r="309" customFormat="false" ht="15" hidden="false" customHeight="true" outlineLevel="0" collapsed="false">
      <c r="A309" s="1" t="s">
        <v>12</v>
      </c>
      <c r="B309" s="1" t="s">
        <v>139</v>
      </c>
      <c r="C309" s="1" t="s">
        <v>14</v>
      </c>
      <c r="D309" s="1" t="s">
        <v>146</v>
      </c>
      <c r="E309" s="1" t="s">
        <v>14</v>
      </c>
      <c r="F309" s="1" t="s">
        <v>95</v>
      </c>
      <c r="G309" s="29" t="n">
        <v>46412</v>
      </c>
      <c r="H309" s="30" t="n">
        <v>28</v>
      </c>
      <c r="I309" s="1" t="s">
        <v>205</v>
      </c>
      <c r="J309" s="1" t="s">
        <v>197</v>
      </c>
      <c r="K309" s="1" t="n">
        <v>50.5</v>
      </c>
      <c r="L309" s="1" t="s">
        <v>201</v>
      </c>
    </row>
    <row r="310" customFormat="false" ht="15" hidden="false" customHeight="true" outlineLevel="0" collapsed="false">
      <c r="A310" s="1" t="s">
        <v>12</v>
      </c>
      <c r="B310" s="1" t="s">
        <v>139</v>
      </c>
      <c r="C310" s="1" t="s">
        <v>14</v>
      </c>
      <c r="D310" s="1" t="s">
        <v>152</v>
      </c>
      <c r="E310" s="1" t="s">
        <v>14</v>
      </c>
      <c r="F310" s="1" t="s">
        <v>99</v>
      </c>
      <c r="G310" s="29" t="n">
        <v>46412</v>
      </c>
      <c r="H310" s="30" t="n">
        <v>16</v>
      </c>
      <c r="I310" s="1" t="s">
        <v>205</v>
      </c>
      <c r="J310" s="1" t="s">
        <v>200</v>
      </c>
      <c r="K310" s="1" t="n">
        <v>16</v>
      </c>
      <c r="L310" s="1" t="s">
        <v>201</v>
      </c>
    </row>
    <row r="311" customFormat="false" ht="15" hidden="false" customHeight="true" outlineLevel="0" collapsed="false">
      <c r="A311" s="1" t="s">
        <v>12</v>
      </c>
      <c r="B311" s="1" t="s">
        <v>134</v>
      </c>
      <c r="C311" s="1" t="s">
        <v>14</v>
      </c>
      <c r="D311" s="1" t="s">
        <v>151</v>
      </c>
      <c r="E311" s="1" t="s">
        <v>14</v>
      </c>
      <c r="F311" s="1" t="s">
        <v>99</v>
      </c>
      <c r="G311" s="29" t="n">
        <v>46412</v>
      </c>
      <c r="H311" s="30" t="n">
        <v>11</v>
      </c>
      <c r="I311" s="1" t="s">
        <v>205</v>
      </c>
      <c r="J311" s="1" t="s">
        <v>200</v>
      </c>
      <c r="K311" s="1" t="n">
        <v>35</v>
      </c>
      <c r="L311" s="1" t="s">
        <v>201</v>
      </c>
    </row>
    <row r="312" customFormat="false" ht="15" hidden="false" customHeight="true" outlineLevel="0" collapsed="false">
      <c r="A312" s="1" t="s">
        <v>12</v>
      </c>
      <c r="B312" s="1" t="s">
        <v>134</v>
      </c>
      <c r="C312" s="1" t="s">
        <v>14</v>
      </c>
      <c r="D312" s="1" t="s">
        <v>152</v>
      </c>
      <c r="E312" s="1" t="s">
        <v>14</v>
      </c>
      <c r="F312" s="1" t="s">
        <v>99</v>
      </c>
      <c r="G312" s="29" t="n">
        <v>46412</v>
      </c>
      <c r="H312" s="30" t="n">
        <v>39</v>
      </c>
      <c r="I312" s="1" t="s">
        <v>205</v>
      </c>
      <c r="J312" s="1" t="s">
        <v>197</v>
      </c>
      <c r="K312" s="1" t="n">
        <v>55</v>
      </c>
      <c r="L312" s="1" t="s">
        <v>201</v>
      </c>
    </row>
    <row r="313" customFormat="false" ht="15" hidden="false" customHeight="true" outlineLevel="0" collapsed="false">
      <c r="A313" s="1" t="s">
        <v>12</v>
      </c>
      <c r="B313" s="1" t="s">
        <v>133</v>
      </c>
      <c r="C313" s="1" t="s">
        <v>14</v>
      </c>
      <c r="D313" s="1" t="s">
        <v>151</v>
      </c>
      <c r="E313" s="1" t="s">
        <v>14</v>
      </c>
      <c r="F313" s="1" t="s">
        <v>46</v>
      </c>
      <c r="G313" s="29" t="n">
        <v>46412</v>
      </c>
      <c r="H313" s="30" t="n">
        <v>24</v>
      </c>
      <c r="I313" s="1" t="s">
        <v>204</v>
      </c>
      <c r="J313" s="1" t="s">
        <v>200</v>
      </c>
      <c r="K313" s="1" t="n">
        <v>24</v>
      </c>
      <c r="L313" s="1" t="s">
        <v>201</v>
      </c>
    </row>
    <row r="314" customFormat="false" ht="15" hidden="false" customHeight="true" outlineLevel="0" collapsed="false">
      <c r="A314" s="1" t="s">
        <v>12</v>
      </c>
      <c r="B314" s="1" t="s">
        <v>128</v>
      </c>
      <c r="C314" s="1" t="s">
        <v>14</v>
      </c>
      <c r="D314" s="1" t="s">
        <v>146</v>
      </c>
      <c r="E314" s="1" t="s">
        <v>14</v>
      </c>
      <c r="F314" s="1" t="s">
        <v>108</v>
      </c>
      <c r="G314" s="29" t="n">
        <v>46412</v>
      </c>
      <c r="H314" s="30" t="n">
        <v>22.5</v>
      </c>
      <c r="I314" s="1" t="s">
        <v>205</v>
      </c>
      <c r="J314" s="1" t="s">
        <v>197</v>
      </c>
      <c r="K314" s="1" t="n">
        <v>22.5</v>
      </c>
      <c r="L314" s="1" t="s">
        <v>201</v>
      </c>
    </row>
    <row r="315" customFormat="false" ht="15" hidden="false" customHeight="true" outlineLevel="0" collapsed="false">
      <c r="A315" s="1" t="s">
        <v>12</v>
      </c>
      <c r="B315" s="1" t="s">
        <v>129</v>
      </c>
      <c r="C315" s="1" t="s">
        <v>14</v>
      </c>
      <c r="D315" s="1" t="s">
        <v>147</v>
      </c>
      <c r="E315" s="1" t="s">
        <v>14</v>
      </c>
      <c r="F315" s="1" t="s">
        <v>102</v>
      </c>
      <c r="G315" s="29" t="n">
        <v>46412</v>
      </c>
      <c r="H315" s="30" t="n">
        <v>45</v>
      </c>
      <c r="I315" s="1" t="s">
        <v>205</v>
      </c>
      <c r="J315" s="1" t="s">
        <v>197</v>
      </c>
      <c r="K315" s="1" t="n">
        <v>45</v>
      </c>
      <c r="L315" s="1" t="s">
        <v>201</v>
      </c>
    </row>
    <row r="316" customFormat="false" ht="15" hidden="false" customHeight="true" outlineLevel="0" collapsed="false">
      <c r="A316" s="1" t="s">
        <v>12</v>
      </c>
      <c r="B316" s="1" t="s">
        <v>131</v>
      </c>
      <c r="C316" s="1" t="s">
        <v>14</v>
      </c>
      <c r="D316" s="1" t="s">
        <v>148</v>
      </c>
      <c r="E316" s="1" t="s">
        <v>14</v>
      </c>
      <c r="F316" s="1" t="s">
        <v>103</v>
      </c>
      <c r="G316" s="29" t="n">
        <v>46412</v>
      </c>
      <c r="H316" s="30" t="n">
        <v>26</v>
      </c>
      <c r="I316" s="1" t="s">
        <v>205</v>
      </c>
      <c r="J316" s="1" t="s">
        <v>197</v>
      </c>
      <c r="K316" s="1" t="n">
        <v>55</v>
      </c>
      <c r="L316" s="1" t="s">
        <v>201</v>
      </c>
    </row>
    <row r="317" customFormat="false" ht="15" hidden="false" customHeight="true" outlineLevel="0" collapsed="false">
      <c r="A317" s="1" t="s">
        <v>12</v>
      </c>
      <c r="B317" s="1" t="s">
        <v>131</v>
      </c>
      <c r="C317" s="1" t="s">
        <v>14</v>
      </c>
      <c r="D317" s="1" t="s">
        <v>149</v>
      </c>
      <c r="E317" s="1" t="s">
        <v>14</v>
      </c>
      <c r="F317" s="1" t="s">
        <v>103</v>
      </c>
      <c r="G317" s="29" t="n">
        <v>46412</v>
      </c>
      <c r="H317" s="30" t="n">
        <v>39</v>
      </c>
      <c r="I317" s="1" t="s">
        <v>205</v>
      </c>
      <c r="J317" s="1" t="s">
        <v>200</v>
      </c>
      <c r="K317" s="1" t="n">
        <v>39</v>
      </c>
      <c r="L317" s="1" t="s">
        <v>201</v>
      </c>
    </row>
    <row r="318" customFormat="false" ht="15" hidden="false" customHeight="true" outlineLevel="0" collapsed="false">
      <c r="A318" s="1" t="s">
        <v>12</v>
      </c>
      <c r="B318" s="1" t="s">
        <v>132</v>
      </c>
      <c r="C318" s="1" t="s">
        <v>14</v>
      </c>
      <c r="D318" s="1" t="s">
        <v>146</v>
      </c>
      <c r="E318" s="1" t="s">
        <v>14</v>
      </c>
      <c r="F318" s="1" t="s">
        <v>103</v>
      </c>
      <c r="G318" s="29" t="n">
        <v>46412</v>
      </c>
      <c r="H318" s="30" t="n">
        <v>4.5</v>
      </c>
      <c r="I318" s="1" t="s">
        <v>205</v>
      </c>
      <c r="J318" s="1" t="s">
        <v>200</v>
      </c>
      <c r="K318" s="1" t="n">
        <v>55</v>
      </c>
      <c r="L318" s="1" t="s">
        <v>201</v>
      </c>
    </row>
    <row r="319" customFormat="false" ht="15" hidden="false" customHeight="true" outlineLevel="0" collapsed="false">
      <c r="A319" s="1" t="s">
        <v>12</v>
      </c>
      <c r="B319" s="1" t="s">
        <v>132</v>
      </c>
      <c r="C319" s="1" t="s">
        <v>14</v>
      </c>
      <c r="D319" s="1" t="s">
        <v>147</v>
      </c>
      <c r="E319" s="1" t="s">
        <v>14</v>
      </c>
      <c r="F319" s="1" t="s">
        <v>103</v>
      </c>
      <c r="G319" s="29" t="n">
        <v>46412</v>
      </c>
      <c r="H319" s="30" t="n">
        <v>10</v>
      </c>
      <c r="I319" s="1" t="s">
        <v>205</v>
      </c>
      <c r="J319" s="1" t="s">
        <v>200</v>
      </c>
      <c r="K319" s="1" t="n">
        <v>55</v>
      </c>
      <c r="L319" s="1" t="s">
        <v>201</v>
      </c>
    </row>
    <row r="320" customFormat="false" ht="15" hidden="false" customHeight="true" outlineLevel="0" collapsed="false">
      <c r="A320" s="1" t="s">
        <v>12</v>
      </c>
      <c r="B320" s="1" t="s">
        <v>132</v>
      </c>
      <c r="C320" s="1" t="s">
        <v>14</v>
      </c>
      <c r="D320" s="1" t="s">
        <v>149</v>
      </c>
      <c r="E320" s="1" t="s">
        <v>14</v>
      </c>
      <c r="F320" s="1" t="s">
        <v>103</v>
      </c>
      <c r="G320" s="29" t="n">
        <v>46412</v>
      </c>
      <c r="H320" s="30" t="n">
        <v>16</v>
      </c>
      <c r="I320" s="1" t="s">
        <v>205</v>
      </c>
      <c r="J320" s="1" t="s">
        <v>197</v>
      </c>
      <c r="K320" s="1" t="n">
        <v>55</v>
      </c>
      <c r="L320" s="1" t="s">
        <v>201</v>
      </c>
    </row>
    <row r="321" customFormat="false" ht="15" hidden="false" customHeight="true" outlineLevel="0" collapsed="false">
      <c r="A321" s="1" t="s">
        <v>12</v>
      </c>
      <c r="B321" s="1" t="s">
        <v>132</v>
      </c>
      <c r="C321" s="1" t="s">
        <v>14</v>
      </c>
      <c r="D321" s="1" t="s">
        <v>150</v>
      </c>
      <c r="E321" s="1" t="s">
        <v>14</v>
      </c>
      <c r="F321" s="1" t="s">
        <v>103</v>
      </c>
      <c r="G321" s="29" t="n">
        <v>46412</v>
      </c>
      <c r="H321" s="30" t="n">
        <v>29.5</v>
      </c>
      <c r="I321" s="1" t="s">
        <v>205</v>
      </c>
      <c r="J321" s="1" t="s">
        <v>200</v>
      </c>
      <c r="K321" s="1" t="n">
        <v>29.5</v>
      </c>
      <c r="L321" s="1" t="s">
        <v>201</v>
      </c>
    </row>
    <row r="322" customFormat="false" ht="15" hidden="false" customHeight="true" outlineLevel="0" collapsed="false">
      <c r="A322" s="1" t="s">
        <v>12</v>
      </c>
      <c r="B322" s="1" t="s">
        <v>136</v>
      </c>
      <c r="C322" s="1" t="s">
        <v>14</v>
      </c>
      <c r="D322" s="1" t="s">
        <v>153</v>
      </c>
      <c r="E322" s="1" t="s">
        <v>14</v>
      </c>
      <c r="F322" s="1" t="s">
        <v>43</v>
      </c>
      <c r="G322" s="29" t="n">
        <v>46412</v>
      </c>
      <c r="H322" s="30" t="n">
        <v>10</v>
      </c>
      <c r="I322" s="1" t="s">
        <v>205</v>
      </c>
      <c r="J322" s="1" t="s">
        <v>197</v>
      </c>
      <c r="K322" s="1" t="n">
        <v>23.5</v>
      </c>
      <c r="L322" s="1" t="s">
        <v>201</v>
      </c>
    </row>
    <row r="323" customFormat="false" ht="15" hidden="false" customHeight="true" outlineLevel="0" collapsed="false">
      <c r="A323" s="1" t="s">
        <v>29</v>
      </c>
      <c r="B323" s="1" t="s">
        <v>35</v>
      </c>
      <c r="C323" s="1" t="s">
        <v>10</v>
      </c>
      <c r="D323" s="1" t="s">
        <v>143</v>
      </c>
      <c r="E323" s="1" t="s">
        <v>10</v>
      </c>
      <c r="F323" s="1" t="s">
        <v>92</v>
      </c>
      <c r="G323" s="29" t="n">
        <v>46419</v>
      </c>
      <c r="H323" s="30" t="n">
        <v>5</v>
      </c>
      <c r="I323" s="1" t="s">
        <v>196</v>
      </c>
      <c r="J323" s="1" t="s">
        <v>197</v>
      </c>
      <c r="K323" s="1" t="n">
        <v>5</v>
      </c>
      <c r="L323" s="1" t="s">
        <v>201</v>
      </c>
    </row>
    <row r="324" customFormat="false" ht="15" hidden="false" customHeight="true" outlineLevel="0" collapsed="false">
      <c r="A324" s="1" t="s">
        <v>29</v>
      </c>
      <c r="B324" s="1" t="s">
        <v>28</v>
      </c>
      <c r="C324" s="1" t="s">
        <v>10</v>
      </c>
      <c r="D324" s="1" t="s">
        <v>143</v>
      </c>
      <c r="E324" s="1" t="s">
        <v>10</v>
      </c>
      <c r="F324" s="1" t="s">
        <v>92</v>
      </c>
      <c r="G324" s="29" t="n">
        <v>46419</v>
      </c>
      <c r="H324" s="30" t="n">
        <v>5</v>
      </c>
      <c r="I324" s="1" t="s">
        <v>196</v>
      </c>
      <c r="J324" s="1" t="s">
        <v>197</v>
      </c>
      <c r="K324" s="1" t="n">
        <v>10</v>
      </c>
      <c r="L324" s="1" t="s">
        <v>201</v>
      </c>
    </row>
    <row r="325" customFormat="false" ht="15" hidden="false" customHeight="true" outlineLevel="0" collapsed="false">
      <c r="A325" s="1" t="s">
        <v>12</v>
      </c>
      <c r="B325" s="1" t="s">
        <v>13</v>
      </c>
      <c r="C325" s="1" t="s">
        <v>14</v>
      </c>
      <c r="D325" s="1" t="s">
        <v>26</v>
      </c>
      <c r="E325" s="1" t="s">
        <v>14</v>
      </c>
      <c r="F325" s="1" t="s">
        <v>40</v>
      </c>
      <c r="G325" s="29" t="n">
        <v>46419</v>
      </c>
      <c r="H325" s="30" t="n">
        <v>12</v>
      </c>
      <c r="I325" s="1" t="s">
        <v>196</v>
      </c>
      <c r="J325" s="1" t="s">
        <v>197</v>
      </c>
      <c r="K325" s="1" t="n">
        <v>55</v>
      </c>
      <c r="L325" s="1" t="s">
        <v>198</v>
      </c>
    </row>
    <row r="326" customFormat="false" ht="15" hidden="false" customHeight="true" outlineLevel="0" collapsed="false">
      <c r="A326" s="1" t="s">
        <v>12</v>
      </c>
      <c r="B326" s="1" t="s">
        <v>13</v>
      </c>
      <c r="C326" s="1" t="s">
        <v>14</v>
      </c>
      <c r="D326" s="1" t="s">
        <v>148</v>
      </c>
      <c r="E326" s="1" t="s">
        <v>14</v>
      </c>
      <c r="F326" s="1" t="s">
        <v>40</v>
      </c>
      <c r="G326" s="29" t="n">
        <v>46419</v>
      </c>
      <c r="H326" s="30" t="n">
        <v>7.5</v>
      </c>
      <c r="I326" s="1" t="s">
        <v>196</v>
      </c>
      <c r="J326" s="1" t="s">
        <v>200</v>
      </c>
      <c r="K326" s="1" t="n">
        <v>21.9</v>
      </c>
      <c r="L326" s="1" t="s">
        <v>201</v>
      </c>
    </row>
    <row r="327" customFormat="false" ht="15" hidden="false" customHeight="true" outlineLevel="0" collapsed="false">
      <c r="A327" s="1" t="s">
        <v>12</v>
      </c>
      <c r="B327" s="1" t="s">
        <v>13</v>
      </c>
      <c r="C327" s="1" t="s">
        <v>14</v>
      </c>
      <c r="D327" s="1" t="s">
        <v>21</v>
      </c>
      <c r="E327" s="1" t="s">
        <v>14</v>
      </c>
      <c r="F327" s="1" t="s">
        <v>40</v>
      </c>
      <c r="G327" s="29" t="n">
        <v>46419</v>
      </c>
      <c r="H327" s="30" t="n">
        <v>0.5</v>
      </c>
      <c r="I327" s="1" t="s">
        <v>196</v>
      </c>
      <c r="J327" s="1" t="s">
        <v>197</v>
      </c>
      <c r="K327" s="1" t="n">
        <v>55</v>
      </c>
      <c r="L327" s="1" t="s">
        <v>198</v>
      </c>
    </row>
    <row r="328" customFormat="false" ht="15" hidden="false" customHeight="true" outlineLevel="0" collapsed="false">
      <c r="A328" s="1" t="s">
        <v>12</v>
      </c>
      <c r="B328" s="1" t="s">
        <v>13</v>
      </c>
      <c r="C328" s="1" t="s">
        <v>14</v>
      </c>
      <c r="D328" s="1" t="s">
        <v>127</v>
      </c>
      <c r="E328" s="1" t="s">
        <v>14</v>
      </c>
      <c r="F328" s="1" t="s">
        <v>40</v>
      </c>
      <c r="G328" s="29" t="n">
        <v>46419</v>
      </c>
      <c r="H328" s="30" t="n">
        <v>30</v>
      </c>
      <c r="I328" s="1" t="s">
        <v>196</v>
      </c>
      <c r="J328" s="1" t="s">
        <v>197</v>
      </c>
      <c r="K328" s="1" t="n">
        <v>30</v>
      </c>
      <c r="L328" s="1" t="s">
        <v>198</v>
      </c>
    </row>
    <row r="329" customFormat="false" ht="15" hidden="false" customHeight="true" outlineLevel="0" collapsed="false">
      <c r="A329" s="1" t="s">
        <v>12</v>
      </c>
      <c r="B329" s="1" t="s">
        <v>13</v>
      </c>
      <c r="C329" s="1" t="s">
        <v>14</v>
      </c>
      <c r="D329" s="1" t="s">
        <v>148</v>
      </c>
      <c r="E329" s="1" t="s">
        <v>14</v>
      </c>
      <c r="F329" s="1" t="s">
        <v>96</v>
      </c>
      <c r="G329" s="29" t="n">
        <v>46419</v>
      </c>
      <c r="H329" s="30" t="n">
        <v>11</v>
      </c>
      <c r="I329" s="1" t="s">
        <v>196</v>
      </c>
      <c r="J329" s="1" t="s">
        <v>200</v>
      </c>
      <c r="K329" s="1" t="n">
        <v>37.9</v>
      </c>
      <c r="L329" s="1" t="s">
        <v>201</v>
      </c>
    </row>
    <row r="330" customFormat="false" ht="15" hidden="false" customHeight="true" outlineLevel="0" collapsed="false">
      <c r="A330" s="1" t="s">
        <v>12</v>
      </c>
      <c r="B330" s="1" t="s">
        <v>13</v>
      </c>
      <c r="C330" s="1" t="s">
        <v>14</v>
      </c>
      <c r="D330" s="1" t="s">
        <v>152</v>
      </c>
      <c r="E330" s="1" t="s">
        <v>14</v>
      </c>
      <c r="F330" s="1" t="s">
        <v>99</v>
      </c>
      <c r="G330" s="29" t="n">
        <v>46419</v>
      </c>
      <c r="H330" s="30" t="n">
        <v>0.100000000000001</v>
      </c>
      <c r="I330" s="1" t="s">
        <v>196</v>
      </c>
      <c r="J330" s="1" t="s">
        <v>197</v>
      </c>
      <c r="K330" s="1" t="n">
        <v>55</v>
      </c>
      <c r="L330" s="1" t="s">
        <v>201</v>
      </c>
    </row>
    <row r="331" customFormat="false" ht="15" hidden="false" customHeight="true" outlineLevel="0" collapsed="false">
      <c r="A331" s="1" t="s">
        <v>12</v>
      </c>
      <c r="B331" s="1" t="s">
        <v>13</v>
      </c>
      <c r="C331" s="1" t="s">
        <v>14</v>
      </c>
      <c r="D331" s="1" t="s">
        <v>153</v>
      </c>
      <c r="E331" s="1" t="s">
        <v>14</v>
      </c>
      <c r="F331" s="1" t="s">
        <v>99</v>
      </c>
      <c r="G331" s="29" t="n">
        <v>46419</v>
      </c>
      <c r="H331" s="30" t="n">
        <v>8.9</v>
      </c>
      <c r="I331" s="1" t="s">
        <v>196</v>
      </c>
      <c r="J331" s="1" t="s">
        <v>200</v>
      </c>
      <c r="K331" s="1" t="n">
        <v>8.9</v>
      </c>
      <c r="L331" s="1" t="s">
        <v>201</v>
      </c>
    </row>
    <row r="332" customFormat="false" ht="15" hidden="false" customHeight="true" outlineLevel="0" collapsed="false">
      <c r="A332" s="1" t="s">
        <v>12</v>
      </c>
      <c r="B332" s="1" t="s">
        <v>13</v>
      </c>
      <c r="C332" s="1" t="s">
        <v>14</v>
      </c>
      <c r="D332" s="1" t="s">
        <v>155</v>
      </c>
      <c r="E332" s="1" t="s">
        <v>14</v>
      </c>
      <c r="F332" s="1" t="s">
        <v>100</v>
      </c>
      <c r="G332" s="29" t="n">
        <v>46419</v>
      </c>
      <c r="H332" s="30" t="n">
        <v>7</v>
      </c>
      <c r="I332" s="1" t="s">
        <v>196</v>
      </c>
      <c r="J332" s="1" t="s">
        <v>200</v>
      </c>
      <c r="K332" s="1" t="n">
        <v>39.9</v>
      </c>
      <c r="L332" s="1" t="s">
        <v>201</v>
      </c>
    </row>
    <row r="333" customFormat="false" ht="15" hidden="false" customHeight="true" outlineLevel="0" collapsed="false">
      <c r="A333" s="1" t="s">
        <v>12</v>
      </c>
      <c r="B333" s="1" t="s">
        <v>9</v>
      </c>
      <c r="C333" s="1" t="s">
        <v>10</v>
      </c>
      <c r="D333" s="1" t="s">
        <v>117</v>
      </c>
      <c r="E333" s="1" t="s">
        <v>10</v>
      </c>
      <c r="F333" s="1" t="s">
        <v>81</v>
      </c>
      <c r="G333" s="29" t="n">
        <v>46419</v>
      </c>
      <c r="H333" s="30" t="n">
        <v>8</v>
      </c>
      <c r="I333" s="1" t="s">
        <v>196</v>
      </c>
      <c r="J333" s="1" t="s">
        <v>200</v>
      </c>
      <c r="K333" s="1" t="n">
        <v>19</v>
      </c>
      <c r="L333" s="1" t="s">
        <v>198</v>
      </c>
    </row>
    <row r="334" customFormat="false" ht="15" hidden="false" customHeight="true" outlineLevel="0" collapsed="false">
      <c r="A334" s="1" t="s">
        <v>12</v>
      </c>
      <c r="B334" s="1" t="s">
        <v>9</v>
      </c>
      <c r="C334" s="1" t="s">
        <v>10</v>
      </c>
      <c r="D334" s="1" t="s">
        <v>117</v>
      </c>
      <c r="E334" s="1" t="s">
        <v>10</v>
      </c>
      <c r="F334" s="1" t="s">
        <v>94</v>
      </c>
      <c r="G334" s="29" t="n">
        <v>46419</v>
      </c>
      <c r="H334" s="30" t="n">
        <v>5</v>
      </c>
      <c r="I334" s="1" t="s">
        <v>196</v>
      </c>
      <c r="J334" s="1" t="s">
        <v>200</v>
      </c>
      <c r="K334" s="1" t="n">
        <v>5</v>
      </c>
      <c r="L334" s="1" t="s">
        <v>198</v>
      </c>
    </row>
    <row r="335" customFormat="false" ht="15" hidden="false" customHeight="true" outlineLevel="0" collapsed="false">
      <c r="A335" s="1" t="s">
        <v>12</v>
      </c>
      <c r="B335" s="1" t="s">
        <v>9</v>
      </c>
      <c r="C335" s="1" t="s">
        <v>10</v>
      </c>
      <c r="D335" s="1" t="s">
        <v>117</v>
      </c>
      <c r="E335" s="1" t="s">
        <v>10</v>
      </c>
      <c r="F335" s="1" t="s">
        <v>95</v>
      </c>
      <c r="G335" s="29" t="n">
        <v>46419</v>
      </c>
      <c r="H335" s="30" t="n">
        <v>3</v>
      </c>
      <c r="I335" s="1" t="s">
        <v>196</v>
      </c>
      <c r="J335" s="1" t="s">
        <v>200</v>
      </c>
      <c r="K335" s="1" t="n">
        <v>22</v>
      </c>
      <c r="L335" s="1" t="s">
        <v>198</v>
      </c>
    </row>
    <row r="336" customFormat="false" ht="15" hidden="false" customHeight="true" outlineLevel="0" collapsed="false">
      <c r="A336" s="1" t="s">
        <v>12</v>
      </c>
      <c r="B336" s="1" t="s">
        <v>9</v>
      </c>
      <c r="C336" s="1" t="s">
        <v>10</v>
      </c>
      <c r="D336" s="1" t="s">
        <v>116</v>
      </c>
      <c r="E336" s="1" t="s">
        <v>10</v>
      </c>
      <c r="F336" s="1" t="s">
        <v>40</v>
      </c>
      <c r="G336" s="29" t="n">
        <v>46419</v>
      </c>
      <c r="H336" s="30" t="n">
        <v>5.5</v>
      </c>
      <c r="I336" s="1" t="s">
        <v>196</v>
      </c>
      <c r="J336" s="1" t="s">
        <v>197</v>
      </c>
      <c r="K336" s="1" t="n">
        <v>36</v>
      </c>
      <c r="L336" s="1" t="s">
        <v>198</v>
      </c>
    </row>
    <row r="337" customFormat="false" ht="15" hidden="false" customHeight="true" outlineLevel="0" collapsed="false">
      <c r="A337" s="1" t="s">
        <v>12</v>
      </c>
      <c r="B337" s="1" t="s">
        <v>9</v>
      </c>
      <c r="C337" s="1" t="s">
        <v>10</v>
      </c>
      <c r="D337" s="1" t="s">
        <v>116</v>
      </c>
      <c r="E337" s="1" t="s">
        <v>10</v>
      </c>
      <c r="F337" s="1" t="s">
        <v>96</v>
      </c>
      <c r="G337" s="29" t="n">
        <v>46419</v>
      </c>
      <c r="H337" s="30" t="n">
        <v>1</v>
      </c>
      <c r="I337" s="1" t="s">
        <v>196</v>
      </c>
      <c r="J337" s="1" t="s">
        <v>197</v>
      </c>
      <c r="K337" s="1" t="n">
        <v>30.5</v>
      </c>
      <c r="L337" s="1" t="s">
        <v>198</v>
      </c>
    </row>
    <row r="338" customFormat="false" ht="15" hidden="false" customHeight="true" outlineLevel="0" collapsed="false">
      <c r="A338" s="1" t="s">
        <v>12</v>
      </c>
      <c r="B338" s="1" t="s">
        <v>9</v>
      </c>
      <c r="C338" s="1" t="s">
        <v>10</v>
      </c>
      <c r="D338" s="1" t="s">
        <v>116</v>
      </c>
      <c r="E338" s="1" t="s">
        <v>10</v>
      </c>
      <c r="F338" s="1" t="s">
        <v>99</v>
      </c>
      <c r="G338" s="29" t="n">
        <v>46419</v>
      </c>
      <c r="H338" s="30" t="n">
        <v>10</v>
      </c>
      <c r="I338" s="1" t="s">
        <v>196</v>
      </c>
      <c r="J338" s="1" t="s">
        <v>197</v>
      </c>
      <c r="K338" s="1" t="n">
        <v>46</v>
      </c>
      <c r="L338" s="1" t="s">
        <v>198</v>
      </c>
    </row>
    <row r="339" customFormat="false" ht="15" hidden="false" customHeight="true" outlineLevel="0" collapsed="false">
      <c r="A339" s="1" t="s">
        <v>12</v>
      </c>
      <c r="B339" s="1" t="s">
        <v>9</v>
      </c>
      <c r="C339" s="1" t="s">
        <v>10</v>
      </c>
      <c r="D339" s="1" t="s">
        <v>117</v>
      </c>
      <c r="E339" s="1" t="s">
        <v>10</v>
      </c>
      <c r="F339" s="1" t="s">
        <v>100</v>
      </c>
      <c r="G339" s="29" t="n">
        <v>46419</v>
      </c>
      <c r="H339" s="30" t="n">
        <v>6</v>
      </c>
      <c r="I339" s="1" t="s">
        <v>196</v>
      </c>
      <c r="J339" s="1" t="s">
        <v>200</v>
      </c>
      <c r="K339" s="1" t="n">
        <v>11</v>
      </c>
      <c r="L339" s="1" t="s">
        <v>198</v>
      </c>
    </row>
    <row r="340" customFormat="false" ht="15" hidden="false" customHeight="true" outlineLevel="0" collapsed="false">
      <c r="A340" s="1" t="s">
        <v>12</v>
      </c>
      <c r="B340" s="1" t="s">
        <v>22</v>
      </c>
      <c r="C340" s="1" t="s">
        <v>10</v>
      </c>
      <c r="D340" s="1" t="s">
        <v>116</v>
      </c>
      <c r="E340" s="1" t="s">
        <v>10</v>
      </c>
      <c r="F340" s="1" t="s">
        <v>99</v>
      </c>
      <c r="G340" s="29" t="n">
        <v>46419</v>
      </c>
      <c r="H340" s="30" t="n">
        <v>9</v>
      </c>
      <c r="I340" s="1" t="s">
        <v>196</v>
      </c>
      <c r="J340" s="1" t="s">
        <v>197</v>
      </c>
      <c r="K340" s="1" t="n">
        <v>55</v>
      </c>
      <c r="L340" s="1" t="s">
        <v>198</v>
      </c>
    </row>
    <row r="341" customFormat="false" ht="15" hidden="false" customHeight="true" outlineLevel="0" collapsed="false">
      <c r="A341" s="1" t="s">
        <v>12</v>
      </c>
      <c r="B341" s="1" t="s">
        <v>22</v>
      </c>
      <c r="C341" s="1" t="s">
        <v>10</v>
      </c>
      <c r="D341" s="1" t="s">
        <v>117</v>
      </c>
      <c r="E341" s="1" t="s">
        <v>10</v>
      </c>
      <c r="F341" s="1" t="s">
        <v>99</v>
      </c>
      <c r="G341" s="29" t="n">
        <v>46419</v>
      </c>
      <c r="H341" s="30" t="n">
        <v>6</v>
      </c>
      <c r="I341" s="1" t="s">
        <v>196</v>
      </c>
      <c r="J341" s="1" t="s">
        <v>200</v>
      </c>
      <c r="K341" s="1" t="n">
        <v>28</v>
      </c>
      <c r="L341" s="1" t="s">
        <v>198</v>
      </c>
    </row>
    <row r="342" customFormat="false" ht="15" hidden="false" customHeight="true" outlineLevel="0" collapsed="false">
      <c r="A342" s="1" t="s">
        <v>12</v>
      </c>
      <c r="B342" s="1" t="s">
        <v>20</v>
      </c>
      <c r="C342" s="1" t="s">
        <v>10</v>
      </c>
      <c r="D342" s="1" t="s">
        <v>36</v>
      </c>
      <c r="E342" s="1" t="s">
        <v>10</v>
      </c>
      <c r="F342" s="1" t="s">
        <v>85</v>
      </c>
      <c r="G342" s="29" t="n">
        <v>46419</v>
      </c>
      <c r="H342" s="30" t="n">
        <v>5.5</v>
      </c>
      <c r="I342" s="1" t="s">
        <v>196</v>
      </c>
      <c r="J342" s="1" t="s">
        <v>197</v>
      </c>
      <c r="K342" s="1" t="n">
        <v>55</v>
      </c>
      <c r="L342" s="1" t="s">
        <v>198</v>
      </c>
    </row>
    <row r="343" customFormat="false" ht="15" hidden="false" customHeight="true" outlineLevel="0" collapsed="false">
      <c r="A343" s="1" t="s">
        <v>12</v>
      </c>
      <c r="B343" s="1" t="s">
        <v>20</v>
      </c>
      <c r="C343" s="1" t="s">
        <v>10</v>
      </c>
      <c r="D343" s="1" t="s">
        <v>117</v>
      </c>
      <c r="E343" s="1" t="s">
        <v>10</v>
      </c>
      <c r="F343" s="1" t="s">
        <v>85</v>
      </c>
      <c r="G343" s="29" t="n">
        <v>46419</v>
      </c>
      <c r="H343" s="30" t="n">
        <v>2</v>
      </c>
      <c r="I343" s="1" t="s">
        <v>196</v>
      </c>
      <c r="J343" s="1" t="s">
        <v>200</v>
      </c>
      <c r="K343" s="1" t="n">
        <v>30</v>
      </c>
      <c r="L343" s="1" t="s">
        <v>198</v>
      </c>
    </row>
    <row r="344" customFormat="false" ht="15" hidden="false" customHeight="true" outlineLevel="0" collapsed="false">
      <c r="A344" s="1" t="s">
        <v>12</v>
      </c>
      <c r="B344" s="1" t="s">
        <v>23</v>
      </c>
      <c r="C344" s="1" t="s">
        <v>10</v>
      </c>
      <c r="D344" s="1" t="s">
        <v>117</v>
      </c>
      <c r="E344" s="1" t="s">
        <v>10</v>
      </c>
      <c r="F344" s="1" t="s">
        <v>81</v>
      </c>
      <c r="G344" s="29" t="n">
        <v>46419</v>
      </c>
      <c r="H344" s="30" t="n">
        <v>1</v>
      </c>
      <c r="I344" s="1" t="s">
        <v>196</v>
      </c>
      <c r="J344" s="1" t="s">
        <v>200</v>
      </c>
      <c r="K344" s="1" t="n">
        <v>31</v>
      </c>
      <c r="L344" s="1" t="s">
        <v>198</v>
      </c>
    </row>
    <row r="345" customFormat="false" ht="15" hidden="false" customHeight="true" outlineLevel="0" collapsed="false">
      <c r="A345" s="1" t="s">
        <v>12</v>
      </c>
      <c r="B345" s="1" t="s">
        <v>17</v>
      </c>
      <c r="C345" s="1" t="s">
        <v>14</v>
      </c>
      <c r="D345" s="1" t="s">
        <v>151</v>
      </c>
      <c r="E345" s="1" t="s">
        <v>14</v>
      </c>
      <c r="F345" s="1" t="s">
        <v>46</v>
      </c>
      <c r="G345" s="29" t="n">
        <v>46419</v>
      </c>
      <c r="H345" s="30" t="n">
        <v>21.1</v>
      </c>
      <c r="I345" s="1" t="s">
        <v>196</v>
      </c>
      <c r="J345" s="1" t="s">
        <v>197</v>
      </c>
      <c r="K345" s="1" t="n">
        <v>55</v>
      </c>
      <c r="L345" s="1" t="s">
        <v>201</v>
      </c>
    </row>
    <row r="346" customFormat="false" ht="15" hidden="false" customHeight="true" outlineLevel="0" collapsed="false">
      <c r="A346" s="1" t="s">
        <v>12</v>
      </c>
      <c r="B346" s="1" t="s">
        <v>17</v>
      </c>
      <c r="C346" s="1" t="s">
        <v>14</v>
      </c>
      <c r="D346" s="1" t="s">
        <v>152</v>
      </c>
      <c r="E346" s="1" t="s">
        <v>14</v>
      </c>
      <c r="F346" s="1" t="s">
        <v>46</v>
      </c>
      <c r="G346" s="29" t="n">
        <v>46419</v>
      </c>
      <c r="H346" s="30" t="n">
        <v>13.9</v>
      </c>
      <c r="I346" s="1" t="s">
        <v>196</v>
      </c>
      <c r="J346" s="1" t="s">
        <v>200</v>
      </c>
      <c r="K346" s="1" t="n">
        <v>13.9</v>
      </c>
      <c r="L346" s="1" t="s">
        <v>201</v>
      </c>
    </row>
    <row r="347" customFormat="false" ht="15" hidden="false" customHeight="true" outlineLevel="0" collapsed="false">
      <c r="A347" s="1" t="s">
        <v>12</v>
      </c>
      <c r="B347" s="1" t="s">
        <v>123</v>
      </c>
      <c r="C347" s="1" t="s">
        <v>14</v>
      </c>
      <c r="D347" s="1" t="s">
        <v>146</v>
      </c>
      <c r="E347" s="1" t="s">
        <v>14</v>
      </c>
      <c r="F347" s="1" t="s">
        <v>81</v>
      </c>
      <c r="G347" s="29" t="n">
        <v>46419</v>
      </c>
      <c r="H347" s="30" t="n">
        <v>2.4</v>
      </c>
      <c r="I347" s="1" t="s">
        <v>196</v>
      </c>
      <c r="J347" s="1" t="s">
        <v>200</v>
      </c>
      <c r="K347" s="1" t="n">
        <v>28.9</v>
      </c>
      <c r="L347" s="1" t="s">
        <v>201</v>
      </c>
    </row>
    <row r="348" customFormat="false" ht="15" hidden="false" customHeight="true" outlineLevel="0" collapsed="false">
      <c r="A348" s="1" t="s">
        <v>12</v>
      </c>
      <c r="B348" s="1" t="s">
        <v>123</v>
      </c>
      <c r="C348" s="1" t="s">
        <v>14</v>
      </c>
      <c r="D348" s="1" t="s">
        <v>152</v>
      </c>
      <c r="E348" s="1" t="s">
        <v>14</v>
      </c>
      <c r="F348" s="1" t="s">
        <v>46</v>
      </c>
      <c r="G348" s="29" t="n">
        <v>46419</v>
      </c>
      <c r="H348" s="30" t="n">
        <v>7</v>
      </c>
      <c r="I348" s="1" t="s">
        <v>196</v>
      </c>
      <c r="J348" s="1" t="s">
        <v>197</v>
      </c>
      <c r="K348" s="1" t="n">
        <v>20.9</v>
      </c>
      <c r="L348" s="1" t="s">
        <v>201</v>
      </c>
    </row>
    <row r="349" customFormat="false" ht="15" hidden="false" customHeight="true" outlineLevel="0" collapsed="false">
      <c r="A349" s="1" t="s">
        <v>12</v>
      </c>
      <c r="B349" s="1" t="s">
        <v>33</v>
      </c>
      <c r="C349" s="1" t="s">
        <v>10</v>
      </c>
      <c r="D349" s="1" t="s">
        <v>117</v>
      </c>
      <c r="E349" s="1" t="s">
        <v>10</v>
      </c>
      <c r="F349" s="1" t="s">
        <v>103</v>
      </c>
      <c r="G349" s="29" t="n">
        <v>46419</v>
      </c>
      <c r="H349" s="30" t="n">
        <v>7</v>
      </c>
      <c r="I349" s="1" t="s">
        <v>196</v>
      </c>
      <c r="J349" s="1" t="s">
        <v>200</v>
      </c>
      <c r="K349" s="1" t="n">
        <v>38</v>
      </c>
      <c r="L349" s="1" t="s">
        <v>198</v>
      </c>
    </row>
    <row r="350" customFormat="false" ht="15" hidden="false" customHeight="true" outlineLevel="0" collapsed="false">
      <c r="A350" s="1" t="s">
        <v>12</v>
      </c>
      <c r="B350" s="1" t="s">
        <v>24</v>
      </c>
      <c r="C350" s="1" t="s">
        <v>14</v>
      </c>
      <c r="D350" s="1" t="s">
        <v>146</v>
      </c>
      <c r="E350" s="1" t="s">
        <v>14</v>
      </c>
      <c r="F350" s="1" t="s">
        <v>81</v>
      </c>
      <c r="G350" s="29" t="n">
        <v>46419</v>
      </c>
      <c r="H350" s="30" t="n">
        <v>3.5</v>
      </c>
      <c r="I350" s="1" t="s">
        <v>196</v>
      </c>
      <c r="J350" s="1" t="s">
        <v>197</v>
      </c>
      <c r="K350" s="1" t="n">
        <v>32.4</v>
      </c>
      <c r="L350" s="1" t="s">
        <v>201</v>
      </c>
    </row>
    <row r="351" customFormat="false" ht="15" hidden="false" customHeight="true" outlineLevel="0" collapsed="false">
      <c r="A351" s="1" t="s">
        <v>12</v>
      </c>
      <c r="B351" s="1" t="s">
        <v>24</v>
      </c>
      <c r="C351" s="1" t="s">
        <v>14</v>
      </c>
      <c r="D351" s="1" t="s">
        <v>150</v>
      </c>
      <c r="E351" s="1" t="s">
        <v>14</v>
      </c>
      <c r="F351" s="1" t="s">
        <v>103</v>
      </c>
      <c r="G351" s="29" t="n">
        <v>46419</v>
      </c>
      <c r="H351" s="30" t="n">
        <v>5</v>
      </c>
      <c r="I351" s="1" t="s">
        <v>196</v>
      </c>
      <c r="J351" s="1" t="s">
        <v>197</v>
      </c>
      <c r="K351" s="1" t="n">
        <v>5</v>
      </c>
      <c r="L351" s="1" t="s">
        <v>201</v>
      </c>
    </row>
    <row r="352" customFormat="false" ht="15" hidden="false" customHeight="true" outlineLevel="0" collapsed="false">
      <c r="A352" s="1" t="s">
        <v>12</v>
      </c>
      <c r="B352" s="1" t="s">
        <v>27</v>
      </c>
      <c r="C352" s="1" t="s">
        <v>14</v>
      </c>
      <c r="D352" s="1" t="s">
        <v>148</v>
      </c>
      <c r="E352" s="1" t="s">
        <v>14</v>
      </c>
      <c r="F352" s="1" t="s">
        <v>40</v>
      </c>
      <c r="G352" s="29" t="n">
        <v>46419</v>
      </c>
      <c r="H352" s="30" t="n">
        <v>5</v>
      </c>
      <c r="I352" s="1" t="s">
        <v>196</v>
      </c>
      <c r="J352" s="1" t="s">
        <v>197</v>
      </c>
      <c r="K352" s="1" t="n">
        <v>26.9</v>
      </c>
      <c r="L352" s="1" t="s">
        <v>201</v>
      </c>
    </row>
    <row r="353" customFormat="false" ht="15" hidden="false" customHeight="true" outlineLevel="0" collapsed="false">
      <c r="A353" s="1" t="s">
        <v>12</v>
      </c>
      <c r="B353" s="1" t="s">
        <v>30</v>
      </c>
      <c r="C353" s="1" t="s">
        <v>14</v>
      </c>
      <c r="D353" s="1" t="s">
        <v>21</v>
      </c>
      <c r="E353" s="1" t="s">
        <v>14</v>
      </c>
      <c r="F353" s="1" t="s">
        <v>85</v>
      </c>
      <c r="G353" s="29" t="n">
        <v>46419</v>
      </c>
      <c r="H353" s="30" t="n">
        <v>25</v>
      </c>
      <c r="I353" s="1" t="s">
        <v>206</v>
      </c>
      <c r="J353" s="1" t="s">
        <v>197</v>
      </c>
      <c r="K353" s="1" t="n">
        <v>54.5</v>
      </c>
      <c r="L353" s="1" t="s">
        <v>198</v>
      </c>
    </row>
    <row r="354" customFormat="false" ht="15" hidden="false" customHeight="true" outlineLevel="0" collapsed="false">
      <c r="A354" s="1" t="s">
        <v>12</v>
      </c>
      <c r="B354" s="1" t="s">
        <v>30</v>
      </c>
      <c r="C354" s="1" t="s">
        <v>14</v>
      </c>
      <c r="D354" s="1" t="s">
        <v>131</v>
      </c>
      <c r="E354" s="1" t="s">
        <v>14</v>
      </c>
      <c r="F354" s="1" t="s">
        <v>100</v>
      </c>
      <c r="G354" s="29" t="n">
        <v>46419</v>
      </c>
      <c r="H354" s="30" t="n">
        <v>25</v>
      </c>
      <c r="I354" s="1" t="s">
        <v>206</v>
      </c>
      <c r="J354" s="1" t="s">
        <v>197</v>
      </c>
      <c r="K354" s="1" t="n">
        <v>25</v>
      </c>
      <c r="L354" s="1" t="s">
        <v>198</v>
      </c>
    </row>
    <row r="355" customFormat="false" ht="15" hidden="false" customHeight="true" outlineLevel="0" collapsed="false">
      <c r="A355" s="1" t="s">
        <v>12</v>
      </c>
      <c r="B355" s="1" t="s">
        <v>18</v>
      </c>
      <c r="C355" s="1" t="s">
        <v>16</v>
      </c>
      <c r="D355" s="1" t="s">
        <v>75</v>
      </c>
      <c r="E355" s="1" t="s">
        <v>16</v>
      </c>
      <c r="F355" s="1" t="s">
        <v>79</v>
      </c>
      <c r="G355" s="29" t="n">
        <v>46419</v>
      </c>
      <c r="H355" s="30" t="n">
        <v>1.403509</v>
      </c>
      <c r="I355" s="1" t="s">
        <v>196</v>
      </c>
      <c r="J355" s="1" t="s">
        <v>197</v>
      </c>
      <c r="K355" s="1" t="n">
        <v>38.907018</v>
      </c>
      <c r="L355" s="1" t="s">
        <v>198</v>
      </c>
    </row>
    <row r="356" customFormat="false" ht="15" hidden="false" customHeight="true" outlineLevel="0" collapsed="false">
      <c r="A356" s="1" t="s">
        <v>12</v>
      </c>
      <c r="B356" s="1" t="s">
        <v>18</v>
      </c>
      <c r="C356" s="1" t="s">
        <v>16</v>
      </c>
      <c r="D356" s="1" t="s">
        <v>75</v>
      </c>
      <c r="E356" s="1" t="s">
        <v>16</v>
      </c>
      <c r="F356" s="1" t="s">
        <v>81</v>
      </c>
      <c r="G356" s="29" t="n">
        <v>46419</v>
      </c>
      <c r="H356" s="30" t="n">
        <v>0.6</v>
      </c>
      <c r="I356" s="1" t="s">
        <v>196</v>
      </c>
      <c r="J356" s="1" t="s">
        <v>197</v>
      </c>
      <c r="K356" s="1" t="n">
        <v>37.503509</v>
      </c>
      <c r="L356" s="1" t="s">
        <v>198</v>
      </c>
    </row>
    <row r="357" customFormat="false" ht="15" hidden="false" customHeight="true" outlineLevel="0" collapsed="false">
      <c r="A357" s="1" t="s">
        <v>12</v>
      </c>
      <c r="B357" s="1" t="s">
        <v>138</v>
      </c>
      <c r="C357" s="1" t="s">
        <v>14</v>
      </c>
      <c r="D357" s="1" t="s">
        <v>146</v>
      </c>
      <c r="E357" s="1" t="s">
        <v>14</v>
      </c>
      <c r="F357" s="1" t="s">
        <v>81</v>
      </c>
      <c r="G357" s="29" t="n">
        <v>46419</v>
      </c>
      <c r="H357" s="30" t="n">
        <v>15</v>
      </c>
      <c r="I357" s="1" t="s">
        <v>205</v>
      </c>
      <c r="J357" s="1" t="s">
        <v>197</v>
      </c>
      <c r="K357" s="1" t="n">
        <v>47.4</v>
      </c>
      <c r="L357" s="1" t="s">
        <v>201</v>
      </c>
    </row>
    <row r="358" customFormat="false" ht="15" hidden="false" customHeight="true" outlineLevel="0" collapsed="false">
      <c r="A358" s="1" t="s">
        <v>12</v>
      </c>
      <c r="B358" s="1" t="s">
        <v>138</v>
      </c>
      <c r="C358" s="1" t="s">
        <v>14</v>
      </c>
      <c r="D358" s="1" t="s">
        <v>155</v>
      </c>
      <c r="E358" s="1" t="s">
        <v>14</v>
      </c>
      <c r="F358" s="1" t="s">
        <v>100</v>
      </c>
      <c r="G358" s="29" t="n">
        <v>46419</v>
      </c>
      <c r="H358" s="30" t="n">
        <v>15.1</v>
      </c>
      <c r="I358" s="1" t="s">
        <v>205</v>
      </c>
      <c r="J358" s="1" t="s">
        <v>197</v>
      </c>
      <c r="K358" s="1" t="n">
        <v>55</v>
      </c>
      <c r="L358" s="1" t="s">
        <v>201</v>
      </c>
    </row>
    <row r="359" customFormat="false" ht="15" hidden="false" customHeight="true" outlineLevel="0" collapsed="false">
      <c r="A359" s="1" t="s">
        <v>12</v>
      </c>
      <c r="B359" s="1" t="s">
        <v>138</v>
      </c>
      <c r="C359" s="1" t="s">
        <v>14</v>
      </c>
      <c r="D359" s="1" t="s">
        <v>156</v>
      </c>
      <c r="E359" s="1" t="s">
        <v>14</v>
      </c>
      <c r="F359" s="1" t="s">
        <v>100</v>
      </c>
      <c r="G359" s="29" t="n">
        <v>46419</v>
      </c>
      <c r="H359" s="30" t="n">
        <v>9.9</v>
      </c>
      <c r="I359" s="1" t="s">
        <v>205</v>
      </c>
      <c r="J359" s="1" t="s">
        <v>200</v>
      </c>
      <c r="K359" s="1" t="n">
        <v>9.9</v>
      </c>
      <c r="L359" s="1" t="s">
        <v>201</v>
      </c>
    </row>
    <row r="360" customFormat="false" ht="15" hidden="false" customHeight="true" outlineLevel="0" collapsed="false">
      <c r="A360" s="1" t="s">
        <v>12</v>
      </c>
      <c r="B360" s="1" t="s">
        <v>104</v>
      </c>
      <c r="C360" s="1" t="s">
        <v>16</v>
      </c>
      <c r="D360" s="1" t="s">
        <v>90</v>
      </c>
      <c r="E360" s="1" t="s">
        <v>16</v>
      </c>
      <c r="F360" s="1" t="s">
        <v>105</v>
      </c>
      <c r="G360" s="29" t="n">
        <v>46419</v>
      </c>
      <c r="H360" s="30" t="n">
        <v>4</v>
      </c>
      <c r="I360" s="1" t="s">
        <v>202</v>
      </c>
      <c r="J360" s="1" t="s">
        <v>200</v>
      </c>
      <c r="K360" s="1" t="n">
        <v>42</v>
      </c>
      <c r="L360" s="1" t="s">
        <v>198</v>
      </c>
    </row>
    <row r="361" customFormat="false" ht="15" hidden="false" customHeight="true" outlineLevel="0" collapsed="false">
      <c r="A361" s="1" t="s">
        <v>12</v>
      </c>
      <c r="B361" s="1" t="s">
        <v>104</v>
      </c>
      <c r="C361" s="1" t="s">
        <v>10</v>
      </c>
      <c r="D361" s="1" t="s">
        <v>117</v>
      </c>
      <c r="E361" s="1" t="s">
        <v>10</v>
      </c>
      <c r="F361" s="1" t="s">
        <v>105</v>
      </c>
      <c r="G361" s="29" t="n">
        <v>46419</v>
      </c>
      <c r="H361" s="30" t="n">
        <v>16</v>
      </c>
      <c r="I361" s="1" t="s">
        <v>202</v>
      </c>
      <c r="J361" s="1" t="s">
        <v>200</v>
      </c>
      <c r="K361" s="1" t="n">
        <v>54</v>
      </c>
      <c r="L361" s="1" t="s">
        <v>198</v>
      </c>
    </row>
    <row r="362" customFormat="false" ht="15" hidden="false" customHeight="true" outlineLevel="0" collapsed="false">
      <c r="A362" s="1" t="s">
        <v>12</v>
      </c>
      <c r="B362" s="1" t="s">
        <v>104</v>
      </c>
      <c r="C362" s="1" t="s">
        <v>14</v>
      </c>
      <c r="D362" s="1" t="s">
        <v>156</v>
      </c>
      <c r="E362" s="1" t="s">
        <v>14</v>
      </c>
      <c r="F362" s="1" t="s">
        <v>105</v>
      </c>
      <c r="G362" s="29" t="n">
        <v>46419</v>
      </c>
      <c r="H362" s="30" t="n">
        <v>32.1</v>
      </c>
      <c r="I362" s="1" t="s">
        <v>205</v>
      </c>
      <c r="J362" s="1" t="s">
        <v>200</v>
      </c>
      <c r="K362" s="1" t="n">
        <v>55</v>
      </c>
      <c r="L362" s="1" t="s">
        <v>201</v>
      </c>
    </row>
    <row r="363" customFormat="false" ht="15" hidden="false" customHeight="true" outlineLevel="0" collapsed="false">
      <c r="A363" s="1" t="s">
        <v>12</v>
      </c>
      <c r="B363" s="1" t="s">
        <v>104</v>
      </c>
      <c r="C363" s="1" t="s">
        <v>14</v>
      </c>
      <c r="D363" s="1" t="s">
        <v>157</v>
      </c>
      <c r="E363" s="1" t="s">
        <v>14</v>
      </c>
      <c r="F363" s="1" t="s">
        <v>105</v>
      </c>
      <c r="G363" s="29" t="n">
        <v>46419</v>
      </c>
      <c r="H363" s="30" t="n">
        <v>7.9</v>
      </c>
      <c r="I363" s="1" t="s">
        <v>205</v>
      </c>
      <c r="J363" s="1" t="s">
        <v>200</v>
      </c>
      <c r="K363" s="1" t="n">
        <v>7.9</v>
      </c>
      <c r="L363" s="1" t="s">
        <v>201</v>
      </c>
    </row>
    <row r="364" customFormat="false" ht="15" hidden="false" customHeight="true" outlineLevel="0" collapsed="false">
      <c r="A364" s="1" t="s">
        <v>12</v>
      </c>
      <c r="B364" s="1" t="s">
        <v>135</v>
      </c>
      <c r="C364" s="1" t="s">
        <v>14</v>
      </c>
      <c r="D364" s="1" t="s">
        <v>154</v>
      </c>
      <c r="E364" s="1" t="s">
        <v>14</v>
      </c>
      <c r="F364" s="1" t="s">
        <v>43</v>
      </c>
      <c r="G364" s="29" t="n">
        <v>46419</v>
      </c>
      <c r="H364" s="30" t="n">
        <v>13.1</v>
      </c>
      <c r="I364" s="1" t="s">
        <v>205</v>
      </c>
      <c r="J364" s="1" t="s">
        <v>200</v>
      </c>
      <c r="K364" s="1" t="n">
        <v>55</v>
      </c>
      <c r="L364" s="1" t="s">
        <v>201</v>
      </c>
    </row>
    <row r="365" customFormat="false" ht="15" hidden="false" customHeight="true" outlineLevel="0" collapsed="false">
      <c r="A365" s="1" t="s">
        <v>12</v>
      </c>
      <c r="B365" s="1" t="s">
        <v>135</v>
      </c>
      <c r="C365" s="1" t="s">
        <v>14</v>
      </c>
      <c r="D365" s="1" t="s">
        <v>155</v>
      </c>
      <c r="E365" s="1" t="s">
        <v>14</v>
      </c>
      <c r="F365" s="1" t="s">
        <v>43</v>
      </c>
      <c r="G365" s="29" t="n">
        <v>46419</v>
      </c>
      <c r="H365" s="30" t="n">
        <v>22.9</v>
      </c>
      <c r="I365" s="1" t="s">
        <v>205</v>
      </c>
      <c r="J365" s="1" t="s">
        <v>200</v>
      </c>
      <c r="K365" s="1" t="n">
        <v>22.9</v>
      </c>
      <c r="L365" s="1" t="s">
        <v>201</v>
      </c>
    </row>
    <row r="366" customFormat="false" ht="15" hidden="false" customHeight="true" outlineLevel="0" collapsed="false">
      <c r="A366" s="1" t="s">
        <v>12</v>
      </c>
      <c r="B366" s="1" t="s">
        <v>130</v>
      </c>
      <c r="C366" s="1" t="s">
        <v>14</v>
      </c>
      <c r="D366" s="1" t="s">
        <v>148</v>
      </c>
      <c r="E366" s="1" t="s">
        <v>14</v>
      </c>
      <c r="F366" s="1" t="s">
        <v>85</v>
      </c>
      <c r="G366" s="29" t="n">
        <v>46419</v>
      </c>
      <c r="H366" s="30" t="n">
        <v>17.1</v>
      </c>
      <c r="I366" s="1" t="s">
        <v>205</v>
      </c>
      <c r="J366" s="1" t="s">
        <v>197</v>
      </c>
      <c r="K366" s="1" t="n">
        <v>55</v>
      </c>
      <c r="L366" s="1" t="s">
        <v>201</v>
      </c>
    </row>
    <row r="367" customFormat="false" ht="15" hidden="false" customHeight="true" outlineLevel="0" collapsed="false">
      <c r="A367" s="1" t="s">
        <v>12</v>
      </c>
      <c r="B367" s="1" t="s">
        <v>130</v>
      </c>
      <c r="C367" s="1" t="s">
        <v>14</v>
      </c>
      <c r="D367" s="1" t="s">
        <v>149</v>
      </c>
      <c r="E367" s="1" t="s">
        <v>14</v>
      </c>
      <c r="F367" s="1" t="s">
        <v>85</v>
      </c>
      <c r="G367" s="29" t="n">
        <v>46419</v>
      </c>
      <c r="H367" s="30" t="n">
        <v>8.9</v>
      </c>
      <c r="I367" s="1" t="s">
        <v>205</v>
      </c>
      <c r="J367" s="1" t="s">
        <v>200</v>
      </c>
      <c r="K367" s="1" t="n">
        <v>8.9</v>
      </c>
      <c r="L367" s="1" t="s">
        <v>201</v>
      </c>
    </row>
    <row r="368" customFormat="false" ht="15" hidden="false" customHeight="true" outlineLevel="0" collapsed="false">
      <c r="A368" s="1" t="s">
        <v>12</v>
      </c>
      <c r="B368" s="1" t="s">
        <v>139</v>
      </c>
      <c r="C368" s="1" t="s">
        <v>14</v>
      </c>
      <c r="D368" s="1" t="s">
        <v>146</v>
      </c>
      <c r="E368" s="1" t="s">
        <v>14</v>
      </c>
      <c r="F368" s="1" t="s">
        <v>95</v>
      </c>
      <c r="G368" s="29" t="n">
        <v>46419</v>
      </c>
      <c r="H368" s="30" t="n">
        <v>7.6</v>
      </c>
      <c r="I368" s="1" t="s">
        <v>205</v>
      </c>
      <c r="J368" s="1" t="s">
        <v>197</v>
      </c>
      <c r="K368" s="1" t="n">
        <v>55</v>
      </c>
      <c r="L368" s="1" t="s">
        <v>201</v>
      </c>
    </row>
    <row r="369" customFormat="false" ht="15" hidden="false" customHeight="true" outlineLevel="0" collapsed="false">
      <c r="A369" s="1" t="s">
        <v>12</v>
      </c>
      <c r="B369" s="1" t="s">
        <v>139</v>
      </c>
      <c r="C369" s="1" t="s">
        <v>14</v>
      </c>
      <c r="D369" s="1" t="s">
        <v>147</v>
      </c>
      <c r="E369" s="1" t="s">
        <v>14</v>
      </c>
      <c r="F369" s="1" t="s">
        <v>95</v>
      </c>
      <c r="G369" s="29" t="n">
        <v>46419</v>
      </c>
      <c r="H369" s="30" t="n">
        <v>8</v>
      </c>
      <c r="I369" s="1" t="s">
        <v>205</v>
      </c>
      <c r="J369" s="1" t="s">
        <v>197</v>
      </c>
      <c r="K369" s="1" t="n">
        <v>55</v>
      </c>
      <c r="L369" s="1" t="s">
        <v>201</v>
      </c>
    </row>
    <row r="370" customFormat="false" ht="15" hidden="false" customHeight="true" outlineLevel="0" collapsed="false">
      <c r="A370" s="1" t="s">
        <v>12</v>
      </c>
      <c r="B370" s="1" t="s">
        <v>139</v>
      </c>
      <c r="C370" s="1" t="s">
        <v>14</v>
      </c>
      <c r="D370" s="1" t="s">
        <v>148</v>
      </c>
      <c r="E370" s="1" t="s">
        <v>14</v>
      </c>
      <c r="F370" s="1" t="s">
        <v>95</v>
      </c>
      <c r="G370" s="29" t="n">
        <v>46419</v>
      </c>
      <c r="H370" s="30" t="n">
        <v>14.4</v>
      </c>
      <c r="I370" s="1" t="s">
        <v>205</v>
      </c>
      <c r="J370" s="1" t="s">
        <v>200</v>
      </c>
      <c r="K370" s="1" t="n">
        <v>14.4</v>
      </c>
      <c r="L370" s="1" t="s">
        <v>201</v>
      </c>
    </row>
    <row r="371" customFormat="false" ht="15" hidden="false" customHeight="true" outlineLevel="0" collapsed="false">
      <c r="A371" s="1" t="s">
        <v>12</v>
      </c>
      <c r="B371" s="1" t="s">
        <v>139</v>
      </c>
      <c r="C371" s="1" t="s">
        <v>14</v>
      </c>
      <c r="D371" s="1" t="s">
        <v>153</v>
      </c>
      <c r="E371" s="1" t="s">
        <v>14</v>
      </c>
      <c r="F371" s="1" t="s">
        <v>99</v>
      </c>
      <c r="G371" s="29" t="n">
        <v>46419</v>
      </c>
      <c r="H371" s="30" t="n">
        <v>23</v>
      </c>
      <c r="I371" s="1" t="s">
        <v>205</v>
      </c>
      <c r="J371" s="1" t="s">
        <v>197</v>
      </c>
      <c r="K371" s="1" t="n">
        <v>31.9</v>
      </c>
      <c r="L371" s="1" t="s">
        <v>201</v>
      </c>
    </row>
    <row r="372" customFormat="false" ht="15" hidden="false" customHeight="true" outlineLevel="0" collapsed="false">
      <c r="A372" s="1" t="s">
        <v>12</v>
      </c>
      <c r="B372" s="1" t="s">
        <v>139</v>
      </c>
      <c r="C372" s="1" t="s">
        <v>14</v>
      </c>
      <c r="D372" s="1" t="s">
        <v>156</v>
      </c>
      <c r="E372" s="1" t="s">
        <v>14</v>
      </c>
      <c r="F372" s="1" t="s">
        <v>100</v>
      </c>
      <c r="G372" s="29" t="n">
        <v>46419</v>
      </c>
      <c r="H372" s="30" t="n">
        <v>13</v>
      </c>
      <c r="I372" s="1" t="s">
        <v>205</v>
      </c>
      <c r="J372" s="1" t="s">
        <v>197</v>
      </c>
      <c r="K372" s="1" t="n">
        <v>22.9</v>
      </c>
      <c r="L372" s="1" t="s">
        <v>201</v>
      </c>
    </row>
    <row r="373" customFormat="false" ht="15" hidden="false" customHeight="true" outlineLevel="0" collapsed="false">
      <c r="A373" s="1" t="s">
        <v>12</v>
      </c>
      <c r="B373" s="1" t="s">
        <v>134</v>
      </c>
      <c r="C373" s="1" t="s">
        <v>14</v>
      </c>
      <c r="D373" s="1" t="s">
        <v>153</v>
      </c>
      <c r="E373" s="1" t="s">
        <v>14</v>
      </c>
      <c r="F373" s="1" t="s">
        <v>99</v>
      </c>
      <c r="G373" s="29" t="n">
        <v>46419</v>
      </c>
      <c r="H373" s="30" t="n">
        <v>23.1</v>
      </c>
      <c r="I373" s="1" t="s">
        <v>205</v>
      </c>
      <c r="J373" s="1" t="s">
        <v>197</v>
      </c>
      <c r="K373" s="1" t="n">
        <v>55</v>
      </c>
      <c r="L373" s="1" t="s">
        <v>201</v>
      </c>
    </row>
    <row r="374" customFormat="false" ht="15" hidden="false" customHeight="true" outlineLevel="0" collapsed="false">
      <c r="A374" s="1" t="s">
        <v>12</v>
      </c>
      <c r="B374" s="1" t="s">
        <v>134</v>
      </c>
      <c r="C374" s="1" t="s">
        <v>14</v>
      </c>
      <c r="D374" s="1" t="s">
        <v>154</v>
      </c>
      <c r="E374" s="1" t="s">
        <v>14</v>
      </c>
      <c r="F374" s="1" t="s">
        <v>99</v>
      </c>
      <c r="G374" s="29" t="n">
        <v>46419</v>
      </c>
      <c r="H374" s="30" t="n">
        <v>41.9</v>
      </c>
      <c r="I374" s="1" t="s">
        <v>205</v>
      </c>
      <c r="J374" s="1" t="s">
        <v>200</v>
      </c>
      <c r="K374" s="1" t="n">
        <v>41.9</v>
      </c>
      <c r="L374" s="1" t="s">
        <v>201</v>
      </c>
    </row>
    <row r="375" customFormat="false" ht="15" hidden="false" customHeight="true" outlineLevel="0" collapsed="false">
      <c r="A375" s="1" t="s">
        <v>12</v>
      </c>
      <c r="B375" s="1" t="s">
        <v>133</v>
      </c>
      <c r="C375" s="1" t="s">
        <v>14</v>
      </c>
      <c r="D375" s="1" t="s">
        <v>152</v>
      </c>
      <c r="E375" s="1" t="s">
        <v>14</v>
      </c>
      <c r="F375" s="1" t="s">
        <v>46</v>
      </c>
      <c r="G375" s="29" t="n">
        <v>46419</v>
      </c>
      <c r="H375" s="30" t="n">
        <v>34</v>
      </c>
      <c r="I375" s="1" t="s">
        <v>204</v>
      </c>
      <c r="J375" s="1" t="s">
        <v>197</v>
      </c>
      <c r="K375" s="1" t="n">
        <v>54.9</v>
      </c>
      <c r="L375" s="1" t="s">
        <v>201</v>
      </c>
    </row>
    <row r="376" customFormat="false" ht="15" hidden="false" customHeight="true" outlineLevel="0" collapsed="false">
      <c r="A376" s="1" t="s">
        <v>12</v>
      </c>
      <c r="B376" s="1" t="s">
        <v>128</v>
      </c>
      <c r="C376" s="1" t="s">
        <v>14</v>
      </c>
      <c r="D376" s="1" t="s">
        <v>146</v>
      </c>
      <c r="E376" s="1" t="s">
        <v>14</v>
      </c>
      <c r="F376" s="1" t="s">
        <v>108</v>
      </c>
      <c r="G376" s="29" t="n">
        <v>46419</v>
      </c>
      <c r="H376" s="30" t="n">
        <v>26.5</v>
      </c>
      <c r="I376" s="1" t="s">
        <v>205</v>
      </c>
      <c r="J376" s="1" t="s">
        <v>197</v>
      </c>
      <c r="K376" s="1" t="n">
        <v>26.5</v>
      </c>
      <c r="L376" s="1" t="s">
        <v>201</v>
      </c>
    </row>
    <row r="377" customFormat="false" ht="15" hidden="false" customHeight="true" outlineLevel="0" collapsed="false">
      <c r="A377" s="1" t="s">
        <v>12</v>
      </c>
      <c r="B377" s="1" t="s">
        <v>129</v>
      </c>
      <c r="C377" s="1" t="s">
        <v>14</v>
      </c>
      <c r="D377" s="1" t="s">
        <v>147</v>
      </c>
      <c r="E377" s="1" t="s">
        <v>14</v>
      </c>
      <c r="F377" s="1" t="s">
        <v>102</v>
      </c>
      <c r="G377" s="29" t="n">
        <v>46419</v>
      </c>
      <c r="H377" s="30" t="n">
        <v>47</v>
      </c>
      <c r="I377" s="1" t="s">
        <v>205</v>
      </c>
      <c r="J377" s="1" t="s">
        <v>197</v>
      </c>
      <c r="K377" s="1" t="n">
        <v>47</v>
      </c>
      <c r="L377" s="1" t="s">
        <v>201</v>
      </c>
    </row>
    <row r="378" customFormat="false" ht="15" hidden="false" customHeight="true" outlineLevel="0" collapsed="false">
      <c r="A378" s="1" t="s">
        <v>12</v>
      </c>
      <c r="B378" s="1" t="s">
        <v>131</v>
      </c>
      <c r="C378" s="1" t="s">
        <v>14</v>
      </c>
      <c r="D378" s="1" t="s">
        <v>149</v>
      </c>
      <c r="E378" s="1" t="s">
        <v>14</v>
      </c>
      <c r="F378" s="1" t="s">
        <v>103</v>
      </c>
      <c r="G378" s="29" t="n">
        <v>46419</v>
      </c>
      <c r="H378" s="30" t="n">
        <v>15</v>
      </c>
      <c r="I378" s="1" t="s">
        <v>205</v>
      </c>
      <c r="J378" s="1" t="s">
        <v>197</v>
      </c>
      <c r="K378" s="1" t="n">
        <v>23.9</v>
      </c>
      <c r="L378" s="1" t="s">
        <v>201</v>
      </c>
    </row>
    <row r="379" customFormat="false" ht="15" hidden="false" customHeight="true" outlineLevel="0" collapsed="false">
      <c r="A379" s="1" t="s">
        <v>12</v>
      </c>
      <c r="B379" s="1" t="s">
        <v>131</v>
      </c>
      <c r="C379" s="1" t="s">
        <v>14</v>
      </c>
      <c r="D379" s="1" t="s">
        <v>150</v>
      </c>
      <c r="E379" s="1" t="s">
        <v>14</v>
      </c>
      <c r="F379" s="1" t="s">
        <v>103</v>
      </c>
      <c r="G379" s="29" t="n">
        <v>46419</v>
      </c>
      <c r="H379" s="30" t="n">
        <v>50</v>
      </c>
      <c r="I379" s="1" t="s">
        <v>205</v>
      </c>
      <c r="J379" s="1" t="s">
        <v>197</v>
      </c>
      <c r="K379" s="1" t="n">
        <v>55</v>
      </c>
      <c r="L379" s="1" t="s">
        <v>201</v>
      </c>
    </row>
    <row r="380" customFormat="false" ht="15" hidden="false" customHeight="true" outlineLevel="0" collapsed="false">
      <c r="A380" s="1" t="s">
        <v>12</v>
      </c>
      <c r="B380" s="1" t="s">
        <v>132</v>
      </c>
      <c r="C380" s="1" t="s">
        <v>14</v>
      </c>
      <c r="D380" s="1" t="s">
        <v>149</v>
      </c>
      <c r="E380" s="1" t="s">
        <v>14</v>
      </c>
      <c r="F380" s="1" t="s">
        <v>103</v>
      </c>
      <c r="G380" s="29" t="n">
        <v>46419</v>
      </c>
      <c r="H380" s="30" t="n">
        <v>31.1</v>
      </c>
      <c r="I380" s="1" t="s">
        <v>205</v>
      </c>
      <c r="J380" s="1" t="s">
        <v>197</v>
      </c>
      <c r="K380" s="1" t="n">
        <v>55</v>
      </c>
      <c r="L380" s="1" t="s">
        <v>201</v>
      </c>
    </row>
    <row r="381" customFormat="false" ht="15" hidden="false" customHeight="true" outlineLevel="0" collapsed="false">
      <c r="A381" s="1" t="s">
        <v>12</v>
      </c>
      <c r="B381" s="1" t="s">
        <v>132</v>
      </c>
      <c r="C381" s="1" t="s">
        <v>14</v>
      </c>
      <c r="D381" s="1" t="s">
        <v>151</v>
      </c>
      <c r="E381" s="1" t="s">
        <v>14</v>
      </c>
      <c r="F381" s="1" t="s">
        <v>103</v>
      </c>
      <c r="G381" s="29" t="n">
        <v>46419</v>
      </c>
      <c r="H381" s="30" t="n">
        <v>33.9</v>
      </c>
      <c r="I381" s="1" t="s">
        <v>205</v>
      </c>
      <c r="J381" s="1" t="s">
        <v>200</v>
      </c>
      <c r="K381" s="1" t="n">
        <v>33.9</v>
      </c>
      <c r="L381" s="1" t="s">
        <v>201</v>
      </c>
    </row>
    <row r="382" customFormat="false" ht="15" hidden="false" customHeight="true" outlineLevel="0" collapsed="false">
      <c r="A382" s="1" t="s">
        <v>12</v>
      </c>
      <c r="B382" s="1" t="s">
        <v>136</v>
      </c>
      <c r="C382" s="1" t="s">
        <v>14</v>
      </c>
      <c r="D382" s="1" t="s">
        <v>155</v>
      </c>
      <c r="E382" s="1" t="s">
        <v>14</v>
      </c>
      <c r="F382" s="1" t="s">
        <v>43</v>
      </c>
      <c r="G382" s="29" t="n">
        <v>46419</v>
      </c>
      <c r="H382" s="30" t="n">
        <v>10</v>
      </c>
      <c r="I382" s="1" t="s">
        <v>205</v>
      </c>
      <c r="J382" s="1" t="s">
        <v>197</v>
      </c>
      <c r="K382" s="1" t="n">
        <v>32.9</v>
      </c>
      <c r="L382" s="1" t="s">
        <v>201</v>
      </c>
    </row>
    <row r="383" customFormat="false" ht="15" hidden="false" customHeight="true" outlineLevel="0" collapsed="false">
      <c r="A383" s="1" t="s">
        <v>29</v>
      </c>
      <c r="B383" s="1" t="s">
        <v>35</v>
      </c>
      <c r="C383" s="1" t="s">
        <v>10</v>
      </c>
      <c r="D383" s="1" t="s">
        <v>143</v>
      </c>
      <c r="E383" s="1" t="s">
        <v>10</v>
      </c>
      <c r="F383" s="1" t="s">
        <v>92</v>
      </c>
      <c r="G383" s="29" t="n">
        <v>46426</v>
      </c>
      <c r="H383" s="30" t="n">
        <v>5</v>
      </c>
      <c r="I383" s="1" t="s">
        <v>196</v>
      </c>
      <c r="J383" s="1" t="s">
        <v>197</v>
      </c>
      <c r="K383" s="1" t="n">
        <v>5</v>
      </c>
      <c r="L383" s="1" t="s">
        <v>201</v>
      </c>
    </row>
    <row r="384" customFormat="false" ht="15" hidden="false" customHeight="true" outlineLevel="0" collapsed="false">
      <c r="A384" s="1" t="s">
        <v>29</v>
      </c>
      <c r="B384" s="1" t="s">
        <v>28</v>
      </c>
      <c r="C384" s="1" t="s">
        <v>10</v>
      </c>
      <c r="D384" s="1" t="s">
        <v>143</v>
      </c>
      <c r="E384" s="1" t="s">
        <v>10</v>
      </c>
      <c r="F384" s="1" t="s">
        <v>92</v>
      </c>
      <c r="G384" s="29" t="n">
        <v>46426</v>
      </c>
      <c r="H384" s="30" t="n">
        <v>5</v>
      </c>
      <c r="I384" s="1" t="s">
        <v>196</v>
      </c>
      <c r="J384" s="1" t="s">
        <v>197</v>
      </c>
      <c r="K384" s="1" t="n">
        <v>10</v>
      </c>
      <c r="L384" s="1" t="s">
        <v>201</v>
      </c>
    </row>
    <row r="385" customFormat="false" ht="15" hidden="false" customHeight="true" outlineLevel="0" collapsed="false">
      <c r="A385" s="1" t="s">
        <v>12</v>
      </c>
      <c r="B385" s="1" t="s">
        <v>13</v>
      </c>
      <c r="C385" s="1" t="s">
        <v>14</v>
      </c>
      <c r="D385" s="1" t="s">
        <v>146</v>
      </c>
      <c r="E385" s="1" t="s">
        <v>14</v>
      </c>
      <c r="F385" s="1" t="s">
        <v>81</v>
      </c>
      <c r="G385" s="29" t="n">
        <v>46426</v>
      </c>
      <c r="H385" s="30" t="n">
        <v>11</v>
      </c>
      <c r="I385" s="1" t="s">
        <v>196</v>
      </c>
      <c r="J385" s="1" t="s">
        <v>197</v>
      </c>
      <c r="K385" s="1" t="n">
        <v>14.5</v>
      </c>
      <c r="L385" s="1" t="s">
        <v>201</v>
      </c>
    </row>
    <row r="386" customFormat="false" ht="15" hidden="false" customHeight="true" outlineLevel="0" collapsed="false">
      <c r="A386" s="1" t="s">
        <v>12</v>
      </c>
      <c r="B386" s="1" t="s">
        <v>13</v>
      </c>
      <c r="C386" s="1" t="s">
        <v>14</v>
      </c>
      <c r="D386" s="1" t="s">
        <v>123</v>
      </c>
      <c r="E386" s="1" t="s">
        <v>14</v>
      </c>
      <c r="F386" s="1" t="s">
        <v>81</v>
      </c>
      <c r="G386" s="29" t="n">
        <v>46426</v>
      </c>
      <c r="H386" s="30" t="n">
        <v>2</v>
      </c>
      <c r="I386" s="1" t="s">
        <v>196</v>
      </c>
      <c r="J386" s="1" t="s">
        <v>197</v>
      </c>
      <c r="K386" s="1" t="n">
        <v>20</v>
      </c>
      <c r="L386" s="1" t="s">
        <v>198</v>
      </c>
    </row>
    <row r="387" customFormat="false" ht="15" hidden="false" customHeight="true" outlineLevel="0" collapsed="false">
      <c r="A387" s="1" t="s">
        <v>12</v>
      </c>
      <c r="B387" s="1" t="s">
        <v>13</v>
      </c>
      <c r="C387" s="1" t="s">
        <v>14</v>
      </c>
      <c r="D387" s="1" t="s">
        <v>159</v>
      </c>
      <c r="E387" s="1" t="s">
        <v>14</v>
      </c>
      <c r="F387" s="1" t="s">
        <v>81</v>
      </c>
      <c r="G387" s="29" t="n">
        <v>46426</v>
      </c>
      <c r="H387" s="30" t="n">
        <v>6</v>
      </c>
      <c r="I387" s="1" t="s">
        <v>199</v>
      </c>
      <c r="J387" s="1" t="s">
        <v>197</v>
      </c>
      <c r="K387" s="1" t="n">
        <v>6</v>
      </c>
      <c r="L387" s="1" t="s">
        <v>201</v>
      </c>
    </row>
    <row r="388" customFormat="false" ht="15" hidden="false" customHeight="true" outlineLevel="0" collapsed="false">
      <c r="A388" s="1" t="s">
        <v>12</v>
      </c>
      <c r="B388" s="1" t="s">
        <v>13</v>
      </c>
      <c r="C388" s="1" t="s">
        <v>14</v>
      </c>
      <c r="D388" s="1" t="s">
        <v>26</v>
      </c>
      <c r="E388" s="1" t="s">
        <v>14</v>
      </c>
      <c r="F388" s="1" t="s">
        <v>40</v>
      </c>
      <c r="G388" s="29" t="n">
        <v>46426</v>
      </c>
      <c r="H388" s="30" t="n">
        <v>16</v>
      </c>
      <c r="I388" s="1" t="s">
        <v>196</v>
      </c>
      <c r="J388" s="1" t="s">
        <v>197</v>
      </c>
      <c r="K388" s="1" t="n">
        <v>55</v>
      </c>
      <c r="L388" s="1" t="s">
        <v>198</v>
      </c>
    </row>
    <row r="389" customFormat="false" ht="15" hidden="false" customHeight="true" outlineLevel="0" collapsed="false">
      <c r="A389" s="1" t="s">
        <v>12</v>
      </c>
      <c r="B389" s="1" t="s">
        <v>13</v>
      </c>
      <c r="C389" s="1" t="s">
        <v>14</v>
      </c>
      <c r="D389" s="1" t="s">
        <v>127</v>
      </c>
      <c r="E389" s="1" t="s">
        <v>14</v>
      </c>
      <c r="F389" s="1" t="s">
        <v>40</v>
      </c>
      <c r="G389" s="29" t="n">
        <v>46426</v>
      </c>
      <c r="H389" s="30" t="n">
        <v>14</v>
      </c>
      <c r="I389" s="1" t="s">
        <v>196</v>
      </c>
      <c r="J389" s="1" t="s">
        <v>197</v>
      </c>
      <c r="K389" s="1" t="n">
        <v>14</v>
      </c>
      <c r="L389" s="1" t="s">
        <v>198</v>
      </c>
    </row>
    <row r="390" customFormat="false" ht="15" hidden="false" customHeight="true" outlineLevel="0" collapsed="false">
      <c r="A390" s="1" t="s">
        <v>12</v>
      </c>
      <c r="B390" s="1" t="s">
        <v>13</v>
      </c>
      <c r="C390" s="1" t="s">
        <v>14</v>
      </c>
      <c r="D390" s="1" t="s">
        <v>27</v>
      </c>
      <c r="E390" s="1" t="s">
        <v>14</v>
      </c>
      <c r="F390" s="1" t="s">
        <v>99</v>
      </c>
      <c r="G390" s="29" t="n">
        <v>46426</v>
      </c>
      <c r="H390" s="30" t="n">
        <v>7</v>
      </c>
      <c r="I390" s="1" t="s">
        <v>196</v>
      </c>
      <c r="J390" s="1" t="s">
        <v>197</v>
      </c>
      <c r="K390" s="1" t="n">
        <v>55</v>
      </c>
      <c r="L390" s="1" t="s">
        <v>198</v>
      </c>
    </row>
    <row r="391" customFormat="false" ht="15" hidden="false" customHeight="true" outlineLevel="0" collapsed="false">
      <c r="A391" s="1" t="s">
        <v>12</v>
      </c>
      <c r="B391" s="1" t="s">
        <v>13</v>
      </c>
      <c r="C391" s="1" t="s">
        <v>14</v>
      </c>
      <c r="D391" s="1" t="s">
        <v>139</v>
      </c>
      <c r="E391" s="1" t="s">
        <v>14</v>
      </c>
      <c r="F391" s="1" t="s">
        <v>99</v>
      </c>
      <c r="G391" s="29" t="n">
        <v>46426</v>
      </c>
      <c r="H391" s="30" t="n">
        <v>3.5</v>
      </c>
      <c r="I391" s="1" t="s">
        <v>196</v>
      </c>
      <c r="J391" s="1" t="s">
        <v>197</v>
      </c>
      <c r="K391" s="1" t="n">
        <v>3.5</v>
      </c>
      <c r="L391" s="1" t="s">
        <v>198</v>
      </c>
    </row>
    <row r="392" customFormat="false" ht="15" hidden="false" customHeight="true" outlineLevel="0" collapsed="false">
      <c r="A392" s="1" t="s">
        <v>12</v>
      </c>
      <c r="B392" s="1" t="s">
        <v>13</v>
      </c>
      <c r="C392" s="1" t="s">
        <v>14</v>
      </c>
      <c r="D392" s="1" t="s">
        <v>21</v>
      </c>
      <c r="E392" s="1" t="s">
        <v>14</v>
      </c>
      <c r="F392" s="1" t="s">
        <v>43</v>
      </c>
      <c r="G392" s="29" t="n">
        <v>46426</v>
      </c>
      <c r="H392" s="30" t="n">
        <v>9.5</v>
      </c>
      <c r="I392" s="1" t="s">
        <v>196</v>
      </c>
      <c r="J392" s="1" t="s">
        <v>197</v>
      </c>
      <c r="K392" s="1" t="n">
        <v>55</v>
      </c>
      <c r="L392" s="1" t="s">
        <v>198</v>
      </c>
    </row>
    <row r="393" customFormat="false" ht="15" hidden="false" customHeight="true" outlineLevel="0" collapsed="false">
      <c r="A393" s="1" t="s">
        <v>12</v>
      </c>
      <c r="B393" s="1" t="s">
        <v>13</v>
      </c>
      <c r="C393" s="1" t="s">
        <v>14</v>
      </c>
      <c r="D393" s="1" t="s">
        <v>135</v>
      </c>
      <c r="E393" s="1" t="s">
        <v>14</v>
      </c>
      <c r="F393" s="1" t="s">
        <v>43</v>
      </c>
      <c r="G393" s="29" t="n">
        <v>46426</v>
      </c>
      <c r="H393" s="30" t="n">
        <v>1.5</v>
      </c>
      <c r="I393" s="1" t="s">
        <v>196</v>
      </c>
      <c r="J393" s="1" t="s">
        <v>197</v>
      </c>
      <c r="K393" s="1" t="n">
        <v>1.5</v>
      </c>
      <c r="L393" s="1" t="s">
        <v>198</v>
      </c>
    </row>
    <row r="394" customFormat="false" ht="15" hidden="false" customHeight="true" outlineLevel="0" collapsed="false">
      <c r="A394" s="1" t="s">
        <v>12</v>
      </c>
      <c r="B394" s="1" t="s">
        <v>9</v>
      </c>
      <c r="C394" s="1" t="s">
        <v>10</v>
      </c>
      <c r="D394" s="1" t="s">
        <v>117</v>
      </c>
      <c r="E394" s="1" t="s">
        <v>10</v>
      </c>
      <c r="F394" s="1" t="s">
        <v>81</v>
      </c>
      <c r="G394" s="29" t="n">
        <v>46426</v>
      </c>
      <c r="H394" s="30" t="n">
        <v>24</v>
      </c>
      <c r="I394" s="1" t="s">
        <v>196</v>
      </c>
      <c r="J394" s="1" t="s">
        <v>200</v>
      </c>
      <c r="K394" s="1" t="n">
        <v>50.5</v>
      </c>
      <c r="L394" s="1" t="s">
        <v>198</v>
      </c>
    </row>
    <row r="395" customFormat="false" ht="15" hidden="false" customHeight="true" outlineLevel="0" collapsed="false">
      <c r="A395" s="1" t="s">
        <v>12</v>
      </c>
      <c r="B395" s="1" t="s">
        <v>9</v>
      </c>
      <c r="C395" s="1" t="s">
        <v>10</v>
      </c>
      <c r="D395" s="1" t="s">
        <v>36</v>
      </c>
      <c r="E395" s="1" t="s">
        <v>10</v>
      </c>
      <c r="F395" s="1" t="s">
        <v>94</v>
      </c>
      <c r="G395" s="29" t="n">
        <v>46426</v>
      </c>
      <c r="H395" s="30" t="n">
        <v>9.5</v>
      </c>
      <c r="I395" s="1" t="s">
        <v>196</v>
      </c>
      <c r="J395" s="1" t="s">
        <v>200</v>
      </c>
      <c r="K395" s="1" t="n">
        <v>55</v>
      </c>
      <c r="L395" s="1" t="s">
        <v>198</v>
      </c>
    </row>
    <row r="396" customFormat="false" ht="15" hidden="false" customHeight="true" outlineLevel="0" collapsed="false">
      <c r="A396" s="1" t="s">
        <v>12</v>
      </c>
      <c r="B396" s="1" t="s">
        <v>9</v>
      </c>
      <c r="C396" s="1" t="s">
        <v>10</v>
      </c>
      <c r="D396" s="1" t="s">
        <v>144</v>
      </c>
      <c r="E396" s="1" t="s">
        <v>10</v>
      </c>
      <c r="F396" s="1" t="s">
        <v>94</v>
      </c>
      <c r="G396" s="29" t="n">
        <v>46426</v>
      </c>
      <c r="H396" s="30" t="n">
        <v>22</v>
      </c>
      <c r="I396" s="1" t="s">
        <v>196</v>
      </c>
      <c r="J396" s="1" t="s">
        <v>200</v>
      </c>
      <c r="K396" s="1" t="n">
        <v>23.5</v>
      </c>
      <c r="L396" s="1" t="s">
        <v>201</v>
      </c>
    </row>
    <row r="397" customFormat="false" ht="15" hidden="false" customHeight="true" outlineLevel="0" collapsed="false">
      <c r="A397" s="1" t="s">
        <v>12</v>
      </c>
      <c r="B397" s="1" t="s">
        <v>9</v>
      </c>
      <c r="C397" s="1" t="s">
        <v>10</v>
      </c>
      <c r="D397" s="1" t="s">
        <v>117</v>
      </c>
      <c r="E397" s="1" t="s">
        <v>10</v>
      </c>
      <c r="F397" s="1" t="s">
        <v>94</v>
      </c>
      <c r="G397" s="29" t="n">
        <v>46426</v>
      </c>
      <c r="H397" s="30" t="n">
        <v>4.5</v>
      </c>
      <c r="I397" s="1" t="s">
        <v>196</v>
      </c>
      <c r="J397" s="1" t="s">
        <v>200</v>
      </c>
      <c r="K397" s="1" t="n">
        <v>55</v>
      </c>
      <c r="L397" s="1" t="s">
        <v>198</v>
      </c>
    </row>
    <row r="398" customFormat="false" ht="15" hidden="false" customHeight="true" outlineLevel="0" collapsed="false">
      <c r="A398" s="1" t="s">
        <v>12</v>
      </c>
      <c r="B398" s="1" t="s">
        <v>9</v>
      </c>
      <c r="C398" s="1" t="s">
        <v>10</v>
      </c>
      <c r="D398" s="1" t="s">
        <v>144</v>
      </c>
      <c r="E398" s="1" t="s">
        <v>10</v>
      </c>
      <c r="F398" s="1" t="s">
        <v>95</v>
      </c>
      <c r="G398" s="29" t="n">
        <v>46426</v>
      </c>
      <c r="H398" s="30" t="n">
        <v>12</v>
      </c>
      <c r="I398" s="1" t="s">
        <v>196</v>
      </c>
      <c r="J398" s="1" t="s">
        <v>200</v>
      </c>
      <c r="K398" s="1" t="n">
        <v>51.5</v>
      </c>
      <c r="L398" s="1" t="s">
        <v>201</v>
      </c>
    </row>
    <row r="399" customFormat="false" ht="15" hidden="false" customHeight="true" outlineLevel="0" collapsed="false">
      <c r="A399" s="1" t="s">
        <v>12</v>
      </c>
      <c r="B399" s="1" t="s">
        <v>9</v>
      </c>
      <c r="C399" s="1" t="s">
        <v>10</v>
      </c>
      <c r="D399" s="1" t="s">
        <v>116</v>
      </c>
      <c r="E399" s="1" t="s">
        <v>10</v>
      </c>
      <c r="F399" s="1" t="s">
        <v>40</v>
      </c>
      <c r="G399" s="29" t="n">
        <v>46426</v>
      </c>
      <c r="H399" s="30" t="n">
        <v>1.5</v>
      </c>
      <c r="I399" s="1" t="s">
        <v>196</v>
      </c>
      <c r="J399" s="1" t="s">
        <v>197</v>
      </c>
      <c r="K399" s="1" t="n">
        <v>20</v>
      </c>
      <c r="L399" s="1" t="s">
        <v>198</v>
      </c>
    </row>
    <row r="400" customFormat="false" ht="15" hidden="false" customHeight="true" outlineLevel="0" collapsed="false">
      <c r="A400" s="1" t="s">
        <v>12</v>
      </c>
      <c r="B400" s="1" t="s">
        <v>9</v>
      </c>
      <c r="C400" s="1" t="s">
        <v>10</v>
      </c>
      <c r="D400" s="1" t="s">
        <v>116</v>
      </c>
      <c r="E400" s="1" t="s">
        <v>10</v>
      </c>
      <c r="F400" s="1" t="s">
        <v>96</v>
      </c>
      <c r="G400" s="29" t="n">
        <v>46426</v>
      </c>
      <c r="H400" s="30" t="n">
        <v>14</v>
      </c>
      <c r="I400" s="1" t="s">
        <v>196</v>
      </c>
      <c r="J400" s="1" t="s">
        <v>197</v>
      </c>
      <c r="K400" s="1" t="n">
        <v>55</v>
      </c>
      <c r="L400" s="1" t="s">
        <v>198</v>
      </c>
    </row>
    <row r="401" customFormat="false" ht="15" hidden="false" customHeight="true" outlineLevel="0" collapsed="false">
      <c r="A401" s="1" t="s">
        <v>12</v>
      </c>
      <c r="B401" s="1" t="s">
        <v>9</v>
      </c>
      <c r="C401" s="1" t="s">
        <v>10</v>
      </c>
      <c r="D401" s="1" t="s">
        <v>117</v>
      </c>
      <c r="E401" s="1" t="s">
        <v>10</v>
      </c>
      <c r="F401" s="1" t="s">
        <v>96</v>
      </c>
      <c r="G401" s="29" t="n">
        <v>46426</v>
      </c>
      <c r="H401" s="30" t="n">
        <v>7.5</v>
      </c>
      <c r="I401" s="1" t="s">
        <v>196</v>
      </c>
      <c r="J401" s="1" t="s">
        <v>200</v>
      </c>
      <c r="K401" s="1" t="n">
        <v>7.5</v>
      </c>
      <c r="L401" s="1" t="s">
        <v>198</v>
      </c>
    </row>
    <row r="402" customFormat="false" ht="15" hidden="false" customHeight="true" outlineLevel="0" collapsed="false">
      <c r="A402" s="1" t="s">
        <v>12</v>
      </c>
      <c r="B402" s="1" t="s">
        <v>9</v>
      </c>
      <c r="C402" s="1" t="s">
        <v>10</v>
      </c>
      <c r="D402" s="1" t="s">
        <v>116</v>
      </c>
      <c r="E402" s="1" t="s">
        <v>10</v>
      </c>
      <c r="F402" s="1" t="s">
        <v>99</v>
      </c>
      <c r="G402" s="29" t="n">
        <v>46426</v>
      </c>
      <c r="H402" s="30" t="n">
        <v>15</v>
      </c>
      <c r="I402" s="1" t="s">
        <v>196</v>
      </c>
      <c r="J402" s="1" t="s">
        <v>197</v>
      </c>
      <c r="K402" s="1" t="n">
        <v>41</v>
      </c>
      <c r="L402" s="1" t="s">
        <v>198</v>
      </c>
    </row>
    <row r="403" customFormat="false" ht="15" hidden="false" customHeight="true" outlineLevel="0" collapsed="false">
      <c r="A403" s="1" t="s">
        <v>12</v>
      </c>
      <c r="B403" s="1" t="s">
        <v>9</v>
      </c>
      <c r="C403" s="1" t="s">
        <v>10</v>
      </c>
      <c r="D403" s="1" t="s">
        <v>116</v>
      </c>
      <c r="E403" s="1" t="s">
        <v>10</v>
      </c>
      <c r="F403" s="1" t="s">
        <v>43</v>
      </c>
      <c r="G403" s="29" t="n">
        <v>46426</v>
      </c>
      <c r="H403" s="30" t="n">
        <v>6</v>
      </c>
      <c r="I403" s="1" t="s">
        <v>196</v>
      </c>
      <c r="J403" s="1" t="s">
        <v>197</v>
      </c>
      <c r="K403" s="1" t="n">
        <v>26</v>
      </c>
      <c r="L403" s="1" t="s">
        <v>198</v>
      </c>
    </row>
    <row r="404" customFormat="false" ht="15" hidden="false" customHeight="true" outlineLevel="0" collapsed="false">
      <c r="A404" s="1" t="s">
        <v>12</v>
      </c>
      <c r="B404" s="1" t="s">
        <v>9</v>
      </c>
      <c r="C404" s="1" t="s">
        <v>10</v>
      </c>
      <c r="D404" s="1" t="s">
        <v>117</v>
      </c>
      <c r="E404" s="1" t="s">
        <v>10</v>
      </c>
      <c r="F404" s="1" t="s">
        <v>100</v>
      </c>
      <c r="G404" s="29" t="n">
        <v>46426</v>
      </c>
      <c r="H404" s="30" t="n">
        <v>19</v>
      </c>
      <c r="I404" s="1" t="s">
        <v>196</v>
      </c>
      <c r="J404" s="1" t="s">
        <v>200</v>
      </c>
      <c r="K404" s="1" t="n">
        <v>26.5</v>
      </c>
      <c r="L404" s="1" t="s">
        <v>198</v>
      </c>
    </row>
    <row r="405" customFormat="false" ht="15" hidden="false" customHeight="true" outlineLevel="0" collapsed="false">
      <c r="A405" s="1" t="s">
        <v>12</v>
      </c>
      <c r="B405" s="1" t="s">
        <v>22</v>
      </c>
      <c r="C405" s="1" t="s">
        <v>10</v>
      </c>
      <c r="D405" s="1" t="s">
        <v>144</v>
      </c>
      <c r="E405" s="1" t="s">
        <v>10</v>
      </c>
      <c r="F405" s="1" t="s">
        <v>102</v>
      </c>
      <c r="G405" s="29" t="n">
        <v>46426</v>
      </c>
      <c r="H405" s="30" t="n">
        <v>6</v>
      </c>
      <c r="I405" s="1" t="s">
        <v>196</v>
      </c>
      <c r="J405" s="1" t="s">
        <v>200</v>
      </c>
      <c r="K405" s="1" t="n">
        <v>29.5</v>
      </c>
      <c r="L405" s="1" t="s">
        <v>201</v>
      </c>
    </row>
    <row r="406" customFormat="false" ht="15" hidden="false" customHeight="true" outlineLevel="0" collapsed="false">
      <c r="A406" s="1" t="s">
        <v>12</v>
      </c>
      <c r="B406" s="1" t="s">
        <v>20</v>
      </c>
      <c r="C406" s="1" t="s">
        <v>10</v>
      </c>
      <c r="D406" s="1" t="s">
        <v>144</v>
      </c>
      <c r="E406" s="1" t="s">
        <v>10</v>
      </c>
      <c r="F406" s="1" t="s">
        <v>85</v>
      </c>
      <c r="G406" s="29" t="n">
        <v>46426</v>
      </c>
      <c r="H406" s="30" t="n">
        <v>0.5</v>
      </c>
      <c r="I406" s="1" t="s">
        <v>196</v>
      </c>
      <c r="J406" s="1" t="s">
        <v>200</v>
      </c>
      <c r="K406" s="1" t="n">
        <v>55</v>
      </c>
      <c r="L406" s="1" t="s">
        <v>201</v>
      </c>
    </row>
    <row r="407" customFormat="false" ht="15" hidden="false" customHeight="true" outlineLevel="0" collapsed="false">
      <c r="A407" s="1" t="s">
        <v>12</v>
      </c>
      <c r="B407" s="1" t="s">
        <v>20</v>
      </c>
      <c r="C407" s="1" t="s">
        <v>10</v>
      </c>
      <c r="D407" s="1" t="s">
        <v>145</v>
      </c>
      <c r="E407" s="1" t="s">
        <v>10</v>
      </c>
      <c r="F407" s="1" t="s">
        <v>85</v>
      </c>
      <c r="G407" s="29" t="n">
        <v>46426</v>
      </c>
      <c r="H407" s="30" t="n">
        <v>4</v>
      </c>
      <c r="I407" s="1" t="s">
        <v>196</v>
      </c>
      <c r="J407" s="1" t="s">
        <v>200</v>
      </c>
      <c r="K407" s="1" t="n">
        <v>4</v>
      </c>
      <c r="L407" s="1" t="s">
        <v>201</v>
      </c>
    </row>
    <row r="408" customFormat="false" ht="15" hidden="false" customHeight="true" outlineLevel="0" collapsed="false">
      <c r="A408" s="1" t="s">
        <v>12</v>
      </c>
      <c r="B408" s="1" t="s">
        <v>23</v>
      </c>
      <c r="C408" s="1" t="s">
        <v>10</v>
      </c>
      <c r="D408" s="1" t="s">
        <v>144</v>
      </c>
      <c r="E408" s="1" t="s">
        <v>10</v>
      </c>
      <c r="F408" s="1" t="s">
        <v>81</v>
      </c>
      <c r="G408" s="29" t="n">
        <v>46426</v>
      </c>
      <c r="H408" s="30" t="n">
        <v>1.5</v>
      </c>
      <c r="I408" s="1" t="s">
        <v>196</v>
      </c>
      <c r="J408" s="1" t="s">
        <v>200</v>
      </c>
      <c r="K408" s="1" t="n">
        <v>1.5</v>
      </c>
      <c r="L408" s="1" t="s">
        <v>201</v>
      </c>
    </row>
    <row r="409" customFormat="false" ht="15" hidden="false" customHeight="true" outlineLevel="0" collapsed="false">
      <c r="A409" s="1" t="s">
        <v>12</v>
      </c>
      <c r="B409" s="1" t="s">
        <v>23</v>
      </c>
      <c r="C409" s="1" t="s">
        <v>10</v>
      </c>
      <c r="D409" s="1" t="s">
        <v>144</v>
      </c>
      <c r="E409" s="1" t="s">
        <v>10</v>
      </c>
      <c r="F409" s="1" t="s">
        <v>102</v>
      </c>
      <c r="G409" s="29" t="n">
        <v>46426</v>
      </c>
      <c r="H409" s="30" t="n">
        <v>10</v>
      </c>
      <c r="I409" s="1" t="s">
        <v>196</v>
      </c>
      <c r="J409" s="1" t="s">
        <v>197</v>
      </c>
      <c r="K409" s="1" t="n">
        <v>39.5</v>
      </c>
      <c r="L409" s="1" t="s">
        <v>201</v>
      </c>
    </row>
    <row r="410" customFormat="false" ht="15" hidden="false" customHeight="true" outlineLevel="0" collapsed="false">
      <c r="A410" s="1" t="s">
        <v>12</v>
      </c>
      <c r="B410" s="1" t="s">
        <v>23</v>
      </c>
      <c r="C410" s="1" t="s">
        <v>10</v>
      </c>
      <c r="D410" s="1" t="s">
        <v>144</v>
      </c>
      <c r="E410" s="1" t="s">
        <v>10</v>
      </c>
      <c r="F410" s="1" t="s">
        <v>40</v>
      </c>
      <c r="G410" s="29" t="n">
        <v>46426</v>
      </c>
      <c r="H410" s="30" t="n">
        <v>3</v>
      </c>
      <c r="I410" s="1" t="s">
        <v>196</v>
      </c>
      <c r="J410" s="1" t="s">
        <v>200</v>
      </c>
      <c r="K410" s="1" t="n">
        <v>54.5</v>
      </c>
      <c r="L410" s="1" t="s">
        <v>201</v>
      </c>
    </row>
    <row r="411" customFormat="false" ht="15" hidden="false" customHeight="true" outlineLevel="0" collapsed="false">
      <c r="A411" s="1" t="s">
        <v>12</v>
      </c>
      <c r="B411" s="1" t="s">
        <v>17</v>
      </c>
      <c r="C411" s="1" t="s">
        <v>14</v>
      </c>
      <c r="D411" s="1" t="s">
        <v>148</v>
      </c>
      <c r="E411" s="1" t="s">
        <v>14</v>
      </c>
      <c r="F411" s="1" t="s">
        <v>40</v>
      </c>
      <c r="G411" s="29" t="n">
        <v>46426</v>
      </c>
      <c r="H411" s="30" t="n">
        <v>8</v>
      </c>
      <c r="I411" s="1" t="s">
        <v>196</v>
      </c>
      <c r="J411" s="1" t="s">
        <v>197</v>
      </c>
      <c r="K411" s="1" t="n">
        <v>8</v>
      </c>
      <c r="L411" s="1" t="s">
        <v>201</v>
      </c>
    </row>
    <row r="412" customFormat="false" ht="15" hidden="false" customHeight="true" outlineLevel="0" collapsed="false">
      <c r="A412" s="1" t="s">
        <v>12</v>
      </c>
      <c r="B412" s="1" t="s">
        <v>17</v>
      </c>
      <c r="C412" s="1" t="s">
        <v>14</v>
      </c>
      <c r="D412" s="1" t="s">
        <v>148</v>
      </c>
      <c r="E412" s="1" t="s">
        <v>14</v>
      </c>
      <c r="F412" s="1" t="s">
        <v>122</v>
      </c>
      <c r="G412" s="29" t="n">
        <v>46426</v>
      </c>
      <c r="H412" s="30" t="n">
        <v>12.5</v>
      </c>
      <c r="I412" s="1" t="s">
        <v>196</v>
      </c>
      <c r="J412" s="1" t="s">
        <v>200</v>
      </c>
      <c r="K412" s="1" t="n">
        <v>41.5</v>
      </c>
      <c r="L412" s="1" t="s">
        <v>201</v>
      </c>
    </row>
    <row r="413" customFormat="false" ht="15" hidden="false" customHeight="true" outlineLevel="0" collapsed="false">
      <c r="A413" s="1" t="s">
        <v>12</v>
      </c>
      <c r="B413" s="1" t="s">
        <v>33</v>
      </c>
      <c r="C413" s="1" t="s">
        <v>10</v>
      </c>
      <c r="D413" s="1" t="s">
        <v>145</v>
      </c>
      <c r="E413" s="1" t="s">
        <v>10</v>
      </c>
      <c r="F413" s="1" t="s">
        <v>103</v>
      </c>
      <c r="G413" s="29" t="n">
        <v>46426</v>
      </c>
      <c r="H413" s="30" t="n">
        <v>10</v>
      </c>
      <c r="I413" s="1" t="s">
        <v>196</v>
      </c>
      <c r="J413" s="1" t="s">
        <v>200</v>
      </c>
      <c r="K413" s="1" t="n">
        <v>14</v>
      </c>
      <c r="L413" s="1" t="s">
        <v>201</v>
      </c>
    </row>
    <row r="414" customFormat="false" ht="15" hidden="false" customHeight="true" outlineLevel="0" collapsed="false">
      <c r="A414" s="1" t="s">
        <v>12</v>
      </c>
      <c r="B414" s="1" t="s">
        <v>24</v>
      </c>
      <c r="C414" s="1" t="s">
        <v>14</v>
      </c>
      <c r="D414" s="1" t="s">
        <v>146</v>
      </c>
      <c r="E414" s="1" t="s">
        <v>14</v>
      </c>
      <c r="F414" s="1" t="s">
        <v>81</v>
      </c>
      <c r="G414" s="29" t="n">
        <v>46426</v>
      </c>
      <c r="H414" s="30" t="n">
        <v>3.5</v>
      </c>
      <c r="I414" s="1" t="s">
        <v>196</v>
      </c>
      <c r="J414" s="1" t="s">
        <v>197</v>
      </c>
      <c r="K414" s="1" t="n">
        <v>18</v>
      </c>
      <c r="L414" s="1" t="s">
        <v>201</v>
      </c>
    </row>
    <row r="415" customFormat="false" ht="15" hidden="false" customHeight="true" outlineLevel="0" collapsed="false">
      <c r="A415" s="1" t="s">
        <v>12</v>
      </c>
      <c r="B415" s="1" t="s">
        <v>24</v>
      </c>
      <c r="C415" s="1" t="s">
        <v>14</v>
      </c>
      <c r="D415" s="1" t="s">
        <v>148</v>
      </c>
      <c r="E415" s="1" t="s">
        <v>14</v>
      </c>
      <c r="F415" s="1" t="s">
        <v>40</v>
      </c>
      <c r="G415" s="29" t="n">
        <v>46426</v>
      </c>
      <c r="H415" s="30" t="n">
        <v>11</v>
      </c>
      <c r="I415" s="1" t="s">
        <v>196</v>
      </c>
      <c r="J415" s="1" t="s">
        <v>197</v>
      </c>
      <c r="K415" s="1" t="n">
        <v>19</v>
      </c>
      <c r="L415" s="1" t="s">
        <v>201</v>
      </c>
    </row>
    <row r="416" customFormat="false" ht="15" hidden="false" customHeight="true" outlineLevel="0" collapsed="false">
      <c r="A416" s="1" t="s">
        <v>12</v>
      </c>
      <c r="B416" s="1" t="s">
        <v>15</v>
      </c>
      <c r="C416" s="1" t="s">
        <v>16</v>
      </c>
      <c r="D416" s="1" t="s">
        <v>75</v>
      </c>
      <c r="E416" s="1" t="s">
        <v>16</v>
      </c>
      <c r="F416" s="1" t="s">
        <v>79</v>
      </c>
      <c r="G416" s="29" t="n">
        <v>46426</v>
      </c>
      <c r="H416" s="30" t="n">
        <v>1.403509</v>
      </c>
      <c r="I416" s="1" t="s">
        <v>196</v>
      </c>
      <c r="J416" s="1" t="s">
        <v>197</v>
      </c>
      <c r="K416" s="1" t="n">
        <v>49.307018</v>
      </c>
      <c r="L416" s="1" t="s">
        <v>198</v>
      </c>
    </row>
    <row r="417" customFormat="false" ht="15" hidden="false" customHeight="true" outlineLevel="0" collapsed="false">
      <c r="A417" s="1" t="s">
        <v>12</v>
      </c>
      <c r="B417" s="1" t="s">
        <v>15</v>
      </c>
      <c r="C417" s="1" t="s">
        <v>16</v>
      </c>
      <c r="D417" s="1" t="s">
        <v>90</v>
      </c>
      <c r="E417" s="1" t="s">
        <v>16</v>
      </c>
      <c r="F417" s="1" t="s">
        <v>81</v>
      </c>
      <c r="G417" s="29" t="n">
        <v>46426</v>
      </c>
      <c r="H417" s="30" t="n">
        <v>7.9</v>
      </c>
      <c r="I417" s="1" t="s">
        <v>196</v>
      </c>
      <c r="J417" s="1" t="s">
        <v>200</v>
      </c>
      <c r="K417" s="1" t="n">
        <v>47.407018</v>
      </c>
      <c r="L417" s="1" t="s">
        <v>198</v>
      </c>
    </row>
    <row r="418" customFormat="false" ht="15" hidden="false" customHeight="true" outlineLevel="0" collapsed="false">
      <c r="A418" s="1" t="s">
        <v>12</v>
      </c>
      <c r="B418" s="1" t="s">
        <v>15</v>
      </c>
      <c r="C418" s="1" t="s">
        <v>16</v>
      </c>
      <c r="D418" s="1" t="s">
        <v>142</v>
      </c>
      <c r="E418" s="1" t="s">
        <v>16</v>
      </c>
      <c r="F418" s="1" t="s">
        <v>94</v>
      </c>
      <c r="G418" s="29" t="n">
        <v>46426</v>
      </c>
      <c r="H418" s="30" t="n">
        <v>0.107018000000005</v>
      </c>
      <c r="I418" s="1" t="s">
        <v>196</v>
      </c>
      <c r="J418" s="1" t="s">
        <v>200</v>
      </c>
      <c r="K418" s="1" t="n">
        <v>4.41403600000001</v>
      </c>
      <c r="L418" s="1" t="s">
        <v>201</v>
      </c>
    </row>
    <row r="419" customFormat="false" ht="15" hidden="false" customHeight="true" outlineLevel="0" collapsed="false">
      <c r="A419" s="1" t="s">
        <v>12</v>
      </c>
      <c r="B419" s="1" t="s">
        <v>15</v>
      </c>
      <c r="C419" s="1" t="s">
        <v>16</v>
      </c>
      <c r="D419" s="1" t="s">
        <v>90</v>
      </c>
      <c r="E419" s="1" t="s">
        <v>16</v>
      </c>
      <c r="F419" s="1" t="s">
        <v>94</v>
      </c>
      <c r="G419" s="29" t="n">
        <v>46426</v>
      </c>
      <c r="H419" s="30" t="n">
        <v>3.59298200000001</v>
      </c>
      <c r="I419" s="1" t="s">
        <v>196</v>
      </c>
      <c r="J419" s="1" t="s">
        <v>200</v>
      </c>
      <c r="K419" s="1" t="n">
        <v>55</v>
      </c>
      <c r="L419" s="1" t="s">
        <v>198</v>
      </c>
    </row>
    <row r="420" customFormat="false" ht="15" hidden="false" customHeight="true" outlineLevel="0" collapsed="false">
      <c r="A420" s="1" t="s">
        <v>12</v>
      </c>
      <c r="B420" s="1" t="s">
        <v>15</v>
      </c>
      <c r="C420" s="1" t="s">
        <v>16</v>
      </c>
      <c r="D420" s="1" t="s">
        <v>75</v>
      </c>
      <c r="E420" s="1" t="s">
        <v>16</v>
      </c>
      <c r="F420" s="1" t="s">
        <v>40</v>
      </c>
      <c r="G420" s="29" t="n">
        <v>46426</v>
      </c>
      <c r="H420" s="30" t="n">
        <v>2.9</v>
      </c>
      <c r="I420" s="1" t="s">
        <v>196</v>
      </c>
      <c r="J420" s="1" t="s">
        <v>197</v>
      </c>
      <c r="K420" s="1" t="n">
        <v>52.207018</v>
      </c>
      <c r="L420" s="1" t="s">
        <v>198</v>
      </c>
    </row>
    <row r="421" customFormat="false" ht="15" hidden="false" customHeight="true" outlineLevel="0" collapsed="false">
      <c r="A421" s="1" t="s">
        <v>12</v>
      </c>
      <c r="B421" s="1" t="s">
        <v>15</v>
      </c>
      <c r="C421" s="1" t="s">
        <v>16</v>
      </c>
      <c r="D421" s="1" t="s">
        <v>90</v>
      </c>
      <c r="E421" s="1" t="s">
        <v>16</v>
      </c>
      <c r="F421" s="1" t="s">
        <v>97</v>
      </c>
      <c r="G421" s="29" t="n">
        <v>46426</v>
      </c>
      <c r="H421" s="30" t="n">
        <v>4</v>
      </c>
      <c r="I421" s="1" t="s">
        <v>196</v>
      </c>
      <c r="J421" s="1" t="s">
        <v>200</v>
      </c>
      <c r="K421" s="1" t="n">
        <v>51.407018</v>
      </c>
      <c r="L421" s="1" t="s">
        <v>198</v>
      </c>
    </row>
    <row r="422" customFormat="false" ht="15" hidden="false" customHeight="true" outlineLevel="0" collapsed="false">
      <c r="A422" s="1" t="s">
        <v>12</v>
      </c>
      <c r="B422" s="1" t="s">
        <v>15</v>
      </c>
      <c r="C422" s="1" t="s">
        <v>16</v>
      </c>
      <c r="D422" s="1" t="s">
        <v>75</v>
      </c>
      <c r="E422" s="1" t="s">
        <v>16</v>
      </c>
      <c r="F422" s="1" t="s">
        <v>43</v>
      </c>
      <c r="G422" s="29" t="n">
        <v>46426</v>
      </c>
      <c r="H422" s="30" t="n">
        <v>2.792982</v>
      </c>
      <c r="I422" s="1" t="s">
        <v>196</v>
      </c>
      <c r="J422" s="1" t="s">
        <v>197</v>
      </c>
      <c r="K422" s="1" t="n">
        <v>55</v>
      </c>
      <c r="L422" s="1" t="s">
        <v>198</v>
      </c>
    </row>
    <row r="423" customFormat="false" ht="15" hidden="false" customHeight="true" outlineLevel="0" collapsed="false">
      <c r="A423" s="1" t="s">
        <v>12</v>
      </c>
      <c r="B423" s="1" t="s">
        <v>15</v>
      </c>
      <c r="C423" s="1" t="s">
        <v>16</v>
      </c>
      <c r="D423" s="1" t="s">
        <v>90</v>
      </c>
      <c r="E423" s="1" t="s">
        <v>16</v>
      </c>
      <c r="F423" s="1" t="s">
        <v>43</v>
      </c>
      <c r="G423" s="29" t="n">
        <v>46426</v>
      </c>
      <c r="H423" s="30" t="n">
        <v>1.507018</v>
      </c>
      <c r="I423" s="1" t="s">
        <v>196</v>
      </c>
      <c r="J423" s="1" t="s">
        <v>200</v>
      </c>
      <c r="K423" s="1" t="n">
        <v>39.507018</v>
      </c>
      <c r="L423" s="1" t="s">
        <v>198</v>
      </c>
    </row>
    <row r="424" customFormat="false" ht="15" hidden="false" customHeight="true" outlineLevel="0" collapsed="false">
      <c r="A424" s="1" t="s">
        <v>12</v>
      </c>
      <c r="B424" s="1" t="s">
        <v>30</v>
      </c>
      <c r="C424" s="1" t="s">
        <v>14</v>
      </c>
      <c r="D424" s="1" t="s">
        <v>21</v>
      </c>
      <c r="E424" s="1" t="s">
        <v>14</v>
      </c>
      <c r="F424" s="1" t="s">
        <v>85</v>
      </c>
      <c r="G424" s="29" t="n">
        <v>46426</v>
      </c>
      <c r="H424" s="30" t="n">
        <v>14</v>
      </c>
      <c r="I424" s="1" t="s">
        <v>206</v>
      </c>
      <c r="J424" s="1" t="s">
        <v>197</v>
      </c>
      <c r="K424" s="1" t="n">
        <v>45.5</v>
      </c>
      <c r="L424" s="1" t="s">
        <v>198</v>
      </c>
    </row>
    <row r="425" customFormat="false" ht="15" hidden="false" customHeight="true" outlineLevel="0" collapsed="false">
      <c r="A425" s="1" t="s">
        <v>12</v>
      </c>
      <c r="B425" s="1" t="s">
        <v>30</v>
      </c>
      <c r="C425" s="1" t="s">
        <v>14</v>
      </c>
      <c r="D425" s="1" t="s">
        <v>131</v>
      </c>
      <c r="E425" s="1" t="s">
        <v>14</v>
      </c>
      <c r="F425" s="1" t="s">
        <v>100</v>
      </c>
      <c r="G425" s="29" t="n">
        <v>46426</v>
      </c>
      <c r="H425" s="30" t="n">
        <v>30</v>
      </c>
      <c r="I425" s="1" t="s">
        <v>206</v>
      </c>
      <c r="J425" s="1" t="s">
        <v>197</v>
      </c>
      <c r="K425" s="1" t="n">
        <v>30</v>
      </c>
      <c r="L425" s="1" t="s">
        <v>198</v>
      </c>
    </row>
    <row r="426" customFormat="false" ht="15" hidden="false" customHeight="true" outlineLevel="0" collapsed="false">
      <c r="A426" s="1" t="s">
        <v>12</v>
      </c>
      <c r="B426" s="1" t="s">
        <v>18</v>
      </c>
      <c r="C426" s="1" t="s">
        <v>16</v>
      </c>
      <c r="D426" s="1" t="s">
        <v>142</v>
      </c>
      <c r="E426" s="1" t="s">
        <v>16</v>
      </c>
      <c r="F426" s="1" t="s">
        <v>79</v>
      </c>
      <c r="G426" s="29" t="n">
        <v>46426</v>
      </c>
      <c r="H426" s="30" t="n">
        <v>1.403509</v>
      </c>
      <c r="I426" s="1" t="s">
        <v>196</v>
      </c>
      <c r="J426" s="1" t="s">
        <v>200</v>
      </c>
      <c r="K426" s="1" t="n">
        <v>1.403509</v>
      </c>
      <c r="L426" s="1" t="s">
        <v>201</v>
      </c>
    </row>
    <row r="427" customFormat="false" ht="15" hidden="false" customHeight="true" outlineLevel="0" collapsed="false">
      <c r="A427" s="1" t="s">
        <v>12</v>
      </c>
      <c r="B427" s="1" t="s">
        <v>18</v>
      </c>
      <c r="C427" s="1" t="s">
        <v>16</v>
      </c>
      <c r="D427" s="1" t="s">
        <v>142</v>
      </c>
      <c r="E427" s="1" t="s">
        <v>16</v>
      </c>
      <c r="F427" s="1" t="s">
        <v>81</v>
      </c>
      <c r="G427" s="29" t="n">
        <v>46426</v>
      </c>
      <c r="H427" s="30" t="n">
        <v>0.5</v>
      </c>
      <c r="I427" s="1" t="s">
        <v>196</v>
      </c>
      <c r="J427" s="1" t="s">
        <v>200</v>
      </c>
      <c r="K427" s="1" t="n">
        <v>3.307018</v>
      </c>
      <c r="L427" s="1" t="s">
        <v>201</v>
      </c>
    </row>
    <row r="428" customFormat="false" ht="15" hidden="false" customHeight="true" outlineLevel="0" collapsed="false">
      <c r="A428" s="1" t="s">
        <v>12</v>
      </c>
      <c r="B428" s="1" t="s">
        <v>18</v>
      </c>
      <c r="C428" s="1" t="s">
        <v>16</v>
      </c>
      <c r="D428" s="1" t="s">
        <v>142</v>
      </c>
      <c r="E428" s="1" t="s">
        <v>16</v>
      </c>
      <c r="F428" s="1" t="s">
        <v>40</v>
      </c>
      <c r="G428" s="29" t="n">
        <v>46426</v>
      </c>
      <c r="H428" s="30" t="n">
        <v>5</v>
      </c>
      <c r="I428" s="1" t="s">
        <v>196</v>
      </c>
      <c r="J428" s="1" t="s">
        <v>200</v>
      </c>
      <c r="K428" s="1" t="n">
        <v>9.41403600000001</v>
      </c>
      <c r="L428" s="1" t="s">
        <v>201</v>
      </c>
    </row>
    <row r="429" customFormat="false" ht="15" hidden="false" customHeight="true" outlineLevel="0" collapsed="false">
      <c r="A429" s="1" t="s">
        <v>12</v>
      </c>
      <c r="B429" s="1" t="s">
        <v>18</v>
      </c>
      <c r="C429" s="1" t="s">
        <v>16</v>
      </c>
      <c r="D429" s="1" t="s">
        <v>142</v>
      </c>
      <c r="E429" s="1" t="s">
        <v>16</v>
      </c>
      <c r="F429" s="1" t="s">
        <v>85</v>
      </c>
      <c r="G429" s="29" t="n">
        <v>46426</v>
      </c>
      <c r="H429" s="30" t="n">
        <v>8</v>
      </c>
      <c r="I429" s="1" t="s">
        <v>196</v>
      </c>
      <c r="J429" s="1" t="s">
        <v>200</v>
      </c>
      <c r="K429" s="1" t="n">
        <v>17.414036</v>
      </c>
      <c r="L429" s="1" t="s">
        <v>201</v>
      </c>
    </row>
    <row r="430" customFormat="false" ht="15" hidden="false" customHeight="true" outlineLevel="0" collapsed="false">
      <c r="A430" s="1" t="s">
        <v>12</v>
      </c>
      <c r="B430" s="1" t="s">
        <v>138</v>
      </c>
      <c r="C430" s="1" t="s">
        <v>14</v>
      </c>
      <c r="D430" s="1" t="s">
        <v>146</v>
      </c>
      <c r="E430" s="1" t="s">
        <v>14</v>
      </c>
      <c r="F430" s="1" t="s">
        <v>81</v>
      </c>
      <c r="G430" s="29" t="n">
        <v>46426</v>
      </c>
      <c r="H430" s="30" t="n">
        <v>15</v>
      </c>
      <c r="I430" s="1" t="s">
        <v>205</v>
      </c>
      <c r="J430" s="1" t="s">
        <v>197</v>
      </c>
      <c r="K430" s="1" t="n">
        <v>33</v>
      </c>
      <c r="L430" s="1" t="s">
        <v>201</v>
      </c>
    </row>
    <row r="431" customFormat="false" ht="15" hidden="false" customHeight="true" outlineLevel="0" collapsed="false">
      <c r="A431" s="1" t="s">
        <v>12</v>
      </c>
      <c r="B431" s="1" t="s">
        <v>138</v>
      </c>
      <c r="C431" s="1" t="s">
        <v>14</v>
      </c>
      <c r="D431" s="1" t="s">
        <v>156</v>
      </c>
      <c r="E431" s="1" t="s">
        <v>14</v>
      </c>
      <c r="F431" s="1" t="s">
        <v>100</v>
      </c>
      <c r="G431" s="29" t="n">
        <v>46426</v>
      </c>
      <c r="H431" s="30" t="n">
        <v>35</v>
      </c>
      <c r="I431" s="1" t="s">
        <v>205</v>
      </c>
      <c r="J431" s="1" t="s">
        <v>197</v>
      </c>
      <c r="K431" s="1" t="n">
        <v>35</v>
      </c>
      <c r="L431" s="1" t="s">
        <v>201</v>
      </c>
    </row>
    <row r="432" customFormat="false" ht="15" hidden="false" customHeight="true" outlineLevel="0" collapsed="false">
      <c r="A432" s="1" t="s">
        <v>12</v>
      </c>
      <c r="B432" s="1" t="s">
        <v>104</v>
      </c>
      <c r="C432" s="1" t="s">
        <v>16</v>
      </c>
      <c r="D432" s="1" t="s">
        <v>142</v>
      </c>
      <c r="E432" s="1" t="s">
        <v>16</v>
      </c>
      <c r="F432" s="1" t="s">
        <v>105</v>
      </c>
      <c r="G432" s="29" t="n">
        <v>46426</v>
      </c>
      <c r="H432" s="30" t="n">
        <v>4</v>
      </c>
      <c r="I432" s="1" t="s">
        <v>205</v>
      </c>
      <c r="J432" s="1" t="s">
        <v>200</v>
      </c>
      <c r="K432" s="1" t="n">
        <v>23.414036</v>
      </c>
      <c r="L432" s="1" t="s">
        <v>201</v>
      </c>
    </row>
    <row r="433" customFormat="false" ht="15" hidden="false" customHeight="true" outlineLevel="0" collapsed="false">
      <c r="A433" s="1" t="s">
        <v>12</v>
      </c>
      <c r="B433" s="1" t="s">
        <v>104</v>
      </c>
      <c r="C433" s="1" t="s">
        <v>10</v>
      </c>
      <c r="D433" s="1" t="s">
        <v>145</v>
      </c>
      <c r="E433" s="1" t="s">
        <v>10</v>
      </c>
      <c r="F433" s="1" t="s">
        <v>105</v>
      </c>
      <c r="G433" s="29" t="n">
        <v>46426</v>
      </c>
      <c r="H433" s="30" t="n">
        <v>16</v>
      </c>
      <c r="I433" s="1" t="s">
        <v>205</v>
      </c>
      <c r="J433" s="1" t="s">
        <v>200</v>
      </c>
      <c r="K433" s="1" t="n">
        <v>30</v>
      </c>
      <c r="L433" s="1" t="s">
        <v>201</v>
      </c>
    </row>
    <row r="434" customFormat="false" ht="15" hidden="false" customHeight="true" outlineLevel="0" collapsed="false">
      <c r="A434" s="1" t="s">
        <v>12</v>
      </c>
      <c r="B434" s="1" t="s">
        <v>104</v>
      </c>
      <c r="C434" s="1" t="s">
        <v>14</v>
      </c>
      <c r="D434" s="1" t="s">
        <v>157</v>
      </c>
      <c r="E434" s="1" t="s">
        <v>14</v>
      </c>
      <c r="F434" s="1" t="s">
        <v>105</v>
      </c>
      <c r="G434" s="29" t="n">
        <v>46426</v>
      </c>
      <c r="H434" s="30" t="n">
        <v>40</v>
      </c>
      <c r="I434" s="1" t="s">
        <v>205</v>
      </c>
      <c r="J434" s="1" t="s">
        <v>197</v>
      </c>
      <c r="K434" s="1" t="n">
        <v>40</v>
      </c>
      <c r="L434" s="1" t="s">
        <v>201</v>
      </c>
    </row>
    <row r="435" customFormat="false" ht="15" hidden="false" customHeight="true" outlineLevel="0" collapsed="false">
      <c r="A435" s="1" t="s">
        <v>12</v>
      </c>
      <c r="B435" s="1" t="s">
        <v>135</v>
      </c>
      <c r="C435" s="1" t="s">
        <v>14</v>
      </c>
      <c r="D435" s="1" t="s">
        <v>155</v>
      </c>
      <c r="E435" s="1" t="s">
        <v>14</v>
      </c>
      <c r="F435" s="1" t="s">
        <v>43</v>
      </c>
      <c r="G435" s="29" t="n">
        <v>46426</v>
      </c>
      <c r="H435" s="30" t="n">
        <v>33</v>
      </c>
      <c r="I435" s="1" t="s">
        <v>205</v>
      </c>
      <c r="J435" s="1" t="s">
        <v>197</v>
      </c>
      <c r="K435" s="1" t="n">
        <v>33</v>
      </c>
      <c r="L435" s="1" t="s">
        <v>201</v>
      </c>
    </row>
    <row r="436" customFormat="false" ht="15" hidden="false" customHeight="true" outlineLevel="0" collapsed="false">
      <c r="A436" s="1" t="s">
        <v>12</v>
      </c>
      <c r="B436" s="1" t="s">
        <v>127</v>
      </c>
      <c r="C436" s="1" t="s">
        <v>14</v>
      </c>
      <c r="D436" s="1" t="s">
        <v>148</v>
      </c>
      <c r="E436" s="1" t="s">
        <v>14</v>
      </c>
      <c r="F436" s="1" t="s">
        <v>40</v>
      </c>
      <c r="G436" s="29" t="n">
        <v>46426</v>
      </c>
      <c r="H436" s="30" t="n">
        <v>10</v>
      </c>
      <c r="I436" s="1" t="s">
        <v>205</v>
      </c>
      <c r="J436" s="1" t="s">
        <v>197</v>
      </c>
      <c r="K436" s="1" t="n">
        <v>29</v>
      </c>
      <c r="L436" s="1" t="s">
        <v>201</v>
      </c>
    </row>
    <row r="437" customFormat="false" ht="15" hidden="false" customHeight="true" outlineLevel="0" collapsed="false">
      <c r="A437" s="1" t="s">
        <v>12</v>
      </c>
      <c r="B437" s="1" t="s">
        <v>130</v>
      </c>
      <c r="C437" s="1" t="s">
        <v>14</v>
      </c>
      <c r="D437" s="1" t="s">
        <v>149</v>
      </c>
      <c r="E437" s="1" t="s">
        <v>14</v>
      </c>
      <c r="F437" s="1" t="s">
        <v>85</v>
      </c>
      <c r="G437" s="29" t="n">
        <v>46426</v>
      </c>
      <c r="H437" s="30" t="n">
        <v>2</v>
      </c>
      <c r="I437" s="1" t="s">
        <v>205</v>
      </c>
      <c r="J437" s="1" t="s">
        <v>197</v>
      </c>
      <c r="K437" s="1" t="n">
        <v>2</v>
      </c>
      <c r="L437" s="1" t="s">
        <v>201</v>
      </c>
    </row>
    <row r="438" customFormat="false" ht="15" hidden="false" customHeight="true" outlineLevel="0" collapsed="false">
      <c r="A438" s="1" t="s">
        <v>12</v>
      </c>
      <c r="B438" s="1" t="s">
        <v>139</v>
      </c>
      <c r="C438" s="1" t="s">
        <v>14</v>
      </c>
      <c r="D438" s="1" t="s">
        <v>153</v>
      </c>
      <c r="E438" s="1" t="s">
        <v>14</v>
      </c>
      <c r="F438" s="1" t="s">
        <v>99</v>
      </c>
      <c r="G438" s="29" t="n">
        <v>46426</v>
      </c>
      <c r="H438" s="30" t="n">
        <v>24</v>
      </c>
      <c r="I438" s="1" t="s">
        <v>205</v>
      </c>
      <c r="J438" s="1" t="s">
        <v>197</v>
      </c>
      <c r="K438" s="1" t="n">
        <v>24</v>
      </c>
      <c r="L438" s="1" t="s">
        <v>201</v>
      </c>
    </row>
    <row r="439" customFormat="false" ht="15" hidden="false" customHeight="true" outlineLevel="0" collapsed="false">
      <c r="A439" s="1" t="s">
        <v>12</v>
      </c>
      <c r="B439" s="1" t="s">
        <v>139</v>
      </c>
      <c r="C439" s="1" t="s">
        <v>14</v>
      </c>
      <c r="D439" s="1" t="s">
        <v>155</v>
      </c>
      <c r="E439" s="1" t="s">
        <v>14</v>
      </c>
      <c r="F439" s="1" t="s">
        <v>43</v>
      </c>
      <c r="G439" s="29" t="n">
        <v>46426</v>
      </c>
      <c r="H439" s="30" t="n">
        <v>18</v>
      </c>
      <c r="I439" s="1" t="s">
        <v>205</v>
      </c>
      <c r="J439" s="1" t="s">
        <v>197</v>
      </c>
      <c r="K439" s="1" t="n">
        <v>51</v>
      </c>
      <c r="L439" s="1" t="s">
        <v>201</v>
      </c>
    </row>
    <row r="440" customFormat="false" ht="15" hidden="false" customHeight="true" outlineLevel="0" collapsed="false">
      <c r="A440" s="1" t="s">
        <v>12</v>
      </c>
      <c r="B440" s="1" t="s">
        <v>139</v>
      </c>
      <c r="C440" s="1" t="s">
        <v>14</v>
      </c>
      <c r="D440" s="1" t="s">
        <v>156</v>
      </c>
      <c r="E440" s="1" t="s">
        <v>14</v>
      </c>
      <c r="F440" s="1" t="s">
        <v>100</v>
      </c>
      <c r="G440" s="29" t="n">
        <v>46426</v>
      </c>
      <c r="H440" s="30" t="n">
        <v>5</v>
      </c>
      <c r="I440" s="1" t="s">
        <v>205</v>
      </c>
      <c r="J440" s="1" t="s">
        <v>197</v>
      </c>
      <c r="K440" s="1" t="n">
        <v>40</v>
      </c>
      <c r="L440" s="1" t="s">
        <v>201</v>
      </c>
    </row>
    <row r="441" customFormat="false" ht="15" hidden="false" customHeight="true" outlineLevel="0" collapsed="false">
      <c r="A441" s="1" t="s">
        <v>12</v>
      </c>
      <c r="B441" s="1" t="s">
        <v>134</v>
      </c>
      <c r="C441" s="1" t="s">
        <v>14</v>
      </c>
      <c r="D441" s="1" t="s">
        <v>151</v>
      </c>
      <c r="E441" s="1" t="s">
        <v>14</v>
      </c>
      <c r="F441" s="1" t="s">
        <v>99</v>
      </c>
      <c r="G441" s="29" t="n">
        <v>46426</v>
      </c>
      <c r="H441" s="30" t="n">
        <v>10</v>
      </c>
      <c r="I441" s="1" t="s">
        <v>205</v>
      </c>
      <c r="J441" s="1" t="s">
        <v>197</v>
      </c>
      <c r="K441" s="1" t="n">
        <v>32</v>
      </c>
      <c r="L441" s="1" t="s">
        <v>201</v>
      </c>
    </row>
    <row r="442" customFormat="false" ht="15" hidden="false" customHeight="true" outlineLevel="0" collapsed="false">
      <c r="A442" s="1" t="s">
        <v>12</v>
      </c>
      <c r="B442" s="1" t="s">
        <v>134</v>
      </c>
      <c r="C442" s="1" t="s">
        <v>14</v>
      </c>
      <c r="D442" s="1" t="s">
        <v>154</v>
      </c>
      <c r="E442" s="1" t="s">
        <v>14</v>
      </c>
      <c r="F442" s="1" t="s">
        <v>99</v>
      </c>
      <c r="G442" s="29" t="n">
        <v>46426</v>
      </c>
      <c r="H442" s="30" t="n">
        <v>55</v>
      </c>
      <c r="I442" s="1" t="s">
        <v>205</v>
      </c>
      <c r="J442" s="1" t="s">
        <v>197</v>
      </c>
      <c r="K442" s="1" t="n">
        <v>55</v>
      </c>
      <c r="L442" s="1" t="s">
        <v>201</v>
      </c>
    </row>
    <row r="443" customFormat="false" ht="15" hidden="false" customHeight="true" outlineLevel="0" collapsed="false">
      <c r="A443" s="1" t="s">
        <v>12</v>
      </c>
      <c r="B443" s="1" t="s">
        <v>133</v>
      </c>
      <c r="C443" s="1" t="s">
        <v>14</v>
      </c>
      <c r="D443" s="1" t="s">
        <v>152</v>
      </c>
      <c r="E443" s="1" t="s">
        <v>14</v>
      </c>
      <c r="F443" s="1" t="s">
        <v>46</v>
      </c>
      <c r="G443" s="29" t="n">
        <v>46426</v>
      </c>
      <c r="H443" s="30" t="n">
        <v>34</v>
      </c>
      <c r="I443" s="1" t="s">
        <v>204</v>
      </c>
      <c r="J443" s="1" t="s">
        <v>197</v>
      </c>
      <c r="K443" s="1" t="n">
        <v>34</v>
      </c>
      <c r="L443" s="1" t="s">
        <v>201</v>
      </c>
    </row>
    <row r="444" customFormat="false" ht="15" hidden="false" customHeight="true" outlineLevel="0" collapsed="false">
      <c r="A444" s="1" t="s">
        <v>12</v>
      </c>
      <c r="B444" s="1" t="s">
        <v>128</v>
      </c>
      <c r="C444" s="1" t="s">
        <v>14</v>
      </c>
      <c r="D444" s="1" t="s">
        <v>146</v>
      </c>
      <c r="E444" s="1" t="s">
        <v>14</v>
      </c>
      <c r="F444" s="1" t="s">
        <v>108</v>
      </c>
      <c r="G444" s="29" t="n">
        <v>46426</v>
      </c>
      <c r="H444" s="30" t="n">
        <v>3.5</v>
      </c>
      <c r="I444" s="1" t="s">
        <v>205</v>
      </c>
      <c r="J444" s="1" t="s">
        <v>197</v>
      </c>
      <c r="K444" s="1" t="n">
        <v>3.5</v>
      </c>
      <c r="L444" s="1" t="s">
        <v>201</v>
      </c>
    </row>
    <row r="445" customFormat="false" ht="15" hidden="false" customHeight="true" outlineLevel="0" collapsed="false">
      <c r="A445" s="1" t="s">
        <v>12</v>
      </c>
      <c r="B445" s="1" t="s">
        <v>129</v>
      </c>
      <c r="C445" s="1" t="s">
        <v>14</v>
      </c>
      <c r="D445" s="1" t="s">
        <v>147</v>
      </c>
      <c r="E445" s="1" t="s">
        <v>14</v>
      </c>
      <c r="F445" s="1" t="s">
        <v>102</v>
      </c>
      <c r="G445" s="29" t="n">
        <v>46426</v>
      </c>
      <c r="H445" s="30" t="n">
        <v>38</v>
      </c>
      <c r="I445" s="1" t="s">
        <v>205</v>
      </c>
      <c r="J445" s="1" t="s">
        <v>197</v>
      </c>
      <c r="K445" s="1" t="n">
        <v>38</v>
      </c>
      <c r="L445" s="1" t="s">
        <v>201</v>
      </c>
    </row>
    <row r="446" customFormat="false" ht="15" hidden="false" customHeight="true" outlineLevel="0" collapsed="false">
      <c r="A446" s="1" t="s">
        <v>12</v>
      </c>
      <c r="B446" s="1" t="s">
        <v>131</v>
      </c>
      <c r="C446" s="1" t="s">
        <v>14</v>
      </c>
      <c r="D446" s="1" t="s">
        <v>150</v>
      </c>
      <c r="E446" s="1" t="s">
        <v>14</v>
      </c>
      <c r="F446" s="1" t="s">
        <v>103</v>
      </c>
      <c r="G446" s="29" t="n">
        <v>46426</v>
      </c>
      <c r="H446" s="30" t="n">
        <v>55</v>
      </c>
      <c r="I446" s="1" t="s">
        <v>205</v>
      </c>
      <c r="J446" s="1" t="s">
        <v>197</v>
      </c>
      <c r="K446" s="1" t="n">
        <v>55</v>
      </c>
      <c r="L446" s="1" t="s">
        <v>201</v>
      </c>
    </row>
    <row r="447" customFormat="false" ht="15" hidden="false" customHeight="true" outlineLevel="0" collapsed="false">
      <c r="A447" s="1" t="s">
        <v>12</v>
      </c>
      <c r="B447" s="1" t="s">
        <v>131</v>
      </c>
      <c r="C447" s="1" t="s">
        <v>14</v>
      </c>
      <c r="D447" s="1" t="s">
        <v>151</v>
      </c>
      <c r="E447" s="1" t="s">
        <v>14</v>
      </c>
      <c r="F447" s="1" t="s">
        <v>103</v>
      </c>
      <c r="G447" s="29" t="n">
        <v>46426</v>
      </c>
      <c r="H447" s="30" t="n">
        <v>10</v>
      </c>
      <c r="I447" s="1" t="s">
        <v>205</v>
      </c>
      <c r="J447" s="1" t="s">
        <v>197</v>
      </c>
      <c r="K447" s="1" t="n">
        <v>10</v>
      </c>
      <c r="L447" s="1" t="s">
        <v>201</v>
      </c>
    </row>
    <row r="448" customFormat="false" ht="15" hidden="false" customHeight="true" outlineLevel="0" collapsed="false">
      <c r="A448" s="1" t="s">
        <v>12</v>
      </c>
      <c r="B448" s="1" t="s">
        <v>132</v>
      </c>
      <c r="C448" s="1" t="s">
        <v>14</v>
      </c>
      <c r="D448" s="1" t="s">
        <v>149</v>
      </c>
      <c r="E448" s="1" t="s">
        <v>14</v>
      </c>
      <c r="F448" s="1" t="s">
        <v>103</v>
      </c>
      <c r="G448" s="29" t="n">
        <v>46426</v>
      </c>
      <c r="H448" s="30" t="n">
        <v>53</v>
      </c>
      <c r="I448" s="1" t="s">
        <v>205</v>
      </c>
      <c r="J448" s="1" t="s">
        <v>197</v>
      </c>
      <c r="K448" s="1" t="n">
        <v>55</v>
      </c>
      <c r="L448" s="1" t="s">
        <v>201</v>
      </c>
    </row>
    <row r="449" customFormat="false" ht="15" hidden="false" customHeight="true" outlineLevel="0" collapsed="false">
      <c r="A449" s="1" t="s">
        <v>12</v>
      </c>
      <c r="B449" s="1" t="s">
        <v>132</v>
      </c>
      <c r="C449" s="1" t="s">
        <v>14</v>
      </c>
      <c r="D449" s="1" t="s">
        <v>151</v>
      </c>
      <c r="E449" s="1" t="s">
        <v>14</v>
      </c>
      <c r="F449" s="1" t="s">
        <v>103</v>
      </c>
      <c r="G449" s="29" t="n">
        <v>46426</v>
      </c>
      <c r="H449" s="30" t="n">
        <v>12</v>
      </c>
      <c r="I449" s="1" t="s">
        <v>205</v>
      </c>
      <c r="J449" s="1" t="s">
        <v>197</v>
      </c>
      <c r="K449" s="1" t="n">
        <v>22</v>
      </c>
      <c r="L449" s="1" t="s">
        <v>201</v>
      </c>
    </row>
    <row r="450" customFormat="false" ht="15" hidden="false" customHeight="true" outlineLevel="0" collapsed="false">
      <c r="A450" s="1" t="s">
        <v>12</v>
      </c>
      <c r="B450" s="1" t="s">
        <v>136</v>
      </c>
      <c r="C450" s="1" t="s">
        <v>14</v>
      </c>
      <c r="D450" s="1" t="s">
        <v>153</v>
      </c>
      <c r="E450" s="1" t="s">
        <v>14</v>
      </c>
      <c r="F450" s="1" t="s">
        <v>43</v>
      </c>
      <c r="G450" s="29" t="n">
        <v>46426</v>
      </c>
      <c r="H450" s="30" t="n">
        <v>20</v>
      </c>
      <c r="I450" s="1" t="s">
        <v>205</v>
      </c>
      <c r="J450" s="1" t="s">
        <v>197</v>
      </c>
      <c r="K450" s="1" t="n">
        <v>44</v>
      </c>
      <c r="L450" s="1" t="s">
        <v>201</v>
      </c>
    </row>
    <row r="451" customFormat="false" ht="15" hidden="false" customHeight="true" outlineLevel="0" collapsed="false">
      <c r="A451" s="1" t="s">
        <v>12</v>
      </c>
      <c r="B451" s="1" t="s">
        <v>25</v>
      </c>
      <c r="C451" s="1" t="s">
        <v>16</v>
      </c>
      <c r="D451" s="1" t="s">
        <v>142</v>
      </c>
      <c r="E451" s="1" t="s">
        <v>16</v>
      </c>
      <c r="F451" s="1" t="s">
        <v>79</v>
      </c>
      <c r="G451" s="29" t="n">
        <v>46426</v>
      </c>
      <c r="H451" s="30" t="n">
        <v>1.403509</v>
      </c>
      <c r="I451" s="1" t="s">
        <v>196</v>
      </c>
      <c r="J451" s="1" t="s">
        <v>197</v>
      </c>
      <c r="K451" s="1" t="n">
        <v>2.807018</v>
      </c>
      <c r="L451" s="1" t="s">
        <v>201</v>
      </c>
    </row>
    <row r="452" customFormat="false" ht="15" hidden="false" customHeight="true" outlineLevel="0" collapsed="false">
      <c r="A452" s="1" t="s">
        <v>12</v>
      </c>
      <c r="B452" s="1" t="s">
        <v>25</v>
      </c>
      <c r="C452" s="1" t="s">
        <v>16</v>
      </c>
      <c r="D452" s="1" t="s">
        <v>142</v>
      </c>
      <c r="E452" s="1" t="s">
        <v>16</v>
      </c>
      <c r="F452" s="1" t="s">
        <v>81</v>
      </c>
      <c r="G452" s="29" t="n">
        <v>46426</v>
      </c>
      <c r="H452" s="30" t="n">
        <v>1</v>
      </c>
      <c r="I452" s="1" t="s">
        <v>196</v>
      </c>
      <c r="J452" s="1" t="s">
        <v>197</v>
      </c>
      <c r="K452" s="1" t="n">
        <v>4.307018</v>
      </c>
      <c r="L452" s="1" t="s">
        <v>201</v>
      </c>
    </row>
    <row r="453" customFormat="false" ht="15" hidden="false" customHeight="true" outlineLevel="0" collapsed="false">
      <c r="A453" s="1" t="s">
        <v>12</v>
      </c>
      <c r="B453" s="1" t="s">
        <v>25</v>
      </c>
      <c r="C453" s="1" t="s">
        <v>16</v>
      </c>
      <c r="D453" s="1" t="s">
        <v>142</v>
      </c>
      <c r="E453" s="1" t="s">
        <v>16</v>
      </c>
      <c r="F453" s="1" t="s">
        <v>98</v>
      </c>
      <c r="G453" s="29" t="n">
        <v>46426</v>
      </c>
      <c r="H453" s="30" t="n">
        <v>2</v>
      </c>
      <c r="I453" s="1" t="s">
        <v>196</v>
      </c>
      <c r="J453" s="1" t="s">
        <v>200</v>
      </c>
      <c r="K453" s="1" t="n">
        <v>19.414036</v>
      </c>
      <c r="L453" s="1" t="s">
        <v>201</v>
      </c>
    </row>
    <row r="454" customFormat="false" ht="15" hidden="false" customHeight="true" outlineLevel="0" collapsed="false">
      <c r="A454" s="1" t="s">
        <v>29</v>
      </c>
      <c r="B454" s="1" t="s">
        <v>35</v>
      </c>
      <c r="C454" s="1" t="s">
        <v>10</v>
      </c>
      <c r="D454" s="1" t="s">
        <v>143</v>
      </c>
      <c r="E454" s="1" t="s">
        <v>10</v>
      </c>
      <c r="F454" s="1" t="s">
        <v>92</v>
      </c>
      <c r="G454" s="29" t="n">
        <v>46433</v>
      </c>
      <c r="H454" s="30" t="n">
        <v>5</v>
      </c>
      <c r="I454" s="1" t="s">
        <v>196</v>
      </c>
      <c r="J454" s="1" t="s">
        <v>197</v>
      </c>
      <c r="K454" s="1" t="n">
        <v>5</v>
      </c>
      <c r="L454" s="1" t="s">
        <v>201</v>
      </c>
    </row>
    <row r="455" customFormat="false" ht="15" hidden="false" customHeight="true" outlineLevel="0" collapsed="false">
      <c r="A455" s="1" t="s">
        <v>29</v>
      </c>
      <c r="B455" s="1" t="s">
        <v>28</v>
      </c>
      <c r="C455" s="1" t="s">
        <v>10</v>
      </c>
      <c r="D455" s="1" t="s">
        <v>143</v>
      </c>
      <c r="E455" s="1" t="s">
        <v>10</v>
      </c>
      <c r="F455" s="1" t="s">
        <v>92</v>
      </c>
      <c r="G455" s="29" t="n">
        <v>46433</v>
      </c>
      <c r="H455" s="30" t="n">
        <v>5</v>
      </c>
      <c r="I455" s="1" t="s">
        <v>196</v>
      </c>
      <c r="J455" s="1" t="s">
        <v>197</v>
      </c>
      <c r="K455" s="1" t="n">
        <v>10</v>
      </c>
      <c r="L455" s="1" t="s">
        <v>201</v>
      </c>
    </row>
    <row r="456" customFormat="false" ht="15" hidden="false" customHeight="true" outlineLevel="0" collapsed="false">
      <c r="A456" s="1" t="s">
        <v>29</v>
      </c>
      <c r="B456" s="1" t="s">
        <v>18</v>
      </c>
      <c r="C456" s="1" t="s">
        <v>16</v>
      </c>
      <c r="D456" s="1" t="s">
        <v>140</v>
      </c>
      <c r="E456" s="1" t="s">
        <v>16</v>
      </c>
      <c r="F456" s="1" t="s">
        <v>92</v>
      </c>
      <c r="G456" s="29" t="n">
        <v>46433</v>
      </c>
      <c r="H456" s="30" t="n">
        <v>10.107018</v>
      </c>
      <c r="I456" s="1" t="s">
        <v>196</v>
      </c>
      <c r="J456" s="1" t="s">
        <v>200</v>
      </c>
      <c r="K456" s="1" t="n">
        <v>10.107018</v>
      </c>
      <c r="L456" s="1" t="s">
        <v>201</v>
      </c>
    </row>
    <row r="457" customFormat="false" ht="15" hidden="false" customHeight="true" outlineLevel="0" collapsed="false">
      <c r="A457" s="1" t="s">
        <v>29</v>
      </c>
      <c r="B457" s="1" t="s">
        <v>18</v>
      </c>
      <c r="C457" s="1" t="s">
        <v>16</v>
      </c>
      <c r="D457" s="1" t="s">
        <v>90</v>
      </c>
      <c r="E457" s="1" t="s">
        <v>16</v>
      </c>
      <c r="F457" s="1" t="s">
        <v>92</v>
      </c>
      <c r="G457" s="29" t="n">
        <v>46433</v>
      </c>
      <c r="H457" s="30" t="n">
        <v>4.892982</v>
      </c>
      <c r="I457" s="1" t="s">
        <v>196</v>
      </c>
      <c r="J457" s="1" t="s">
        <v>197</v>
      </c>
      <c r="K457" s="1" t="n">
        <v>55</v>
      </c>
      <c r="L457" s="1" t="s">
        <v>198</v>
      </c>
    </row>
    <row r="458" customFormat="false" ht="15" hidden="false" customHeight="true" outlineLevel="0" collapsed="false">
      <c r="A458" s="1" t="s">
        <v>12</v>
      </c>
      <c r="B458" s="1" t="s">
        <v>13</v>
      </c>
      <c r="C458" s="1" t="s">
        <v>14</v>
      </c>
      <c r="D458" s="1" t="s">
        <v>123</v>
      </c>
      <c r="E458" s="1" t="s">
        <v>14</v>
      </c>
      <c r="F458" s="1" t="s">
        <v>81</v>
      </c>
      <c r="G458" s="29" t="n">
        <v>46433</v>
      </c>
      <c r="H458" s="30" t="n">
        <v>7</v>
      </c>
      <c r="I458" s="1" t="s">
        <v>196</v>
      </c>
      <c r="J458" s="1" t="s">
        <v>197</v>
      </c>
      <c r="K458" s="1" t="n">
        <v>9</v>
      </c>
      <c r="L458" s="1" t="s">
        <v>198</v>
      </c>
    </row>
    <row r="459" customFormat="false" ht="15" hidden="false" customHeight="true" outlineLevel="0" collapsed="false">
      <c r="A459" s="1" t="s">
        <v>12</v>
      </c>
      <c r="B459" s="1" t="s">
        <v>13</v>
      </c>
      <c r="C459" s="1" t="s">
        <v>14</v>
      </c>
      <c r="D459" s="1" t="s">
        <v>27</v>
      </c>
      <c r="E459" s="1" t="s">
        <v>14</v>
      </c>
      <c r="F459" s="1" t="s">
        <v>40</v>
      </c>
      <c r="G459" s="29" t="n">
        <v>46433</v>
      </c>
      <c r="H459" s="30" t="n">
        <v>15</v>
      </c>
      <c r="I459" s="1" t="s">
        <v>196</v>
      </c>
      <c r="J459" s="1" t="s">
        <v>197</v>
      </c>
      <c r="K459" s="1" t="n">
        <v>49.5</v>
      </c>
      <c r="L459" s="1" t="s">
        <v>198</v>
      </c>
    </row>
    <row r="460" customFormat="false" ht="15" hidden="false" customHeight="true" outlineLevel="0" collapsed="false">
      <c r="A460" s="1" t="s">
        <v>12</v>
      </c>
      <c r="B460" s="1" t="s">
        <v>13</v>
      </c>
      <c r="C460" s="1" t="s">
        <v>14</v>
      </c>
      <c r="D460" s="1" t="s">
        <v>27</v>
      </c>
      <c r="E460" s="1" t="s">
        <v>14</v>
      </c>
      <c r="F460" s="1" t="s">
        <v>99</v>
      </c>
      <c r="G460" s="29" t="n">
        <v>46433</v>
      </c>
      <c r="H460" s="30" t="n">
        <v>7.5</v>
      </c>
      <c r="I460" s="1" t="s">
        <v>196</v>
      </c>
      <c r="J460" s="1" t="s">
        <v>197</v>
      </c>
      <c r="K460" s="1" t="n">
        <v>34.5</v>
      </c>
      <c r="L460" s="1" t="s">
        <v>198</v>
      </c>
    </row>
    <row r="461" customFormat="false" ht="15" hidden="false" customHeight="true" outlineLevel="0" collapsed="false">
      <c r="A461" s="1" t="s">
        <v>12</v>
      </c>
      <c r="B461" s="1" t="s">
        <v>13</v>
      </c>
      <c r="C461" s="1" t="s">
        <v>14</v>
      </c>
      <c r="D461" s="1" t="s">
        <v>21</v>
      </c>
      <c r="E461" s="1" t="s">
        <v>14</v>
      </c>
      <c r="F461" s="1" t="s">
        <v>43</v>
      </c>
      <c r="G461" s="29" t="n">
        <v>46433</v>
      </c>
      <c r="H461" s="30" t="n">
        <v>14.5</v>
      </c>
      <c r="I461" s="1" t="s">
        <v>196</v>
      </c>
      <c r="J461" s="1" t="s">
        <v>197</v>
      </c>
      <c r="K461" s="1" t="n">
        <v>55</v>
      </c>
      <c r="L461" s="1" t="s">
        <v>198</v>
      </c>
    </row>
    <row r="462" customFormat="false" ht="15" hidden="false" customHeight="true" outlineLevel="0" collapsed="false">
      <c r="A462" s="1" t="s">
        <v>12</v>
      </c>
      <c r="B462" s="1" t="s">
        <v>13</v>
      </c>
      <c r="C462" s="1" t="s">
        <v>14</v>
      </c>
      <c r="D462" s="1" t="s">
        <v>135</v>
      </c>
      <c r="E462" s="1" t="s">
        <v>14</v>
      </c>
      <c r="F462" s="1" t="s">
        <v>43</v>
      </c>
      <c r="G462" s="29" t="n">
        <v>46433</v>
      </c>
      <c r="H462" s="30" t="n">
        <v>3.5</v>
      </c>
      <c r="I462" s="1" t="s">
        <v>196</v>
      </c>
      <c r="J462" s="1" t="s">
        <v>197</v>
      </c>
      <c r="K462" s="1" t="n">
        <v>3.5</v>
      </c>
      <c r="L462" s="1" t="s">
        <v>198</v>
      </c>
    </row>
    <row r="463" customFormat="false" ht="15" hidden="false" customHeight="true" outlineLevel="0" collapsed="false">
      <c r="A463" s="1" t="s">
        <v>12</v>
      </c>
      <c r="B463" s="1" t="s">
        <v>13</v>
      </c>
      <c r="C463" s="1" t="s">
        <v>14</v>
      </c>
      <c r="D463" s="1" t="s">
        <v>30</v>
      </c>
      <c r="E463" s="1" t="s">
        <v>14</v>
      </c>
      <c r="F463" s="1" t="s">
        <v>100</v>
      </c>
      <c r="G463" s="29" t="n">
        <v>46433</v>
      </c>
      <c r="H463" s="30" t="n">
        <v>1</v>
      </c>
      <c r="I463" s="1" t="s">
        <v>196</v>
      </c>
      <c r="J463" s="1" t="s">
        <v>197</v>
      </c>
      <c r="K463" s="1" t="n">
        <v>41</v>
      </c>
      <c r="L463" s="1" t="s">
        <v>198</v>
      </c>
    </row>
    <row r="464" customFormat="false" ht="15" hidden="false" customHeight="true" outlineLevel="0" collapsed="false">
      <c r="A464" s="1" t="s">
        <v>12</v>
      </c>
      <c r="B464" s="1" t="s">
        <v>9</v>
      </c>
      <c r="C464" s="1" t="s">
        <v>10</v>
      </c>
      <c r="D464" s="1" t="s">
        <v>23</v>
      </c>
      <c r="E464" s="1" t="s">
        <v>10</v>
      </c>
      <c r="F464" s="1" t="s">
        <v>81</v>
      </c>
      <c r="G464" s="29" t="n">
        <v>46433</v>
      </c>
      <c r="H464" s="30" t="n">
        <v>8</v>
      </c>
      <c r="I464" s="1" t="s">
        <v>196</v>
      </c>
      <c r="J464" s="1" t="s">
        <v>197</v>
      </c>
      <c r="K464" s="1" t="n">
        <v>54.5</v>
      </c>
      <c r="L464" s="1" t="s">
        <v>198</v>
      </c>
    </row>
    <row r="465" customFormat="false" ht="15" hidden="false" customHeight="true" outlineLevel="0" collapsed="false">
      <c r="A465" s="1" t="s">
        <v>12</v>
      </c>
      <c r="B465" s="1" t="s">
        <v>9</v>
      </c>
      <c r="C465" s="1" t="s">
        <v>10</v>
      </c>
      <c r="D465" s="1" t="s">
        <v>116</v>
      </c>
      <c r="E465" s="1" t="s">
        <v>10</v>
      </c>
      <c r="F465" s="1" t="s">
        <v>40</v>
      </c>
      <c r="G465" s="29" t="n">
        <v>46433</v>
      </c>
      <c r="H465" s="30" t="n">
        <v>4.90000000000001</v>
      </c>
      <c r="I465" s="1" t="s">
        <v>196</v>
      </c>
      <c r="J465" s="1" t="s">
        <v>197</v>
      </c>
      <c r="K465" s="1" t="n">
        <v>49.4</v>
      </c>
      <c r="L465" s="1" t="s">
        <v>198</v>
      </c>
    </row>
    <row r="466" customFormat="false" ht="15" hidden="false" customHeight="true" outlineLevel="0" collapsed="false">
      <c r="A466" s="1" t="s">
        <v>12</v>
      </c>
      <c r="B466" s="1" t="s">
        <v>9</v>
      </c>
      <c r="C466" s="1" t="s">
        <v>10</v>
      </c>
      <c r="D466" s="1" t="s">
        <v>116</v>
      </c>
      <c r="E466" s="1" t="s">
        <v>10</v>
      </c>
      <c r="F466" s="1" t="s">
        <v>99</v>
      </c>
      <c r="G466" s="29" t="n">
        <v>46433</v>
      </c>
      <c r="H466" s="30" t="n">
        <v>8.5</v>
      </c>
      <c r="I466" s="1" t="s">
        <v>196</v>
      </c>
      <c r="J466" s="1" t="s">
        <v>197</v>
      </c>
      <c r="K466" s="1" t="n">
        <v>36</v>
      </c>
      <c r="L466" s="1" t="s">
        <v>198</v>
      </c>
    </row>
    <row r="467" customFormat="false" ht="15" hidden="false" customHeight="true" outlineLevel="0" collapsed="false">
      <c r="A467" s="1" t="s">
        <v>12</v>
      </c>
      <c r="B467" s="1" t="s">
        <v>9</v>
      </c>
      <c r="C467" s="1" t="s">
        <v>10</v>
      </c>
      <c r="D467" s="1" t="s">
        <v>116</v>
      </c>
      <c r="E467" s="1" t="s">
        <v>10</v>
      </c>
      <c r="F467" s="1" t="s">
        <v>43</v>
      </c>
      <c r="G467" s="29" t="n">
        <v>46433</v>
      </c>
      <c r="H467" s="30" t="n">
        <v>8.5</v>
      </c>
      <c r="I467" s="1" t="s">
        <v>196</v>
      </c>
      <c r="J467" s="1" t="s">
        <v>197</v>
      </c>
      <c r="K467" s="1" t="n">
        <v>44.5</v>
      </c>
      <c r="L467" s="1" t="s">
        <v>198</v>
      </c>
    </row>
    <row r="468" customFormat="false" ht="15" hidden="false" customHeight="true" outlineLevel="0" collapsed="false">
      <c r="A468" s="1" t="s">
        <v>12</v>
      </c>
      <c r="B468" s="1" t="s">
        <v>9</v>
      </c>
      <c r="C468" s="1" t="s">
        <v>10</v>
      </c>
      <c r="D468" s="1" t="s">
        <v>33</v>
      </c>
      <c r="E468" s="1" t="s">
        <v>10</v>
      </c>
      <c r="F468" s="1" t="s">
        <v>100</v>
      </c>
      <c r="G468" s="29" t="n">
        <v>46433</v>
      </c>
      <c r="H468" s="30" t="n">
        <v>1</v>
      </c>
      <c r="I468" s="1" t="s">
        <v>196</v>
      </c>
      <c r="J468" s="1" t="s">
        <v>197</v>
      </c>
      <c r="K468" s="1" t="n">
        <v>26</v>
      </c>
      <c r="L468" s="1" t="s">
        <v>198</v>
      </c>
    </row>
    <row r="469" customFormat="false" ht="15" hidden="false" customHeight="true" outlineLevel="0" collapsed="false">
      <c r="A469" s="1" t="s">
        <v>12</v>
      </c>
      <c r="B469" s="1" t="s">
        <v>22</v>
      </c>
      <c r="C469" s="1" t="s">
        <v>10</v>
      </c>
      <c r="D469" s="1" t="s">
        <v>23</v>
      </c>
      <c r="E469" s="1" t="s">
        <v>10</v>
      </c>
      <c r="F469" s="1" t="s">
        <v>102</v>
      </c>
      <c r="G469" s="29" t="n">
        <v>46433</v>
      </c>
      <c r="H469" s="30" t="n">
        <v>0.5</v>
      </c>
      <c r="I469" s="1" t="s">
        <v>196</v>
      </c>
      <c r="J469" s="1" t="s">
        <v>197</v>
      </c>
      <c r="K469" s="1" t="n">
        <v>55</v>
      </c>
      <c r="L469" s="1" t="s">
        <v>198</v>
      </c>
    </row>
    <row r="470" customFormat="false" ht="15" hidden="false" customHeight="true" outlineLevel="0" collapsed="false">
      <c r="A470" s="1" t="s">
        <v>12</v>
      </c>
      <c r="B470" s="1" t="s">
        <v>22</v>
      </c>
      <c r="C470" s="1" t="s">
        <v>10</v>
      </c>
      <c r="D470" s="1" t="s">
        <v>117</v>
      </c>
      <c r="E470" s="1" t="s">
        <v>10</v>
      </c>
      <c r="F470" s="1" t="s">
        <v>102</v>
      </c>
      <c r="G470" s="29" t="n">
        <v>46433</v>
      </c>
      <c r="H470" s="30" t="n">
        <v>1.5</v>
      </c>
      <c r="I470" s="1" t="s">
        <v>196</v>
      </c>
      <c r="J470" s="1" t="s">
        <v>200</v>
      </c>
      <c r="K470" s="1" t="n">
        <v>1.5</v>
      </c>
      <c r="L470" s="1" t="s">
        <v>198</v>
      </c>
    </row>
    <row r="471" customFormat="false" ht="15" hidden="false" customHeight="true" outlineLevel="0" collapsed="false">
      <c r="A471" s="1" t="s">
        <v>12</v>
      </c>
      <c r="B471" s="1" t="s">
        <v>20</v>
      </c>
      <c r="C471" s="1" t="s">
        <v>10</v>
      </c>
      <c r="D471" s="1" t="s">
        <v>116</v>
      </c>
      <c r="E471" s="1" t="s">
        <v>10</v>
      </c>
      <c r="F471" s="1" t="s">
        <v>40</v>
      </c>
      <c r="G471" s="29" t="n">
        <v>46433</v>
      </c>
      <c r="H471" s="30" t="n">
        <v>5.59999999999999</v>
      </c>
      <c r="I471" s="1" t="s">
        <v>196</v>
      </c>
      <c r="J471" s="1" t="s">
        <v>197</v>
      </c>
      <c r="K471" s="1" t="n">
        <v>55</v>
      </c>
      <c r="L471" s="1" t="s">
        <v>198</v>
      </c>
    </row>
    <row r="472" customFormat="false" ht="15" hidden="false" customHeight="true" outlineLevel="0" collapsed="false">
      <c r="A472" s="1" t="s">
        <v>12</v>
      </c>
      <c r="B472" s="1" t="s">
        <v>20</v>
      </c>
      <c r="C472" s="1" t="s">
        <v>10</v>
      </c>
      <c r="D472" s="1" t="s">
        <v>117</v>
      </c>
      <c r="E472" s="1" t="s">
        <v>10</v>
      </c>
      <c r="F472" s="1" t="s">
        <v>40</v>
      </c>
      <c r="G472" s="29" t="n">
        <v>46433</v>
      </c>
      <c r="H472" s="30" t="n">
        <v>0.400000000000006</v>
      </c>
      <c r="I472" s="1" t="s">
        <v>196</v>
      </c>
      <c r="J472" s="1" t="s">
        <v>200</v>
      </c>
      <c r="K472" s="1" t="n">
        <v>1.90000000000001</v>
      </c>
      <c r="L472" s="1" t="s">
        <v>198</v>
      </c>
    </row>
    <row r="473" customFormat="false" ht="15" hidden="false" customHeight="true" outlineLevel="0" collapsed="false">
      <c r="A473" s="1" t="s">
        <v>12</v>
      </c>
      <c r="B473" s="1" t="s">
        <v>20</v>
      </c>
      <c r="C473" s="1" t="s">
        <v>10</v>
      </c>
      <c r="D473" s="1" t="s">
        <v>36</v>
      </c>
      <c r="E473" s="1" t="s">
        <v>10</v>
      </c>
      <c r="F473" s="1" t="s">
        <v>85</v>
      </c>
      <c r="G473" s="29" t="n">
        <v>46433</v>
      </c>
      <c r="H473" s="30" t="n">
        <v>11.5</v>
      </c>
      <c r="I473" s="1" t="s">
        <v>196</v>
      </c>
      <c r="J473" s="1" t="s">
        <v>197</v>
      </c>
      <c r="K473" s="1" t="n">
        <v>54</v>
      </c>
      <c r="L473" s="1" t="s">
        <v>198</v>
      </c>
    </row>
    <row r="474" customFormat="false" ht="15" hidden="false" customHeight="true" outlineLevel="0" collapsed="false">
      <c r="A474" s="1" t="s">
        <v>12</v>
      </c>
      <c r="B474" s="1" t="s">
        <v>17</v>
      </c>
      <c r="C474" s="1" t="s">
        <v>14</v>
      </c>
      <c r="D474" s="1" t="s">
        <v>26</v>
      </c>
      <c r="E474" s="1" t="s">
        <v>14</v>
      </c>
      <c r="F474" s="1" t="s">
        <v>40</v>
      </c>
      <c r="G474" s="29" t="n">
        <v>46433</v>
      </c>
      <c r="H474" s="30" t="n">
        <v>10</v>
      </c>
      <c r="I474" s="1" t="s">
        <v>196</v>
      </c>
      <c r="J474" s="1" t="s">
        <v>197</v>
      </c>
      <c r="K474" s="1" t="n">
        <v>55</v>
      </c>
      <c r="L474" s="1" t="s">
        <v>198</v>
      </c>
    </row>
    <row r="475" customFormat="false" ht="15" hidden="false" customHeight="true" outlineLevel="0" collapsed="false">
      <c r="A475" s="1" t="s">
        <v>12</v>
      </c>
      <c r="B475" s="1" t="s">
        <v>17</v>
      </c>
      <c r="C475" s="1" t="s">
        <v>14</v>
      </c>
      <c r="D475" s="1" t="s">
        <v>123</v>
      </c>
      <c r="E475" s="1" t="s">
        <v>14</v>
      </c>
      <c r="F475" s="1" t="s">
        <v>46</v>
      </c>
      <c r="G475" s="29" t="n">
        <v>46433</v>
      </c>
      <c r="H475" s="30" t="n">
        <v>2</v>
      </c>
      <c r="I475" s="1" t="s">
        <v>196</v>
      </c>
      <c r="J475" s="1" t="s">
        <v>197</v>
      </c>
      <c r="K475" s="1" t="n">
        <v>11</v>
      </c>
      <c r="L475" s="1" t="s">
        <v>198</v>
      </c>
    </row>
    <row r="476" customFormat="false" ht="15" hidden="false" customHeight="true" outlineLevel="0" collapsed="false">
      <c r="A476" s="1" t="s">
        <v>12</v>
      </c>
      <c r="B476" s="1" t="s">
        <v>15</v>
      </c>
      <c r="C476" s="1" t="s">
        <v>16</v>
      </c>
      <c r="D476" s="1" t="s">
        <v>75</v>
      </c>
      <c r="E476" s="1" t="s">
        <v>16</v>
      </c>
      <c r="F476" s="1" t="s">
        <v>79</v>
      </c>
      <c r="G476" s="29" t="n">
        <v>46433</v>
      </c>
      <c r="H476" s="30" t="n">
        <v>1.403509</v>
      </c>
      <c r="I476" s="1" t="s">
        <v>196</v>
      </c>
      <c r="J476" s="1" t="s">
        <v>197</v>
      </c>
      <c r="K476" s="1" t="n">
        <v>36.307018</v>
      </c>
      <c r="L476" s="1" t="s">
        <v>198</v>
      </c>
    </row>
    <row r="477" customFormat="false" ht="15" hidden="false" customHeight="true" outlineLevel="0" collapsed="false">
      <c r="A477" s="1" t="s">
        <v>12</v>
      </c>
      <c r="B477" s="1" t="s">
        <v>15</v>
      </c>
      <c r="C477" s="1" t="s">
        <v>16</v>
      </c>
      <c r="D477" s="1" t="s">
        <v>75</v>
      </c>
      <c r="E477" s="1" t="s">
        <v>16</v>
      </c>
      <c r="F477" s="1" t="s">
        <v>81</v>
      </c>
      <c r="G477" s="29" t="n">
        <v>46433</v>
      </c>
      <c r="H477" s="30" t="n">
        <v>3.892982</v>
      </c>
      <c r="I477" s="1" t="s">
        <v>196</v>
      </c>
      <c r="J477" s="1" t="s">
        <v>197</v>
      </c>
      <c r="K477" s="1" t="n">
        <v>55</v>
      </c>
      <c r="L477" s="1" t="s">
        <v>198</v>
      </c>
    </row>
    <row r="478" customFormat="false" ht="15" hidden="false" customHeight="true" outlineLevel="0" collapsed="false">
      <c r="A478" s="1" t="s">
        <v>12</v>
      </c>
      <c r="B478" s="1" t="s">
        <v>15</v>
      </c>
      <c r="C478" s="1" t="s">
        <v>16</v>
      </c>
      <c r="D478" s="1" t="s">
        <v>90</v>
      </c>
      <c r="E478" s="1" t="s">
        <v>16</v>
      </c>
      <c r="F478" s="1" t="s">
        <v>81</v>
      </c>
      <c r="G478" s="29" t="n">
        <v>46433</v>
      </c>
      <c r="H478" s="30" t="n">
        <v>9.807018</v>
      </c>
      <c r="I478" s="1" t="s">
        <v>196</v>
      </c>
      <c r="J478" s="1" t="s">
        <v>200</v>
      </c>
      <c r="K478" s="1" t="n">
        <v>39.807018</v>
      </c>
      <c r="L478" s="1" t="s">
        <v>198</v>
      </c>
    </row>
    <row r="479" customFormat="false" ht="15" hidden="false" customHeight="true" outlineLevel="0" collapsed="false">
      <c r="A479" s="1" t="s">
        <v>12</v>
      </c>
      <c r="B479" s="1" t="s">
        <v>15</v>
      </c>
      <c r="C479" s="1" t="s">
        <v>16</v>
      </c>
      <c r="D479" s="1" t="s">
        <v>90</v>
      </c>
      <c r="E479" s="1" t="s">
        <v>16</v>
      </c>
      <c r="F479" s="1" t="s">
        <v>94</v>
      </c>
      <c r="G479" s="29" t="n">
        <v>46433</v>
      </c>
      <c r="H479" s="30" t="n">
        <v>4.2</v>
      </c>
      <c r="I479" s="1" t="s">
        <v>196</v>
      </c>
      <c r="J479" s="1" t="s">
        <v>200</v>
      </c>
      <c r="K479" s="1" t="n">
        <v>50.107018</v>
      </c>
      <c r="L479" s="1" t="s">
        <v>198</v>
      </c>
    </row>
    <row r="480" customFormat="false" ht="15" hidden="false" customHeight="true" outlineLevel="0" collapsed="false">
      <c r="A480" s="1" t="s">
        <v>12</v>
      </c>
      <c r="B480" s="1" t="s">
        <v>15</v>
      </c>
      <c r="C480" s="1" t="s">
        <v>16</v>
      </c>
      <c r="D480" s="1" t="s">
        <v>75</v>
      </c>
      <c r="E480" s="1" t="s">
        <v>16</v>
      </c>
      <c r="F480" s="1" t="s">
        <v>40</v>
      </c>
      <c r="G480" s="29" t="n">
        <v>46433</v>
      </c>
      <c r="H480" s="30" t="n">
        <v>9.8</v>
      </c>
      <c r="I480" s="1" t="s">
        <v>196</v>
      </c>
      <c r="J480" s="1" t="s">
        <v>197</v>
      </c>
      <c r="K480" s="1" t="n">
        <v>51.107018</v>
      </c>
      <c r="L480" s="1" t="s">
        <v>198</v>
      </c>
    </row>
    <row r="481" customFormat="false" ht="15" hidden="false" customHeight="true" outlineLevel="0" collapsed="false">
      <c r="A481" s="1" t="s">
        <v>12</v>
      </c>
      <c r="B481" s="1" t="s">
        <v>15</v>
      </c>
      <c r="C481" s="1" t="s">
        <v>16</v>
      </c>
      <c r="D481" s="1" t="s">
        <v>90</v>
      </c>
      <c r="E481" s="1" t="s">
        <v>16</v>
      </c>
      <c r="F481" s="1" t="s">
        <v>97</v>
      </c>
      <c r="G481" s="29" t="n">
        <v>46433</v>
      </c>
      <c r="H481" s="30" t="n">
        <v>4</v>
      </c>
      <c r="I481" s="1" t="s">
        <v>196</v>
      </c>
      <c r="J481" s="1" t="s">
        <v>200</v>
      </c>
      <c r="K481" s="1" t="n">
        <v>45.907018</v>
      </c>
      <c r="L481" s="1" t="s">
        <v>198</v>
      </c>
    </row>
    <row r="482" customFormat="false" ht="15" hidden="false" customHeight="true" outlineLevel="0" collapsed="false">
      <c r="A482" s="1" t="s">
        <v>12</v>
      </c>
      <c r="B482" s="1" t="s">
        <v>15</v>
      </c>
      <c r="C482" s="1" t="s">
        <v>16</v>
      </c>
      <c r="D482" s="1" t="s">
        <v>90</v>
      </c>
      <c r="E482" s="1" t="s">
        <v>16</v>
      </c>
      <c r="F482" s="1" t="s">
        <v>99</v>
      </c>
      <c r="G482" s="29" t="n">
        <v>46433</v>
      </c>
      <c r="H482" s="30" t="n">
        <v>2.1</v>
      </c>
      <c r="I482" s="1" t="s">
        <v>196</v>
      </c>
      <c r="J482" s="1" t="s">
        <v>200</v>
      </c>
      <c r="K482" s="1" t="n">
        <v>41.907018</v>
      </c>
      <c r="L482" s="1" t="s">
        <v>198</v>
      </c>
    </row>
    <row r="483" customFormat="false" ht="15" hidden="false" customHeight="true" outlineLevel="0" collapsed="false">
      <c r="A483" s="1" t="s">
        <v>12</v>
      </c>
      <c r="B483" s="1" t="s">
        <v>15</v>
      </c>
      <c r="C483" s="1" t="s">
        <v>16</v>
      </c>
      <c r="D483" s="1" t="s">
        <v>75</v>
      </c>
      <c r="E483" s="1" t="s">
        <v>16</v>
      </c>
      <c r="F483" s="1" t="s">
        <v>43</v>
      </c>
      <c r="G483" s="29" t="n">
        <v>46433</v>
      </c>
      <c r="H483" s="30" t="n">
        <v>5</v>
      </c>
      <c r="I483" s="1" t="s">
        <v>196</v>
      </c>
      <c r="J483" s="1" t="s">
        <v>197</v>
      </c>
      <c r="K483" s="1" t="n">
        <v>41.307018</v>
      </c>
      <c r="L483" s="1" t="s">
        <v>198</v>
      </c>
    </row>
    <row r="484" customFormat="false" ht="15" hidden="false" customHeight="true" outlineLevel="0" collapsed="false">
      <c r="A484" s="1" t="s">
        <v>12</v>
      </c>
      <c r="B484" s="1" t="s">
        <v>18</v>
      </c>
      <c r="C484" s="1" t="s">
        <v>16</v>
      </c>
      <c r="D484" s="1" t="s">
        <v>142</v>
      </c>
      <c r="E484" s="1" t="s">
        <v>16</v>
      </c>
      <c r="F484" s="1" t="s">
        <v>79</v>
      </c>
      <c r="G484" s="29" t="n">
        <v>46433</v>
      </c>
      <c r="H484" s="30" t="n">
        <v>1.403509</v>
      </c>
      <c r="I484" s="1" t="s">
        <v>196</v>
      </c>
      <c r="J484" s="1" t="s">
        <v>197</v>
      </c>
      <c r="K484" s="1" t="n">
        <v>1.403509</v>
      </c>
      <c r="L484" s="1" t="s">
        <v>201</v>
      </c>
    </row>
    <row r="485" customFormat="false" ht="15" hidden="false" customHeight="true" outlineLevel="0" collapsed="false">
      <c r="A485" s="1" t="s">
        <v>12</v>
      </c>
      <c r="B485" s="1" t="s">
        <v>18</v>
      </c>
      <c r="C485" s="1" t="s">
        <v>16</v>
      </c>
      <c r="D485" s="1" t="s">
        <v>142</v>
      </c>
      <c r="E485" s="1" t="s">
        <v>16</v>
      </c>
      <c r="F485" s="1" t="s">
        <v>81</v>
      </c>
      <c r="G485" s="29" t="n">
        <v>46433</v>
      </c>
      <c r="H485" s="30" t="n">
        <v>1</v>
      </c>
      <c r="I485" s="1" t="s">
        <v>196</v>
      </c>
      <c r="J485" s="1" t="s">
        <v>197</v>
      </c>
      <c r="K485" s="1" t="n">
        <v>3.807018</v>
      </c>
      <c r="L485" s="1" t="s">
        <v>201</v>
      </c>
    </row>
    <row r="486" customFormat="false" ht="15" hidden="false" customHeight="true" outlineLevel="0" collapsed="false">
      <c r="A486" s="1" t="s">
        <v>12</v>
      </c>
      <c r="B486" s="1" t="s">
        <v>18</v>
      </c>
      <c r="C486" s="1" t="s">
        <v>16</v>
      </c>
      <c r="D486" s="1" t="s">
        <v>142</v>
      </c>
      <c r="E486" s="1" t="s">
        <v>16</v>
      </c>
      <c r="F486" s="1" t="s">
        <v>40</v>
      </c>
      <c r="G486" s="29" t="n">
        <v>46433</v>
      </c>
      <c r="H486" s="30" t="n">
        <v>1</v>
      </c>
      <c r="I486" s="1" t="s">
        <v>196</v>
      </c>
      <c r="J486" s="1" t="s">
        <v>197</v>
      </c>
      <c r="K486" s="1" t="n">
        <v>10.807018</v>
      </c>
      <c r="L486" s="1" t="s">
        <v>201</v>
      </c>
    </row>
    <row r="487" customFormat="false" ht="15" hidden="false" customHeight="true" outlineLevel="0" collapsed="false">
      <c r="A487" s="1" t="s">
        <v>12</v>
      </c>
      <c r="B487" s="1" t="s">
        <v>138</v>
      </c>
      <c r="C487" s="1" t="s">
        <v>14</v>
      </c>
      <c r="D487" s="1" t="s">
        <v>123</v>
      </c>
      <c r="E487" s="1" t="s">
        <v>14</v>
      </c>
      <c r="F487" s="1" t="s">
        <v>81</v>
      </c>
      <c r="G487" s="29" t="n">
        <v>46433</v>
      </c>
      <c r="H487" s="30" t="n">
        <v>9</v>
      </c>
      <c r="I487" s="1" t="s">
        <v>202</v>
      </c>
      <c r="J487" s="1" t="s">
        <v>197</v>
      </c>
      <c r="K487" s="1" t="n">
        <v>20</v>
      </c>
      <c r="L487" s="1" t="s">
        <v>198</v>
      </c>
    </row>
    <row r="488" customFormat="false" ht="15" hidden="false" customHeight="true" outlineLevel="0" collapsed="false">
      <c r="A488" s="1" t="s">
        <v>12</v>
      </c>
      <c r="B488" s="1" t="s">
        <v>138</v>
      </c>
      <c r="C488" s="1" t="s">
        <v>14</v>
      </c>
      <c r="D488" s="1" t="s">
        <v>24</v>
      </c>
      <c r="E488" s="1" t="s">
        <v>14</v>
      </c>
      <c r="F488" s="1" t="s">
        <v>81</v>
      </c>
      <c r="G488" s="29" t="n">
        <v>46433</v>
      </c>
      <c r="H488" s="30" t="n">
        <v>1.5</v>
      </c>
      <c r="I488" s="1" t="s">
        <v>202</v>
      </c>
      <c r="J488" s="1" t="s">
        <v>197</v>
      </c>
      <c r="K488" s="1" t="n">
        <v>55</v>
      </c>
      <c r="L488" s="1" t="s">
        <v>198</v>
      </c>
    </row>
    <row r="489" customFormat="false" ht="15" hidden="false" customHeight="true" outlineLevel="0" collapsed="false">
      <c r="A489" s="1" t="s">
        <v>12</v>
      </c>
      <c r="B489" s="1" t="s">
        <v>138</v>
      </c>
      <c r="C489" s="1" t="s">
        <v>14</v>
      </c>
      <c r="D489" s="1" t="s">
        <v>27</v>
      </c>
      <c r="E489" s="1" t="s">
        <v>14</v>
      </c>
      <c r="F489" s="1" t="s">
        <v>81</v>
      </c>
      <c r="G489" s="29" t="n">
        <v>46433</v>
      </c>
      <c r="H489" s="30" t="n">
        <v>5.5</v>
      </c>
      <c r="I489" s="1" t="s">
        <v>202</v>
      </c>
      <c r="J489" s="1" t="s">
        <v>197</v>
      </c>
      <c r="K489" s="1" t="n">
        <v>55</v>
      </c>
      <c r="L489" s="1" t="s">
        <v>198</v>
      </c>
    </row>
    <row r="490" customFormat="false" ht="15" hidden="false" customHeight="true" outlineLevel="0" collapsed="false">
      <c r="A490" s="1" t="s">
        <v>12</v>
      </c>
      <c r="B490" s="1" t="s">
        <v>138</v>
      </c>
      <c r="C490" s="1" t="s">
        <v>14</v>
      </c>
      <c r="D490" s="1" t="s">
        <v>159</v>
      </c>
      <c r="E490" s="1" t="s">
        <v>14</v>
      </c>
      <c r="F490" s="1" t="s">
        <v>81</v>
      </c>
      <c r="G490" s="29" t="n">
        <v>46433</v>
      </c>
      <c r="H490" s="30" t="n">
        <v>12</v>
      </c>
      <c r="I490" s="1" t="s">
        <v>203</v>
      </c>
      <c r="J490" s="1" t="s">
        <v>197</v>
      </c>
      <c r="K490" s="1" t="n">
        <v>12</v>
      </c>
      <c r="L490" s="1" t="s">
        <v>201</v>
      </c>
    </row>
    <row r="491" customFormat="false" ht="15" hidden="false" customHeight="true" outlineLevel="0" collapsed="false">
      <c r="A491" s="1" t="s">
        <v>12</v>
      </c>
      <c r="B491" s="1" t="s">
        <v>138</v>
      </c>
      <c r="C491" s="1" t="s">
        <v>14</v>
      </c>
      <c r="D491" s="1" t="s">
        <v>30</v>
      </c>
      <c r="E491" s="1" t="s">
        <v>14</v>
      </c>
      <c r="F491" s="1" t="s">
        <v>100</v>
      </c>
      <c r="G491" s="29" t="n">
        <v>46433</v>
      </c>
      <c r="H491" s="30" t="n">
        <v>14</v>
      </c>
      <c r="I491" s="1" t="s">
        <v>202</v>
      </c>
      <c r="J491" s="1" t="s">
        <v>197</v>
      </c>
      <c r="K491" s="1" t="n">
        <v>55</v>
      </c>
      <c r="L491" s="1" t="s">
        <v>198</v>
      </c>
    </row>
    <row r="492" customFormat="false" ht="15" hidden="false" customHeight="true" outlineLevel="0" collapsed="false">
      <c r="A492" s="1" t="s">
        <v>12</v>
      </c>
      <c r="B492" s="1" t="s">
        <v>138</v>
      </c>
      <c r="C492" s="1" t="s">
        <v>14</v>
      </c>
      <c r="D492" s="1" t="s">
        <v>131</v>
      </c>
      <c r="E492" s="1" t="s">
        <v>14</v>
      </c>
      <c r="F492" s="1" t="s">
        <v>100</v>
      </c>
      <c r="G492" s="29" t="n">
        <v>46433</v>
      </c>
      <c r="H492" s="30" t="n">
        <v>21</v>
      </c>
      <c r="I492" s="1" t="s">
        <v>202</v>
      </c>
      <c r="J492" s="1" t="s">
        <v>197</v>
      </c>
      <c r="K492" s="1" t="n">
        <v>21</v>
      </c>
      <c r="L492" s="1" t="s">
        <v>198</v>
      </c>
    </row>
    <row r="493" customFormat="false" ht="15" hidden="false" customHeight="true" outlineLevel="0" collapsed="false">
      <c r="A493" s="1" t="s">
        <v>12</v>
      </c>
      <c r="B493" s="1" t="s">
        <v>104</v>
      </c>
      <c r="C493" s="1" t="s">
        <v>16</v>
      </c>
      <c r="D493" s="1" t="s">
        <v>142</v>
      </c>
      <c r="E493" s="1" t="s">
        <v>16</v>
      </c>
      <c r="F493" s="1" t="s">
        <v>105</v>
      </c>
      <c r="G493" s="29" t="n">
        <v>46433</v>
      </c>
      <c r="H493" s="30" t="n">
        <v>4</v>
      </c>
      <c r="I493" s="1" t="s">
        <v>205</v>
      </c>
      <c r="J493" s="1" t="s">
        <v>197</v>
      </c>
      <c r="K493" s="1" t="n">
        <v>21.807018</v>
      </c>
      <c r="L493" s="1" t="s">
        <v>201</v>
      </c>
    </row>
    <row r="494" customFormat="false" ht="15" hidden="false" customHeight="true" outlineLevel="0" collapsed="false">
      <c r="A494" s="1" t="s">
        <v>12</v>
      </c>
      <c r="B494" s="1" t="s">
        <v>104</v>
      </c>
      <c r="C494" s="1" t="s">
        <v>10</v>
      </c>
      <c r="D494" s="1" t="s">
        <v>117</v>
      </c>
      <c r="E494" s="1" t="s">
        <v>10</v>
      </c>
      <c r="F494" s="1" t="s">
        <v>105</v>
      </c>
      <c r="G494" s="29" t="n">
        <v>46433</v>
      </c>
      <c r="H494" s="30" t="n">
        <v>16</v>
      </c>
      <c r="I494" s="1" t="s">
        <v>202</v>
      </c>
      <c r="J494" s="1" t="s">
        <v>200</v>
      </c>
      <c r="K494" s="1" t="n">
        <v>17.9</v>
      </c>
      <c r="L494" s="1" t="s">
        <v>198</v>
      </c>
    </row>
    <row r="495" customFormat="false" ht="15" hidden="false" customHeight="true" outlineLevel="0" collapsed="false">
      <c r="A495" s="1" t="s">
        <v>12</v>
      </c>
      <c r="B495" s="1" t="s">
        <v>104</v>
      </c>
      <c r="C495" s="1" t="s">
        <v>14</v>
      </c>
      <c r="D495" s="1" t="s">
        <v>157</v>
      </c>
      <c r="E495" s="1" t="s">
        <v>14</v>
      </c>
      <c r="F495" s="1" t="s">
        <v>105</v>
      </c>
      <c r="G495" s="29" t="n">
        <v>46433</v>
      </c>
      <c r="H495" s="30" t="n">
        <v>29.5</v>
      </c>
      <c r="I495" s="1" t="s">
        <v>205</v>
      </c>
      <c r="J495" s="1" t="s">
        <v>197</v>
      </c>
      <c r="K495" s="1" t="n">
        <v>29.5</v>
      </c>
      <c r="L495" s="1" t="s">
        <v>201</v>
      </c>
    </row>
    <row r="496" customFormat="false" ht="15" hidden="false" customHeight="true" outlineLevel="0" collapsed="false">
      <c r="A496" s="1" t="s">
        <v>12</v>
      </c>
      <c r="B496" s="1" t="s">
        <v>104</v>
      </c>
      <c r="C496" s="1" t="s">
        <v>14</v>
      </c>
      <c r="D496" s="1" t="s">
        <v>104</v>
      </c>
      <c r="E496" s="1" t="s">
        <v>14</v>
      </c>
      <c r="F496" s="1" t="s">
        <v>105</v>
      </c>
      <c r="G496" s="29" t="n">
        <v>46433</v>
      </c>
      <c r="H496" s="30" t="n">
        <v>10.5</v>
      </c>
      <c r="I496" s="1" t="s">
        <v>203</v>
      </c>
      <c r="J496" s="1" t="s">
        <v>200</v>
      </c>
      <c r="K496" s="1" t="n">
        <v>10.5</v>
      </c>
      <c r="L496" s="1" t="s">
        <v>201</v>
      </c>
    </row>
    <row r="497" customFormat="false" ht="15" hidden="false" customHeight="true" outlineLevel="0" collapsed="false">
      <c r="A497" s="1" t="s">
        <v>12</v>
      </c>
      <c r="B497" s="1" t="s">
        <v>135</v>
      </c>
      <c r="C497" s="1" t="s">
        <v>14</v>
      </c>
      <c r="D497" s="1" t="s">
        <v>154</v>
      </c>
      <c r="E497" s="1" t="s">
        <v>14</v>
      </c>
      <c r="F497" s="1" t="s">
        <v>43</v>
      </c>
      <c r="G497" s="29" t="n">
        <v>46433</v>
      </c>
      <c r="H497" s="30" t="n">
        <v>8</v>
      </c>
      <c r="I497" s="1" t="s">
        <v>205</v>
      </c>
      <c r="J497" s="1" t="s">
        <v>197</v>
      </c>
      <c r="K497" s="1" t="n">
        <v>8</v>
      </c>
      <c r="L497" s="1" t="s">
        <v>201</v>
      </c>
    </row>
    <row r="498" customFormat="false" ht="15" hidden="false" customHeight="true" outlineLevel="0" collapsed="false">
      <c r="A498" s="1" t="s">
        <v>12</v>
      </c>
      <c r="B498" s="1" t="s">
        <v>127</v>
      </c>
      <c r="C498" s="1" t="s">
        <v>14</v>
      </c>
      <c r="D498" s="1" t="s">
        <v>127</v>
      </c>
      <c r="E498" s="1" t="s">
        <v>14</v>
      </c>
      <c r="F498" s="1" t="s">
        <v>40</v>
      </c>
      <c r="G498" s="29" t="n">
        <v>46433</v>
      </c>
      <c r="H498" s="30" t="n">
        <v>8</v>
      </c>
      <c r="I498" s="1" t="s">
        <v>203</v>
      </c>
      <c r="J498" s="1" t="s">
        <v>200</v>
      </c>
      <c r="K498" s="1" t="n">
        <v>8</v>
      </c>
      <c r="L498" s="1" t="s">
        <v>201</v>
      </c>
    </row>
    <row r="499" customFormat="false" ht="15" hidden="false" customHeight="true" outlineLevel="0" collapsed="false">
      <c r="A499" s="1" t="s">
        <v>12</v>
      </c>
      <c r="B499" s="1" t="s">
        <v>130</v>
      </c>
      <c r="C499" s="1" t="s">
        <v>14</v>
      </c>
      <c r="D499" s="1" t="s">
        <v>148</v>
      </c>
      <c r="E499" s="1" t="s">
        <v>14</v>
      </c>
      <c r="F499" s="1" t="s">
        <v>85</v>
      </c>
      <c r="G499" s="29" t="n">
        <v>46433</v>
      </c>
      <c r="H499" s="30" t="n">
        <v>6</v>
      </c>
      <c r="I499" s="1" t="s">
        <v>205</v>
      </c>
      <c r="J499" s="1" t="s">
        <v>197</v>
      </c>
      <c r="K499" s="1" t="n">
        <v>6</v>
      </c>
      <c r="L499" s="1" t="s">
        <v>201</v>
      </c>
    </row>
    <row r="500" customFormat="false" ht="15" hidden="false" customHeight="true" outlineLevel="0" collapsed="false">
      <c r="A500" s="1" t="s">
        <v>12</v>
      </c>
      <c r="B500" s="1" t="s">
        <v>139</v>
      </c>
      <c r="C500" s="1" t="s">
        <v>14</v>
      </c>
      <c r="D500" s="1" t="s">
        <v>153</v>
      </c>
      <c r="E500" s="1" t="s">
        <v>14</v>
      </c>
      <c r="F500" s="1" t="s">
        <v>43</v>
      </c>
      <c r="G500" s="29" t="n">
        <v>46433</v>
      </c>
      <c r="H500" s="30" t="n">
        <v>7</v>
      </c>
      <c r="I500" s="1" t="s">
        <v>205</v>
      </c>
      <c r="J500" s="1" t="s">
        <v>197</v>
      </c>
      <c r="K500" s="1" t="n">
        <v>12</v>
      </c>
      <c r="L500" s="1" t="s">
        <v>201</v>
      </c>
    </row>
    <row r="501" customFormat="false" ht="15" hidden="false" customHeight="true" outlineLevel="0" collapsed="false">
      <c r="A501" s="1" t="s">
        <v>12</v>
      </c>
      <c r="B501" s="1" t="s">
        <v>139</v>
      </c>
      <c r="C501" s="1" t="s">
        <v>14</v>
      </c>
      <c r="D501" s="1" t="s">
        <v>156</v>
      </c>
      <c r="E501" s="1" t="s">
        <v>14</v>
      </c>
      <c r="F501" s="1" t="s">
        <v>100</v>
      </c>
      <c r="G501" s="29" t="n">
        <v>46433</v>
      </c>
      <c r="H501" s="30" t="n">
        <v>2</v>
      </c>
      <c r="I501" s="1" t="s">
        <v>205</v>
      </c>
      <c r="J501" s="1" t="s">
        <v>197</v>
      </c>
      <c r="K501" s="1" t="n">
        <v>12</v>
      </c>
      <c r="L501" s="1" t="s">
        <v>201</v>
      </c>
    </row>
    <row r="502" customFormat="false" ht="15" hidden="false" customHeight="true" outlineLevel="0" collapsed="false">
      <c r="A502" s="1" t="s">
        <v>12</v>
      </c>
      <c r="B502" s="1" t="s">
        <v>134</v>
      </c>
      <c r="C502" s="1" t="s">
        <v>14</v>
      </c>
      <c r="D502" s="1" t="s">
        <v>152</v>
      </c>
      <c r="E502" s="1" t="s">
        <v>14</v>
      </c>
      <c r="F502" s="1" t="s">
        <v>99</v>
      </c>
      <c r="G502" s="29" t="n">
        <v>46433</v>
      </c>
      <c r="H502" s="30" t="n">
        <v>55</v>
      </c>
      <c r="I502" s="1" t="s">
        <v>205</v>
      </c>
      <c r="J502" s="1" t="s">
        <v>197</v>
      </c>
      <c r="K502" s="1" t="n">
        <v>55</v>
      </c>
      <c r="L502" s="1" t="s">
        <v>201</v>
      </c>
    </row>
    <row r="503" customFormat="false" ht="15" hidden="false" customHeight="true" outlineLevel="0" collapsed="false">
      <c r="A503" s="1" t="s">
        <v>12</v>
      </c>
      <c r="B503" s="1" t="s">
        <v>134</v>
      </c>
      <c r="C503" s="1" t="s">
        <v>14</v>
      </c>
      <c r="D503" s="1" t="s">
        <v>153</v>
      </c>
      <c r="E503" s="1" t="s">
        <v>14</v>
      </c>
      <c r="F503" s="1" t="s">
        <v>99</v>
      </c>
      <c r="G503" s="29" t="n">
        <v>46433</v>
      </c>
      <c r="H503" s="30" t="n">
        <v>5</v>
      </c>
      <c r="I503" s="1" t="s">
        <v>205</v>
      </c>
      <c r="J503" s="1" t="s">
        <v>197</v>
      </c>
      <c r="K503" s="1" t="n">
        <v>5</v>
      </c>
      <c r="L503" s="1" t="s">
        <v>201</v>
      </c>
    </row>
    <row r="504" customFormat="false" ht="15" hidden="false" customHeight="true" outlineLevel="0" collapsed="false">
      <c r="A504" s="1" t="s">
        <v>12</v>
      </c>
      <c r="B504" s="1" t="s">
        <v>133</v>
      </c>
      <c r="C504" s="1" t="s">
        <v>14</v>
      </c>
      <c r="D504" s="1" t="s">
        <v>151</v>
      </c>
      <c r="E504" s="1" t="s">
        <v>14</v>
      </c>
      <c r="F504" s="1" t="s">
        <v>46</v>
      </c>
      <c r="G504" s="29" t="n">
        <v>46433</v>
      </c>
      <c r="H504" s="30" t="n">
        <v>25</v>
      </c>
      <c r="I504" s="1" t="s">
        <v>204</v>
      </c>
      <c r="J504" s="1" t="s">
        <v>197</v>
      </c>
      <c r="K504" s="1" t="n">
        <v>25</v>
      </c>
      <c r="L504" s="1" t="s">
        <v>201</v>
      </c>
    </row>
    <row r="505" customFormat="false" ht="15" hidden="false" customHeight="true" outlineLevel="0" collapsed="false">
      <c r="A505" s="1" t="s">
        <v>12</v>
      </c>
      <c r="B505" s="1" t="s">
        <v>129</v>
      </c>
      <c r="C505" s="1" t="s">
        <v>14</v>
      </c>
      <c r="D505" s="1" t="s">
        <v>146</v>
      </c>
      <c r="E505" s="1" t="s">
        <v>14</v>
      </c>
      <c r="F505" s="1" t="s">
        <v>102</v>
      </c>
      <c r="G505" s="29" t="n">
        <v>46433</v>
      </c>
      <c r="H505" s="30" t="n">
        <v>17</v>
      </c>
      <c r="I505" s="1" t="s">
        <v>205</v>
      </c>
      <c r="J505" s="1" t="s">
        <v>197</v>
      </c>
      <c r="K505" s="1" t="n">
        <v>17</v>
      </c>
      <c r="L505" s="1" t="s">
        <v>201</v>
      </c>
    </row>
    <row r="506" customFormat="false" ht="15" hidden="false" customHeight="true" outlineLevel="0" collapsed="false">
      <c r="A506" s="1" t="s">
        <v>12</v>
      </c>
      <c r="B506" s="1" t="s">
        <v>131</v>
      </c>
      <c r="C506" s="1" t="s">
        <v>14</v>
      </c>
      <c r="D506" s="1" t="s">
        <v>147</v>
      </c>
      <c r="E506" s="1" t="s">
        <v>14</v>
      </c>
      <c r="F506" s="1" t="s">
        <v>103</v>
      </c>
      <c r="G506" s="29" t="n">
        <v>46433</v>
      </c>
      <c r="H506" s="30" t="n">
        <v>55</v>
      </c>
      <c r="I506" s="1" t="s">
        <v>205</v>
      </c>
      <c r="J506" s="1" t="s">
        <v>197</v>
      </c>
      <c r="K506" s="1" t="n">
        <v>55</v>
      </c>
      <c r="L506" s="1" t="s">
        <v>201</v>
      </c>
    </row>
    <row r="507" customFormat="false" ht="15" hidden="false" customHeight="true" outlineLevel="0" collapsed="false">
      <c r="A507" s="1" t="s">
        <v>12</v>
      </c>
      <c r="B507" s="1" t="s">
        <v>132</v>
      </c>
      <c r="C507" s="1" t="s">
        <v>14</v>
      </c>
      <c r="D507" s="1" t="s">
        <v>149</v>
      </c>
      <c r="E507" s="1" t="s">
        <v>14</v>
      </c>
      <c r="F507" s="1" t="s">
        <v>103</v>
      </c>
      <c r="G507" s="29" t="n">
        <v>46433</v>
      </c>
      <c r="H507" s="30" t="n">
        <v>55</v>
      </c>
      <c r="I507" s="1" t="s">
        <v>205</v>
      </c>
      <c r="J507" s="1" t="s">
        <v>197</v>
      </c>
      <c r="K507" s="1" t="n">
        <v>55</v>
      </c>
      <c r="L507" s="1" t="s">
        <v>201</v>
      </c>
    </row>
    <row r="508" customFormat="false" ht="15" hidden="false" customHeight="true" outlineLevel="0" collapsed="false">
      <c r="A508" s="1" t="s">
        <v>12</v>
      </c>
      <c r="B508" s="1" t="s">
        <v>136</v>
      </c>
      <c r="C508" s="1" t="s">
        <v>14</v>
      </c>
      <c r="D508" s="1" t="s">
        <v>155</v>
      </c>
      <c r="E508" s="1" t="s">
        <v>14</v>
      </c>
      <c r="F508" s="1" t="s">
        <v>43</v>
      </c>
      <c r="G508" s="29" t="n">
        <v>46433</v>
      </c>
      <c r="H508" s="30" t="n">
        <v>20</v>
      </c>
      <c r="I508" s="1" t="s">
        <v>205</v>
      </c>
      <c r="J508" s="1" t="s">
        <v>197</v>
      </c>
      <c r="K508" s="1" t="n">
        <v>20</v>
      </c>
      <c r="L508" s="1" t="s">
        <v>201</v>
      </c>
    </row>
    <row r="509" customFormat="false" ht="15" hidden="false" customHeight="true" outlineLevel="0" collapsed="false">
      <c r="A509" s="1" t="s">
        <v>12</v>
      </c>
      <c r="B509" s="1" t="s">
        <v>137</v>
      </c>
      <c r="C509" s="1" t="s">
        <v>14</v>
      </c>
      <c r="D509" s="1" t="s">
        <v>156</v>
      </c>
      <c r="E509" s="1" t="s">
        <v>14</v>
      </c>
      <c r="F509" s="1" t="s">
        <v>100</v>
      </c>
      <c r="G509" s="29" t="n">
        <v>46433</v>
      </c>
      <c r="H509" s="30" t="n">
        <v>10</v>
      </c>
      <c r="I509" s="1" t="s">
        <v>205</v>
      </c>
      <c r="J509" s="1" t="s">
        <v>197</v>
      </c>
      <c r="K509" s="1" t="n">
        <v>10</v>
      </c>
      <c r="L509" s="1" t="s">
        <v>201</v>
      </c>
    </row>
    <row r="510" customFormat="false" ht="15" hidden="false" customHeight="true" outlineLevel="0" collapsed="false">
      <c r="A510" s="1" t="s">
        <v>12</v>
      </c>
      <c r="B510" s="1" t="s">
        <v>25</v>
      </c>
      <c r="C510" s="1" t="s">
        <v>16</v>
      </c>
      <c r="D510" s="1" t="s">
        <v>142</v>
      </c>
      <c r="E510" s="1" t="s">
        <v>16</v>
      </c>
      <c r="F510" s="1" t="s">
        <v>79</v>
      </c>
      <c r="G510" s="29" t="n">
        <v>46433</v>
      </c>
      <c r="H510" s="30" t="n">
        <v>1.403509</v>
      </c>
      <c r="I510" s="1" t="s">
        <v>196</v>
      </c>
      <c r="J510" s="1" t="s">
        <v>197</v>
      </c>
      <c r="K510" s="1" t="n">
        <v>2.807018</v>
      </c>
      <c r="L510" s="1" t="s">
        <v>201</v>
      </c>
    </row>
    <row r="511" customFormat="false" ht="15" hidden="false" customHeight="true" outlineLevel="0" collapsed="false">
      <c r="A511" s="1" t="s">
        <v>12</v>
      </c>
      <c r="B511" s="1" t="s">
        <v>25</v>
      </c>
      <c r="C511" s="1" t="s">
        <v>16</v>
      </c>
      <c r="D511" s="1" t="s">
        <v>142</v>
      </c>
      <c r="E511" s="1" t="s">
        <v>16</v>
      </c>
      <c r="F511" s="1" t="s">
        <v>81</v>
      </c>
      <c r="G511" s="29" t="n">
        <v>46433</v>
      </c>
      <c r="H511" s="30" t="n">
        <v>1</v>
      </c>
      <c r="I511" s="1" t="s">
        <v>196</v>
      </c>
      <c r="J511" s="1" t="s">
        <v>197</v>
      </c>
      <c r="K511" s="1" t="n">
        <v>4.807018</v>
      </c>
      <c r="L511" s="1" t="s">
        <v>201</v>
      </c>
    </row>
    <row r="512" customFormat="false" ht="15" hidden="false" customHeight="true" outlineLevel="0" collapsed="false">
      <c r="A512" s="1" t="s">
        <v>12</v>
      </c>
      <c r="B512" s="1" t="s">
        <v>25</v>
      </c>
      <c r="C512" s="1" t="s">
        <v>16</v>
      </c>
      <c r="D512" s="1" t="s">
        <v>142</v>
      </c>
      <c r="E512" s="1" t="s">
        <v>16</v>
      </c>
      <c r="F512" s="1" t="s">
        <v>102</v>
      </c>
      <c r="G512" s="29" t="n">
        <v>46433</v>
      </c>
      <c r="H512" s="30" t="n">
        <v>5</v>
      </c>
      <c r="I512" s="1" t="s">
        <v>196</v>
      </c>
      <c r="J512" s="1" t="s">
        <v>200</v>
      </c>
      <c r="K512" s="1" t="n">
        <v>9.807018</v>
      </c>
      <c r="L512" s="1" t="s">
        <v>201</v>
      </c>
    </row>
    <row r="513" customFormat="false" ht="15" hidden="false" customHeight="true" outlineLevel="0" collapsed="false">
      <c r="A513" s="1" t="s">
        <v>12</v>
      </c>
      <c r="B513" s="1" t="s">
        <v>25</v>
      </c>
      <c r="C513" s="1" t="s">
        <v>16</v>
      </c>
      <c r="D513" s="1" t="s">
        <v>142</v>
      </c>
      <c r="E513" s="1" t="s">
        <v>16</v>
      </c>
      <c r="F513" s="1" t="s">
        <v>40</v>
      </c>
      <c r="G513" s="29" t="n">
        <v>46433</v>
      </c>
      <c r="H513" s="30" t="n">
        <v>5</v>
      </c>
      <c r="I513" s="1" t="s">
        <v>196</v>
      </c>
      <c r="J513" s="1" t="s">
        <v>197</v>
      </c>
      <c r="K513" s="1" t="n">
        <v>15.807018</v>
      </c>
      <c r="L513" s="1" t="s">
        <v>201</v>
      </c>
    </row>
    <row r="514" customFormat="false" ht="15" hidden="false" customHeight="true" outlineLevel="0" collapsed="false">
      <c r="A514" s="1" t="s">
        <v>12</v>
      </c>
      <c r="B514" s="1" t="s">
        <v>25</v>
      </c>
      <c r="C514" s="1" t="s">
        <v>16</v>
      </c>
      <c r="D514" s="1" t="s">
        <v>142</v>
      </c>
      <c r="E514" s="1" t="s">
        <v>16</v>
      </c>
      <c r="F514" s="1" t="s">
        <v>98</v>
      </c>
      <c r="G514" s="29" t="n">
        <v>46433</v>
      </c>
      <c r="H514" s="30" t="n">
        <v>2</v>
      </c>
      <c r="I514" s="1" t="s">
        <v>196</v>
      </c>
      <c r="J514" s="1" t="s">
        <v>197</v>
      </c>
      <c r="K514" s="1" t="n">
        <v>17.807018</v>
      </c>
      <c r="L514" s="1" t="s">
        <v>201</v>
      </c>
    </row>
    <row r="515" customFormat="false" ht="15" hidden="false" customHeight="true" outlineLevel="0" collapsed="false">
      <c r="A515" s="1" t="s">
        <v>12</v>
      </c>
      <c r="B515" s="1" t="s">
        <v>20</v>
      </c>
      <c r="C515" s="1" t="s">
        <v>10</v>
      </c>
      <c r="D515" s="1" t="s">
        <v>116</v>
      </c>
      <c r="E515" s="1" t="s">
        <v>10</v>
      </c>
      <c r="F515" s="1" t="s">
        <v>40</v>
      </c>
      <c r="G515" s="29" t="n">
        <v>46440</v>
      </c>
      <c r="H515" s="30" t="n">
        <v>10</v>
      </c>
      <c r="I515" s="1" t="s">
        <v>196</v>
      </c>
      <c r="J515" s="1" t="s">
        <v>197</v>
      </c>
      <c r="K515" s="1" t="n">
        <v>16</v>
      </c>
      <c r="L515" s="1" t="s">
        <v>198</v>
      </c>
    </row>
    <row r="516" customFormat="false" ht="15" hidden="false" customHeight="true" outlineLevel="0" collapsed="false">
      <c r="A516" s="1" t="s">
        <v>12</v>
      </c>
      <c r="B516" s="1" t="s">
        <v>20</v>
      </c>
      <c r="C516" s="1" t="s">
        <v>10</v>
      </c>
      <c r="D516" s="1" t="s">
        <v>116</v>
      </c>
      <c r="E516" s="1" t="s">
        <v>10</v>
      </c>
      <c r="F516" s="1" t="s">
        <v>85</v>
      </c>
      <c r="G516" s="29" t="n">
        <v>46440</v>
      </c>
      <c r="H516" s="30" t="n">
        <v>1.5</v>
      </c>
      <c r="I516" s="1" t="s">
        <v>196</v>
      </c>
      <c r="J516" s="1" t="s">
        <v>197</v>
      </c>
      <c r="K516" s="1" t="n">
        <v>17.5</v>
      </c>
      <c r="L516" s="1" t="s">
        <v>198</v>
      </c>
    </row>
    <row r="517" customFormat="false" ht="15" hidden="false" customHeight="true" outlineLevel="0" collapsed="false">
      <c r="A517" s="1" t="s">
        <v>12</v>
      </c>
      <c r="B517" s="1" t="s">
        <v>138</v>
      </c>
      <c r="C517" s="1" t="s">
        <v>14</v>
      </c>
      <c r="D517" s="1" t="s">
        <v>27</v>
      </c>
      <c r="E517" s="1" t="s">
        <v>14</v>
      </c>
      <c r="F517" s="1" t="s">
        <v>81</v>
      </c>
      <c r="G517" s="29" t="n">
        <v>46440</v>
      </c>
      <c r="H517" s="30" t="n">
        <v>2</v>
      </c>
      <c r="I517" s="1" t="s">
        <v>202</v>
      </c>
      <c r="J517" s="1" t="s">
        <v>197</v>
      </c>
      <c r="K517" s="1" t="n">
        <v>10</v>
      </c>
      <c r="L517" s="1" t="s">
        <v>198</v>
      </c>
    </row>
    <row r="518" customFormat="false" ht="15" hidden="false" customHeight="true" outlineLevel="0" collapsed="false">
      <c r="A518" s="1" t="s">
        <v>12</v>
      </c>
      <c r="B518" s="1" t="s">
        <v>138</v>
      </c>
      <c r="C518" s="1" t="s">
        <v>14</v>
      </c>
      <c r="D518" s="1" t="s">
        <v>13</v>
      </c>
      <c r="E518" s="1" t="s">
        <v>14</v>
      </c>
      <c r="F518" s="1" t="s">
        <v>100</v>
      </c>
      <c r="G518" s="29" t="n">
        <v>46440</v>
      </c>
      <c r="H518" s="30" t="n">
        <v>35</v>
      </c>
      <c r="I518" s="1" t="s">
        <v>202</v>
      </c>
      <c r="J518" s="1" t="s">
        <v>197</v>
      </c>
      <c r="K518" s="1" t="n">
        <v>49</v>
      </c>
      <c r="L518" s="1" t="s">
        <v>198</v>
      </c>
    </row>
    <row r="519" customFormat="false" ht="15" hidden="false" customHeight="true" outlineLevel="0" collapsed="false">
      <c r="A519" s="1" t="s">
        <v>12</v>
      </c>
      <c r="B519" s="1" t="s">
        <v>135</v>
      </c>
      <c r="C519" s="1" t="s">
        <v>14</v>
      </c>
      <c r="D519" s="1" t="s">
        <v>21</v>
      </c>
      <c r="E519" s="1" t="s">
        <v>14</v>
      </c>
      <c r="F519" s="1" t="s">
        <v>43</v>
      </c>
      <c r="G519" s="29" t="n">
        <v>46440</v>
      </c>
      <c r="H519" s="30" t="n">
        <v>7.5</v>
      </c>
      <c r="I519" s="1" t="s">
        <v>202</v>
      </c>
      <c r="J519" s="1" t="s">
        <v>197</v>
      </c>
      <c r="K519" s="1" t="n">
        <v>20</v>
      </c>
      <c r="L519" s="1" t="s">
        <v>198</v>
      </c>
    </row>
    <row r="520" customFormat="false" ht="15" hidden="false" customHeight="true" outlineLevel="0" collapsed="false">
      <c r="A520" s="1" t="s">
        <v>12</v>
      </c>
      <c r="B520" s="1" t="s">
        <v>127</v>
      </c>
      <c r="C520" s="1" t="s">
        <v>14</v>
      </c>
      <c r="D520" s="1" t="s">
        <v>21</v>
      </c>
      <c r="E520" s="1" t="s">
        <v>14</v>
      </c>
      <c r="F520" s="1" t="s">
        <v>40</v>
      </c>
      <c r="G520" s="29" t="n">
        <v>46440</v>
      </c>
      <c r="H520" s="30" t="n">
        <v>10</v>
      </c>
      <c r="I520" s="1" t="s">
        <v>202</v>
      </c>
      <c r="J520" s="1" t="s">
        <v>197</v>
      </c>
      <c r="K520" s="1" t="n">
        <v>12.5</v>
      </c>
      <c r="L520" s="1" t="s">
        <v>198</v>
      </c>
    </row>
    <row r="521" customFormat="false" ht="15" hidden="false" customHeight="true" outlineLevel="0" collapsed="false">
      <c r="A521" s="1" t="s">
        <v>12</v>
      </c>
      <c r="B521" s="1" t="s">
        <v>130</v>
      </c>
      <c r="C521" s="1" t="s">
        <v>14</v>
      </c>
      <c r="D521" s="1" t="s">
        <v>21</v>
      </c>
      <c r="E521" s="1" t="s">
        <v>14</v>
      </c>
      <c r="F521" s="1" t="s">
        <v>85</v>
      </c>
      <c r="G521" s="29" t="n">
        <v>46440</v>
      </c>
      <c r="H521" s="30" t="n">
        <v>2</v>
      </c>
      <c r="I521" s="1" t="s">
        <v>202</v>
      </c>
      <c r="J521" s="1" t="s">
        <v>197</v>
      </c>
      <c r="K521" s="1" t="n">
        <v>22</v>
      </c>
      <c r="L521" s="1" t="s">
        <v>198</v>
      </c>
    </row>
    <row r="522" customFormat="false" ht="15" hidden="false" customHeight="true" outlineLevel="0" collapsed="false">
      <c r="A522" s="1" t="s">
        <v>12</v>
      </c>
      <c r="B522" s="1" t="s">
        <v>134</v>
      </c>
      <c r="C522" s="1" t="s">
        <v>14</v>
      </c>
      <c r="D522" s="1" t="s">
        <v>27</v>
      </c>
      <c r="E522" s="1" t="s">
        <v>14</v>
      </c>
      <c r="F522" s="1" t="s">
        <v>99</v>
      </c>
      <c r="G522" s="29" t="n">
        <v>46440</v>
      </c>
      <c r="H522" s="30" t="n">
        <v>40</v>
      </c>
      <c r="I522" s="1" t="s">
        <v>202</v>
      </c>
      <c r="J522" s="1" t="s">
        <v>197</v>
      </c>
      <c r="K522" s="1" t="n">
        <v>50</v>
      </c>
      <c r="L522" s="1" t="s">
        <v>198</v>
      </c>
    </row>
    <row r="523" customFormat="false" ht="15" hidden="false" customHeight="true" outlineLevel="0" collapsed="false">
      <c r="A523" s="1" t="s">
        <v>12</v>
      </c>
      <c r="B523" s="1" t="s">
        <v>133</v>
      </c>
      <c r="C523" s="1" t="s">
        <v>14</v>
      </c>
      <c r="D523" s="1" t="s">
        <v>17</v>
      </c>
      <c r="E523" s="1" t="s">
        <v>14</v>
      </c>
      <c r="F523" s="1" t="s">
        <v>46</v>
      </c>
      <c r="G523" s="29" t="n">
        <v>46440</v>
      </c>
      <c r="H523" s="30" t="n">
        <v>7.5</v>
      </c>
      <c r="I523" s="1" t="s">
        <v>204</v>
      </c>
      <c r="J523" s="1" t="s">
        <v>197</v>
      </c>
      <c r="K523" s="1" t="n">
        <v>35.5</v>
      </c>
      <c r="L523" s="1" t="s">
        <v>198</v>
      </c>
    </row>
    <row r="524" customFormat="false" ht="15" hidden="false" customHeight="true" outlineLevel="0" collapsed="false">
      <c r="A524" s="1" t="s">
        <v>12</v>
      </c>
      <c r="B524" s="1" t="s">
        <v>136</v>
      </c>
      <c r="C524" s="1" t="s">
        <v>14</v>
      </c>
      <c r="D524" s="1" t="s">
        <v>21</v>
      </c>
      <c r="E524" s="1" t="s">
        <v>14</v>
      </c>
      <c r="F524" s="1" t="s">
        <v>43</v>
      </c>
      <c r="G524" s="29" t="n">
        <v>46440</v>
      </c>
      <c r="H524" s="30" t="n">
        <v>30</v>
      </c>
      <c r="I524" s="1" t="s">
        <v>202</v>
      </c>
      <c r="J524" s="1" t="s">
        <v>197</v>
      </c>
      <c r="K524" s="1" t="n">
        <v>52</v>
      </c>
      <c r="L524" s="1" t="s">
        <v>198</v>
      </c>
    </row>
    <row r="525" customFormat="false" ht="15" hidden="false" customHeight="true" outlineLevel="0" collapsed="false">
      <c r="A525" s="1" t="s">
        <v>12</v>
      </c>
      <c r="B525" s="1" t="s">
        <v>137</v>
      </c>
      <c r="C525" s="1" t="s">
        <v>14</v>
      </c>
      <c r="D525" s="1" t="s">
        <v>30</v>
      </c>
      <c r="E525" s="1" t="s">
        <v>14</v>
      </c>
      <c r="F525" s="1" t="s">
        <v>100</v>
      </c>
      <c r="G525" s="29" t="n">
        <v>46440</v>
      </c>
      <c r="H525" s="30" t="n">
        <v>5</v>
      </c>
      <c r="I525" s="1" t="s">
        <v>202</v>
      </c>
      <c r="J525" s="1" t="s">
        <v>197</v>
      </c>
      <c r="K525" s="1" t="n">
        <v>37</v>
      </c>
      <c r="L525" s="1" t="s">
        <v>198</v>
      </c>
    </row>
    <row r="526" customFormat="false" ht="15" hidden="false" customHeight="true" outlineLevel="0" collapsed="false">
      <c r="A526" s="1" t="s">
        <v>12</v>
      </c>
      <c r="B526" s="1" t="s">
        <v>24</v>
      </c>
      <c r="C526" s="1" t="s">
        <v>14</v>
      </c>
      <c r="D526" s="1" t="s">
        <v>26</v>
      </c>
      <c r="E526" s="1" t="s">
        <v>14</v>
      </c>
      <c r="F526" s="1" t="s">
        <v>80</v>
      </c>
      <c r="G526" s="29" t="n">
        <v>46447</v>
      </c>
      <c r="H526" s="30" t="n">
        <v>5</v>
      </c>
      <c r="I526" s="1" t="s">
        <v>196</v>
      </c>
      <c r="J526" s="1" t="s">
        <v>197</v>
      </c>
      <c r="K526" s="1" t="n">
        <v>11.3</v>
      </c>
      <c r="L526" s="1" t="s">
        <v>198</v>
      </c>
    </row>
    <row r="527" customFormat="false" ht="15" hidden="false" customHeight="true" outlineLevel="0" collapsed="false">
      <c r="A527" s="1" t="s">
        <v>12</v>
      </c>
      <c r="B527" s="1" t="s">
        <v>133</v>
      </c>
      <c r="C527" s="1" t="s">
        <v>14</v>
      </c>
      <c r="D527" s="1" t="s">
        <v>17</v>
      </c>
      <c r="E527" s="1" t="s">
        <v>14</v>
      </c>
      <c r="F527" s="1" t="s">
        <v>46</v>
      </c>
      <c r="G527" s="29" t="n">
        <v>46447</v>
      </c>
      <c r="H527" s="30" t="n">
        <v>1.5</v>
      </c>
      <c r="I527" s="1" t="s">
        <v>204</v>
      </c>
      <c r="J527" s="1" t="s">
        <v>197</v>
      </c>
      <c r="K527" s="1" t="n">
        <v>4.5</v>
      </c>
      <c r="L527" s="1" t="s">
        <v>198</v>
      </c>
    </row>
    <row r="528" customFormat="false" ht="15" hidden="false" customHeight="true" outlineLevel="0" collapsed="false">
      <c r="A528" s="1" t="s">
        <v>12</v>
      </c>
      <c r="B528" s="1" t="s">
        <v>24</v>
      </c>
      <c r="C528" s="1" t="s">
        <v>14</v>
      </c>
      <c r="D528" s="1" t="s">
        <v>26</v>
      </c>
      <c r="E528" s="1" t="s">
        <v>14</v>
      </c>
      <c r="F528" s="1" t="s">
        <v>80</v>
      </c>
      <c r="G528" s="29" t="n">
        <v>46454</v>
      </c>
      <c r="H528" s="30" t="n">
        <v>21</v>
      </c>
      <c r="I528" s="1" t="s">
        <v>196</v>
      </c>
      <c r="J528" s="1" t="s">
        <v>197</v>
      </c>
      <c r="K528" s="1" t="n">
        <v>29.7</v>
      </c>
      <c r="L528" s="1" t="s">
        <v>198</v>
      </c>
    </row>
    <row r="529" customFormat="false" ht="15" hidden="false" customHeight="true" outlineLevel="0" collapsed="false">
      <c r="A529" s="1" t="s">
        <v>12</v>
      </c>
      <c r="B529" s="1" t="s">
        <v>133</v>
      </c>
      <c r="C529" s="1" t="s">
        <v>14</v>
      </c>
      <c r="D529" s="1" t="s">
        <v>17</v>
      </c>
      <c r="E529" s="1" t="s">
        <v>14</v>
      </c>
      <c r="F529" s="1" t="s">
        <v>46</v>
      </c>
      <c r="G529" s="29" t="n">
        <v>46454</v>
      </c>
      <c r="H529" s="30" t="n">
        <v>1.5</v>
      </c>
      <c r="I529" s="1" t="s">
        <v>204</v>
      </c>
      <c r="J529" s="1" t="s">
        <v>197</v>
      </c>
      <c r="K529" s="1" t="n">
        <v>4.5</v>
      </c>
      <c r="L529" s="1" t="s">
        <v>198</v>
      </c>
    </row>
    <row r="530" customFormat="false" ht="15" hidden="false" customHeight="true" outlineLevel="0" collapsed="false">
      <c r="A530" s="1" t="s">
        <v>12</v>
      </c>
      <c r="B530" s="1" t="s">
        <v>24</v>
      </c>
      <c r="C530" s="1" t="s">
        <v>14</v>
      </c>
      <c r="D530" s="1" t="s">
        <v>26</v>
      </c>
      <c r="E530" s="1" t="s">
        <v>14</v>
      </c>
      <c r="F530" s="1" t="s">
        <v>80</v>
      </c>
      <c r="G530" s="29" t="n">
        <v>46461</v>
      </c>
      <c r="H530" s="30" t="n">
        <v>6</v>
      </c>
      <c r="I530" s="1" t="s">
        <v>196</v>
      </c>
      <c r="J530" s="1" t="s">
        <v>197</v>
      </c>
      <c r="K530" s="1" t="n">
        <v>22</v>
      </c>
      <c r="L530" s="1" t="s">
        <v>198</v>
      </c>
    </row>
    <row r="531" customFormat="false" ht="15" hidden="false" customHeight="true" outlineLevel="0" collapsed="false">
      <c r="A531" s="1" t="s">
        <v>12</v>
      </c>
      <c r="B531" s="1" t="s">
        <v>133</v>
      </c>
      <c r="C531" s="1" t="s">
        <v>14</v>
      </c>
      <c r="D531" s="1" t="s">
        <v>17</v>
      </c>
      <c r="E531" s="1" t="s">
        <v>14</v>
      </c>
      <c r="F531" s="1" t="s">
        <v>46</v>
      </c>
      <c r="G531" s="29" t="n">
        <v>46461</v>
      </c>
      <c r="H531" s="30" t="n">
        <v>1.5</v>
      </c>
      <c r="I531" s="1" t="s">
        <v>204</v>
      </c>
      <c r="J531" s="1" t="s">
        <v>197</v>
      </c>
      <c r="K531" s="1" t="n">
        <v>4.5</v>
      </c>
      <c r="L531" s="1" t="s">
        <v>198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4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16"/>
    <col collapsed="false" customWidth="true" hidden="false" outlineLevel="0" max="6" min="6" style="1" width="4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36" min="11" style="1" width="13"/>
  </cols>
  <sheetData>
    <row r="1" customFormat="false" ht="27.75" hidden="false" customHeight="true" outlineLevel="0" collapsed="false">
      <c r="A1" s="31" t="s">
        <v>68</v>
      </c>
      <c r="B1" s="31" t="s">
        <v>2</v>
      </c>
      <c r="C1" s="31" t="s">
        <v>207</v>
      </c>
      <c r="D1" s="31" t="s">
        <v>208</v>
      </c>
      <c r="E1" s="31" t="s">
        <v>3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209</v>
      </c>
      <c r="L1" s="31" t="s">
        <v>210</v>
      </c>
      <c r="M1" s="31" t="s">
        <v>211</v>
      </c>
      <c r="N1" s="31" t="s">
        <v>212</v>
      </c>
      <c r="O1" s="31" t="s">
        <v>213</v>
      </c>
      <c r="P1" s="31" t="s">
        <v>214</v>
      </c>
      <c r="Q1" s="31" t="s">
        <v>215</v>
      </c>
      <c r="R1" s="31" t="s">
        <v>216</v>
      </c>
      <c r="S1" s="31" t="s">
        <v>217</v>
      </c>
      <c r="T1" s="31" t="s">
        <v>218</v>
      </c>
      <c r="U1" s="31" t="s">
        <v>219</v>
      </c>
      <c r="V1" s="31" t="s">
        <v>220</v>
      </c>
      <c r="W1" s="31" t="s">
        <v>221</v>
      </c>
      <c r="X1" s="31" t="s">
        <v>222</v>
      </c>
      <c r="Y1" s="31" t="s">
        <v>223</v>
      </c>
      <c r="Z1" s="31" t="s">
        <v>224</v>
      </c>
      <c r="AA1" s="31" t="s">
        <v>225</v>
      </c>
      <c r="AB1" s="31" t="s">
        <v>226</v>
      </c>
      <c r="AC1" s="31" t="s">
        <v>227</v>
      </c>
      <c r="AD1" s="31" t="s">
        <v>228</v>
      </c>
      <c r="AE1" s="31" t="s">
        <v>229</v>
      </c>
      <c r="AF1" s="31" t="s">
        <v>230</v>
      </c>
      <c r="AG1" s="31" t="s">
        <v>231</v>
      </c>
      <c r="AH1" s="31" t="s">
        <v>232</v>
      </c>
      <c r="AI1" s="31" t="s">
        <v>233</v>
      </c>
      <c r="AJ1" s="31" t="s">
        <v>234</v>
      </c>
      <c r="AK1" s="31" t="s">
        <v>235</v>
      </c>
      <c r="AL1" s="31" t="s">
        <v>236</v>
      </c>
      <c r="AM1" s="31" t="s">
        <v>237</v>
      </c>
      <c r="AN1" s="31" t="s">
        <v>238</v>
      </c>
      <c r="AO1" s="31" t="s">
        <v>239</v>
      </c>
      <c r="AP1" s="31" t="s">
        <v>240</v>
      </c>
      <c r="AQ1" s="31" t="s">
        <v>241</v>
      </c>
      <c r="AR1" s="31" t="s">
        <v>242</v>
      </c>
      <c r="AS1" s="31" t="s">
        <v>243</v>
      </c>
      <c r="AT1" s="31" t="s">
        <v>244</v>
      </c>
      <c r="AU1" s="31" t="s">
        <v>245</v>
      </c>
      <c r="AV1" s="31" t="s">
        <v>246</v>
      </c>
      <c r="AW1" s="31" t="s">
        <v>247</v>
      </c>
      <c r="AX1" s="31" t="s">
        <v>248</v>
      </c>
      <c r="AY1" s="31" t="s">
        <v>249</v>
      </c>
      <c r="AZ1" s="31" t="s">
        <v>250</v>
      </c>
      <c r="BA1" s="31" t="s">
        <v>251</v>
      </c>
      <c r="BB1" s="31" t="s">
        <v>252</v>
      </c>
      <c r="BC1" s="31" t="s">
        <v>253</v>
      </c>
      <c r="BD1" s="31" t="s">
        <v>254</v>
      </c>
      <c r="BE1" s="31" t="s">
        <v>255</v>
      </c>
      <c r="BF1" s="31" t="s">
        <v>256</v>
      </c>
      <c r="BG1" s="31" t="s">
        <v>257</v>
      </c>
      <c r="BH1" s="31" t="s">
        <v>258</v>
      </c>
      <c r="BI1" s="31" t="s">
        <v>259</v>
      </c>
      <c r="BJ1" s="31" t="s">
        <v>260</v>
      </c>
      <c r="BK1" s="31" t="s">
        <v>261</v>
      </c>
      <c r="BL1" s="31" t="s">
        <v>262</v>
      </c>
      <c r="BM1" s="31" t="s">
        <v>263</v>
      </c>
      <c r="BN1" s="31" t="s">
        <v>264</v>
      </c>
      <c r="BO1" s="31" t="s">
        <v>265</v>
      </c>
      <c r="BP1" s="31" t="s">
        <v>266</v>
      </c>
      <c r="BQ1" s="31" t="s">
        <v>267</v>
      </c>
      <c r="BR1" s="31" t="s">
        <v>268</v>
      </c>
      <c r="BS1" s="31" t="s">
        <v>269</v>
      </c>
      <c r="BT1" s="31" t="s">
        <v>270</v>
      </c>
      <c r="BU1" s="31" t="s">
        <v>271</v>
      </c>
      <c r="BV1" s="31" t="s">
        <v>272</v>
      </c>
      <c r="BW1" s="31" t="s">
        <v>273</v>
      </c>
      <c r="BX1" s="31" t="s">
        <v>274</v>
      </c>
      <c r="BY1" s="31" t="s">
        <v>275</v>
      </c>
      <c r="BZ1" s="31" t="s">
        <v>276</v>
      </c>
      <c r="CA1" s="31" t="s">
        <v>277</v>
      </c>
      <c r="CB1" s="31" t="s">
        <v>278</v>
      </c>
      <c r="CC1" s="31" t="s">
        <v>279</v>
      </c>
      <c r="CD1" s="31" t="s">
        <v>280</v>
      </c>
      <c r="CE1" s="31" t="s">
        <v>281</v>
      </c>
      <c r="CF1" s="31" t="s">
        <v>282</v>
      </c>
      <c r="CG1" s="31" t="s">
        <v>283</v>
      </c>
      <c r="CH1" s="31" t="s">
        <v>284</v>
      </c>
      <c r="CI1" s="31" t="s">
        <v>285</v>
      </c>
      <c r="CJ1" s="31" t="s">
        <v>286</v>
      </c>
      <c r="CK1" s="31" t="s">
        <v>287</v>
      </c>
      <c r="CL1" s="31" t="s">
        <v>288</v>
      </c>
      <c r="CM1" s="31" t="s">
        <v>289</v>
      </c>
      <c r="CN1" s="31" t="s">
        <v>290</v>
      </c>
      <c r="CO1" s="31" t="s">
        <v>291</v>
      </c>
      <c r="CP1" s="31" t="s">
        <v>292</v>
      </c>
      <c r="CQ1" s="31" t="s">
        <v>293</v>
      </c>
      <c r="CR1" s="31" t="s">
        <v>294</v>
      </c>
      <c r="CS1" s="31" t="s">
        <v>295</v>
      </c>
      <c r="CT1" s="31" t="s">
        <v>296</v>
      </c>
      <c r="CU1" s="31" t="s">
        <v>297</v>
      </c>
      <c r="CV1" s="31" t="s">
        <v>298</v>
      </c>
      <c r="CW1" s="31" t="s">
        <v>299</v>
      </c>
      <c r="CX1" s="31" t="s">
        <v>300</v>
      </c>
      <c r="CY1" s="31" t="s">
        <v>301</v>
      </c>
      <c r="CZ1" s="31" t="s">
        <v>302</v>
      </c>
      <c r="DA1" s="31" t="s">
        <v>303</v>
      </c>
      <c r="DB1" s="31" t="s">
        <v>304</v>
      </c>
      <c r="DC1" s="31" t="s">
        <v>305</v>
      </c>
      <c r="DD1" s="31" t="s">
        <v>306</v>
      </c>
      <c r="DE1" s="31" t="s">
        <v>307</v>
      </c>
      <c r="DF1" s="31" t="s">
        <v>308</v>
      </c>
      <c r="DG1" s="31" t="s">
        <v>309</v>
      </c>
      <c r="DH1" s="31" t="s">
        <v>310</v>
      </c>
      <c r="DI1" s="31" t="s">
        <v>311</v>
      </c>
      <c r="DJ1" s="31" t="s">
        <v>312</v>
      </c>
      <c r="DK1" s="31" t="s">
        <v>313</v>
      </c>
      <c r="DL1" s="31" t="s">
        <v>314</v>
      </c>
      <c r="DM1" s="31" t="s">
        <v>315</v>
      </c>
      <c r="DN1" s="31" t="s">
        <v>316</v>
      </c>
      <c r="DO1" s="31" t="s">
        <v>317</v>
      </c>
      <c r="DP1" s="31" t="s">
        <v>318</v>
      </c>
      <c r="DQ1" s="31" t="s">
        <v>319</v>
      </c>
      <c r="DR1" s="31" t="s">
        <v>320</v>
      </c>
      <c r="DS1" s="31" t="s">
        <v>321</v>
      </c>
      <c r="DT1" s="31" t="s">
        <v>322</v>
      </c>
      <c r="DU1" s="31" t="s">
        <v>323</v>
      </c>
      <c r="DV1" s="31" t="s">
        <v>324</v>
      </c>
      <c r="DW1" s="31" t="s">
        <v>325</v>
      </c>
      <c r="DX1" s="31" t="s">
        <v>326</v>
      </c>
      <c r="DY1" s="31" t="s">
        <v>327</v>
      </c>
      <c r="DZ1" s="31" t="s">
        <v>328</v>
      </c>
      <c r="EA1" s="31" t="s">
        <v>329</v>
      </c>
      <c r="EB1" s="31" t="s">
        <v>330</v>
      </c>
      <c r="EC1" s="31" t="s">
        <v>331</v>
      </c>
      <c r="ED1" s="31" t="s">
        <v>332</v>
      </c>
      <c r="EE1" s="31" t="s">
        <v>333</v>
      </c>
      <c r="EF1" s="31" t="s">
        <v>334</v>
      </c>
    </row>
    <row r="2" customFormat="false" ht="15" hidden="false" customHeight="true" outlineLevel="0" collapsed="false">
      <c r="A2" s="9" t="s">
        <v>29</v>
      </c>
      <c r="B2" s="9" t="s">
        <v>31</v>
      </c>
      <c r="C2" s="9" t="s">
        <v>31</v>
      </c>
      <c r="D2" s="9" t="s">
        <v>335</v>
      </c>
      <c r="E2" s="9" t="s">
        <v>14</v>
      </c>
      <c r="F2" s="9" t="s">
        <v>91</v>
      </c>
      <c r="G2" s="16" t="n">
        <v>51</v>
      </c>
      <c r="H2" s="16" t="n">
        <v>456</v>
      </c>
      <c r="I2" s="16" t="n">
        <v>405</v>
      </c>
      <c r="J2" s="16" t="n">
        <v>51</v>
      </c>
      <c r="K2" s="16" t="n">
        <v>0</v>
      </c>
      <c r="L2" s="16" t="n">
        <v>0</v>
      </c>
      <c r="M2" s="16" t="n">
        <v>0</v>
      </c>
      <c r="N2" s="16" t="n">
        <v>0</v>
      </c>
      <c r="O2" s="16" t="n">
        <v>0</v>
      </c>
      <c r="P2" s="16" t="n">
        <v>0</v>
      </c>
      <c r="Q2" s="16" t="n">
        <v>0</v>
      </c>
      <c r="R2" s="16" t="n">
        <v>0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0</v>
      </c>
      <c r="X2" s="16" t="n">
        <v>0</v>
      </c>
      <c r="Y2" s="16" t="n">
        <v>0</v>
      </c>
      <c r="Z2" s="16" t="n">
        <v>0</v>
      </c>
      <c r="AA2" s="16" t="n">
        <v>0</v>
      </c>
      <c r="AB2" s="16" t="n">
        <v>0</v>
      </c>
      <c r="AC2" s="16" t="n">
        <v>0</v>
      </c>
      <c r="AD2" s="16" t="n">
        <v>0</v>
      </c>
      <c r="AE2" s="16" t="n">
        <v>0</v>
      </c>
      <c r="AF2" s="16" t="n">
        <v>0</v>
      </c>
      <c r="AG2" s="16" t="n">
        <v>0</v>
      </c>
      <c r="AH2" s="16" t="n">
        <v>0</v>
      </c>
      <c r="AI2" s="16" t="n">
        <v>0</v>
      </c>
      <c r="AJ2" s="16" t="n">
        <v>0</v>
      </c>
      <c r="AK2" s="16" t="n">
        <v>0</v>
      </c>
      <c r="AL2" s="16" t="n">
        <v>0</v>
      </c>
      <c r="AM2" s="16" t="n">
        <v>0</v>
      </c>
      <c r="AN2" s="16" t="n">
        <v>0</v>
      </c>
      <c r="AO2" s="16" t="n">
        <v>0</v>
      </c>
      <c r="AP2" s="16" t="n">
        <v>0</v>
      </c>
      <c r="AQ2" s="16" t="n">
        <v>0</v>
      </c>
      <c r="AR2" s="16" t="n">
        <v>0</v>
      </c>
      <c r="AS2" s="16" t="n">
        <v>0</v>
      </c>
      <c r="AT2" s="16" t="n">
        <v>0</v>
      </c>
      <c r="AU2" s="16" t="n">
        <v>0</v>
      </c>
      <c r="AV2" s="16" t="n">
        <v>0</v>
      </c>
      <c r="AW2" s="16" t="n">
        <v>0</v>
      </c>
      <c r="AX2" s="16" t="n">
        <v>0</v>
      </c>
      <c r="AY2" s="16" t="n">
        <v>0</v>
      </c>
      <c r="AZ2" s="16" t="n">
        <v>0</v>
      </c>
      <c r="BA2" s="16" t="n">
        <v>0</v>
      </c>
      <c r="BB2" s="16" t="n">
        <v>0</v>
      </c>
      <c r="BC2" s="16" t="n">
        <v>0</v>
      </c>
      <c r="BD2" s="16" t="n">
        <v>0</v>
      </c>
      <c r="BE2" s="16" t="n">
        <v>0</v>
      </c>
      <c r="BF2" s="16" t="n">
        <v>0</v>
      </c>
      <c r="BG2" s="16" t="n">
        <v>0</v>
      </c>
      <c r="BH2" s="16" t="n">
        <v>0</v>
      </c>
      <c r="BI2" s="16" t="n">
        <v>0</v>
      </c>
      <c r="BJ2" s="16" t="n">
        <v>0</v>
      </c>
      <c r="BK2" s="16" t="n">
        <v>0</v>
      </c>
      <c r="BL2" s="16" t="n">
        <v>0</v>
      </c>
      <c r="BM2" s="16" t="n">
        <v>0</v>
      </c>
      <c r="BN2" s="16" t="n">
        <v>0</v>
      </c>
      <c r="BO2" s="16" t="n">
        <v>0</v>
      </c>
      <c r="BP2" s="16" t="n">
        <v>0</v>
      </c>
      <c r="BQ2" s="16" t="n">
        <v>0</v>
      </c>
      <c r="BR2" s="16" t="n">
        <v>0</v>
      </c>
      <c r="BS2" s="16" t="n">
        <v>0</v>
      </c>
      <c r="BT2" s="16" t="n">
        <v>0</v>
      </c>
      <c r="BU2" s="16" t="n">
        <v>0</v>
      </c>
      <c r="BV2" s="16" t="n">
        <v>0</v>
      </c>
      <c r="BW2" s="16" t="n">
        <v>0</v>
      </c>
      <c r="BX2" s="16" t="n">
        <v>0</v>
      </c>
      <c r="BY2" s="16" t="n">
        <v>0</v>
      </c>
      <c r="BZ2" s="16" t="n">
        <v>0</v>
      </c>
      <c r="CA2" s="16" t="n">
        <v>0</v>
      </c>
      <c r="CB2" s="16" t="n">
        <v>0</v>
      </c>
      <c r="CC2" s="16" t="n">
        <v>0</v>
      </c>
      <c r="CD2" s="16" t="n">
        <v>0</v>
      </c>
      <c r="CE2" s="16" t="n">
        <v>0</v>
      </c>
      <c r="CF2" s="16" t="n">
        <v>0</v>
      </c>
      <c r="CG2" s="16" t="n">
        <v>0</v>
      </c>
      <c r="CH2" s="16" t="n">
        <v>0</v>
      </c>
      <c r="CI2" s="16" t="n">
        <v>0</v>
      </c>
      <c r="CJ2" s="16" t="n">
        <v>0</v>
      </c>
      <c r="CK2" s="16" t="n">
        <v>0</v>
      </c>
      <c r="CL2" s="16" t="n">
        <v>0</v>
      </c>
      <c r="CM2" s="16" t="n">
        <v>0</v>
      </c>
      <c r="CN2" s="16" t="n">
        <v>0</v>
      </c>
      <c r="CO2" s="16" t="n">
        <v>0</v>
      </c>
      <c r="CP2" s="16" t="n">
        <v>0</v>
      </c>
      <c r="CQ2" s="16" t="n">
        <v>0</v>
      </c>
      <c r="CR2" s="16" t="n">
        <v>0</v>
      </c>
      <c r="CS2" s="16" t="n">
        <v>10</v>
      </c>
      <c r="CT2" s="16" t="n">
        <v>10</v>
      </c>
      <c r="CU2" s="16" t="n">
        <v>10</v>
      </c>
      <c r="CV2" s="16" t="n">
        <v>10</v>
      </c>
      <c r="CW2" s="16" t="n">
        <v>20</v>
      </c>
      <c r="CX2" s="16" t="n">
        <v>30</v>
      </c>
      <c r="CY2" s="16" t="n">
        <v>30</v>
      </c>
      <c r="CZ2" s="16" t="n">
        <v>20</v>
      </c>
      <c r="DA2" s="16" t="n">
        <v>20</v>
      </c>
      <c r="DB2" s="16" t="n">
        <v>10</v>
      </c>
      <c r="DC2" s="16" t="n">
        <v>10</v>
      </c>
      <c r="DD2" s="16" t="n">
        <v>10</v>
      </c>
      <c r="DE2" s="16" t="n">
        <v>10</v>
      </c>
      <c r="DF2" s="16" t="n">
        <v>0</v>
      </c>
      <c r="DG2" s="16" t="n">
        <v>0</v>
      </c>
      <c r="DH2" s="16" t="n">
        <v>0</v>
      </c>
      <c r="DI2" s="16" t="n">
        <v>0</v>
      </c>
      <c r="DJ2" s="16" t="n">
        <v>0</v>
      </c>
      <c r="DK2" s="16" t="n">
        <v>0</v>
      </c>
      <c r="DL2" s="16" t="n">
        <v>0</v>
      </c>
      <c r="DM2" s="16" t="n">
        <v>0</v>
      </c>
      <c r="DN2" s="16" t="n">
        <v>0</v>
      </c>
      <c r="DO2" s="16" t="n">
        <v>0</v>
      </c>
      <c r="DP2" s="16" t="n">
        <v>0</v>
      </c>
      <c r="DQ2" s="16" t="n">
        <v>0</v>
      </c>
      <c r="DR2" s="16" t="n">
        <v>5</v>
      </c>
      <c r="DS2" s="16" t="n">
        <v>25</v>
      </c>
      <c r="DT2" s="16" t="n">
        <v>25</v>
      </c>
      <c r="DU2" s="16" t="n">
        <v>25</v>
      </c>
      <c r="DV2" s="16" t="n">
        <v>25</v>
      </c>
      <c r="DW2" s="16" t="n">
        <v>25</v>
      </c>
      <c r="DX2" s="16" t="n">
        <v>25</v>
      </c>
      <c r="DY2" s="16" t="n">
        <v>25</v>
      </c>
      <c r="DZ2" s="16" t="n">
        <v>10</v>
      </c>
      <c r="EA2" s="16" t="n">
        <v>10</v>
      </c>
      <c r="EB2" s="16" t="n">
        <v>5</v>
      </c>
      <c r="EC2" s="16" t="n">
        <v>0</v>
      </c>
      <c r="ED2" s="16" t="n">
        <v>0</v>
      </c>
      <c r="EE2" s="16" t="n">
        <v>0</v>
      </c>
      <c r="EF2" s="16" t="n">
        <v>0</v>
      </c>
    </row>
    <row r="3" customFormat="false" ht="15" hidden="false" customHeight="true" outlineLevel="0" collapsed="false">
      <c r="A3" s="9" t="s">
        <v>29</v>
      </c>
      <c r="B3" s="9" t="s">
        <v>31</v>
      </c>
      <c r="C3" s="9" t="s">
        <v>31</v>
      </c>
      <c r="D3" s="9" t="s">
        <v>335</v>
      </c>
      <c r="E3" s="9" t="s">
        <v>14</v>
      </c>
      <c r="F3" s="9" t="s">
        <v>92</v>
      </c>
      <c r="G3" s="16" t="n">
        <v>318</v>
      </c>
      <c r="H3" s="16" t="n">
        <v>858</v>
      </c>
      <c r="I3" s="16" t="n">
        <v>689.5</v>
      </c>
      <c r="J3" s="16" t="n">
        <v>168.5</v>
      </c>
      <c r="K3" s="16" t="n">
        <v>0</v>
      </c>
      <c r="L3" s="16" t="n">
        <v>0</v>
      </c>
      <c r="M3" s="16" t="n">
        <v>0</v>
      </c>
      <c r="N3" s="16" t="n">
        <v>0</v>
      </c>
      <c r="O3" s="16" t="n">
        <v>0</v>
      </c>
      <c r="P3" s="16" t="n">
        <v>0</v>
      </c>
      <c r="Q3" s="16" t="n">
        <v>0</v>
      </c>
      <c r="R3" s="16" t="n">
        <v>0</v>
      </c>
      <c r="S3" s="16" t="n">
        <v>0</v>
      </c>
      <c r="T3" s="16" t="n">
        <v>0</v>
      </c>
      <c r="U3" s="16" t="n">
        <v>0</v>
      </c>
      <c r="V3" s="16" t="n">
        <v>0</v>
      </c>
      <c r="W3" s="16" t="n">
        <v>0</v>
      </c>
      <c r="X3" s="16" t="n">
        <v>0</v>
      </c>
      <c r="Y3" s="16" t="n">
        <v>0</v>
      </c>
      <c r="Z3" s="16" t="n">
        <v>0</v>
      </c>
      <c r="AA3" s="16" t="n">
        <v>0</v>
      </c>
      <c r="AB3" s="16" t="n">
        <v>0</v>
      </c>
      <c r="AC3" s="16" t="n">
        <v>0</v>
      </c>
      <c r="AD3" s="16" t="n">
        <v>0</v>
      </c>
      <c r="AE3" s="16" t="n">
        <v>0</v>
      </c>
      <c r="AF3" s="16" t="n">
        <v>0</v>
      </c>
      <c r="AG3" s="16" t="n">
        <v>0</v>
      </c>
      <c r="AH3" s="16" t="n">
        <v>0</v>
      </c>
      <c r="AI3" s="16" t="n">
        <v>0</v>
      </c>
      <c r="AJ3" s="16" t="n">
        <v>3.5</v>
      </c>
      <c r="AK3" s="16" t="n">
        <v>12</v>
      </c>
      <c r="AL3" s="16" t="n">
        <v>20</v>
      </c>
      <c r="AM3" s="16" t="n">
        <v>19</v>
      </c>
      <c r="AN3" s="16" t="n">
        <v>35</v>
      </c>
      <c r="AO3" s="16" t="n">
        <v>25</v>
      </c>
      <c r="AP3" s="16" t="n">
        <v>21</v>
      </c>
      <c r="AQ3" s="16" t="n">
        <v>17</v>
      </c>
      <c r="AR3" s="16" t="n">
        <v>23</v>
      </c>
      <c r="AS3" s="16" t="n">
        <v>6</v>
      </c>
      <c r="AT3" s="16" t="n">
        <v>0</v>
      </c>
      <c r="AU3" s="16" t="n">
        <v>0</v>
      </c>
      <c r="AV3" s="16" t="n">
        <v>0</v>
      </c>
      <c r="AW3" s="16" t="n">
        <v>0</v>
      </c>
      <c r="AX3" s="16" t="n">
        <v>0</v>
      </c>
      <c r="AY3" s="16" t="n">
        <v>0</v>
      </c>
      <c r="AZ3" s="16" t="n">
        <v>0</v>
      </c>
      <c r="BA3" s="16" t="n">
        <v>0</v>
      </c>
      <c r="BB3" s="16" t="n">
        <v>0</v>
      </c>
      <c r="BC3" s="16" t="n">
        <v>0</v>
      </c>
      <c r="BD3" s="16" t="n">
        <v>0</v>
      </c>
      <c r="BE3" s="16" t="n">
        <v>0</v>
      </c>
      <c r="BF3" s="16" t="n">
        <v>0</v>
      </c>
      <c r="BG3" s="16" t="n">
        <v>0</v>
      </c>
      <c r="BH3" s="16" t="n">
        <v>0</v>
      </c>
      <c r="BI3" s="16" t="n">
        <v>0</v>
      </c>
      <c r="BJ3" s="16" t="n">
        <v>0</v>
      </c>
      <c r="BK3" s="16" t="n">
        <v>0</v>
      </c>
      <c r="BL3" s="16" t="n">
        <v>0</v>
      </c>
      <c r="BM3" s="16" t="n">
        <v>0</v>
      </c>
      <c r="BN3" s="16" t="n">
        <v>0</v>
      </c>
      <c r="BO3" s="16" t="n">
        <v>0</v>
      </c>
      <c r="BP3" s="16" t="n">
        <v>0</v>
      </c>
      <c r="BQ3" s="16" t="n">
        <v>0</v>
      </c>
      <c r="BR3" s="16" t="n">
        <v>0</v>
      </c>
      <c r="BS3" s="16" t="n">
        <v>0</v>
      </c>
      <c r="BT3" s="16" t="n">
        <v>0</v>
      </c>
      <c r="BU3" s="16" t="n">
        <v>0</v>
      </c>
      <c r="BV3" s="16" t="n">
        <v>0</v>
      </c>
      <c r="BW3" s="16" t="n">
        <v>0</v>
      </c>
      <c r="BX3" s="16" t="n">
        <v>0</v>
      </c>
      <c r="BY3" s="16" t="n">
        <v>0</v>
      </c>
      <c r="BZ3" s="16" t="n">
        <v>0</v>
      </c>
      <c r="CA3" s="16" t="n">
        <v>0</v>
      </c>
      <c r="CB3" s="16" t="n">
        <v>0</v>
      </c>
      <c r="CC3" s="16" t="n">
        <v>0</v>
      </c>
      <c r="CD3" s="16" t="n">
        <v>0</v>
      </c>
      <c r="CE3" s="16" t="n">
        <v>0</v>
      </c>
      <c r="CF3" s="16" t="n">
        <v>0</v>
      </c>
      <c r="CG3" s="16" t="n">
        <v>0</v>
      </c>
      <c r="CH3" s="16" t="n">
        <v>0</v>
      </c>
      <c r="CI3" s="16" t="n">
        <v>0</v>
      </c>
      <c r="CJ3" s="16" t="n">
        <v>0</v>
      </c>
      <c r="CK3" s="16" t="n">
        <v>0</v>
      </c>
      <c r="CL3" s="16" t="n">
        <v>0</v>
      </c>
      <c r="CM3" s="16" t="n">
        <v>0</v>
      </c>
      <c r="CN3" s="16" t="n">
        <v>0</v>
      </c>
      <c r="CO3" s="16" t="n">
        <v>0</v>
      </c>
      <c r="CP3" s="16" t="n">
        <v>0</v>
      </c>
      <c r="CQ3" s="16" t="n">
        <v>0</v>
      </c>
      <c r="CR3" s="16" t="n">
        <v>0</v>
      </c>
      <c r="CS3" s="16" t="n">
        <v>8</v>
      </c>
      <c r="CT3" s="16" t="n">
        <v>8</v>
      </c>
      <c r="CU3" s="16" t="n">
        <v>8</v>
      </c>
      <c r="CV3" s="16" t="n">
        <v>5</v>
      </c>
      <c r="CW3" s="16" t="n">
        <v>5</v>
      </c>
      <c r="CX3" s="16" t="n">
        <v>5</v>
      </c>
      <c r="CY3" s="16" t="n">
        <v>20</v>
      </c>
      <c r="CZ3" s="16" t="n">
        <v>20</v>
      </c>
      <c r="DA3" s="16" t="n">
        <v>20</v>
      </c>
      <c r="DB3" s="16" t="n">
        <v>5</v>
      </c>
      <c r="DC3" s="16" t="n">
        <v>5</v>
      </c>
      <c r="DD3" s="16" t="n">
        <v>5</v>
      </c>
      <c r="DE3" s="16" t="n">
        <v>15</v>
      </c>
      <c r="DF3" s="16" t="n">
        <v>15</v>
      </c>
      <c r="DG3" s="16" t="n">
        <v>15</v>
      </c>
      <c r="DH3" s="16" t="n">
        <v>15</v>
      </c>
      <c r="DI3" s="16" t="n">
        <v>0</v>
      </c>
      <c r="DJ3" s="16" t="n">
        <v>0</v>
      </c>
      <c r="DK3" s="16" t="n">
        <v>20</v>
      </c>
      <c r="DL3" s="16" t="n">
        <v>40</v>
      </c>
      <c r="DM3" s="16" t="n">
        <v>55</v>
      </c>
      <c r="DN3" s="16" t="n">
        <v>50</v>
      </c>
      <c r="DO3" s="16" t="n">
        <v>50</v>
      </c>
      <c r="DP3" s="16" t="n">
        <v>55</v>
      </c>
      <c r="DQ3" s="16" t="n">
        <v>50</v>
      </c>
      <c r="DR3" s="16" t="n">
        <v>20</v>
      </c>
      <c r="DS3" s="16" t="n">
        <v>0</v>
      </c>
      <c r="DT3" s="16" t="n">
        <v>0</v>
      </c>
      <c r="DU3" s="16" t="n">
        <v>0</v>
      </c>
      <c r="DV3" s="16" t="n">
        <v>0</v>
      </c>
      <c r="DW3" s="16" t="n">
        <v>0</v>
      </c>
      <c r="DX3" s="16" t="n">
        <v>0</v>
      </c>
      <c r="DY3" s="16" t="n">
        <v>0</v>
      </c>
      <c r="DZ3" s="16" t="n">
        <v>0</v>
      </c>
      <c r="EA3" s="16" t="n">
        <v>0</v>
      </c>
      <c r="EB3" s="16" t="n">
        <v>0</v>
      </c>
      <c r="EC3" s="16" t="n">
        <v>0</v>
      </c>
      <c r="ED3" s="16" t="n">
        <v>0</v>
      </c>
      <c r="EE3" s="16" t="n">
        <v>0</v>
      </c>
      <c r="EF3" s="16" t="n">
        <v>0</v>
      </c>
    </row>
    <row r="4" customFormat="false" ht="15" hidden="false" customHeight="true" outlineLevel="0" collapsed="false">
      <c r="A4" s="9" t="s">
        <v>29</v>
      </c>
      <c r="B4" s="9" t="s">
        <v>31</v>
      </c>
      <c r="C4" s="9" t="s">
        <v>31</v>
      </c>
      <c r="D4" s="9" t="s">
        <v>336</v>
      </c>
      <c r="E4" s="9" t="s">
        <v>14</v>
      </c>
      <c r="F4" s="9" t="s">
        <v>92</v>
      </c>
      <c r="G4" s="16" t="n">
        <v>0</v>
      </c>
      <c r="H4" s="16" t="n">
        <v>0</v>
      </c>
      <c r="I4" s="16" t="n">
        <v>71</v>
      </c>
      <c r="J4" s="16" t="n">
        <v>-71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0</v>
      </c>
      <c r="AC4" s="16" t="n">
        <v>0</v>
      </c>
      <c r="AD4" s="16" t="n">
        <v>3</v>
      </c>
      <c r="AE4" s="16" t="n">
        <v>2</v>
      </c>
      <c r="AF4" s="16" t="n">
        <v>10</v>
      </c>
      <c r="AG4" s="16" t="n">
        <v>18.5</v>
      </c>
      <c r="AH4" s="16" t="n">
        <v>15</v>
      </c>
      <c r="AI4" s="16" t="n">
        <v>6.5</v>
      </c>
      <c r="AJ4" s="16" t="n">
        <v>16</v>
      </c>
      <c r="AK4" s="16" t="n">
        <v>0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0</v>
      </c>
      <c r="AS4" s="16" t="n">
        <v>0</v>
      </c>
      <c r="AT4" s="16" t="n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>
        <v>0</v>
      </c>
      <c r="BA4" s="16" t="n">
        <v>0</v>
      </c>
      <c r="BB4" s="16" t="n">
        <v>0</v>
      </c>
      <c r="BC4" s="16" t="n">
        <v>0</v>
      </c>
      <c r="BD4" s="16" t="n">
        <v>0</v>
      </c>
      <c r="BE4" s="16" t="n">
        <v>0</v>
      </c>
      <c r="BF4" s="16" t="n">
        <v>0</v>
      </c>
      <c r="BG4" s="16" t="n">
        <v>0</v>
      </c>
      <c r="BH4" s="16" t="n">
        <v>0</v>
      </c>
      <c r="BI4" s="16" t="n">
        <v>0</v>
      </c>
      <c r="BJ4" s="16" t="n">
        <v>0</v>
      </c>
      <c r="BK4" s="16" t="n">
        <v>0</v>
      </c>
      <c r="BL4" s="16" t="n">
        <v>0</v>
      </c>
      <c r="BM4" s="16" t="n">
        <v>0</v>
      </c>
      <c r="BN4" s="16" t="n">
        <v>0</v>
      </c>
      <c r="BO4" s="16" t="n">
        <v>0</v>
      </c>
      <c r="BP4" s="16" t="n">
        <v>0</v>
      </c>
      <c r="BQ4" s="16" t="n">
        <v>0</v>
      </c>
      <c r="BR4" s="16" t="n">
        <v>0</v>
      </c>
      <c r="BS4" s="16" t="n">
        <v>0</v>
      </c>
      <c r="BT4" s="16" t="n">
        <v>0</v>
      </c>
      <c r="BU4" s="16" t="n">
        <v>0</v>
      </c>
      <c r="BV4" s="16" t="n">
        <v>0</v>
      </c>
      <c r="BW4" s="16" t="n">
        <v>0</v>
      </c>
      <c r="BX4" s="16" t="n">
        <v>0</v>
      </c>
      <c r="BY4" s="16" t="n">
        <v>0</v>
      </c>
      <c r="BZ4" s="16" t="n">
        <v>0</v>
      </c>
      <c r="CA4" s="16" t="n">
        <v>0</v>
      </c>
      <c r="CB4" s="16" t="n">
        <v>0</v>
      </c>
      <c r="CC4" s="16" t="n">
        <v>0</v>
      </c>
      <c r="CD4" s="16" t="n">
        <v>0</v>
      </c>
      <c r="CE4" s="16" t="n">
        <v>0</v>
      </c>
      <c r="CF4" s="16" t="n">
        <v>0</v>
      </c>
      <c r="CG4" s="16" t="n">
        <v>0</v>
      </c>
      <c r="CH4" s="16" t="n">
        <v>0</v>
      </c>
      <c r="CI4" s="16" t="n">
        <v>0</v>
      </c>
      <c r="CJ4" s="16" t="n">
        <v>0</v>
      </c>
      <c r="CK4" s="16" t="n">
        <v>0</v>
      </c>
      <c r="CL4" s="16" t="n">
        <v>0</v>
      </c>
      <c r="CM4" s="16" t="n">
        <v>0</v>
      </c>
      <c r="CN4" s="16" t="n">
        <v>0</v>
      </c>
      <c r="CO4" s="16" t="n">
        <v>0</v>
      </c>
      <c r="CP4" s="16" t="n">
        <v>0</v>
      </c>
      <c r="CQ4" s="16" t="n">
        <v>0</v>
      </c>
      <c r="CR4" s="16" t="n">
        <v>0</v>
      </c>
      <c r="CS4" s="16" t="n">
        <v>0</v>
      </c>
      <c r="CT4" s="16" t="n">
        <v>0</v>
      </c>
      <c r="CU4" s="16" t="n">
        <v>0</v>
      </c>
      <c r="CV4" s="16" t="n">
        <v>0</v>
      </c>
      <c r="CW4" s="16" t="n">
        <v>0</v>
      </c>
      <c r="CX4" s="16" t="n">
        <v>0</v>
      </c>
      <c r="CY4" s="16" t="n">
        <v>0</v>
      </c>
      <c r="CZ4" s="16" t="n">
        <v>0</v>
      </c>
      <c r="DA4" s="16" t="n">
        <v>0</v>
      </c>
      <c r="DB4" s="16" t="n">
        <v>0</v>
      </c>
      <c r="DC4" s="16" t="n">
        <v>0</v>
      </c>
      <c r="DD4" s="16" t="n">
        <v>0</v>
      </c>
      <c r="DE4" s="16" t="n">
        <v>0</v>
      </c>
      <c r="DF4" s="16" t="n">
        <v>0</v>
      </c>
      <c r="DG4" s="16" t="n">
        <v>0</v>
      </c>
      <c r="DH4" s="16" t="n">
        <v>0</v>
      </c>
      <c r="DI4" s="16" t="n">
        <v>0</v>
      </c>
      <c r="DJ4" s="16" t="n">
        <v>0</v>
      </c>
      <c r="DK4" s="16" t="n">
        <v>0</v>
      </c>
      <c r="DL4" s="16" t="n">
        <v>0</v>
      </c>
      <c r="DM4" s="16" t="n">
        <v>0</v>
      </c>
      <c r="DN4" s="16" t="n">
        <v>0</v>
      </c>
      <c r="DO4" s="16" t="n">
        <v>0</v>
      </c>
      <c r="DP4" s="16" t="n">
        <v>0</v>
      </c>
      <c r="DQ4" s="16" t="n">
        <v>0</v>
      </c>
      <c r="DR4" s="16" t="n">
        <v>0</v>
      </c>
      <c r="DS4" s="16" t="n">
        <v>0</v>
      </c>
      <c r="DT4" s="16" t="n">
        <v>0</v>
      </c>
      <c r="DU4" s="16" t="n">
        <v>0</v>
      </c>
      <c r="DV4" s="16" t="n">
        <v>0</v>
      </c>
      <c r="DW4" s="16" t="n">
        <v>0</v>
      </c>
      <c r="DX4" s="16" t="n">
        <v>0</v>
      </c>
      <c r="DY4" s="16" t="n">
        <v>0</v>
      </c>
      <c r="DZ4" s="16" t="n">
        <v>0</v>
      </c>
      <c r="EA4" s="16" t="n">
        <v>0</v>
      </c>
      <c r="EB4" s="16" t="n">
        <v>0</v>
      </c>
      <c r="EC4" s="16" t="n">
        <v>0</v>
      </c>
      <c r="ED4" s="16" t="n">
        <v>0</v>
      </c>
      <c r="EE4" s="16" t="n">
        <v>0</v>
      </c>
      <c r="EF4" s="16" t="n">
        <v>0</v>
      </c>
    </row>
    <row r="5" customFormat="false" ht="15" hidden="false" customHeight="true" outlineLevel="0" collapsed="false">
      <c r="A5" s="9" t="s">
        <v>29</v>
      </c>
      <c r="B5" s="9" t="s">
        <v>120</v>
      </c>
      <c r="C5" s="9" t="s">
        <v>120</v>
      </c>
      <c r="D5" s="9" t="s">
        <v>335</v>
      </c>
      <c r="E5" s="9" t="s">
        <v>14</v>
      </c>
      <c r="F5" s="9" t="s">
        <v>91</v>
      </c>
      <c r="G5" s="16" t="n">
        <v>0</v>
      </c>
      <c r="H5" s="16" t="n">
        <v>200</v>
      </c>
      <c r="I5" s="16" t="n">
        <v>200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6" t="n">
        <v>0</v>
      </c>
      <c r="BT5" s="16" t="n">
        <v>0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6" t="n">
        <v>0</v>
      </c>
      <c r="CI5" s="16" t="n">
        <v>0</v>
      </c>
      <c r="CJ5" s="16" t="n">
        <v>0</v>
      </c>
      <c r="CK5" s="16" t="n">
        <v>0</v>
      </c>
      <c r="CL5" s="16" t="n">
        <v>0</v>
      </c>
      <c r="CM5" s="16" t="n">
        <v>0</v>
      </c>
      <c r="CN5" s="16" t="n">
        <v>0</v>
      </c>
      <c r="CO5" s="16" t="n">
        <v>0</v>
      </c>
      <c r="CP5" s="16" t="n">
        <v>0</v>
      </c>
      <c r="CQ5" s="16" t="n">
        <v>0</v>
      </c>
      <c r="CR5" s="16" t="n">
        <v>0</v>
      </c>
      <c r="CS5" s="16" t="n">
        <v>0</v>
      </c>
      <c r="CT5" s="16" t="n">
        <v>0</v>
      </c>
      <c r="CU5" s="16" t="n">
        <v>0</v>
      </c>
      <c r="CV5" s="16" t="n">
        <v>0</v>
      </c>
      <c r="CW5" s="16" t="n">
        <v>0</v>
      </c>
      <c r="CX5" s="16" t="n">
        <v>0</v>
      </c>
      <c r="CY5" s="16" t="n">
        <v>0</v>
      </c>
      <c r="CZ5" s="16" t="n">
        <v>0</v>
      </c>
      <c r="DA5" s="16" t="n">
        <v>0</v>
      </c>
      <c r="DB5" s="16" t="n">
        <v>0</v>
      </c>
      <c r="DC5" s="16" t="n">
        <v>0</v>
      </c>
      <c r="DD5" s="16" t="n">
        <v>0</v>
      </c>
      <c r="DE5" s="16" t="n">
        <v>0</v>
      </c>
      <c r="DF5" s="16" t="n">
        <v>0</v>
      </c>
      <c r="DG5" s="16" t="n">
        <v>0</v>
      </c>
      <c r="DH5" s="16" t="n">
        <v>0</v>
      </c>
      <c r="DI5" s="16" t="n">
        <v>0</v>
      </c>
      <c r="DJ5" s="16" t="n">
        <v>0</v>
      </c>
      <c r="DK5" s="16" t="n">
        <v>0</v>
      </c>
      <c r="DL5" s="16" t="n">
        <v>0</v>
      </c>
      <c r="DM5" s="16" t="n">
        <v>0</v>
      </c>
      <c r="DN5" s="16" t="n">
        <v>0</v>
      </c>
      <c r="DO5" s="16" t="n">
        <v>0</v>
      </c>
      <c r="DP5" s="16" t="n">
        <v>0</v>
      </c>
      <c r="DQ5" s="16" t="n">
        <v>0</v>
      </c>
      <c r="DR5" s="16" t="n">
        <v>5</v>
      </c>
      <c r="DS5" s="16" t="n">
        <v>25</v>
      </c>
      <c r="DT5" s="16" t="n">
        <v>25</v>
      </c>
      <c r="DU5" s="16" t="n">
        <v>25</v>
      </c>
      <c r="DV5" s="16" t="n">
        <v>25</v>
      </c>
      <c r="DW5" s="16" t="n">
        <v>25</v>
      </c>
      <c r="DX5" s="16" t="n">
        <v>25</v>
      </c>
      <c r="DY5" s="16" t="n">
        <v>25</v>
      </c>
      <c r="DZ5" s="16" t="n">
        <v>10</v>
      </c>
      <c r="EA5" s="16" t="n">
        <v>10</v>
      </c>
      <c r="EB5" s="16" t="n">
        <v>0</v>
      </c>
      <c r="EC5" s="16" t="n">
        <v>0</v>
      </c>
      <c r="ED5" s="16" t="n">
        <v>0</v>
      </c>
      <c r="EE5" s="16" t="n">
        <v>0</v>
      </c>
      <c r="EF5" s="16" t="n">
        <v>0</v>
      </c>
    </row>
    <row r="6" customFormat="false" ht="15" hidden="false" customHeight="true" outlineLevel="0" collapsed="false">
      <c r="A6" s="9" t="s">
        <v>29</v>
      </c>
      <c r="B6" s="9" t="s">
        <v>120</v>
      </c>
      <c r="C6" s="9" t="s">
        <v>120</v>
      </c>
      <c r="D6" s="9" t="s">
        <v>335</v>
      </c>
      <c r="E6" s="9" t="s">
        <v>14</v>
      </c>
      <c r="F6" s="9" t="s">
        <v>92</v>
      </c>
      <c r="G6" s="16" t="n">
        <v>308</v>
      </c>
      <c r="H6" s="16" t="n">
        <v>888</v>
      </c>
      <c r="I6" s="16" t="n">
        <v>602</v>
      </c>
      <c r="J6" s="16" t="n">
        <v>286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Y6" s="16" t="n">
        <v>0</v>
      </c>
      <c r="Z6" s="16" t="n">
        <v>0</v>
      </c>
      <c r="AA6" s="16" t="n">
        <v>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  <c r="AJ6" s="16" t="n">
        <v>15</v>
      </c>
      <c r="AK6" s="16" t="n">
        <v>28</v>
      </c>
      <c r="AL6" s="16" t="n">
        <v>3</v>
      </c>
      <c r="AM6" s="16" t="n">
        <v>3</v>
      </c>
      <c r="AN6" s="16" t="n">
        <v>26</v>
      </c>
      <c r="AO6" s="16" t="n">
        <v>17.5</v>
      </c>
      <c r="AP6" s="16" t="n">
        <v>3.5</v>
      </c>
      <c r="AQ6" s="16" t="n">
        <v>0</v>
      </c>
      <c r="AR6" s="16" t="n">
        <v>1</v>
      </c>
      <c r="AS6" s="16" t="n">
        <v>2</v>
      </c>
      <c r="AT6" s="16" t="n">
        <v>0</v>
      </c>
      <c r="AU6" s="16" t="n">
        <v>0</v>
      </c>
      <c r="AV6" s="16" t="n">
        <v>0</v>
      </c>
      <c r="AW6" s="16" t="n">
        <v>0</v>
      </c>
      <c r="AX6" s="16" t="n">
        <v>0</v>
      </c>
      <c r="AY6" s="16" t="n">
        <v>0</v>
      </c>
      <c r="AZ6" s="16" t="n">
        <v>0</v>
      </c>
      <c r="BA6" s="16" t="n">
        <v>0</v>
      </c>
      <c r="BB6" s="16" t="n">
        <v>0</v>
      </c>
      <c r="BC6" s="16" t="n">
        <v>0</v>
      </c>
      <c r="BD6" s="16" t="n">
        <v>0</v>
      </c>
      <c r="BE6" s="16" t="n">
        <v>0</v>
      </c>
      <c r="BF6" s="16" t="n">
        <v>0</v>
      </c>
      <c r="BG6" s="16" t="n">
        <v>0</v>
      </c>
      <c r="BH6" s="16" t="n">
        <v>0</v>
      </c>
      <c r="BI6" s="16" t="n">
        <v>0</v>
      </c>
      <c r="BJ6" s="16" t="n">
        <v>0</v>
      </c>
      <c r="BK6" s="16" t="n">
        <v>0</v>
      </c>
      <c r="BL6" s="16" t="n">
        <v>0</v>
      </c>
      <c r="BM6" s="16" t="n">
        <v>0</v>
      </c>
      <c r="BN6" s="16" t="n">
        <v>0</v>
      </c>
      <c r="BO6" s="16" t="n">
        <v>0</v>
      </c>
      <c r="BP6" s="16" t="n">
        <v>0</v>
      </c>
      <c r="BQ6" s="16" t="n">
        <v>0</v>
      </c>
      <c r="BR6" s="16" t="n">
        <v>0</v>
      </c>
      <c r="BS6" s="16" t="n">
        <v>0</v>
      </c>
      <c r="BT6" s="16" t="n">
        <v>0</v>
      </c>
      <c r="BU6" s="16" t="n">
        <v>0</v>
      </c>
      <c r="BV6" s="16" t="n">
        <v>0</v>
      </c>
      <c r="BW6" s="16" t="n">
        <v>0</v>
      </c>
      <c r="BX6" s="16" t="n">
        <v>0</v>
      </c>
      <c r="BY6" s="16" t="n">
        <v>0</v>
      </c>
      <c r="BZ6" s="16" t="n">
        <v>0</v>
      </c>
      <c r="CA6" s="16" t="n">
        <v>0</v>
      </c>
      <c r="CB6" s="16" t="n">
        <v>0</v>
      </c>
      <c r="CC6" s="16" t="n">
        <v>0</v>
      </c>
      <c r="CD6" s="16" t="n">
        <v>0</v>
      </c>
      <c r="CE6" s="16" t="n">
        <v>0</v>
      </c>
      <c r="CF6" s="16" t="n">
        <v>0</v>
      </c>
      <c r="CG6" s="16" t="n">
        <v>0</v>
      </c>
      <c r="CH6" s="16" t="n">
        <v>0</v>
      </c>
      <c r="CI6" s="16" t="n">
        <v>0</v>
      </c>
      <c r="CJ6" s="16" t="n">
        <v>0</v>
      </c>
      <c r="CK6" s="16" t="n">
        <v>0</v>
      </c>
      <c r="CL6" s="16" t="n">
        <v>0</v>
      </c>
      <c r="CM6" s="16" t="n">
        <v>0</v>
      </c>
      <c r="CN6" s="16" t="n">
        <v>0</v>
      </c>
      <c r="CO6" s="16" t="n">
        <v>0</v>
      </c>
      <c r="CP6" s="16" t="n">
        <v>0</v>
      </c>
      <c r="CQ6" s="16" t="n">
        <v>0</v>
      </c>
      <c r="CR6" s="16" t="n">
        <v>0</v>
      </c>
      <c r="CS6" s="16" t="n">
        <v>5</v>
      </c>
      <c r="CT6" s="16" t="n">
        <v>0</v>
      </c>
      <c r="CU6" s="16" t="n">
        <v>0</v>
      </c>
      <c r="CV6" s="16" t="n">
        <v>5</v>
      </c>
      <c r="CW6" s="16" t="n">
        <v>5</v>
      </c>
      <c r="CX6" s="16" t="n">
        <v>5</v>
      </c>
      <c r="CY6" s="16" t="n">
        <v>20</v>
      </c>
      <c r="CZ6" s="16" t="n">
        <v>20</v>
      </c>
      <c r="DA6" s="16" t="n">
        <v>20</v>
      </c>
      <c r="DB6" s="16" t="n">
        <v>5</v>
      </c>
      <c r="DC6" s="16" t="n">
        <v>5</v>
      </c>
      <c r="DD6" s="16" t="n">
        <v>5</v>
      </c>
      <c r="DE6" s="16" t="n">
        <v>15</v>
      </c>
      <c r="DF6" s="16" t="n">
        <v>15</v>
      </c>
      <c r="DG6" s="16" t="n">
        <v>15</v>
      </c>
      <c r="DH6" s="16" t="n">
        <v>15</v>
      </c>
      <c r="DI6" s="16" t="n">
        <v>0</v>
      </c>
      <c r="DJ6" s="16" t="n">
        <v>0</v>
      </c>
      <c r="DK6" s="16" t="n">
        <v>20</v>
      </c>
      <c r="DL6" s="16" t="n">
        <v>40</v>
      </c>
      <c r="DM6" s="16" t="n">
        <v>55</v>
      </c>
      <c r="DN6" s="16" t="n">
        <v>55</v>
      </c>
      <c r="DO6" s="16" t="n">
        <v>55</v>
      </c>
      <c r="DP6" s="16" t="n">
        <v>55</v>
      </c>
      <c r="DQ6" s="16" t="n">
        <v>50</v>
      </c>
      <c r="DR6" s="16" t="n">
        <v>20</v>
      </c>
      <c r="DS6" s="16" t="n">
        <v>0</v>
      </c>
      <c r="DT6" s="16" t="n">
        <v>0</v>
      </c>
      <c r="DU6" s="16" t="n">
        <v>0</v>
      </c>
      <c r="DV6" s="16" t="n">
        <v>0</v>
      </c>
      <c r="DW6" s="16" t="n">
        <v>0</v>
      </c>
      <c r="DX6" s="16" t="n">
        <v>0</v>
      </c>
      <c r="DY6" s="16" t="n">
        <v>0</v>
      </c>
      <c r="DZ6" s="16" t="n">
        <v>0</v>
      </c>
      <c r="EA6" s="16" t="n">
        <v>0</v>
      </c>
      <c r="EB6" s="16" t="n">
        <v>0</v>
      </c>
      <c r="EC6" s="16" t="n">
        <v>0</v>
      </c>
      <c r="ED6" s="16" t="n">
        <v>0</v>
      </c>
      <c r="EE6" s="16" t="n">
        <v>0</v>
      </c>
      <c r="EF6" s="16" t="n">
        <v>0</v>
      </c>
    </row>
    <row r="7" customFormat="false" ht="15" hidden="false" customHeight="true" outlineLevel="0" collapsed="false">
      <c r="A7" s="9" t="s">
        <v>29</v>
      </c>
      <c r="B7" s="9" t="s">
        <v>120</v>
      </c>
      <c r="C7" s="9" t="s">
        <v>120</v>
      </c>
      <c r="D7" s="9" t="s">
        <v>336</v>
      </c>
      <c r="E7" s="9" t="s">
        <v>14</v>
      </c>
      <c r="F7" s="9" t="s">
        <v>92</v>
      </c>
      <c r="G7" s="16" t="n">
        <v>0</v>
      </c>
      <c r="H7" s="16" t="n">
        <v>0</v>
      </c>
      <c r="I7" s="16" t="n">
        <v>133.5</v>
      </c>
      <c r="J7" s="16" t="n">
        <v>-133.5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6" t="n">
        <v>0</v>
      </c>
      <c r="AD7" s="16" t="n">
        <v>19</v>
      </c>
      <c r="AE7" s="16" t="n">
        <v>8</v>
      </c>
      <c r="AF7" s="16" t="n">
        <v>9</v>
      </c>
      <c r="AG7" s="16" t="n">
        <v>29.5</v>
      </c>
      <c r="AH7" s="16" t="n">
        <v>27</v>
      </c>
      <c r="AI7" s="16" t="n">
        <v>29</v>
      </c>
      <c r="AJ7" s="16" t="n">
        <v>12</v>
      </c>
      <c r="AK7" s="16" t="n">
        <v>0</v>
      </c>
      <c r="AL7" s="16" t="n">
        <v>0</v>
      </c>
      <c r="AM7" s="16" t="n">
        <v>0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0</v>
      </c>
      <c r="AS7" s="16" t="n">
        <v>0</v>
      </c>
      <c r="AT7" s="16" t="n">
        <v>0</v>
      </c>
      <c r="AU7" s="16" t="n">
        <v>0</v>
      </c>
      <c r="AV7" s="16" t="n">
        <v>0</v>
      </c>
      <c r="AW7" s="16" t="n">
        <v>0</v>
      </c>
      <c r="AX7" s="16" t="n">
        <v>0</v>
      </c>
      <c r="AY7" s="16" t="n">
        <v>0</v>
      </c>
      <c r="AZ7" s="16" t="n">
        <v>0</v>
      </c>
      <c r="BA7" s="16" t="n">
        <v>0</v>
      </c>
      <c r="BB7" s="16" t="n">
        <v>0</v>
      </c>
      <c r="BC7" s="16" t="n">
        <v>0</v>
      </c>
      <c r="BD7" s="16" t="n">
        <v>0</v>
      </c>
      <c r="BE7" s="16" t="n">
        <v>0</v>
      </c>
      <c r="BF7" s="16" t="n">
        <v>0</v>
      </c>
      <c r="BG7" s="16" t="n">
        <v>0</v>
      </c>
      <c r="BH7" s="16" t="n">
        <v>0</v>
      </c>
      <c r="BI7" s="16" t="n">
        <v>0</v>
      </c>
      <c r="BJ7" s="16" t="n">
        <v>0</v>
      </c>
      <c r="BK7" s="16" t="n">
        <v>0</v>
      </c>
      <c r="BL7" s="16" t="n">
        <v>0</v>
      </c>
      <c r="BM7" s="16" t="n">
        <v>0</v>
      </c>
      <c r="BN7" s="16" t="n">
        <v>0</v>
      </c>
      <c r="BO7" s="16" t="n">
        <v>0</v>
      </c>
      <c r="BP7" s="16" t="n">
        <v>0</v>
      </c>
      <c r="BQ7" s="16" t="n">
        <v>0</v>
      </c>
      <c r="BR7" s="16" t="n">
        <v>0</v>
      </c>
      <c r="BS7" s="16" t="n">
        <v>0</v>
      </c>
      <c r="BT7" s="16" t="n">
        <v>0</v>
      </c>
      <c r="BU7" s="16" t="n">
        <v>0</v>
      </c>
      <c r="BV7" s="16" t="n">
        <v>0</v>
      </c>
      <c r="BW7" s="16" t="n">
        <v>0</v>
      </c>
      <c r="BX7" s="16" t="n">
        <v>0</v>
      </c>
      <c r="BY7" s="16" t="n">
        <v>0</v>
      </c>
      <c r="BZ7" s="16" t="n">
        <v>0</v>
      </c>
      <c r="CA7" s="16" t="n">
        <v>0</v>
      </c>
      <c r="CB7" s="16" t="n">
        <v>0</v>
      </c>
      <c r="CC7" s="16" t="n">
        <v>0</v>
      </c>
      <c r="CD7" s="16" t="n">
        <v>0</v>
      </c>
      <c r="CE7" s="16" t="n">
        <v>0</v>
      </c>
      <c r="CF7" s="16" t="n">
        <v>0</v>
      </c>
      <c r="CG7" s="16" t="n">
        <v>0</v>
      </c>
      <c r="CH7" s="16" t="n">
        <v>0</v>
      </c>
      <c r="CI7" s="16" t="n">
        <v>0</v>
      </c>
      <c r="CJ7" s="16" t="n">
        <v>0</v>
      </c>
      <c r="CK7" s="16" t="n">
        <v>0</v>
      </c>
      <c r="CL7" s="16" t="n">
        <v>0</v>
      </c>
      <c r="CM7" s="16" t="n">
        <v>0</v>
      </c>
      <c r="CN7" s="16" t="n">
        <v>0</v>
      </c>
      <c r="CO7" s="16" t="n">
        <v>0</v>
      </c>
      <c r="CP7" s="16" t="n">
        <v>0</v>
      </c>
      <c r="CQ7" s="16" t="n">
        <v>0</v>
      </c>
      <c r="CR7" s="16" t="n">
        <v>0</v>
      </c>
      <c r="CS7" s="16" t="n">
        <v>0</v>
      </c>
      <c r="CT7" s="16" t="n">
        <v>0</v>
      </c>
      <c r="CU7" s="16" t="n">
        <v>0</v>
      </c>
      <c r="CV7" s="16" t="n">
        <v>0</v>
      </c>
      <c r="CW7" s="16" t="n">
        <v>0</v>
      </c>
      <c r="CX7" s="16" t="n">
        <v>0</v>
      </c>
      <c r="CY7" s="16" t="n">
        <v>0</v>
      </c>
      <c r="CZ7" s="16" t="n">
        <v>0</v>
      </c>
      <c r="DA7" s="16" t="n">
        <v>0</v>
      </c>
      <c r="DB7" s="16" t="n">
        <v>0</v>
      </c>
      <c r="DC7" s="16" t="n">
        <v>0</v>
      </c>
      <c r="DD7" s="16" t="n">
        <v>0</v>
      </c>
      <c r="DE7" s="16" t="n">
        <v>0</v>
      </c>
      <c r="DF7" s="16" t="n">
        <v>0</v>
      </c>
      <c r="DG7" s="16" t="n">
        <v>0</v>
      </c>
      <c r="DH7" s="16" t="n">
        <v>0</v>
      </c>
      <c r="DI7" s="16" t="n">
        <v>0</v>
      </c>
      <c r="DJ7" s="16" t="n">
        <v>0</v>
      </c>
      <c r="DK7" s="16" t="n">
        <v>0</v>
      </c>
      <c r="DL7" s="16" t="n">
        <v>0</v>
      </c>
      <c r="DM7" s="16" t="n">
        <v>0</v>
      </c>
      <c r="DN7" s="16" t="n">
        <v>0</v>
      </c>
      <c r="DO7" s="16" t="n">
        <v>0</v>
      </c>
      <c r="DP7" s="16" t="n">
        <v>0</v>
      </c>
      <c r="DQ7" s="16" t="n">
        <v>0</v>
      </c>
      <c r="DR7" s="16" t="n">
        <v>0</v>
      </c>
      <c r="DS7" s="16" t="n">
        <v>0</v>
      </c>
      <c r="DT7" s="16" t="n">
        <v>0</v>
      </c>
      <c r="DU7" s="16" t="n">
        <v>0</v>
      </c>
      <c r="DV7" s="16" t="n">
        <v>0</v>
      </c>
      <c r="DW7" s="16" t="n">
        <v>0</v>
      </c>
      <c r="DX7" s="16" t="n">
        <v>0</v>
      </c>
      <c r="DY7" s="16" t="n">
        <v>0</v>
      </c>
      <c r="DZ7" s="16" t="n">
        <v>0</v>
      </c>
      <c r="EA7" s="16" t="n">
        <v>0</v>
      </c>
      <c r="EB7" s="16" t="n">
        <v>0</v>
      </c>
      <c r="EC7" s="16" t="n">
        <v>0</v>
      </c>
      <c r="ED7" s="16" t="n">
        <v>0</v>
      </c>
      <c r="EE7" s="16" t="n">
        <v>0</v>
      </c>
      <c r="EF7" s="16" t="n">
        <v>0</v>
      </c>
    </row>
    <row r="8" customFormat="false" ht="15" hidden="false" customHeight="true" outlineLevel="0" collapsed="false">
      <c r="A8" s="9" t="s">
        <v>29</v>
      </c>
      <c r="B8" s="9" t="s">
        <v>35</v>
      </c>
      <c r="C8" s="9" t="s">
        <v>35</v>
      </c>
      <c r="D8" s="9" t="s">
        <v>337</v>
      </c>
      <c r="E8" s="9" t="s">
        <v>10</v>
      </c>
      <c r="F8" s="9" t="s">
        <v>91</v>
      </c>
      <c r="G8" s="16" t="n">
        <v>0</v>
      </c>
      <c r="H8" s="16" t="n">
        <v>265</v>
      </c>
      <c r="I8" s="16" t="n">
        <v>265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Y8" s="16" t="n">
        <v>0</v>
      </c>
      <c r="Z8" s="16" t="n">
        <v>0</v>
      </c>
      <c r="AA8" s="16" t="n">
        <v>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0</v>
      </c>
      <c r="AS8" s="16" t="n">
        <v>0</v>
      </c>
      <c r="AT8" s="16" t="n">
        <v>0</v>
      </c>
      <c r="AU8" s="16" t="n">
        <v>0</v>
      </c>
      <c r="AV8" s="16" t="n">
        <v>0</v>
      </c>
      <c r="AW8" s="16" t="n">
        <v>0</v>
      </c>
      <c r="AX8" s="16" t="n">
        <v>0</v>
      </c>
      <c r="AY8" s="16" t="n">
        <v>0</v>
      </c>
      <c r="AZ8" s="16" t="n">
        <v>0</v>
      </c>
      <c r="BA8" s="16" t="n">
        <v>0</v>
      </c>
      <c r="BB8" s="16" t="n">
        <v>0</v>
      </c>
      <c r="BC8" s="16" t="n">
        <v>0</v>
      </c>
      <c r="BD8" s="16" t="n">
        <v>0</v>
      </c>
      <c r="BE8" s="16" t="n">
        <v>0</v>
      </c>
      <c r="BF8" s="16" t="n">
        <v>0</v>
      </c>
      <c r="BG8" s="16" t="n">
        <v>0</v>
      </c>
      <c r="BH8" s="16" t="n">
        <v>0</v>
      </c>
      <c r="BI8" s="16" t="n">
        <v>0</v>
      </c>
      <c r="BJ8" s="16" t="n">
        <v>0</v>
      </c>
      <c r="BK8" s="16" t="n">
        <v>0</v>
      </c>
      <c r="BL8" s="16" t="n">
        <v>0</v>
      </c>
      <c r="BM8" s="16" t="n">
        <v>0</v>
      </c>
      <c r="BN8" s="16" t="n">
        <v>0</v>
      </c>
      <c r="BO8" s="16" t="n">
        <v>0</v>
      </c>
      <c r="BP8" s="16" t="n">
        <v>0</v>
      </c>
      <c r="BQ8" s="16" t="n">
        <v>0</v>
      </c>
      <c r="BR8" s="16" t="n">
        <v>0</v>
      </c>
      <c r="BS8" s="16" t="n">
        <v>0</v>
      </c>
      <c r="BT8" s="16" t="n">
        <v>0</v>
      </c>
      <c r="BU8" s="16" t="n">
        <v>0</v>
      </c>
      <c r="BV8" s="16" t="n">
        <v>0</v>
      </c>
      <c r="BW8" s="16" t="n">
        <v>0</v>
      </c>
      <c r="BX8" s="16" t="n">
        <v>0</v>
      </c>
      <c r="BY8" s="16" t="n">
        <v>0</v>
      </c>
      <c r="BZ8" s="16" t="n">
        <v>0</v>
      </c>
      <c r="CA8" s="16" t="n">
        <v>0</v>
      </c>
      <c r="CB8" s="16" t="n">
        <v>0</v>
      </c>
      <c r="CC8" s="16" t="n">
        <v>0</v>
      </c>
      <c r="CD8" s="16" t="n">
        <v>0</v>
      </c>
      <c r="CE8" s="16" t="n">
        <v>0</v>
      </c>
      <c r="CF8" s="16" t="n">
        <v>0</v>
      </c>
      <c r="CG8" s="16" t="n">
        <v>0</v>
      </c>
      <c r="CH8" s="16" t="n">
        <v>0</v>
      </c>
      <c r="CI8" s="16" t="n">
        <v>0</v>
      </c>
      <c r="CJ8" s="16" t="n">
        <v>0</v>
      </c>
      <c r="CK8" s="16" t="n">
        <v>0</v>
      </c>
      <c r="CL8" s="16" t="n">
        <v>0</v>
      </c>
      <c r="CM8" s="16" t="n">
        <v>0</v>
      </c>
      <c r="CN8" s="16" t="n">
        <v>0</v>
      </c>
      <c r="CO8" s="16" t="n">
        <v>0</v>
      </c>
      <c r="CP8" s="16" t="n">
        <v>0</v>
      </c>
      <c r="CQ8" s="16" t="n">
        <v>0</v>
      </c>
      <c r="CR8" s="16" t="n">
        <v>0</v>
      </c>
      <c r="CS8" s="16" t="n">
        <v>0</v>
      </c>
      <c r="CT8" s="16" t="n">
        <v>0</v>
      </c>
      <c r="CU8" s="16" t="n">
        <v>0</v>
      </c>
      <c r="CV8" s="16" t="n">
        <v>0</v>
      </c>
      <c r="CW8" s="16" t="n">
        <v>0</v>
      </c>
      <c r="CX8" s="16" t="n">
        <v>0</v>
      </c>
      <c r="CY8" s="16" t="n">
        <v>0</v>
      </c>
      <c r="CZ8" s="16" t="n">
        <v>0</v>
      </c>
      <c r="DA8" s="16" t="n">
        <v>0</v>
      </c>
      <c r="DB8" s="16" t="n">
        <v>0</v>
      </c>
      <c r="DC8" s="16" t="n">
        <v>0</v>
      </c>
      <c r="DD8" s="16" t="n">
        <v>0</v>
      </c>
      <c r="DE8" s="16" t="n">
        <v>0</v>
      </c>
      <c r="DF8" s="16" t="n">
        <v>0</v>
      </c>
      <c r="DG8" s="16" t="n">
        <v>0</v>
      </c>
      <c r="DH8" s="16" t="n">
        <v>0</v>
      </c>
      <c r="DI8" s="16" t="n">
        <v>0</v>
      </c>
      <c r="DJ8" s="16" t="n">
        <v>0</v>
      </c>
      <c r="DK8" s="16" t="n">
        <v>0</v>
      </c>
      <c r="DL8" s="16" t="n">
        <v>0</v>
      </c>
      <c r="DM8" s="16" t="n">
        <v>0</v>
      </c>
      <c r="DN8" s="16" t="n">
        <v>0</v>
      </c>
      <c r="DO8" s="16" t="n">
        <v>0</v>
      </c>
      <c r="DP8" s="16" t="n">
        <v>0</v>
      </c>
      <c r="DQ8" s="16" t="n">
        <v>0</v>
      </c>
      <c r="DR8" s="16" t="n">
        <v>0</v>
      </c>
      <c r="DS8" s="16" t="n">
        <v>25</v>
      </c>
      <c r="DT8" s="16" t="n">
        <v>40</v>
      </c>
      <c r="DU8" s="16" t="n">
        <v>30</v>
      </c>
      <c r="DV8" s="16" t="n">
        <v>30</v>
      </c>
      <c r="DW8" s="16" t="n">
        <v>25</v>
      </c>
      <c r="DX8" s="16" t="n">
        <v>25</v>
      </c>
      <c r="DY8" s="16" t="n">
        <v>25</v>
      </c>
      <c r="DZ8" s="16" t="n">
        <v>25</v>
      </c>
      <c r="EA8" s="16" t="n">
        <v>20</v>
      </c>
      <c r="EB8" s="16" t="n">
        <v>15</v>
      </c>
      <c r="EC8" s="16" t="n">
        <v>5</v>
      </c>
      <c r="ED8" s="16" t="n">
        <v>0</v>
      </c>
      <c r="EE8" s="16" t="n">
        <v>0</v>
      </c>
      <c r="EF8" s="16" t="n">
        <v>0</v>
      </c>
    </row>
    <row r="9" customFormat="false" ht="15" hidden="false" customHeight="true" outlineLevel="0" collapsed="false">
      <c r="A9" s="9" t="s">
        <v>29</v>
      </c>
      <c r="B9" s="9" t="s">
        <v>35</v>
      </c>
      <c r="C9" s="9" t="s">
        <v>35</v>
      </c>
      <c r="D9" s="9" t="s">
        <v>337</v>
      </c>
      <c r="E9" s="9" t="s">
        <v>10</v>
      </c>
      <c r="F9" s="9" t="s">
        <v>92</v>
      </c>
      <c r="G9" s="16" t="n">
        <v>275</v>
      </c>
      <c r="H9" s="16" t="n">
        <v>1065</v>
      </c>
      <c r="I9" s="16" t="n">
        <v>930</v>
      </c>
      <c r="J9" s="16" t="n">
        <v>135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14</v>
      </c>
      <c r="AK9" s="16" t="n">
        <v>0</v>
      </c>
      <c r="AL9" s="16" t="n">
        <v>26</v>
      </c>
      <c r="AM9" s="16" t="n">
        <v>25</v>
      </c>
      <c r="AN9" s="16" t="n">
        <v>22</v>
      </c>
      <c r="AO9" s="16" t="n">
        <v>18</v>
      </c>
      <c r="AP9" s="16" t="n">
        <v>13</v>
      </c>
      <c r="AQ9" s="16" t="n">
        <v>8</v>
      </c>
      <c r="AR9" s="16" t="n">
        <v>14</v>
      </c>
      <c r="AS9" s="16" t="n">
        <v>6</v>
      </c>
      <c r="AT9" s="16" t="n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6" t="n">
        <v>0</v>
      </c>
      <c r="BB9" s="16" t="n">
        <v>0</v>
      </c>
      <c r="BC9" s="16" t="n">
        <v>0</v>
      </c>
      <c r="BD9" s="16" t="n">
        <v>0</v>
      </c>
      <c r="BE9" s="16" t="n">
        <v>0</v>
      </c>
      <c r="BF9" s="16" t="n">
        <v>0</v>
      </c>
      <c r="BG9" s="16" t="n">
        <v>0</v>
      </c>
      <c r="BH9" s="16" t="n">
        <v>0</v>
      </c>
      <c r="BI9" s="16" t="n">
        <v>0</v>
      </c>
      <c r="BJ9" s="16" t="n">
        <v>0</v>
      </c>
      <c r="BK9" s="16" t="n">
        <v>0</v>
      </c>
      <c r="BL9" s="16" t="n">
        <v>0</v>
      </c>
      <c r="BM9" s="16" t="n">
        <v>0</v>
      </c>
      <c r="BN9" s="16" t="n">
        <v>0</v>
      </c>
      <c r="BO9" s="16" t="n">
        <v>0</v>
      </c>
      <c r="BP9" s="16" t="n">
        <v>0</v>
      </c>
      <c r="BQ9" s="16" t="n">
        <v>0</v>
      </c>
      <c r="BR9" s="16" t="n">
        <v>0</v>
      </c>
      <c r="BS9" s="16" t="n">
        <v>0</v>
      </c>
      <c r="BT9" s="16" t="n">
        <v>0</v>
      </c>
      <c r="BU9" s="16" t="n">
        <v>0</v>
      </c>
      <c r="BV9" s="16" t="n">
        <v>0</v>
      </c>
      <c r="BW9" s="16" t="n">
        <v>0</v>
      </c>
      <c r="BX9" s="16" t="n">
        <v>0</v>
      </c>
      <c r="BY9" s="16" t="n">
        <v>0</v>
      </c>
      <c r="BZ9" s="16" t="n">
        <v>0</v>
      </c>
      <c r="CA9" s="16" t="n">
        <v>0</v>
      </c>
      <c r="CB9" s="16" t="n">
        <v>0</v>
      </c>
      <c r="CC9" s="16" t="n">
        <v>0</v>
      </c>
      <c r="CD9" s="16" t="n">
        <v>0</v>
      </c>
      <c r="CE9" s="16" t="n">
        <v>0</v>
      </c>
      <c r="CF9" s="16" t="n">
        <v>0</v>
      </c>
      <c r="CG9" s="16" t="n">
        <v>0</v>
      </c>
      <c r="CH9" s="16" t="n">
        <v>0</v>
      </c>
      <c r="CI9" s="16" t="n">
        <v>0</v>
      </c>
      <c r="CJ9" s="16" t="n">
        <v>0</v>
      </c>
      <c r="CK9" s="16" t="n">
        <v>0</v>
      </c>
      <c r="CL9" s="16" t="n">
        <v>0</v>
      </c>
      <c r="CM9" s="16" t="n">
        <v>0</v>
      </c>
      <c r="CN9" s="16" t="n">
        <v>0</v>
      </c>
      <c r="CO9" s="16" t="n">
        <v>0</v>
      </c>
      <c r="CP9" s="16" t="n">
        <v>0</v>
      </c>
      <c r="CQ9" s="16" t="n">
        <v>0</v>
      </c>
      <c r="CR9" s="16" t="n">
        <v>0</v>
      </c>
      <c r="CS9" s="16" t="n">
        <v>20</v>
      </c>
      <c r="CT9" s="16" t="n">
        <v>20</v>
      </c>
      <c r="CU9" s="16" t="n">
        <v>20</v>
      </c>
      <c r="CV9" s="16" t="n">
        <v>20</v>
      </c>
      <c r="CW9" s="16" t="n">
        <v>35</v>
      </c>
      <c r="CX9" s="16" t="n">
        <v>30</v>
      </c>
      <c r="CY9" s="16" t="n">
        <v>40</v>
      </c>
      <c r="CZ9" s="16" t="n">
        <v>40</v>
      </c>
      <c r="DA9" s="16" t="n">
        <v>40</v>
      </c>
      <c r="DB9" s="16" t="n">
        <v>20</v>
      </c>
      <c r="DC9" s="16" t="n">
        <v>15</v>
      </c>
      <c r="DD9" s="16" t="n">
        <v>15</v>
      </c>
      <c r="DE9" s="16" t="n">
        <v>15</v>
      </c>
      <c r="DF9" s="16" t="n">
        <v>15</v>
      </c>
      <c r="DG9" s="16" t="n">
        <v>15</v>
      </c>
      <c r="DH9" s="16" t="n">
        <v>3</v>
      </c>
      <c r="DI9" s="16" t="n">
        <v>2</v>
      </c>
      <c r="DJ9" s="16" t="n">
        <v>0</v>
      </c>
      <c r="DK9" s="16" t="n">
        <v>55</v>
      </c>
      <c r="DL9" s="16" t="n">
        <v>50</v>
      </c>
      <c r="DM9" s="16" t="n">
        <v>50</v>
      </c>
      <c r="DN9" s="16" t="n">
        <v>50</v>
      </c>
      <c r="DO9" s="16" t="n">
        <v>60</v>
      </c>
      <c r="DP9" s="16" t="n">
        <v>60</v>
      </c>
      <c r="DQ9" s="16" t="n">
        <v>60</v>
      </c>
      <c r="DR9" s="16" t="n">
        <v>40</v>
      </c>
      <c r="DS9" s="16" t="n">
        <v>0</v>
      </c>
      <c r="DT9" s="16" t="n">
        <v>0</v>
      </c>
      <c r="DU9" s="16" t="n">
        <v>0</v>
      </c>
      <c r="DV9" s="16" t="n">
        <v>0</v>
      </c>
      <c r="DW9" s="16" t="n">
        <v>0</v>
      </c>
      <c r="DX9" s="16" t="n">
        <v>0</v>
      </c>
      <c r="DY9" s="16" t="n">
        <v>0</v>
      </c>
      <c r="DZ9" s="16" t="n">
        <v>0</v>
      </c>
      <c r="EA9" s="16" t="n">
        <v>0</v>
      </c>
      <c r="EB9" s="16" t="n">
        <v>0</v>
      </c>
      <c r="EC9" s="16" t="n">
        <v>0</v>
      </c>
      <c r="ED9" s="16" t="n">
        <v>0</v>
      </c>
      <c r="EE9" s="16" t="n">
        <v>0</v>
      </c>
      <c r="EF9" s="16" t="n">
        <v>0</v>
      </c>
    </row>
    <row r="10" customFormat="false" ht="15" hidden="false" customHeight="true" outlineLevel="0" collapsed="false">
      <c r="A10" s="9" t="s">
        <v>29</v>
      </c>
      <c r="B10" s="9" t="s">
        <v>35</v>
      </c>
      <c r="C10" s="9" t="s">
        <v>35</v>
      </c>
      <c r="D10" s="9" t="s">
        <v>338</v>
      </c>
      <c r="E10" s="9" t="s">
        <v>10</v>
      </c>
      <c r="F10" s="9" t="s">
        <v>92</v>
      </c>
      <c r="G10" s="16" t="n">
        <v>0</v>
      </c>
      <c r="H10" s="16" t="n">
        <v>0</v>
      </c>
      <c r="I10" s="16" t="n">
        <v>82</v>
      </c>
      <c r="J10" s="16" t="n">
        <v>-82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</v>
      </c>
      <c r="AC10" s="16" t="n">
        <v>0</v>
      </c>
      <c r="AD10" s="16" t="n">
        <v>10</v>
      </c>
      <c r="AE10" s="16" t="n">
        <v>12</v>
      </c>
      <c r="AF10" s="16" t="n">
        <v>8</v>
      </c>
      <c r="AG10" s="16" t="n">
        <v>16.5</v>
      </c>
      <c r="AH10" s="16" t="n">
        <v>15.5</v>
      </c>
      <c r="AI10" s="16" t="n">
        <v>10</v>
      </c>
      <c r="AJ10" s="16" t="n">
        <v>10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0</v>
      </c>
      <c r="AS10" s="16" t="n">
        <v>0</v>
      </c>
      <c r="AT10" s="16" t="n">
        <v>0</v>
      </c>
      <c r="AU10" s="16" t="n">
        <v>0</v>
      </c>
      <c r="AV10" s="16" t="n">
        <v>0</v>
      </c>
      <c r="AW10" s="16" t="n">
        <v>0</v>
      </c>
      <c r="AX10" s="16" t="n">
        <v>0</v>
      </c>
      <c r="AY10" s="16" t="n">
        <v>0</v>
      </c>
      <c r="AZ10" s="16" t="n">
        <v>0</v>
      </c>
      <c r="BA10" s="16" t="n">
        <v>0</v>
      </c>
      <c r="BB10" s="16" t="n">
        <v>0</v>
      </c>
      <c r="BC10" s="16" t="n">
        <v>0</v>
      </c>
      <c r="BD10" s="16" t="n">
        <v>0</v>
      </c>
      <c r="BE10" s="16" t="n">
        <v>0</v>
      </c>
      <c r="BF10" s="16" t="n">
        <v>0</v>
      </c>
      <c r="BG10" s="16" t="n">
        <v>0</v>
      </c>
      <c r="BH10" s="16" t="n">
        <v>0</v>
      </c>
      <c r="BI10" s="16" t="n">
        <v>0</v>
      </c>
      <c r="BJ10" s="16" t="n">
        <v>0</v>
      </c>
      <c r="BK10" s="16" t="n">
        <v>0</v>
      </c>
      <c r="BL10" s="16" t="n">
        <v>0</v>
      </c>
      <c r="BM10" s="16" t="n">
        <v>0</v>
      </c>
      <c r="BN10" s="16" t="n">
        <v>0</v>
      </c>
      <c r="BO10" s="16" t="n">
        <v>0</v>
      </c>
      <c r="BP10" s="16" t="n">
        <v>0</v>
      </c>
      <c r="BQ10" s="16" t="n">
        <v>0</v>
      </c>
      <c r="BR10" s="16" t="n">
        <v>0</v>
      </c>
      <c r="BS10" s="16" t="n">
        <v>0</v>
      </c>
      <c r="BT10" s="16" t="n">
        <v>0</v>
      </c>
      <c r="BU10" s="16" t="n">
        <v>0</v>
      </c>
      <c r="BV10" s="16" t="n">
        <v>0</v>
      </c>
      <c r="BW10" s="16" t="n">
        <v>0</v>
      </c>
      <c r="BX10" s="16" t="n">
        <v>0</v>
      </c>
      <c r="BY10" s="16" t="n">
        <v>0</v>
      </c>
      <c r="BZ10" s="16" t="n">
        <v>0</v>
      </c>
      <c r="CA10" s="16" t="n">
        <v>0</v>
      </c>
      <c r="CB10" s="16" t="n">
        <v>0</v>
      </c>
      <c r="CC10" s="16" t="n">
        <v>0</v>
      </c>
      <c r="CD10" s="16" t="n">
        <v>0</v>
      </c>
      <c r="CE10" s="16" t="n">
        <v>0</v>
      </c>
      <c r="CF10" s="16" t="n">
        <v>0</v>
      </c>
      <c r="CG10" s="16" t="n">
        <v>0</v>
      </c>
      <c r="CH10" s="16" t="n">
        <v>0</v>
      </c>
      <c r="CI10" s="16" t="n">
        <v>0</v>
      </c>
      <c r="CJ10" s="16" t="n">
        <v>0</v>
      </c>
      <c r="CK10" s="16" t="n">
        <v>0</v>
      </c>
      <c r="CL10" s="16" t="n">
        <v>0</v>
      </c>
      <c r="CM10" s="16" t="n">
        <v>0</v>
      </c>
      <c r="CN10" s="16" t="n">
        <v>0</v>
      </c>
      <c r="CO10" s="16" t="n">
        <v>0</v>
      </c>
      <c r="CP10" s="16" t="n">
        <v>0</v>
      </c>
      <c r="CQ10" s="16" t="n">
        <v>0</v>
      </c>
      <c r="CR10" s="16" t="n">
        <v>0</v>
      </c>
      <c r="CS10" s="16" t="n">
        <v>0</v>
      </c>
      <c r="CT10" s="16" t="n">
        <v>0</v>
      </c>
      <c r="CU10" s="16" t="n">
        <v>0</v>
      </c>
      <c r="CV10" s="16" t="n">
        <v>0</v>
      </c>
      <c r="CW10" s="16" t="n">
        <v>0</v>
      </c>
      <c r="CX10" s="16" t="n">
        <v>0</v>
      </c>
      <c r="CY10" s="16" t="n">
        <v>0</v>
      </c>
      <c r="CZ10" s="16" t="n">
        <v>0</v>
      </c>
      <c r="DA10" s="16" t="n">
        <v>0</v>
      </c>
      <c r="DB10" s="16" t="n">
        <v>0</v>
      </c>
      <c r="DC10" s="16" t="n">
        <v>0</v>
      </c>
      <c r="DD10" s="16" t="n">
        <v>0</v>
      </c>
      <c r="DE10" s="16" t="n">
        <v>0</v>
      </c>
      <c r="DF10" s="16" t="n">
        <v>0</v>
      </c>
      <c r="DG10" s="16" t="n">
        <v>0</v>
      </c>
      <c r="DH10" s="16" t="n">
        <v>0</v>
      </c>
      <c r="DI10" s="16" t="n">
        <v>0</v>
      </c>
      <c r="DJ10" s="16" t="n">
        <v>0</v>
      </c>
      <c r="DK10" s="16" t="n">
        <v>0</v>
      </c>
      <c r="DL10" s="16" t="n">
        <v>0</v>
      </c>
      <c r="DM10" s="16" t="n">
        <v>0</v>
      </c>
      <c r="DN10" s="16" t="n">
        <v>0</v>
      </c>
      <c r="DO10" s="16" t="n">
        <v>0</v>
      </c>
      <c r="DP10" s="16" t="n">
        <v>0</v>
      </c>
      <c r="DQ10" s="16" t="n">
        <v>0</v>
      </c>
      <c r="DR10" s="16" t="n">
        <v>0</v>
      </c>
      <c r="DS10" s="16" t="n">
        <v>0</v>
      </c>
      <c r="DT10" s="16" t="n">
        <v>0</v>
      </c>
      <c r="DU10" s="16" t="n">
        <v>0</v>
      </c>
      <c r="DV10" s="16" t="n">
        <v>0</v>
      </c>
      <c r="DW10" s="16" t="n">
        <v>0</v>
      </c>
      <c r="DX10" s="16" t="n">
        <v>0</v>
      </c>
      <c r="DY10" s="16" t="n">
        <v>0</v>
      </c>
      <c r="DZ10" s="16" t="n">
        <v>0</v>
      </c>
      <c r="EA10" s="16" t="n">
        <v>0</v>
      </c>
      <c r="EB10" s="16" t="n">
        <v>0</v>
      </c>
      <c r="EC10" s="16" t="n">
        <v>0</v>
      </c>
      <c r="ED10" s="16" t="n">
        <v>0</v>
      </c>
      <c r="EE10" s="16" t="n">
        <v>0</v>
      </c>
      <c r="EF10" s="16" t="n">
        <v>0</v>
      </c>
    </row>
    <row r="11" customFormat="false" ht="15" hidden="false" customHeight="true" outlineLevel="0" collapsed="false">
      <c r="A11" s="9" t="s">
        <v>29</v>
      </c>
      <c r="B11" s="9" t="s">
        <v>90</v>
      </c>
      <c r="C11" s="9" t="s">
        <v>90</v>
      </c>
      <c r="D11" s="9" t="s">
        <v>339</v>
      </c>
      <c r="E11" s="9" t="s">
        <v>16</v>
      </c>
      <c r="F11" s="9" t="s">
        <v>91</v>
      </c>
      <c r="G11" s="16" t="n">
        <v>0</v>
      </c>
      <c r="H11" s="16" t="n">
        <v>165</v>
      </c>
      <c r="I11" s="16" t="n">
        <v>183</v>
      </c>
      <c r="J11" s="16" t="n">
        <v>-18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Y11" s="16" t="n">
        <v>0</v>
      </c>
      <c r="Z11" s="16" t="n">
        <v>0</v>
      </c>
      <c r="AA11" s="16" t="n">
        <v>0</v>
      </c>
      <c r="AB11" s="16" t="n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0</v>
      </c>
      <c r="AS11" s="16" t="n">
        <v>0</v>
      </c>
      <c r="AT11" s="16" t="n">
        <v>0</v>
      </c>
      <c r="AU11" s="16" t="n">
        <v>0</v>
      </c>
      <c r="AV11" s="16" t="n">
        <v>0</v>
      </c>
      <c r="AW11" s="16" t="n">
        <v>0</v>
      </c>
      <c r="AX11" s="16" t="n">
        <v>0</v>
      </c>
      <c r="AY11" s="16" t="n">
        <v>0</v>
      </c>
      <c r="AZ11" s="16" t="n">
        <v>0</v>
      </c>
      <c r="BA11" s="16" t="n">
        <v>0</v>
      </c>
      <c r="BB11" s="16" t="n">
        <v>0</v>
      </c>
      <c r="BC11" s="16" t="n">
        <v>0</v>
      </c>
      <c r="BD11" s="16" t="n">
        <v>0</v>
      </c>
      <c r="BE11" s="16" t="n">
        <v>0</v>
      </c>
      <c r="BF11" s="16" t="n">
        <v>0</v>
      </c>
      <c r="BG11" s="16" t="n">
        <v>0</v>
      </c>
      <c r="BH11" s="16" t="n">
        <v>0</v>
      </c>
      <c r="BI11" s="16" t="n">
        <v>0</v>
      </c>
      <c r="BJ11" s="16" t="n">
        <v>0</v>
      </c>
      <c r="BK11" s="16" t="n">
        <v>0</v>
      </c>
      <c r="BL11" s="16" t="n">
        <v>0</v>
      </c>
      <c r="BM11" s="16" t="n">
        <v>0</v>
      </c>
      <c r="BN11" s="16" t="n">
        <v>0</v>
      </c>
      <c r="BO11" s="16" t="n">
        <v>0</v>
      </c>
      <c r="BP11" s="16" t="n">
        <v>0</v>
      </c>
      <c r="BQ11" s="16" t="n">
        <v>0</v>
      </c>
      <c r="BR11" s="16" t="n">
        <v>0</v>
      </c>
      <c r="BS11" s="16" t="n">
        <v>0</v>
      </c>
      <c r="BT11" s="16" t="n">
        <v>0</v>
      </c>
      <c r="BU11" s="16" t="n">
        <v>0</v>
      </c>
      <c r="BV11" s="16" t="n">
        <v>0</v>
      </c>
      <c r="BW11" s="16" t="n">
        <v>0</v>
      </c>
      <c r="BX11" s="16" t="n">
        <v>0</v>
      </c>
      <c r="BY11" s="16" t="n">
        <v>0</v>
      </c>
      <c r="BZ11" s="16" t="n">
        <v>0</v>
      </c>
      <c r="CA11" s="16" t="n">
        <v>0</v>
      </c>
      <c r="CB11" s="16" t="n">
        <v>0</v>
      </c>
      <c r="CC11" s="16" t="n">
        <v>0</v>
      </c>
      <c r="CD11" s="16" t="n">
        <v>0</v>
      </c>
      <c r="CE11" s="16" t="n">
        <v>0</v>
      </c>
      <c r="CF11" s="16" t="n">
        <v>0</v>
      </c>
      <c r="CG11" s="16" t="n">
        <v>0</v>
      </c>
      <c r="CH11" s="16" t="n">
        <v>0</v>
      </c>
      <c r="CI11" s="16" t="n">
        <v>0</v>
      </c>
      <c r="CJ11" s="16" t="n">
        <v>0</v>
      </c>
      <c r="CK11" s="16" t="n">
        <v>0</v>
      </c>
      <c r="CL11" s="16" t="n">
        <v>0</v>
      </c>
      <c r="CM11" s="16" t="n">
        <v>0</v>
      </c>
      <c r="CN11" s="16" t="n">
        <v>0</v>
      </c>
      <c r="CO11" s="16" t="n">
        <v>0</v>
      </c>
      <c r="CP11" s="16" t="n">
        <v>0</v>
      </c>
      <c r="CQ11" s="16" t="n">
        <v>0</v>
      </c>
      <c r="CR11" s="16" t="n">
        <v>0</v>
      </c>
      <c r="CS11" s="16" t="n">
        <v>0</v>
      </c>
      <c r="CT11" s="16" t="n">
        <v>0</v>
      </c>
      <c r="CU11" s="16" t="n">
        <v>0</v>
      </c>
      <c r="CV11" s="16" t="n">
        <v>0</v>
      </c>
      <c r="CW11" s="16" t="n">
        <v>0</v>
      </c>
      <c r="CX11" s="16" t="n">
        <v>0</v>
      </c>
      <c r="CY11" s="16" t="n">
        <v>0</v>
      </c>
      <c r="CZ11" s="16" t="n">
        <v>0</v>
      </c>
      <c r="DA11" s="16" t="n">
        <v>0</v>
      </c>
      <c r="DB11" s="16" t="n">
        <v>0</v>
      </c>
      <c r="DC11" s="16" t="n">
        <v>0</v>
      </c>
      <c r="DD11" s="16" t="n">
        <v>0</v>
      </c>
      <c r="DE11" s="16" t="n">
        <v>0</v>
      </c>
      <c r="DF11" s="16" t="n">
        <v>0</v>
      </c>
      <c r="DG11" s="16" t="n">
        <v>0</v>
      </c>
      <c r="DH11" s="16" t="n">
        <v>0</v>
      </c>
      <c r="DI11" s="16" t="n">
        <v>0</v>
      </c>
      <c r="DJ11" s="16" t="n">
        <v>0</v>
      </c>
      <c r="DK11" s="16" t="n">
        <v>0</v>
      </c>
      <c r="DL11" s="16" t="n">
        <v>0</v>
      </c>
      <c r="DM11" s="16" t="n">
        <v>0</v>
      </c>
      <c r="DN11" s="16" t="n">
        <v>0</v>
      </c>
      <c r="DO11" s="16" t="n">
        <v>0</v>
      </c>
      <c r="DP11" s="16" t="n">
        <v>0</v>
      </c>
      <c r="DQ11" s="16" t="n">
        <v>0</v>
      </c>
      <c r="DR11" s="16" t="n">
        <v>0</v>
      </c>
      <c r="DS11" s="16" t="n">
        <v>12</v>
      </c>
      <c r="DT11" s="16" t="n">
        <v>22</v>
      </c>
      <c r="DU11" s="16" t="n">
        <v>17</v>
      </c>
      <c r="DV11" s="16" t="n">
        <v>22</v>
      </c>
      <c r="DW11" s="16" t="n">
        <v>22</v>
      </c>
      <c r="DX11" s="16" t="n">
        <v>17</v>
      </c>
      <c r="DY11" s="16" t="n">
        <v>17</v>
      </c>
      <c r="DZ11" s="16" t="n">
        <v>17</v>
      </c>
      <c r="EA11" s="16" t="n">
        <v>17</v>
      </c>
      <c r="EB11" s="16" t="n">
        <v>15</v>
      </c>
      <c r="EC11" s="16" t="n">
        <v>5</v>
      </c>
      <c r="ED11" s="16" t="n">
        <v>0</v>
      </c>
      <c r="EE11" s="16" t="n">
        <v>0</v>
      </c>
      <c r="EF11" s="16" t="n">
        <v>0</v>
      </c>
    </row>
    <row r="12" customFormat="false" ht="15" hidden="false" customHeight="true" outlineLevel="0" collapsed="false">
      <c r="A12" s="9" t="s">
        <v>29</v>
      </c>
      <c r="B12" s="9" t="s">
        <v>90</v>
      </c>
      <c r="C12" s="9" t="s">
        <v>90</v>
      </c>
      <c r="D12" s="9" t="s">
        <v>339</v>
      </c>
      <c r="E12" s="9" t="s">
        <v>16</v>
      </c>
      <c r="F12" s="9" t="s">
        <v>92</v>
      </c>
      <c r="G12" s="16" t="n">
        <v>60</v>
      </c>
      <c r="H12" s="16" t="n">
        <v>398</v>
      </c>
      <c r="I12" s="16" t="n">
        <v>533.1</v>
      </c>
      <c r="J12" s="16" t="n">
        <v>-135.1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0</v>
      </c>
      <c r="AB12" s="16" t="n">
        <v>0</v>
      </c>
      <c r="AC12" s="16" t="n">
        <v>0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0</v>
      </c>
      <c r="AJ12" s="16" t="n">
        <v>3</v>
      </c>
      <c r="AK12" s="16" t="n">
        <v>4</v>
      </c>
      <c r="AL12" s="16" t="n">
        <v>8</v>
      </c>
      <c r="AM12" s="16" t="n">
        <v>12</v>
      </c>
      <c r="AN12" s="16" t="n">
        <v>12</v>
      </c>
      <c r="AO12" s="16" t="n">
        <v>12</v>
      </c>
      <c r="AP12" s="16" t="n">
        <v>10</v>
      </c>
      <c r="AQ12" s="16" t="n">
        <v>3</v>
      </c>
      <c r="AR12" s="16" t="n">
        <v>15</v>
      </c>
      <c r="AS12" s="16" t="n">
        <v>0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6" t="n">
        <v>0</v>
      </c>
      <c r="BB12" s="16" t="n">
        <v>0</v>
      </c>
      <c r="BC12" s="16" t="n">
        <v>0</v>
      </c>
      <c r="BD12" s="16" t="n">
        <v>0</v>
      </c>
      <c r="BE12" s="16" t="n">
        <v>0</v>
      </c>
      <c r="BF12" s="16" t="n">
        <v>0</v>
      </c>
      <c r="BG12" s="16" t="n">
        <v>0</v>
      </c>
      <c r="BH12" s="16" t="n">
        <v>0</v>
      </c>
      <c r="BI12" s="16" t="n">
        <v>0</v>
      </c>
      <c r="BJ12" s="16" t="n">
        <v>0</v>
      </c>
      <c r="BK12" s="16" t="n">
        <v>0</v>
      </c>
      <c r="BL12" s="16" t="n">
        <v>0</v>
      </c>
      <c r="BM12" s="16" t="n">
        <v>0</v>
      </c>
      <c r="BN12" s="16" t="n">
        <v>0</v>
      </c>
      <c r="BO12" s="16" t="n">
        <v>0</v>
      </c>
      <c r="BP12" s="16" t="n">
        <v>0</v>
      </c>
      <c r="BQ12" s="16" t="n">
        <v>0</v>
      </c>
      <c r="BR12" s="16" t="n">
        <v>0</v>
      </c>
      <c r="BS12" s="16" t="n">
        <v>0</v>
      </c>
      <c r="BT12" s="16" t="n">
        <v>0</v>
      </c>
      <c r="BU12" s="16" t="n">
        <v>0</v>
      </c>
      <c r="BV12" s="16" t="n">
        <v>0</v>
      </c>
      <c r="BW12" s="16" t="n">
        <v>0</v>
      </c>
      <c r="BX12" s="16" t="n">
        <v>0</v>
      </c>
      <c r="BY12" s="16" t="n">
        <v>0</v>
      </c>
      <c r="BZ12" s="16" t="n">
        <v>0</v>
      </c>
      <c r="CA12" s="16" t="n">
        <v>0</v>
      </c>
      <c r="CB12" s="16" t="n">
        <v>0</v>
      </c>
      <c r="CC12" s="16" t="n">
        <v>0</v>
      </c>
      <c r="CD12" s="16" t="n">
        <v>0</v>
      </c>
      <c r="CE12" s="16" t="n">
        <v>0</v>
      </c>
      <c r="CF12" s="16" t="n">
        <v>0</v>
      </c>
      <c r="CG12" s="16" t="n">
        <v>0</v>
      </c>
      <c r="CH12" s="16" t="n">
        <v>0</v>
      </c>
      <c r="CI12" s="16" t="n">
        <v>0</v>
      </c>
      <c r="CJ12" s="16" t="n">
        <v>0</v>
      </c>
      <c r="CK12" s="16" t="n">
        <v>0</v>
      </c>
      <c r="CL12" s="16" t="n">
        <v>0</v>
      </c>
      <c r="CM12" s="16" t="n">
        <v>0</v>
      </c>
      <c r="CN12" s="16" t="n">
        <v>0</v>
      </c>
      <c r="CO12" s="16" t="n">
        <v>0</v>
      </c>
      <c r="CP12" s="16" t="n">
        <v>0</v>
      </c>
      <c r="CQ12" s="16" t="n">
        <v>0</v>
      </c>
      <c r="CR12" s="16" t="n">
        <v>0</v>
      </c>
      <c r="CS12" s="16" t="n">
        <v>10</v>
      </c>
      <c r="CT12" s="16" t="n">
        <v>10</v>
      </c>
      <c r="CU12" s="16" t="n">
        <v>10</v>
      </c>
      <c r="CV12" s="16" t="n">
        <v>10</v>
      </c>
      <c r="CW12" s="16" t="n">
        <v>10</v>
      </c>
      <c r="CX12" s="16" t="n">
        <v>10.5</v>
      </c>
      <c r="CY12" s="16" t="n">
        <v>20.5</v>
      </c>
      <c r="CZ12" s="16" t="n">
        <v>20.5</v>
      </c>
      <c r="DA12" s="16" t="n">
        <v>20.5</v>
      </c>
      <c r="DB12" s="16" t="n">
        <v>10.5</v>
      </c>
      <c r="DC12" s="16" t="n">
        <v>10.5</v>
      </c>
      <c r="DD12" s="16" t="n">
        <v>10.5</v>
      </c>
      <c r="DE12" s="16" t="n">
        <v>10.5</v>
      </c>
      <c r="DF12" s="16" t="n">
        <v>0.5</v>
      </c>
      <c r="DG12" s="16" t="n">
        <v>0.5</v>
      </c>
      <c r="DH12" s="16" t="n">
        <v>3.5</v>
      </c>
      <c r="DI12" s="16" t="n">
        <v>0.5</v>
      </c>
      <c r="DJ12" s="16" t="n">
        <v>0</v>
      </c>
      <c r="DK12" s="16" t="n">
        <v>15</v>
      </c>
      <c r="DL12" s="16" t="n">
        <v>23</v>
      </c>
      <c r="DM12" s="16" t="n">
        <v>43</v>
      </c>
      <c r="DN12" s="16" t="n">
        <v>38</v>
      </c>
      <c r="DO12" s="16" t="n">
        <v>38</v>
      </c>
      <c r="DP12" s="16" t="n">
        <v>38</v>
      </c>
      <c r="DQ12" s="16" t="n">
        <v>30</v>
      </c>
      <c r="DR12" s="16" t="n">
        <v>35</v>
      </c>
      <c r="DS12" s="16" t="n">
        <v>0</v>
      </c>
      <c r="DT12" s="16" t="n">
        <v>1.5</v>
      </c>
      <c r="DU12" s="16" t="n">
        <v>6.5</v>
      </c>
      <c r="DV12" s="16" t="n">
        <v>2</v>
      </c>
      <c r="DW12" s="16" t="n">
        <v>2.8</v>
      </c>
      <c r="DX12" s="16" t="n">
        <v>2</v>
      </c>
      <c r="DY12" s="16" t="n">
        <v>8</v>
      </c>
      <c r="DZ12" s="16" t="n">
        <v>1.5</v>
      </c>
      <c r="EA12" s="16" t="n">
        <v>0.8</v>
      </c>
      <c r="EB12" s="16" t="n">
        <v>0</v>
      </c>
      <c r="EC12" s="16" t="n">
        <v>0</v>
      </c>
      <c r="ED12" s="16" t="n">
        <v>0</v>
      </c>
      <c r="EE12" s="16" t="n">
        <v>0</v>
      </c>
      <c r="EF12" s="16" t="n">
        <v>0</v>
      </c>
    </row>
    <row r="13" customFormat="false" ht="15" hidden="false" customHeight="true" outlineLevel="0" collapsed="false">
      <c r="A13" s="9" t="s">
        <v>29</v>
      </c>
      <c r="B13" s="9" t="s">
        <v>90</v>
      </c>
      <c r="C13" s="9" t="s">
        <v>90</v>
      </c>
      <c r="D13" s="9" t="s">
        <v>340</v>
      </c>
      <c r="E13" s="9" t="s">
        <v>16</v>
      </c>
      <c r="F13" s="9" t="s">
        <v>92</v>
      </c>
      <c r="G13" s="16" t="n">
        <v>0</v>
      </c>
      <c r="H13" s="16" t="n">
        <v>0</v>
      </c>
      <c r="I13" s="16" t="n">
        <v>7.5</v>
      </c>
      <c r="J13" s="16" t="n">
        <v>-7.5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0</v>
      </c>
      <c r="AB13" s="16" t="n">
        <v>0</v>
      </c>
      <c r="AC13" s="16" t="n">
        <v>0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1.5</v>
      </c>
      <c r="AI13" s="16" t="n">
        <v>4</v>
      </c>
      <c r="AJ13" s="16" t="n">
        <v>2</v>
      </c>
      <c r="AK13" s="16" t="n">
        <v>0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0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6" t="n">
        <v>0</v>
      </c>
      <c r="BB13" s="16" t="n">
        <v>0</v>
      </c>
      <c r="BC13" s="16" t="n">
        <v>0</v>
      </c>
      <c r="BD13" s="16" t="n">
        <v>0</v>
      </c>
      <c r="BE13" s="16" t="n">
        <v>0</v>
      </c>
      <c r="BF13" s="16" t="n">
        <v>0</v>
      </c>
      <c r="BG13" s="16" t="n">
        <v>0</v>
      </c>
      <c r="BH13" s="16" t="n">
        <v>0</v>
      </c>
      <c r="BI13" s="16" t="n">
        <v>0</v>
      </c>
      <c r="BJ13" s="16" t="n">
        <v>0</v>
      </c>
      <c r="BK13" s="16" t="n">
        <v>0</v>
      </c>
      <c r="BL13" s="16" t="n">
        <v>0</v>
      </c>
      <c r="BM13" s="16" t="n">
        <v>0</v>
      </c>
      <c r="BN13" s="16" t="n">
        <v>0</v>
      </c>
      <c r="BO13" s="16" t="n">
        <v>0</v>
      </c>
      <c r="BP13" s="16" t="n">
        <v>0</v>
      </c>
      <c r="BQ13" s="16" t="n">
        <v>0</v>
      </c>
      <c r="BR13" s="16" t="n">
        <v>0</v>
      </c>
      <c r="BS13" s="16" t="n">
        <v>0</v>
      </c>
      <c r="BT13" s="16" t="n">
        <v>0</v>
      </c>
      <c r="BU13" s="16" t="n">
        <v>0</v>
      </c>
      <c r="BV13" s="16" t="n">
        <v>0</v>
      </c>
      <c r="BW13" s="16" t="n">
        <v>0</v>
      </c>
      <c r="BX13" s="16" t="n">
        <v>0</v>
      </c>
      <c r="BY13" s="16" t="n">
        <v>0</v>
      </c>
      <c r="BZ13" s="16" t="n">
        <v>0</v>
      </c>
      <c r="CA13" s="16" t="n">
        <v>0</v>
      </c>
      <c r="CB13" s="16" t="n">
        <v>0</v>
      </c>
      <c r="CC13" s="16" t="n">
        <v>0</v>
      </c>
      <c r="CD13" s="16" t="n">
        <v>0</v>
      </c>
      <c r="CE13" s="16" t="n">
        <v>0</v>
      </c>
      <c r="CF13" s="16" t="n">
        <v>0</v>
      </c>
      <c r="CG13" s="16" t="n">
        <v>0</v>
      </c>
      <c r="CH13" s="16" t="n">
        <v>0</v>
      </c>
      <c r="CI13" s="16" t="n">
        <v>0</v>
      </c>
      <c r="CJ13" s="16" t="n">
        <v>0</v>
      </c>
      <c r="CK13" s="16" t="n">
        <v>0</v>
      </c>
      <c r="CL13" s="16" t="n">
        <v>0</v>
      </c>
      <c r="CM13" s="16" t="n">
        <v>0</v>
      </c>
      <c r="CN13" s="16" t="n">
        <v>0</v>
      </c>
      <c r="CO13" s="16" t="n">
        <v>0</v>
      </c>
      <c r="CP13" s="16" t="n">
        <v>0</v>
      </c>
      <c r="CQ13" s="16" t="n">
        <v>0</v>
      </c>
      <c r="CR13" s="16" t="n">
        <v>0</v>
      </c>
      <c r="CS13" s="16" t="n">
        <v>0</v>
      </c>
      <c r="CT13" s="16" t="n">
        <v>0</v>
      </c>
      <c r="CU13" s="16" t="n">
        <v>0</v>
      </c>
      <c r="CV13" s="16" t="n">
        <v>0</v>
      </c>
      <c r="CW13" s="16" t="n">
        <v>0</v>
      </c>
      <c r="CX13" s="16" t="n">
        <v>0</v>
      </c>
      <c r="CY13" s="16" t="n">
        <v>0</v>
      </c>
      <c r="CZ13" s="16" t="n">
        <v>0</v>
      </c>
      <c r="DA13" s="16" t="n">
        <v>0</v>
      </c>
      <c r="DB13" s="16" t="n">
        <v>0</v>
      </c>
      <c r="DC13" s="16" t="n">
        <v>0</v>
      </c>
      <c r="DD13" s="16" t="n">
        <v>0</v>
      </c>
      <c r="DE13" s="16" t="n">
        <v>0</v>
      </c>
      <c r="DF13" s="16" t="n">
        <v>0</v>
      </c>
      <c r="DG13" s="16" t="n">
        <v>0</v>
      </c>
      <c r="DH13" s="16" t="n">
        <v>0</v>
      </c>
      <c r="DI13" s="16" t="n">
        <v>0</v>
      </c>
      <c r="DJ13" s="16" t="n">
        <v>0</v>
      </c>
      <c r="DK13" s="16" t="n">
        <v>0</v>
      </c>
      <c r="DL13" s="16" t="n">
        <v>0</v>
      </c>
      <c r="DM13" s="16" t="n">
        <v>0</v>
      </c>
      <c r="DN13" s="16" t="n">
        <v>0</v>
      </c>
      <c r="DO13" s="16" t="n">
        <v>0</v>
      </c>
      <c r="DP13" s="16" t="n">
        <v>0</v>
      </c>
      <c r="DQ13" s="16" t="n">
        <v>0</v>
      </c>
      <c r="DR13" s="16" t="n">
        <v>0</v>
      </c>
      <c r="DS13" s="16" t="n">
        <v>0</v>
      </c>
      <c r="DT13" s="16" t="n">
        <v>0</v>
      </c>
      <c r="DU13" s="16" t="n">
        <v>0</v>
      </c>
      <c r="DV13" s="16" t="n">
        <v>0</v>
      </c>
      <c r="DW13" s="16" t="n">
        <v>0</v>
      </c>
      <c r="DX13" s="16" t="n">
        <v>0</v>
      </c>
      <c r="DY13" s="16" t="n">
        <v>0</v>
      </c>
      <c r="DZ13" s="16" t="n">
        <v>0</v>
      </c>
      <c r="EA13" s="16" t="n">
        <v>0</v>
      </c>
      <c r="EB13" s="16" t="n">
        <v>0</v>
      </c>
      <c r="EC13" s="16" t="n">
        <v>0</v>
      </c>
      <c r="ED13" s="16" t="n">
        <v>0</v>
      </c>
      <c r="EE13" s="16" t="n">
        <v>0</v>
      </c>
      <c r="EF13" s="16" t="n">
        <v>0</v>
      </c>
    </row>
    <row r="14" customFormat="false" ht="15" hidden="false" customHeight="true" outlineLevel="0" collapsed="false">
      <c r="A14" s="9" t="s">
        <v>29</v>
      </c>
      <c r="B14" s="9" t="s">
        <v>32</v>
      </c>
      <c r="C14" s="9" t="s">
        <v>32</v>
      </c>
      <c r="D14" s="9" t="s">
        <v>335</v>
      </c>
      <c r="E14" s="9" t="s">
        <v>14</v>
      </c>
      <c r="F14" s="9" t="s">
        <v>91</v>
      </c>
      <c r="G14" s="16" t="n">
        <v>50</v>
      </c>
      <c r="H14" s="16" t="n">
        <v>455</v>
      </c>
      <c r="I14" s="16" t="n">
        <v>474</v>
      </c>
      <c r="J14" s="16" t="n">
        <v>-19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4</v>
      </c>
      <c r="AK14" s="16" t="n">
        <v>10</v>
      </c>
      <c r="AL14" s="16" t="n">
        <v>10</v>
      </c>
      <c r="AM14" s="16" t="n">
        <v>0</v>
      </c>
      <c r="AN14" s="16" t="n">
        <v>3</v>
      </c>
      <c r="AO14" s="16" t="n">
        <v>12</v>
      </c>
      <c r="AP14" s="16" t="n">
        <v>5</v>
      </c>
      <c r="AQ14" s="16" t="n">
        <v>10</v>
      </c>
      <c r="AR14" s="16" t="n">
        <v>15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10</v>
      </c>
      <c r="CT14" s="16" t="n">
        <v>10</v>
      </c>
      <c r="CU14" s="16" t="n">
        <v>10</v>
      </c>
      <c r="CV14" s="16" t="n">
        <v>10</v>
      </c>
      <c r="CW14" s="16" t="n">
        <v>20</v>
      </c>
      <c r="CX14" s="16" t="n">
        <v>30</v>
      </c>
      <c r="CY14" s="16" t="n">
        <v>30</v>
      </c>
      <c r="CZ14" s="16" t="n">
        <v>20</v>
      </c>
      <c r="DA14" s="16" t="n">
        <v>20</v>
      </c>
      <c r="DB14" s="16" t="n">
        <v>10</v>
      </c>
      <c r="DC14" s="16" t="n">
        <v>10</v>
      </c>
      <c r="DD14" s="16" t="n">
        <v>10</v>
      </c>
      <c r="DE14" s="16" t="n">
        <v>10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5</v>
      </c>
      <c r="DS14" s="16" t="n">
        <v>25</v>
      </c>
      <c r="DT14" s="16" t="n">
        <v>25</v>
      </c>
      <c r="DU14" s="16" t="n">
        <v>25</v>
      </c>
      <c r="DV14" s="16" t="n">
        <v>25</v>
      </c>
      <c r="DW14" s="16" t="n">
        <v>25</v>
      </c>
      <c r="DX14" s="16" t="n">
        <v>25</v>
      </c>
      <c r="DY14" s="16" t="n">
        <v>25</v>
      </c>
      <c r="DZ14" s="16" t="n">
        <v>10</v>
      </c>
      <c r="EA14" s="16" t="n">
        <v>10</v>
      </c>
      <c r="EB14" s="16" t="n">
        <v>5</v>
      </c>
      <c r="EC14" s="16" t="n">
        <v>0</v>
      </c>
      <c r="ED14" s="16" t="n">
        <v>0</v>
      </c>
      <c r="EE14" s="16" t="n">
        <v>0</v>
      </c>
      <c r="EF14" s="16" t="n">
        <v>0</v>
      </c>
    </row>
    <row r="15" customFormat="false" ht="15" hidden="false" customHeight="true" outlineLevel="0" collapsed="false">
      <c r="A15" s="9" t="s">
        <v>29</v>
      </c>
      <c r="B15" s="9" t="s">
        <v>32</v>
      </c>
      <c r="C15" s="9" t="s">
        <v>32</v>
      </c>
      <c r="D15" s="9" t="s">
        <v>336</v>
      </c>
      <c r="E15" s="9" t="s">
        <v>14</v>
      </c>
      <c r="F15" s="9" t="s">
        <v>91</v>
      </c>
      <c r="G15" s="16" t="n">
        <v>0</v>
      </c>
      <c r="H15" s="16" t="n">
        <v>0</v>
      </c>
      <c r="I15" s="16" t="n">
        <v>74</v>
      </c>
      <c r="J15" s="16" t="n">
        <v>-74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9</v>
      </c>
      <c r="AE15" s="16" t="n">
        <v>0</v>
      </c>
      <c r="AF15" s="16" t="n">
        <v>14</v>
      </c>
      <c r="AG15" s="16" t="n">
        <v>26</v>
      </c>
      <c r="AH15" s="16" t="n">
        <v>11</v>
      </c>
      <c r="AI15" s="16" t="n">
        <v>8</v>
      </c>
      <c r="AJ15" s="16" t="n">
        <v>6</v>
      </c>
      <c r="AK15" s="16" t="n">
        <v>0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0</v>
      </c>
      <c r="AS15" s="16" t="n">
        <v>0</v>
      </c>
      <c r="AT15" s="16" t="n">
        <v>0</v>
      </c>
      <c r="AU15" s="16" t="n">
        <v>0</v>
      </c>
      <c r="AV15" s="16" t="n">
        <v>0</v>
      </c>
      <c r="AW15" s="16" t="n">
        <v>0</v>
      </c>
      <c r="AX15" s="16" t="n">
        <v>0</v>
      </c>
      <c r="AY15" s="16" t="n">
        <v>0</v>
      </c>
      <c r="AZ15" s="16" t="n">
        <v>0</v>
      </c>
      <c r="BA15" s="16" t="n">
        <v>0</v>
      </c>
      <c r="BB15" s="16" t="n">
        <v>0</v>
      </c>
      <c r="BC15" s="16" t="n">
        <v>0</v>
      </c>
      <c r="BD15" s="16" t="n">
        <v>0</v>
      </c>
      <c r="BE15" s="16" t="n">
        <v>0</v>
      </c>
      <c r="BF15" s="16" t="n">
        <v>0</v>
      </c>
      <c r="BG15" s="16" t="n">
        <v>0</v>
      </c>
      <c r="BH15" s="16" t="n">
        <v>0</v>
      </c>
      <c r="BI15" s="16" t="n">
        <v>0</v>
      </c>
      <c r="BJ15" s="16" t="n">
        <v>0</v>
      </c>
      <c r="BK15" s="16" t="n">
        <v>0</v>
      </c>
      <c r="BL15" s="16" t="n">
        <v>0</v>
      </c>
      <c r="BM15" s="16" t="n">
        <v>0</v>
      </c>
      <c r="BN15" s="16" t="n">
        <v>0</v>
      </c>
      <c r="BO15" s="16" t="n">
        <v>0</v>
      </c>
      <c r="BP15" s="16" t="n">
        <v>0</v>
      </c>
      <c r="BQ15" s="16" t="n">
        <v>0</v>
      </c>
      <c r="BR15" s="16" t="n">
        <v>0</v>
      </c>
      <c r="BS15" s="16" t="n">
        <v>0</v>
      </c>
      <c r="BT15" s="16" t="n">
        <v>0</v>
      </c>
      <c r="BU15" s="16" t="n">
        <v>0</v>
      </c>
      <c r="BV15" s="16" t="n">
        <v>0</v>
      </c>
      <c r="BW15" s="16" t="n">
        <v>0</v>
      </c>
      <c r="BX15" s="16" t="n">
        <v>0</v>
      </c>
      <c r="BY15" s="16" t="n">
        <v>0</v>
      </c>
      <c r="BZ15" s="16" t="n">
        <v>0</v>
      </c>
      <c r="CA15" s="16" t="n">
        <v>0</v>
      </c>
      <c r="CB15" s="16" t="n">
        <v>0</v>
      </c>
      <c r="CC15" s="16" t="n">
        <v>0</v>
      </c>
      <c r="CD15" s="16" t="n">
        <v>0</v>
      </c>
      <c r="CE15" s="16" t="n">
        <v>0</v>
      </c>
      <c r="CF15" s="16" t="n">
        <v>0</v>
      </c>
      <c r="CG15" s="16" t="n">
        <v>0</v>
      </c>
      <c r="CH15" s="16" t="n">
        <v>0</v>
      </c>
      <c r="CI15" s="16" t="n">
        <v>0</v>
      </c>
      <c r="CJ15" s="16" t="n">
        <v>0</v>
      </c>
      <c r="CK15" s="16" t="n">
        <v>0</v>
      </c>
      <c r="CL15" s="16" t="n">
        <v>0</v>
      </c>
      <c r="CM15" s="16" t="n">
        <v>0</v>
      </c>
      <c r="CN15" s="16" t="n">
        <v>0</v>
      </c>
      <c r="CO15" s="16" t="n">
        <v>0</v>
      </c>
      <c r="CP15" s="16" t="n">
        <v>0</v>
      </c>
      <c r="CQ15" s="16" t="n">
        <v>0</v>
      </c>
      <c r="CR15" s="16" t="n">
        <v>0</v>
      </c>
      <c r="CS15" s="16" t="n">
        <v>0</v>
      </c>
      <c r="CT15" s="16" t="n">
        <v>0</v>
      </c>
      <c r="CU15" s="16" t="n">
        <v>0</v>
      </c>
      <c r="CV15" s="16" t="n">
        <v>0</v>
      </c>
      <c r="CW15" s="16" t="n">
        <v>0</v>
      </c>
      <c r="CX15" s="16" t="n">
        <v>0</v>
      </c>
      <c r="CY15" s="16" t="n">
        <v>0</v>
      </c>
      <c r="CZ15" s="16" t="n">
        <v>0</v>
      </c>
      <c r="DA15" s="16" t="n">
        <v>0</v>
      </c>
      <c r="DB15" s="16" t="n">
        <v>0</v>
      </c>
      <c r="DC15" s="16" t="n">
        <v>0</v>
      </c>
      <c r="DD15" s="16" t="n">
        <v>0</v>
      </c>
      <c r="DE15" s="16" t="n">
        <v>0</v>
      </c>
      <c r="DF15" s="16" t="n">
        <v>0</v>
      </c>
      <c r="DG15" s="16" t="n">
        <v>0</v>
      </c>
      <c r="DH15" s="16" t="n">
        <v>0</v>
      </c>
      <c r="DI15" s="16" t="n">
        <v>0</v>
      </c>
      <c r="DJ15" s="16" t="n">
        <v>0</v>
      </c>
      <c r="DK15" s="16" t="n">
        <v>0</v>
      </c>
      <c r="DL15" s="16" t="n">
        <v>0</v>
      </c>
      <c r="DM15" s="16" t="n">
        <v>0</v>
      </c>
      <c r="DN15" s="16" t="n">
        <v>0</v>
      </c>
      <c r="DO15" s="16" t="n">
        <v>0</v>
      </c>
      <c r="DP15" s="16" t="n">
        <v>0</v>
      </c>
      <c r="DQ15" s="16" t="n">
        <v>0</v>
      </c>
      <c r="DR15" s="16" t="n">
        <v>0</v>
      </c>
      <c r="DS15" s="16" t="n">
        <v>0</v>
      </c>
      <c r="DT15" s="16" t="n">
        <v>0</v>
      </c>
      <c r="DU15" s="16" t="n">
        <v>0</v>
      </c>
      <c r="DV15" s="16" t="n">
        <v>0</v>
      </c>
      <c r="DW15" s="16" t="n">
        <v>0</v>
      </c>
      <c r="DX15" s="16" t="n">
        <v>0</v>
      </c>
      <c r="DY15" s="16" t="n">
        <v>0</v>
      </c>
      <c r="DZ15" s="16" t="n">
        <v>0</v>
      </c>
      <c r="EA15" s="16" t="n">
        <v>0</v>
      </c>
      <c r="EB15" s="16" t="n">
        <v>0</v>
      </c>
      <c r="EC15" s="16" t="n">
        <v>0</v>
      </c>
      <c r="ED15" s="16" t="n">
        <v>0</v>
      </c>
      <c r="EE15" s="16" t="n">
        <v>0</v>
      </c>
      <c r="EF15" s="16" t="n">
        <v>0</v>
      </c>
    </row>
    <row r="16" customFormat="false" ht="15" hidden="false" customHeight="true" outlineLevel="0" collapsed="false">
      <c r="A16" s="9" t="s">
        <v>29</v>
      </c>
      <c r="B16" s="9" t="s">
        <v>32</v>
      </c>
      <c r="C16" s="9" t="s">
        <v>32</v>
      </c>
      <c r="D16" s="9" t="s">
        <v>335</v>
      </c>
      <c r="E16" s="9" t="s">
        <v>14</v>
      </c>
      <c r="F16" s="9" t="s">
        <v>92</v>
      </c>
      <c r="G16" s="16" t="n">
        <v>260</v>
      </c>
      <c r="H16" s="16" t="n">
        <v>800</v>
      </c>
      <c r="I16" s="16" t="n">
        <v>590.5</v>
      </c>
      <c r="J16" s="16" t="n">
        <v>209.5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4</v>
      </c>
      <c r="AK16" s="16" t="n">
        <v>3</v>
      </c>
      <c r="AL16" s="16" t="n">
        <v>13</v>
      </c>
      <c r="AM16" s="16" t="n">
        <v>5</v>
      </c>
      <c r="AN16" s="16" t="n">
        <v>14</v>
      </c>
      <c r="AO16" s="16" t="n">
        <v>20</v>
      </c>
      <c r="AP16" s="16" t="n">
        <v>23</v>
      </c>
      <c r="AQ16" s="16" t="n">
        <v>3.5</v>
      </c>
      <c r="AR16" s="16" t="n">
        <v>8</v>
      </c>
      <c r="AS16" s="16" t="n">
        <v>2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6" t="n">
        <v>0</v>
      </c>
      <c r="BB16" s="16" t="n">
        <v>0</v>
      </c>
      <c r="BC16" s="16" t="n">
        <v>0</v>
      </c>
      <c r="BD16" s="16" t="n">
        <v>0</v>
      </c>
      <c r="BE16" s="16" t="n">
        <v>0</v>
      </c>
      <c r="BF16" s="16" t="n">
        <v>0</v>
      </c>
      <c r="BG16" s="16" t="n">
        <v>0</v>
      </c>
      <c r="BH16" s="16" t="n">
        <v>0</v>
      </c>
      <c r="BI16" s="16" t="n">
        <v>0</v>
      </c>
      <c r="BJ16" s="16" t="n">
        <v>0</v>
      </c>
      <c r="BK16" s="16" t="n">
        <v>0</v>
      </c>
      <c r="BL16" s="16" t="n">
        <v>0</v>
      </c>
      <c r="BM16" s="16" t="n">
        <v>0</v>
      </c>
      <c r="BN16" s="16" t="n">
        <v>0</v>
      </c>
      <c r="BO16" s="16" t="n">
        <v>0</v>
      </c>
      <c r="BP16" s="16" t="n">
        <v>0</v>
      </c>
      <c r="BQ16" s="16" t="n">
        <v>0</v>
      </c>
      <c r="BR16" s="16" t="n">
        <v>0</v>
      </c>
      <c r="BS16" s="16" t="n">
        <v>0</v>
      </c>
      <c r="BT16" s="16" t="n">
        <v>0</v>
      </c>
      <c r="BU16" s="16" t="n">
        <v>0</v>
      </c>
      <c r="BV16" s="16" t="n">
        <v>0</v>
      </c>
      <c r="BW16" s="16" t="n">
        <v>0</v>
      </c>
      <c r="BX16" s="16" t="n">
        <v>0</v>
      </c>
      <c r="BY16" s="16" t="n">
        <v>0</v>
      </c>
      <c r="BZ16" s="16" t="n">
        <v>0</v>
      </c>
      <c r="CA16" s="16" t="n">
        <v>0</v>
      </c>
      <c r="CB16" s="16" t="n">
        <v>0</v>
      </c>
      <c r="CC16" s="16" t="n">
        <v>0</v>
      </c>
      <c r="CD16" s="16" t="n">
        <v>0</v>
      </c>
      <c r="CE16" s="16" t="n">
        <v>0</v>
      </c>
      <c r="CF16" s="16" t="n">
        <v>0</v>
      </c>
      <c r="CG16" s="16" t="n">
        <v>0</v>
      </c>
      <c r="CH16" s="16" t="n">
        <v>0</v>
      </c>
      <c r="CI16" s="16" t="n">
        <v>0</v>
      </c>
      <c r="CJ16" s="16" t="n">
        <v>0</v>
      </c>
      <c r="CK16" s="16" t="n">
        <v>0</v>
      </c>
      <c r="CL16" s="16" t="n">
        <v>0</v>
      </c>
      <c r="CM16" s="16" t="n">
        <v>0</v>
      </c>
      <c r="CN16" s="16" t="n">
        <v>0</v>
      </c>
      <c r="CO16" s="16" t="n">
        <v>0</v>
      </c>
      <c r="CP16" s="16" t="n">
        <v>0</v>
      </c>
      <c r="CQ16" s="16" t="n">
        <v>0</v>
      </c>
      <c r="CR16" s="16" t="n">
        <v>0</v>
      </c>
      <c r="CS16" s="16" t="n">
        <v>8</v>
      </c>
      <c r="CT16" s="16" t="n">
        <v>8</v>
      </c>
      <c r="CU16" s="16" t="n">
        <v>8</v>
      </c>
      <c r="CV16" s="16" t="n">
        <v>8</v>
      </c>
      <c r="CW16" s="16" t="n">
        <v>5</v>
      </c>
      <c r="CX16" s="16" t="n">
        <v>5</v>
      </c>
      <c r="CY16" s="16" t="n">
        <v>20</v>
      </c>
      <c r="CZ16" s="16" t="n">
        <v>20</v>
      </c>
      <c r="DA16" s="16" t="n">
        <v>20</v>
      </c>
      <c r="DB16" s="16" t="n">
        <v>5</v>
      </c>
      <c r="DC16" s="16" t="n">
        <v>5</v>
      </c>
      <c r="DD16" s="16" t="n">
        <v>5</v>
      </c>
      <c r="DE16" s="16" t="n">
        <v>5</v>
      </c>
      <c r="DF16" s="16" t="n">
        <v>5</v>
      </c>
      <c r="DG16" s="16" t="n">
        <v>5</v>
      </c>
      <c r="DH16" s="16" t="n">
        <v>5</v>
      </c>
      <c r="DI16" s="16" t="n">
        <v>0</v>
      </c>
      <c r="DJ16" s="16" t="n">
        <v>0</v>
      </c>
      <c r="DK16" s="16" t="n">
        <v>30</v>
      </c>
      <c r="DL16" s="16" t="n">
        <v>40</v>
      </c>
      <c r="DM16" s="16" t="n">
        <v>55</v>
      </c>
      <c r="DN16" s="16" t="n">
        <v>55</v>
      </c>
      <c r="DO16" s="16" t="n">
        <v>55</v>
      </c>
      <c r="DP16" s="16" t="n">
        <v>55</v>
      </c>
      <c r="DQ16" s="16" t="n">
        <v>50</v>
      </c>
      <c r="DR16" s="16" t="n">
        <v>20</v>
      </c>
      <c r="DS16" s="16" t="n">
        <v>0</v>
      </c>
      <c r="DT16" s="16" t="n">
        <v>0</v>
      </c>
      <c r="DU16" s="16" t="n">
        <v>0</v>
      </c>
      <c r="DV16" s="16" t="n">
        <v>0</v>
      </c>
      <c r="DW16" s="16" t="n">
        <v>0</v>
      </c>
      <c r="DX16" s="16" t="n">
        <v>0</v>
      </c>
      <c r="DY16" s="16" t="n">
        <v>0</v>
      </c>
      <c r="DZ16" s="16" t="n">
        <v>0</v>
      </c>
      <c r="EA16" s="16" t="n">
        <v>0</v>
      </c>
      <c r="EB16" s="16" t="n">
        <v>0</v>
      </c>
      <c r="EC16" s="16" t="n">
        <v>0</v>
      </c>
      <c r="ED16" s="16" t="n">
        <v>0</v>
      </c>
      <c r="EE16" s="16" t="n">
        <v>0</v>
      </c>
      <c r="EF16" s="16" t="n">
        <v>0</v>
      </c>
    </row>
    <row r="17" customFormat="false" ht="15" hidden="false" customHeight="true" outlineLevel="0" collapsed="false">
      <c r="A17" s="9" t="s">
        <v>29</v>
      </c>
      <c r="B17" s="9" t="s">
        <v>32</v>
      </c>
      <c r="C17" s="9" t="s">
        <v>32</v>
      </c>
      <c r="D17" s="9" t="s">
        <v>336</v>
      </c>
      <c r="E17" s="9" t="s">
        <v>14</v>
      </c>
      <c r="F17" s="9" t="s">
        <v>92</v>
      </c>
      <c r="G17" s="16" t="n">
        <v>0</v>
      </c>
      <c r="H17" s="16" t="n">
        <v>0</v>
      </c>
      <c r="I17" s="16" t="n">
        <v>39.5</v>
      </c>
      <c r="J17" s="16" t="n">
        <v>-39.5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15</v>
      </c>
      <c r="AF17" s="16" t="n">
        <v>0</v>
      </c>
      <c r="AG17" s="16" t="n">
        <v>0</v>
      </c>
      <c r="AH17" s="16" t="n">
        <v>10.5</v>
      </c>
      <c r="AI17" s="16" t="n">
        <v>10</v>
      </c>
      <c r="AJ17" s="16" t="n">
        <v>4</v>
      </c>
      <c r="AK17" s="16" t="n">
        <v>0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0</v>
      </c>
      <c r="AS17" s="16" t="n">
        <v>0</v>
      </c>
      <c r="AT17" s="16" t="n">
        <v>0</v>
      </c>
      <c r="AU17" s="16" t="n">
        <v>0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>
        <v>0</v>
      </c>
      <c r="BA17" s="16" t="n">
        <v>0</v>
      </c>
      <c r="BB17" s="16" t="n">
        <v>0</v>
      </c>
      <c r="BC17" s="16" t="n">
        <v>0</v>
      </c>
      <c r="BD17" s="16" t="n">
        <v>0</v>
      </c>
      <c r="BE17" s="16" t="n">
        <v>0</v>
      </c>
      <c r="BF17" s="16" t="n">
        <v>0</v>
      </c>
      <c r="BG17" s="16" t="n">
        <v>0</v>
      </c>
      <c r="BH17" s="16" t="n">
        <v>0</v>
      </c>
      <c r="BI17" s="16" t="n">
        <v>0</v>
      </c>
      <c r="BJ17" s="16" t="n">
        <v>0</v>
      </c>
      <c r="BK17" s="16" t="n">
        <v>0</v>
      </c>
      <c r="BL17" s="16" t="n">
        <v>0</v>
      </c>
      <c r="BM17" s="16" t="n">
        <v>0</v>
      </c>
      <c r="BN17" s="16" t="n">
        <v>0</v>
      </c>
      <c r="BO17" s="16" t="n">
        <v>0</v>
      </c>
      <c r="BP17" s="16" t="n">
        <v>0</v>
      </c>
      <c r="BQ17" s="16" t="n">
        <v>0</v>
      </c>
      <c r="BR17" s="16" t="n">
        <v>0</v>
      </c>
      <c r="BS17" s="16" t="n">
        <v>0</v>
      </c>
      <c r="BT17" s="16" t="n">
        <v>0</v>
      </c>
      <c r="BU17" s="16" t="n">
        <v>0</v>
      </c>
      <c r="BV17" s="16" t="n">
        <v>0</v>
      </c>
      <c r="BW17" s="16" t="n">
        <v>0</v>
      </c>
      <c r="BX17" s="16" t="n">
        <v>0</v>
      </c>
      <c r="BY17" s="16" t="n">
        <v>0</v>
      </c>
      <c r="BZ17" s="16" t="n">
        <v>0</v>
      </c>
      <c r="CA17" s="16" t="n">
        <v>0</v>
      </c>
      <c r="CB17" s="16" t="n">
        <v>0</v>
      </c>
      <c r="CC17" s="16" t="n">
        <v>0</v>
      </c>
      <c r="CD17" s="16" t="n">
        <v>0</v>
      </c>
      <c r="CE17" s="16" t="n">
        <v>0</v>
      </c>
      <c r="CF17" s="16" t="n">
        <v>0</v>
      </c>
      <c r="CG17" s="16" t="n">
        <v>0</v>
      </c>
      <c r="CH17" s="16" t="n">
        <v>0</v>
      </c>
      <c r="CI17" s="16" t="n">
        <v>0</v>
      </c>
      <c r="CJ17" s="16" t="n">
        <v>0</v>
      </c>
      <c r="CK17" s="16" t="n">
        <v>0</v>
      </c>
      <c r="CL17" s="16" t="n">
        <v>0</v>
      </c>
      <c r="CM17" s="16" t="n">
        <v>0</v>
      </c>
      <c r="CN17" s="16" t="n">
        <v>0</v>
      </c>
      <c r="CO17" s="16" t="n">
        <v>0</v>
      </c>
      <c r="CP17" s="16" t="n">
        <v>0</v>
      </c>
      <c r="CQ17" s="16" t="n">
        <v>0</v>
      </c>
      <c r="CR17" s="16" t="n">
        <v>0</v>
      </c>
      <c r="CS17" s="16" t="n">
        <v>0</v>
      </c>
      <c r="CT17" s="16" t="n">
        <v>0</v>
      </c>
      <c r="CU17" s="16" t="n">
        <v>0</v>
      </c>
      <c r="CV17" s="16" t="n">
        <v>0</v>
      </c>
      <c r="CW17" s="16" t="n">
        <v>0</v>
      </c>
      <c r="CX17" s="16" t="n">
        <v>0</v>
      </c>
      <c r="CY17" s="16" t="n">
        <v>0</v>
      </c>
      <c r="CZ17" s="16" t="n">
        <v>0</v>
      </c>
      <c r="DA17" s="16" t="n">
        <v>0</v>
      </c>
      <c r="DB17" s="16" t="n">
        <v>0</v>
      </c>
      <c r="DC17" s="16" t="n">
        <v>0</v>
      </c>
      <c r="DD17" s="16" t="n">
        <v>0</v>
      </c>
      <c r="DE17" s="16" t="n">
        <v>0</v>
      </c>
      <c r="DF17" s="16" t="n">
        <v>0</v>
      </c>
      <c r="DG17" s="16" t="n">
        <v>0</v>
      </c>
      <c r="DH17" s="16" t="n">
        <v>0</v>
      </c>
      <c r="DI17" s="16" t="n">
        <v>0</v>
      </c>
      <c r="DJ17" s="16" t="n">
        <v>0</v>
      </c>
      <c r="DK17" s="16" t="n">
        <v>0</v>
      </c>
      <c r="DL17" s="16" t="n">
        <v>0</v>
      </c>
      <c r="DM17" s="16" t="n">
        <v>0</v>
      </c>
      <c r="DN17" s="16" t="n">
        <v>0</v>
      </c>
      <c r="DO17" s="16" t="n">
        <v>0</v>
      </c>
      <c r="DP17" s="16" t="n">
        <v>0</v>
      </c>
      <c r="DQ17" s="16" t="n">
        <v>0</v>
      </c>
      <c r="DR17" s="16" t="n">
        <v>0</v>
      </c>
      <c r="DS17" s="16" t="n">
        <v>0</v>
      </c>
      <c r="DT17" s="16" t="n">
        <v>0</v>
      </c>
      <c r="DU17" s="16" t="n">
        <v>0</v>
      </c>
      <c r="DV17" s="16" t="n">
        <v>0</v>
      </c>
      <c r="DW17" s="16" t="n">
        <v>0</v>
      </c>
      <c r="DX17" s="16" t="n">
        <v>0</v>
      </c>
      <c r="DY17" s="16" t="n">
        <v>0</v>
      </c>
      <c r="DZ17" s="16" t="n">
        <v>0</v>
      </c>
      <c r="EA17" s="16" t="n">
        <v>0</v>
      </c>
      <c r="EB17" s="16" t="n">
        <v>0</v>
      </c>
      <c r="EC17" s="16" t="n">
        <v>0</v>
      </c>
      <c r="ED17" s="16" t="n">
        <v>0</v>
      </c>
      <c r="EE17" s="16" t="n">
        <v>0</v>
      </c>
      <c r="EF17" s="16" t="n">
        <v>0</v>
      </c>
    </row>
    <row r="18" customFormat="false" ht="15" hidden="false" customHeight="true" outlineLevel="0" collapsed="false">
      <c r="A18" s="9" t="s">
        <v>29</v>
      </c>
      <c r="B18" s="9" t="s">
        <v>28</v>
      </c>
      <c r="C18" s="9" t="s">
        <v>28</v>
      </c>
      <c r="D18" s="9" t="s">
        <v>337</v>
      </c>
      <c r="E18" s="9" t="s">
        <v>10</v>
      </c>
      <c r="F18" s="9" t="s">
        <v>91</v>
      </c>
      <c r="G18" s="16" t="n">
        <v>125</v>
      </c>
      <c r="H18" s="16" t="n">
        <v>565</v>
      </c>
      <c r="I18" s="16" t="n">
        <v>440.5</v>
      </c>
      <c r="J18" s="16" t="n">
        <v>124.5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  <c r="AJ18" s="16" t="n">
        <v>0</v>
      </c>
      <c r="AK18" s="16" t="n">
        <v>0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0</v>
      </c>
      <c r="AS18" s="16" t="n">
        <v>5.5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0</v>
      </c>
      <c r="AY18" s="16" t="n">
        <v>0</v>
      </c>
      <c r="AZ18" s="16" t="n">
        <v>0</v>
      </c>
      <c r="BA18" s="16" t="n">
        <v>0</v>
      </c>
      <c r="BB18" s="16" t="n">
        <v>0</v>
      </c>
      <c r="BC18" s="16" t="n">
        <v>0</v>
      </c>
      <c r="BD18" s="16" t="n">
        <v>0</v>
      </c>
      <c r="BE18" s="16" t="n">
        <v>0</v>
      </c>
      <c r="BF18" s="16" t="n">
        <v>0</v>
      </c>
      <c r="BG18" s="16" t="n">
        <v>0</v>
      </c>
      <c r="BH18" s="16" t="n">
        <v>0</v>
      </c>
      <c r="BI18" s="16" t="n">
        <v>0</v>
      </c>
      <c r="BJ18" s="16" t="n">
        <v>0</v>
      </c>
      <c r="BK18" s="16" t="n">
        <v>0</v>
      </c>
      <c r="BL18" s="16" t="n">
        <v>0</v>
      </c>
      <c r="BM18" s="16" t="n">
        <v>0</v>
      </c>
      <c r="BN18" s="16" t="n">
        <v>0</v>
      </c>
      <c r="BO18" s="16" t="n">
        <v>0</v>
      </c>
      <c r="BP18" s="16" t="n">
        <v>0</v>
      </c>
      <c r="BQ18" s="16" t="n">
        <v>0</v>
      </c>
      <c r="BR18" s="16" t="n">
        <v>0</v>
      </c>
      <c r="BS18" s="16" t="n">
        <v>0</v>
      </c>
      <c r="BT18" s="16" t="n">
        <v>0</v>
      </c>
      <c r="BU18" s="16" t="n">
        <v>0</v>
      </c>
      <c r="BV18" s="16" t="n">
        <v>0</v>
      </c>
      <c r="BW18" s="16" t="n">
        <v>0</v>
      </c>
      <c r="BX18" s="16" t="n">
        <v>0</v>
      </c>
      <c r="BY18" s="16" t="n">
        <v>0</v>
      </c>
      <c r="BZ18" s="16" t="n">
        <v>0</v>
      </c>
      <c r="CA18" s="16" t="n">
        <v>0</v>
      </c>
      <c r="CB18" s="16" t="n">
        <v>0</v>
      </c>
      <c r="CC18" s="16" t="n">
        <v>0</v>
      </c>
      <c r="CD18" s="16" t="n">
        <v>0</v>
      </c>
      <c r="CE18" s="16" t="n">
        <v>0</v>
      </c>
      <c r="CF18" s="16" t="n">
        <v>0</v>
      </c>
      <c r="CG18" s="16" t="n">
        <v>0</v>
      </c>
      <c r="CH18" s="16" t="n">
        <v>0</v>
      </c>
      <c r="CI18" s="16" t="n">
        <v>0</v>
      </c>
      <c r="CJ18" s="16" t="n">
        <v>0</v>
      </c>
      <c r="CK18" s="16" t="n">
        <v>0</v>
      </c>
      <c r="CL18" s="16" t="n">
        <v>0</v>
      </c>
      <c r="CM18" s="16" t="n">
        <v>0</v>
      </c>
      <c r="CN18" s="16" t="n">
        <v>0</v>
      </c>
      <c r="CO18" s="16" t="n">
        <v>0</v>
      </c>
      <c r="CP18" s="16" t="n">
        <v>0</v>
      </c>
      <c r="CQ18" s="16" t="n">
        <v>0</v>
      </c>
      <c r="CR18" s="16" t="n">
        <v>0</v>
      </c>
      <c r="CS18" s="16" t="n">
        <v>5.5</v>
      </c>
      <c r="CT18" s="16" t="n">
        <v>5</v>
      </c>
      <c r="CU18" s="16" t="n">
        <v>5</v>
      </c>
      <c r="CV18" s="16" t="n">
        <v>5</v>
      </c>
      <c r="CW18" s="16" t="n">
        <v>15</v>
      </c>
      <c r="CX18" s="16" t="n">
        <v>10</v>
      </c>
      <c r="CY18" s="16" t="n">
        <v>20</v>
      </c>
      <c r="CZ18" s="16" t="n">
        <v>30</v>
      </c>
      <c r="DA18" s="16" t="n">
        <v>30</v>
      </c>
      <c r="DB18" s="16" t="n">
        <v>30</v>
      </c>
      <c r="DC18" s="16" t="n">
        <v>0</v>
      </c>
      <c r="DD18" s="16" t="n">
        <v>0</v>
      </c>
      <c r="DE18" s="16" t="n">
        <v>0</v>
      </c>
      <c r="DF18" s="16" t="n">
        <v>0</v>
      </c>
      <c r="DG18" s="16" t="n">
        <v>0</v>
      </c>
      <c r="DH18" s="16" t="n">
        <v>0</v>
      </c>
      <c r="DI18" s="16" t="n">
        <v>0</v>
      </c>
      <c r="DJ18" s="16" t="n">
        <v>0</v>
      </c>
      <c r="DK18" s="16" t="n">
        <v>0</v>
      </c>
      <c r="DL18" s="16" t="n">
        <v>0</v>
      </c>
      <c r="DM18" s="16" t="n">
        <v>0</v>
      </c>
      <c r="DN18" s="16" t="n">
        <v>0</v>
      </c>
      <c r="DO18" s="16" t="n">
        <v>0</v>
      </c>
      <c r="DP18" s="16" t="n">
        <v>0</v>
      </c>
      <c r="DQ18" s="16" t="n">
        <v>0</v>
      </c>
      <c r="DR18" s="16" t="n">
        <v>0</v>
      </c>
      <c r="DS18" s="16" t="n">
        <v>25</v>
      </c>
      <c r="DT18" s="16" t="n">
        <v>40</v>
      </c>
      <c r="DU18" s="16" t="n">
        <v>30</v>
      </c>
      <c r="DV18" s="16" t="n">
        <v>30</v>
      </c>
      <c r="DW18" s="16" t="n">
        <v>30</v>
      </c>
      <c r="DX18" s="16" t="n">
        <v>30</v>
      </c>
      <c r="DY18" s="16" t="n">
        <v>30</v>
      </c>
      <c r="DZ18" s="16" t="n">
        <v>30</v>
      </c>
      <c r="EA18" s="16" t="n">
        <v>20</v>
      </c>
      <c r="EB18" s="16" t="n">
        <v>15</v>
      </c>
      <c r="EC18" s="16" t="n">
        <v>5</v>
      </c>
      <c r="ED18" s="16" t="n">
        <v>0</v>
      </c>
      <c r="EE18" s="16" t="n">
        <v>0</v>
      </c>
      <c r="EF18" s="16" t="n">
        <v>0</v>
      </c>
    </row>
    <row r="19" customFormat="false" ht="15" hidden="false" customHeight="true" outlineLevel="0" collapsed="false">
      <c r="A19" s="9" t="s">
        <v>29</v>
      </c>
      <c r="B19" s="9" t="s">
        <v>28</v>
      </c>
      <c r="C19" s="9" t="s">
        <v>28</v>
      </c>
      <c r="D19" s="9" t="s">
        <v>337</v>
      </c>
      <c r="E19" s="9" t="s">
        <v>10</v>
      </c>
      <c r="F19" s="9" t="s">
        <v>92</v>
      </c>
      <c r="G19" s="16" t="n">
        <v>210</v>
      </c>
      <c r="H19" s="16" t="n">
        <v>866</v>
      </c>
      <c r="I19" s="16" t="n">
        <v>837.5</v>
      </c>
      <c r="J19" s="16" t="n">
        <v>28.5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27</v>
      </c>
      <c r="AL19" s="16" t="n">
        <v>30.5</v>
      </c>
      <c r="AM19" s="16" t="n">
        <v>25.5</v>
      </c>
      <c r="AN19" s="16" t="n">
        <v>28.5</v>
      </c>
      <c r="AO19" s="16" t="n">
        <v>26</v>
      </c>
      <c r="AP19" s="16" t="n">
        <v>11.5</v>
      </c>
      <c r="AQ19" s="16" t="n">
        <v>16.5</v>
      </c>
      <c r="AR19" s="16" t="n">
        <v>16</v>
      </c>
      <c r="AS19" s="16" t="n">
        <v>0.5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0</v>
      </c>
      <c r="AY19" s="16" t="n">
        <v>0</v>
      </c>
      <c r="AZ19" s="16" t="n">
        <v>0</v>
      </c>
      <c r="BA19" s="16" t="n">
        <v>0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0</v>
      </c>
      <c r="BG19" s="16" t="n">
        <v>0</v>
      </c>
      <c r="BH19" s="16" t="n">
        <v>0</v>
      </c>
      <c r="BI19" s="16" t="n">
        <v>0</v>
      </c>
      <c r="BJ19" s="16" t="n">
        <v>0</v>
      </c>
      <c r="BK19" s="16" t="n">
        <v>0</v>
      </c>
      <c r="BL19" s="16" t="n">
        <v>0</v>
      </c>
      <c r="BM19" s="16" t="n">
        <v>0</v>
      </c>
      <c r="BN19" s="16" t="n">
        <v>0</v>
      </c>
      <c r="BO19" s="16" t="n">
        <v>0</v>
      </c>
      <c r="BP19" s="16" t="n">
        <v>0</v>
      </c>
      <c r="BQ19" s="16" t="n">
        <v>0</v>
      </c>
      <c r="BR19" s="16" t="n">
        <v>0</v>
      </c>
      <c r="BS19" s="16" t="n">
        <v>0</v>
      </c>
      <c r="BT19" s="16" t="n">
        <v>0</v>
      </c>
      <c r="BU19" s="16" t="n">
        <v>0</v>
      </c>
      <c r="BV19" s="16" t="n">
        <v>0</v>
      </c>
      <c r="BW19" s="16" t="n">
        <v>0</v>
      </c>
      <c r="BX19" s="16" t="n">
        <v>0</v>
      </c>
      <c r="BY19" s="16" t="n">
        <v>0</v>
      </c>
      <c r="BZ19" s="16" t="n">
        <v>0</v>
      </c>
      <c r="CA19" s="16" t="n">
        <v>0</v>
      </c>
      <c r="CB19" s="16" t="n">
        <v>0</v>
      </c>
      <c r="CC19" s="16" t="n">
        <v>0</v>
      </c>
      <c r="CD19" s="16" t="n">
        <v>0</v>
      </c>
      <c r="CE19" s="16" t="n">
        <v>0</v>
      </c>
      <c r="CF19" s="16" t="n">
        <v>0</v>
      </c>
      <c r="CG19" s="16" t="n">
        <v>0</v>
      </c>
      <c r="CH19" s="16" t="n">
        <v>0</v>
      </c>
      <c r="CI19" s="16" t="n">
        <v>0</v>
      </c>
      <c r="CJ19" s="16" t="n">
        <v>0</v>
      </c>
      <c r="CK19" s="16" t="n">
        <v>0</v>
      </c>
      <c r="CL19" s="16" t="n">
        <v>0</v>
      </c>
      <c r="CM19" s="16" t="n">
        <v>0</v>
      </c>
      <c r="CN19" s="16" t="n">
        <v>0</v>
      </c>
      <c r="CO19" s="16" t="n">
        <v>0</v>
      </c>
      <c r="CP19" s="16" t="n">
        <v>0</v>
      </c>
      <c r="CQ19" s="16" t="n">
        <v>0</v>
      </c>
      <c r="CR19" s="16" t="n">
        <v>0</v>
      </c>
      <c r="CS19" s="16" t="n">
        <v>20</v>
      </c>
      <c r="CT19" s="16" t="n">
        <v>20</v>
      </c>
      <c r="CU19" s="16" t="n">
        <v>20</v>
      </c>
      <c r="CV19" s="16" t="n">
        <v>20</v>
      </c>
      <c r="CW19" s="16" t="n">
        <v>30</v>
      </c>
      <c r="CX19" s="16" t="n">
        <v>30</v>
      </c>
      <c r="CY19" s="16" t="n">
        <v>20</v>
      </c>
      <c r="CZ19" s="16" t="n">
        <v>20</v>
      </c>
      <c r="DA19" s="16" t="n">
        <v>20</v>
      </c>
      <c r="DB19" s="16" t="n">
        <v>20</v>
      </c>
      <c r="DC19" s="16" t="n">
        <v>15</v>
      </c>
      <c r="DD19" s="16" t="n">
        <v>15</v>
      </c>
      <c r="DE19" s="16" t="n">
        <v>15</v>
      </c>
      <c r="DF19" s="16" t="n">
        <v>3</v>
      </c>
      <c r="DG19" s="16" t="n">
        <v>3</v>
      </c>
      <c r="DH19" s="16" t="n">
        <v>3</v>
      </c>
      <c r="DI19" s="16" t="n">
        <v>2</v>
      </c>
      <c r="DJ19" s="16" t="n">
        <v>0</v>
      </c>
      <c r="DK19" s="16" t="n">
        <v>10</v>
      </c>
      <c r="DL19" s="16" t="n">
        <v>50</v>
      </c>
      <c r="DM19" s="16" t="n">
        <v>50</v>
      </c>
      <c r="DN19" s="16" t="n">
        <v>50</v>
      </c>
      <c r="DO19" s="16" t="n">
        <v>60</v>
      </c>
      <c r="DP19" s="16" t="n">
        <v>60</v>
      </c>
      <c r="DQ19" s="16" t="n">
        <v>60</v>
      </c>
      <c r="DR19" s="16" t="n">
        <v>40</v>
      </c>
      <c r="DS19" s="16" t="n">
        <v>0</v>
      </c>
      <c r="DT19" s="16" t="n">
        <v>0</v>
      </c>
      <c r="DU19" s="16" t="n">
        <v>0</v>
      </c>
      <c r="DV19" s="16" t="n">
        <v>0</v>
      </c>
      <c r="DW19" s="16" t="n">
        <v>0</v>
      </c>
      <c r="DX19" s="16" t="n">
        <v>0</v>
      </c>
      <c r="DY19" s="16" t="n">
        <v>0</v>
      </c>
      <c r="DZ19" s="16" t="n">
        <v>0</v>
      </c>
      <c r="EA19" s="16" t="n">
        <v>0</v>
      </c>
      <c r="EB19" s="16" t="n">
        <v>0</v>
      </c>
      <c r="EC19" s="16" t="n">
        <v>0</v>
      </c>
      <c r="ED19" s="16" t="n">
        <v>0</v>
      </c>
      <c r="EE19" s="16" t="n">
        <v>0</v>
      </c>
      <c r="EF19" s="16" t="n">
        <v>0</v>
      </c>
    </row>
    <row r="20" customFormat="false" ht="15" hidden="false" customHeight="true" outlineLevel="0" collapsed="false">
      <c r="A20" s="9" t="s">
        <v>29</v>
      </c>
      <c r="B20" s="9" t="s">
        <v>28</v>
      </c>
      <c r="C20" s="9" t="s">
        <v>28</v>
      </c>
      <c r="D20" s="9" t="s">
        <v>338</v>
      </c>
      <c r="E20" s="9" t="s">
        <v>10</v>
      </c>
      <c r="F20" s="9" t="s">
        <v>92</v>
      </c>
      <c r="G20" s="16" t="n">
        <v>0</v>
      </c>
      <c r="H20" s="16" t="n">
        <v>0</v>
      </c>
      <c r="I20" s="16" t="n">
        <v>93.5</v>
      </c>
      <c r="J20" s="16" t="n">
        <v>-93.5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  <c r="AC20" s="16" t="n">
        <v>0</v>
      </c>
      <c r="AD20" s="16" t="n">
        <v>18</v>
      </c>
      <c r="AE20" s="16" t="n">
        <v>0</v>
      </c>
      <c r="AF20" s="16" t="n">
        <v>3</v>
      </c>
      <c r="AG20" s="16" t="n">
        <v>21</v>
      </c>
      <c r="AH20" s="16" t="n">
        <v>25</v>
      </c>
      <c r="AI20" s="16" t="n">
        <v>26.5</v>
      </c>
      <c r="AJ20" s="16" t="n">
        <v>0</v>
      </c>
      <c r="AK20" s="16" t="n">
        <v>0</v>
      </c>
      <c r="AL20" s="16" t="n">
        <v>0</v>
      </c>
      <c r="AM20" s="16" t="n">
        <v>0</v>
      </c>
      <c r="AN20" s="16" t="n">
        <v>0</v>
      </c>
      <c r="AO20" s="16" t="n">
        <v>0</v>
      </c>
      <c r="AP20" s="16" t="n">
        <v>0</v>
      </c>
      <c r="AQ20" s="16" t="n">
        <v>0</v>
      </c>
      <c r="AR20" s="16" t="n">
        <v>0</v>
      </c>
      <c r="AS20" s="16" t="n">
        <v>0</v>
      </c>
      <c r="AT20" s="16" t="n">
        <v>0</v>
      </c>
      <c r="AU20" s="16" t="n">
        <v>0</v>
      </c>
      <c r="AV20" s="16" t="n">
        <v>0</v>
      </c>
      <c r="AW20" s="16" t="n">
        <v>0</v>
      </c>
      <c r="AX20" s="16" t="n">
        <v>0</v>
      </c>
      <c r="AY20" s="16" t="n">
        <v>0</v>
      </c>
      <c r="AZ20" s="16" t="n">
        <v>0</v>
      </c>
      <c r="BA20" s="16" t="n">
        <v>0</v>
      </c>
      <c r="BB20" s="16" t="n">
        <v>0</v>
      </c>
      <c r="BC20" s="16" t="n">
        <v>0</v>
      </c>
      <c r="BD20" s="16" t="n">
        <v>0</v>
      </c>
      <c r="BE20" s="16" t="n">
        <v>0</v>
      </c>
      <c r="BF20" s="16" t="n">
        <v>0</v>
      </c>
      <c r="BG20" s="16" t="n">
        <v>0</v>
      </c>
      <c r="BH20" s="16" t="n">
        <v>0</v>
      </c>
      <c r="BI20" s="16" t="n">
        <v>0</v>
      </c>
      <c r="BJ20" s="16" t="n">
        <v>0</v>
      </c>
      <c r="BK20" s="16" t="n">
        <v>0</v>
      </c>
      <c r="BL20" s="16" t="n">
        <v>0</v>
      </c>
      <c r="BM20" s="16" t="n">
        <v>0</v>
      </c>
      <c r="BN20" s="16" t="n">
        <v>0</v>
      </c>
      <c r="BO20" s="16" t="n">
        <v>0</v>
      </c>
      <c r="BP20" s="16" t="n">
        <v>0</v>
      </c>
      <c r="BQ20" s="16" t="n">
        <v>0</v>
      </c>
      <c r="BR20" s="16" t="n">
        <v>0</v>
      </c>
      <c r="BS20" s="16" t="n">
        <v>0</v>
      </c>
      <c r="BT20" s="16" t="n">
        <v>0</v>
      </c>
      <c r="BU20" s="16" t="n">
        <v>0</v>
      </c>
      <c r="BV20" s="16" t="n">
        <v>0</v>
      </c>
      <c r="BW20" s="16" t="n">
        <v>0</v>
      </c>
      <c r="BX20" s="16" t="n">
        <v>0</v>
      </c>
      <c r="BY20" s="16" t="n">
        <v>0</v>
      </c>
      <c r="BZ20" s="16" t="n">
        <v>0</v>
      </c>
      <c r="CA20" s="16" t="n">
        <v>0</v>
      </c>
      <c r="CB20" s="16" t="n">
        <v>0</v>
      </c>
      <c r="CC20" s="16" t="n">
        <v>0</v>
      </c>
      <c r="CD20" s="16" t="n">
        <v>0</v>
      </c>
      <c r="CE20" s="16" t="n">
        <v>0</v>
      </c>
      <c r="CF20" s="16" t="n">
        <v>0</v>
      </c>
      <c r="CG20" s="16" t="n">
        <v>0</v>
      </c>
      <c r="CH20" s="16" t="n">
        <v>0</v>
      </c>
      <c r="CI20" s="16" t="n">
        <v>0</v>
      </c>
      <c r="CJ20" s="16" t="n">
        <v>0</v>
      </c>
      <c r="CK20" s="16" t="n">
        <v>0</v>
      </c>
      <c r="CL20" s="16" t="n">
        <v>0</v>
      </c>
      <c r="CM20" s="16" t="n">
        <v>0</v>
      </c>
      <c r="CN20" s="16" t="n">
        <v>0</v>
      </c>
      <c r="CO20" s="16" t="n">
        <v>0</v>
      </c>
      <c r="CP20" s="16" t="n">
        <v>0</v>
      </c>
      <c r="CQ20" s="16" t="n">
        <v>0</v>
      </c>
      <c r="CR20" s="16" t="n">
        <v>0</v>
      </c>
      <c r="CS20" s="16" t="n">
        <v>0</v>
      </c>
      <c r="CT20" s="16" t="n">
        <v>0</v>
      </c>
      <c r="CU20" s="16" t="n">
        <v>0</v>
      </c>
      <c r="CV20" s="16" t="n">
        <v>0</v>
      </c>
      <c r="CW20" s="16" t="n">
        <v>0</v>
      </c>
      <c r="CX20" s="16" t="n">
        <v>0</v>
      </c>
      <c r="CY20" s="16" t="n">
        <v>0</v>
      </c>
      <c r="CZ20" s="16" t="n">
        <v>0</v>
      </c>
      <c r="DA20" s="16" t="n">
        <v>0</v>
      </c>
      <c r="DB20" s="16" t="n">
        <v>0</v>
      </c>
      <c r="DC20" s="16" t="n">
        <v>0</v>
      </c>
      <c r="DD20" s="16" t="n">
        <v>0</v>
      </c>
      <c r="DE20" s="16" t="n">
        <v>0</v>
      </c>
      <c r="DF20" s="16" t="n">
        <v>0</v>
      </c>
      <c r="DG20" s="16" t="n">
        <v>0</v>
      </c>
      <c r="DH20" s="16" t="n">
        <v>0</v>
      </c>
      <c r="DI20" s="16" t="n">
        <v>0</v>
      </c>
      <c r="DJ20" s="16" t="n">
        <v>0</v>
      </c>
      <c r="DK20" s="16" t="n">
        <v>0</v>
      </c>
      <c r="DL20" s="16" t="n">
        <v>0</v>
      </c>
      <c r="DM20" s="16" t="n">
        <v>0</v>
      </c>
      <c r="DN20" s="16" t="n">
        <v>0</v>
      </c>
      <c r="DO20" s="16" t="n">
        <v>0</v>
      </c>
      <c r="DP20" s="16" t="n">
        <v>0</v>
      </c>
      <c r="DQ20" s="16" t="n">
        <v>0</v>
      </c>
      <c r="DR20" s="16" t="n">
        <v>0</v>
      </c>
      <c r="DS20" s="16" t="n">
        <v>0</v>
      </c>
      <c r="DT20" s="16" t="n">
        <v>0</v>
      </c>
      <c r="DU20" s="16" t="n">
        <v>0</v>
      </c>
      <c r="DV20" s="16" t="n">
        <v>0</v>
      </c>
      <c r="DW20" s="16" t="n">
        <v>0</v>
      </c>
      <c r="DX20" s="16" t="n">
        <v>0</v>
      </c>
      <c r="DY20" s="16" t="n">
        <v>0</v>
      </c>
      <c r="DZ20" s="16" t="n">
        <v>0</v>
      </c>
      <c r="EA20" s="16" t="n">
        <v>0</v>
      </c>
      <c r="EB20" s="16" t="n">
        <v>0</v>
      </c>
      <c r="EC20" s="16" t="n">
        <v>0</v>
      </c>
      <c r="ED20" s="16" t="n">
        <v>0</v>
      </c>
      <c r="EE20" s="16" t="n">
        <v>0</v>
      </c>
      <c r="EF20" s="16" t="n">
        <v>0</v>
      </c>
    </row>
    <row r="21" customFormat="false" ht="15" hidden="false" customHeight="true" outlineLevel="0" collapsed="false">
      <c r="A21" s="9" t="s">
        <v>29</v>
      </c>
      <c r="B21" s="9" t="s">
        <v>18</v>
      </c>
      <c r="C21" s="9" t="s">
        <v>18</v>
      </c>
      <c r="D21" s="9" t="s">
        <v>341</v>
      </c>
      <c r="E21" s="9" t="s">
        <v>16</v>
      </c>
      <c r="F21" s="9" t="s">
        <v>91</v>
      </c>
      <c r="G21" s="16" t="n">
        <v>20</v>
      </c>
      <c r="H21" s="16" t="n">
        <v>250</v>
      </c>
      <c r="I21" s="16" t="n">
        <v>230</v>
      </c>
      <c r="J21" s="16" t="n">
        <v>20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  <c r="AC21" s="16" t="n">
        <v>0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6" t="n">
        <v>0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0</v>
      </c>
      <c r="AS21" s="16" t="n">
        <v>0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0</v>
      </c>
      <c r="AY21" s="16" t="n">
        <v>0</v>
      </c>
      <c r="AZ21" s="16" t="n">
        <v>0</v>
      </c>
      <c r="BA21" s="16" t="n">
        <v>0</v>
      </c>
      <c r="BB21" s="16" t="n">
        <v>0</v>
      </c>
      <c r="BC21" s="16" t="n">
        <v>0</v>
      </c>
      <c r="BD21" s="16" t="n">
        <v>0</v>
      </c>
      <c r="BE21" s="16" t="n">
        <v>0</v>
      </c>
      <c r="BF21" s="16" t="n">
        <v>0</v>
      </c>
      <c r="BG21" s="16" t="n">
        <v>0</v>
      </c>
      <c r="BH21" s="16" t="n">
        <v>0</v>
      </c>
      <c r="BI21" s="16" t="n">
        <v>0</v>
      </c>
      <c r="BJ21" s="16" t="n">
        <v>0</v>
      </c>
      <c r="BK21" s="16" t="n">
        <v>0</v>
      </c>
      <c r="BL21" s="16" t="n">
        <v>0</v>
      </c>
      <c r="BM21" s="16" t="n">
        <v>0</v>
      </c>
      <c r="BN21" s="16" t="n">
        <v>0</v>
      </c>
      <c r="BO21" s="16" t="n">
        <v>0</v>
      </c>
      <c r="BP21" s="16" t="n">
        <v>0</v>
      </c>
      <c r="BQ21" s="16" t="n">
        <v>0</v>
      </c>
      <c r="BR21" s="16" t="n">
        <v>0</v>
      </c>
      <c r="BS21" s="16" t="n">
        <v>0</v>
      </c>
      <c r="BT21" s="16" t="n">
        <v>0</v>
      </c>
      <c r="BU21" s="16" t="n">
        <v>0</v>
      </c>
      <c r="BV21" s="16" t="n">
        <v>0</v>
      </c>
      <c r="BW21" s="16" t="n">
        <v>0</v>
      </c>
      <c r="BX21" s="16" t="n">
        <v>0</v>
      </c>
      <c r="BY21" s="16" t="n">
        <v>0</v>
      </c>
      <c r="BZ21" s="16" t="n">
        <v>0</v>
      </c>
      <c r="CA21" s="16" t="n">
        <v>0</v>
      </c>
      <c r="CB21" s="16" t="n">
        <v>0</v>
      </c>
      <c r="CC21" s="16" t="n">
        <v>0</v>
      </c>
      <c r="CD21" s="16" t="n">
        <v>0</v>
      </c>
      <c r="CE21" s="16" t="n">
        <v>0</v>
      </c>
      <c r="CF21" s="16" t="n">
        <v>0</v>
      </c>
      <c r="CG21" s="16" t="n">
        <v>0</v>
      </c>
      <c r="CH21" s="16" t="n">
        <v>0</v>
      </c>
      <c r="CI21" s="16" t="n">
        <v>0</v>
      </c>
      <c r="CJ21" s="16" t="n">
        <v>0</v>
      </c>
      <c r="CK21" s="16" t="n">
        <v>0</v>
      </c>
      <c r="CL21" s="16" t="n">
        <v>0</v>
      </c>
      <c r="CM21" s="16" t="n">
        <v>0</v>
      </c>
      <c r="CN21" s="16" t="n">
        <v>0</v>
      </c>
      <c r="CO21" s="16" t="n">
        <v>0</v>
      </c>
      <c r="CP21" s="16" t="n">
        <v>0</v>
      </c>
      <c r="CQ21" s="16" t="n">
        <v>0</v>
      </c>
      <c r="CR21" s="16" t="n">
        <v>0</v>
      </c>
      <c r="CS21" s="16" t="n">
        <v>0</v>
      </c>
      <c r="CT21" s="16" t="n">
        <v>0</v>
      </c>
      <c r="CU21" s="16" t="n">
        <v>0</v>
      </c>
      <c r="CV21" s="16" t="n">
        <v>0</v>
      </c>
      <c r="CW21" s="16" t="n">
        <v>0</v>
      </c>
      <c r="CX21" s="16" t="n">
        <v>5</v>
      </c>
      <c r="CY21" s="16" t="n">
        <v>5</v>
      </c>
      <c r="CZ21" s="16" t="n">
        <v>15</v>
      </c>
      <c r="DA21" s="16" t="n">
        <v>15</v>
      </c>
      <c r="DB21" s="16" t="n">
        <v>5</v>
      </c>
      <c r="DC21" s="16" t="n">
        <v>5</v>
      </c>
      <c r="DD21" s="16" t="n">
        <v>5</v>
      </c>
      <c r="DE21" s="16" t="n">
        <v>5</v>
      </c>
      <c r="DF21" s="16" t="n">
        <v>5</v>
      </c>
      <c r="DG21" s="16" t="n">
        <v>0</v>
      </c>
      <c r="DH21" s="16" t="n">
        <v>0</v>
      </c>
      <c r="DI21" s="16" t="n">
        <v>0</v>
      </c>
      <c r="DJ21" s="16" t="n">
        <v>0</v>
      </c>
      <c r="DK21" s="16" t="n">
        <v>0</v>
      </c>
      <c r="DL21" s="16" t="n">
        <v>0</v>
      </c>
      <c r="DM21" s="16" t="n">
        <v>0</v>
      </c>
      <c r="DN21" s="16" t="n">
        <v>0</v>
      </c>
      <c r="DO21" s="16" t="n">
        <v>0</v>
      </c>
      <c r="DP21" s="16" t="n">
        <v>0</v>
      </c>
      <c r="DQ21" s="16" t="n">
        <v>0</v>
      </c>
      <c r="DR21" s="16" t="n">
        <v>0</v>
      </c>
      <c r="DS21" s="16" t="n">
        <v>10</v>
      </c>
      <c r="DT21" s="16" t="n">
        <v>20</v>
      </c>
      <c r="DU21" s="16" t="n">
        <v>15</v>
      </c>
      <c r="DV21" s="16" t="n">
        <v>20</v>
      </c>
      <c r="DW21" s="16" t="n">
        <v>20</v>
      </c>
      <c r="DX21" s="16" t="n">
        <v>15</v>
      </c>
      <c r="DY21" s="16" t="n">
        <v>15</v>
      </c>
      <c r="DZ21" s="16" t="n">
        <v>15</v>
      </c>
      <c r="EA21" s="16" t="n">
        <v>15</v>
      </c>
      <c r="EB21" s="16" t="n">
        <v>15</v>
      </c>
      <c r="EC21" s="16" t="n">
        <v>5</v>
      </c>
      <c r="ED21" s="16" t="n">
        <v>0</v>
      </c>
      <c r="EE21" s="16" t="n">
        <v>0</v>
      </c>
      <c r="EF21" s="16" t="n">
        <v>0</v>
      </c>
    </row>
    <row r="22" customFormat="false" ht="15" hidden="false" customHeight="true" outlineLevel="0" collapsed="false">
      <c r="A22" s="9" t="s">
        <v>29</v>
      </c>
      <c r="B22" s="9" t="s">
        <v>18</v>
      </c>
      <c r="C22" s="9" t="s">
        <v>18</v>
      </c>
      <c r="D22" s="9" t="s">
        <v>341</v>
      </c>
      <c r="E22" s="9" t="s">
        <v>16</v>
      </c>
      <c r="F22" s="9" t="s">
        <v>92</v>
      </c>
      <c r="G22" s="16" t="n">
        <v>175</v>
      </c>
      <c r="H22" s="16" t="n">
        <v>693</v>
      </c>
      <c r="I22" s="16" t="n">
        <v>534.5</v>
      </c>
      <c r="J22" s="16" t="n">
        <v>158.5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4</v>
      </c>
      <c r="AK22" s="16" t="n">
        <v>4</v>
      </c>
      <c r="AL22" s="16" t="n">
        <v>16</v>
      </c>
      <c r="AM22" s="16" t="n">
        <v>11.5</v>
      </c>
      <c r="AN22" s="16" t="n">
        <v>7</v>
      </c>
      <c r="AO22" s="16" t="n">
        <v>4</v>
      </c>
      <c r="AP22" s="16" t="n">
        <v>2</v>
      </c>
      <c r="AQ22" s="16" t="n">
        <v>0</v>
      </c>
      <c r="AR22" s="16" t="n">
        <v>3</v>
      </c>
      <c r="AS22" s="16" t="n">
        <v>0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0</v>
      </c>
      <c r="BG22" s="16" t="n">
        <v>0</v>
      </c>
      <c r="BH22" s="16" t="n">
        <v>0</v>
      </c>
      <c r="BI22" s="16" t="n">
        <v>0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0</v>
      </c>
      <c r="BO22" s="16" t="n">
        <v>0</v>
      </c>
      <c r="BP22" s="16" t="n">
        <v>0</v>
      </c>
      <c r="BQ22" s="16" t="n">
        <v>0</v>
      </c>
      <c r="BR22" s="16" t="n">
        <v>0</v>
      </c>
      <c r="BS22" s="16" t="n">
        <v>0</v>
      </c>
      <c r="BT22" s="16" t="n">
        <v>0</v>
      </c>
      <c r="BU22" s="16" t="n">
        <v>0</v>
      </c>
      <c r="BV22" s="16" t="n">
        <v>0</v>
      </c>
      <c r="BW22" s="16" t="n">
        <v>0</v>
      </c>
      <c r="BX22" s="16" t="n">
        <v>0</v>
      </c>
      <c r="BY22" s="16" t="n">
        <v>0</v>
      </c>
      <c r="BZ22" s="16" t="n">
        <v>0</v>
      </c>
      <c r="CA22" s="16" t="n">
        <v>0</v>
      </c>
      <c r="CB22" s="16" t="n">
        <v>0</v>
      </c>
      <c r="CC22" s="16" t="n">
        <v>0</v>
      </c>
      <c r="CD22" s="16" t="n">
        <v>0</v>
      </c>
      <c r="CE22" s="16" t="n">
        <v>0</v>
      </c>
      <c r="CF22" s="16" t="n">
        <v>0</v>
      </c>
      <c r="CG22" s="16" t="n">
        <v>0</v>
      </c>
      <c r="CH22" s="16" t="n">
        <v>0</v>
      </c>
      <c r="CI22" s="16" t="n">
        <v>0</v>
      </c>
      <c r="CJ22" s="16" t="n">
        <v>0</v>
      </c>
      <c r="CK22" s="16" t="n">
        <v>0</v>
      </c>
      <c r="CL22" s="16" t="n">
        <v>0</v>
      </c>
      <c r="CM22" s="16" t="n">
        <v>0</v>
      </c>
      <c r="CN22" s="16" t="n">
        <v>0</v>
      </c>
      <c r="CO22" s="16" t="n">
        <v>0</v>
      </c>
      <c r="CP22" s="16" t="n">
        <v>0</v>
      </c>
      <c r="CQ22" s="16" t="n">
        <v>0</v>
      </c>
      <c r="CR22" s="16" t="n">
        <v>0</v>
      </c>
      <c r="CS22" s="16" t="n">
        <v>10</v>
      </c>
      <c r="CT22" s="16" t="n">
        <v>10</v>
      </c>
      <c r="CU22" s="16" t="n">
        <v>10</v>
      </c>
      <c r="CV22" s="16" t="n">
        <v>10</v>
      </c>
      <c r="CW22" s="16" t="n">
        <v>10</v>
      </c>
      <c r="CX22" s="16" t="n">
        <v>10</v>
      </c>
      <c r="CY22" s="16" t="n">
        <v>30</v>
      </c>
      <c r="CZ22" s="16" t="n">
        <v>30</v>
      </c>
      <c r="DA22" s="16" t="n">
        <v>30</v>
      </c>
      <c r="DB22" s="16" t="n">
        <v>25</v>
      </c>
      <c r="DC22" s="16" t="n">
        <v>25</v>
      </c>
      <c r="DD22" s="16" t="n">
        <v>25</v>
      </c>
      <c r="DE22" s="16" t="n">
        <v>25</v>
      </c>
      <c r="DF22" s="16" t="n">
        <v>0</v>
      </c>
      <c r="DG22" s="16" t="n">
        <v>0</v>
      </c>
      <c r="DH22" s="16" t="n">
        <v>3</v>
      </c>
      <c r="DI22" s="16" t="n">
        <v>0</v>
      </c>
      <c r="DJ22" s="16" t="n">
        <v>0</v>
      </c>
      <c r="DK22" s="16" t="n">
        <v>40</v>
      </c>
      <c r="DL22" s="16" t="n">
        <v>40</v>
      </c>
      <c r="DM22" s="16" t="n">
        <v>30</v>
      </c>
      <c r="DN22" s="16" t="n">
        <v>30</v>
      </c>
      <c r="DO22" s="16" t="n">
        <v>30</v>
      </c>
      <c r="DP22" s="16" t="n">
        <v>25</v>
      </c>
      <c r="DQ22" s="16" t="n">
        <v>15</v>
      </c>
      <c r="DR22" s="16" t="n">
        <v>20</v>
      </c>
      <c r="DS22" s="16" t="n">
        <v>0</v>
      </c>
      <c r="DT22" s="16" t="n">
        <v>0</v>
      </c>
      <c r="DU22" s="16" t="n">
        <v>0</v>
      </c>
      <c r="DV22" s="16" t="n">
        <v>0</v>
      </c>
      <c r="DW22" s="16" t="n">
        <v>0</v>
      </c>
      <c r="DX22" s="16" t="n">
        <v>0</v>
      </c>
      <c r="DY22" s="16" t="n">
        <v>0</v>
      </c>
      <c r="DZ22" s="16" t="n">
        <v>0</v>
      </c>
      <c r="EA22" s="16" t="n">
        <v>0</v>
      </c>
      <c r="EB22" s="16" t="n">
        <v>0</v>
      </c>
      <c r="EC22" s="16" t="n">
        <v>0</v>
      </c>
      <c r="ED22" s="16" t="n">
        <v>0</v>
      </c>
      <c r="EE22" s="16" t="n">
        <v>0</v>
      </c>
      <c r="EF22" s="16" t="n">
        <v>0</v>
      </c>
    </row>
    <row r="23" customFormat="false" ht="15" hidden="false" customHeight="true" outlineLevel="0" collapsed="false">
      <c r="A23" s="9" t="s">
        <v>29</v>
      </c>
      <c r="B23" s="9" t="s">
        <v>18</v>
      </c>
      <c r="C23" s="9" t="s">
        <v>18</v>
      </c>
      <c r="D23" s="9" t="s">
        <v>340</v>
      </c>
      <c r="E23" s="9" t="s">
        <v>16</v>
      </c>
      <c r="F23" s="9" t="s">
        <v>92</v>
      </c>
      <c r="G23" s="16" t="n">
        <v>0</v>
      </c>
      <c r="H23" s="16" t="n">
        <v>0</v>
      </c>
      <c r="I23" s="16" t="n">
        <v>30.5</v>
      </c>
      <c r="J23" s="16" t="n">
        <v>-30.5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  <c r="W23" s="16" t="n">
        <v>0</v>
      </c>
      <c r="X23" s="16" t="n">
        <v>0</v>
      </c>
      <c r="Y23" s="16" t="n">
        <v>0</v>
      </c>
      <c r="Z23" s="16" t="n">
        <v>0</v>
      </c>
      <c r="AA23" s="16" t="n">
        <v>0</v>
      </c>
      <c r="AB23" s="16" t="n">
        <v>0</v>
      </c>
      <c r="AC23" s="16" t="n">
        <v>0</v>
      </c>
      <c r="AD23" s="16" t="n">
        <v>4</v>
      </c>
      <c r="AE23" s="16" t="n">
        <v>0</v>
      </c>
      <c r="AF23" s="16" t="n">
        <v>2</v>
      </c>
      <c r="AG23" s="16" t="n">
        <v>6.5</v>
      </c>
      <c r="AH23" s="16" t="n">
        <v>15</v>
      </c>
      <c r="AI23" s="16" t="n">
        <v>3</v>
      </c>
      <c r="AJ23" s="16" t="n">
        <v>0</v>
      </c>
      <c r="AK23" s="16" t="n">
        <v>0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0</v>
      </c>
      <c r="AS23" s="16" t="n">
        <v>0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0</v>
      </c>
      <c r="AY23" s="16" t="n">
        <v>0</v>
      </c>
      <c r="AZ23" s="16" t="n">
        <v>0</v>
      </c>
      <c r="BA23" s="16" t="n">
        <v>0</v>
      </c>
      <c r="BB23" s="16" t="n">
        <v>0</v>
      </c>
      <c r="BC23" s="16" t="n">
        <v>0</v>
      </c>
      <c r="BD23" s="16" t="n">
        <v>0</v>
      </c>
      <c r="BE23" s="16" t="n">
        <v>0</v>
      </c>
      <c r="BF23" s="16" t="n">
        <v>0</v>
      </c>
      <c r="BG23" s="16" t="n">
        <v>0</v>
      </c>
      <c r="BH23" s="16" t="n">
        <v>0</v>
      </c>
      <c r="BI23" s="16" t="n">
        <v>0</v>
      </c>
      <c r="BJ23" s="16" t="n">
        <v>0</v>
      </c>
      <c r="BK23" s="16" t="n">
        <v>0</v>
      </c>
      <c r="BL23" s="16" t="n">
        <v>0</v>
      </c>
      <c r="BM23" s="16" t="n">
        <v>0</v>
      </c>
      <c r="BN23" s="16" t="n">
        <v>0</v>
      </c>
      <c r="BO23" s="16" t="n">
        <v>0</v>
      </c>
      <c r="BP23" s="16" t="n">
        <v>0</v>
      </c>
      <c r="BQ23" s="16" t="n">
        <v>0</v>
      </c>
      <c r="BR23" s="16" t="n">
        <v>0</v>
      </c>
      <c r="BS23" s="16" t="n">
        <v>0</v>
      </c>
      <c r="BT23" s="16" t="n">
        <v>0</v>
      </c>
      <c r="BU23" s="16" t="n">
        <v>0</v>
      </c>
      <c r="BV23" s="16" t="n">
        <v>0</v>
      </c>
      <c r="BW23" s="16" t="n">
        <v>0</v>
      </c>
      <c r="BX23" s="16" t="n">
        <v>0</v>
      </c>
      <c r="BY23" s="16" t="n">
        <v>0</v>
      </c>
      <c r="BZ23" s="16" t="n">
        <v>0</v>
      </c>
      <c r="CA23" s="16" t="n">
        <v>0</v>
      </c>
      <c r="CB23" s="16" t="n">
        <v>0</v>
      </c>
      <c r="CC23" s="16" t="n">
        <v>0</v>
      </c>
      <c r="CD23" s="16" t="n">
        <v>0</v>
      </c>
      <c r="CE23" s="16" t="n">
        <v>0</v>
      </c>
      <c r="CF23" s="16" t="n">
        <v>0</v>
      </c>
      <c r="CG23" s="16" t="n">
        <v>0</v>
      </c>
      <c r="CH23" s="16" t="n">
        <v>0</v>
      </c>
      <c r="CI23" s="16" t="n">
        <v>0</v>
      </c>
      <c r="CJ23" s="16" t="n">
        <v>0</v>
      </c>
      <c r="CK23" s="16" t="n">
        <v>0</v>
      </c>
      <c r="CL23" s="16" t="n">
        <v>0</v>
      </c>
      <c r="CM23" s="16" t="n">
        <v>0</v>
      </c>
      <c r="CN23" s="16" t="n">
        <v>0</v>
      </c>
      <c r="CO23" s="16" t="n">
        <v>0</v>
      </c>
      <c r="CP23" s="16" t="n">
        <v>0</v>
      </c>
      <c r="CQ23" s="16" t="n">
        <v>0</v>
      </c>
      <c r="CR23" s="16" t="n">
        <v>0</v>
      </c>
      <c r="CS23" s="16" t="n">
        <v>0</v>
      </c>
      <c r="CT23" s="16" t="n">
        <v>0</v>
      </c>
      <c r="CU23" s="16" t="n">
        <v>0</v>
      </c>
      <c r="CV23" s="16" t="n">
        <v>0</v>
      </c>
      <c r="CW23" s="16" t="n">
        <v>0</v>
      </c>
      <c r="CX23" s="16" t="n">
        <v>0</v>
      </c>
      <c r="CY23" s="16" t="n">
        <v>0</v>
      </c>
      <c r="CZ23" s="16" t="n">
        <v>0</v>
      </c>
      <c r="DA23" s="16" t="n">
        <v>0</v>
      </c>
      <c r="DB23" s="16" t="n">
        <v>0</v>
      </c>
      <c r="DC23" s="16" t="n">
        <v>0</v>
      </c>
      <c r="DD23" s="16" t="n">
        <v>0</v>
      </c>
      <c r="DE23" s="16" t="n">
        <v>0</v>
      </c>
      <c r="DF23" s="16" t="n">
        <v>0</v>
      </c>
      <c r="DG23" s="16" t="n">
        <v>0</v>
      </c>
      <c r="DH23" s="16" t="n">
        <v>0</v>
      </c>
      <c r="DI23" s="16" t="n">
        <v>0</v>
      </c>
      <c r="DJ23" s="16" t="n">
        <v>0</v>
      </c>
      <c r="DK23" s="16" t="n">
        <v>0</v>
      </c>
      <c r="DL23" s="16" t="n">
        <v>0</v>
      </c>
      <c r="DM23" s="16" t="n">
        <v>0</v>
      </c>
      <c r="DN23" s="16" t="n">
        <v>0</v>
      </c>
      <c r="DO23" s="16" t="n">
        <v>0</v>
      </c>
      <c r="DP23" s="16" t="n">
        <v>0</v>
      </c>
      <c r="DQ23" s="16" t="n">
        <v>0</v>
      </c>
      <c r="DR23" s="16" t="n">
        <v>0</v>
      </c>
      <c r="DS23" s="16" t="n">
        <v>0</v>
      </c>
      <c r="DT23" s="16" t="n">
        <v>0</v>
      </c>
      <c r="DU23" s="16" t="n">
        <v>0</v>
      </c>
      <c r="DV23" s="16" t="n">
        <v>0</v>
      </c>
      <c r="DW23" s="16" t="n">
        <v>0</v>
      </c>
      <c r="DX23" s="16" t="n">
        <v>0</v>
      </c>
      <c r="DY23" s="16" t="n">
        <v>0</v>
      </c>
      <c r="DZ23" s="16" t="n">
        <v>0</v>
      </c>
      <c r="EA23" s="16" t="n">
        <v>0</v>
      </c>
      <c r="EB23" s="16" t="n">
        <v>0</v>
      </c>
      <c r="EC23" s="16" t="n">
        <v>0</v>
      </c>
      <c r="ED23" s="16" t="n">
        <v>0</v>
      </c>
      <c r="EE23" s="16" t="n">
        <v>0</v>
      </c>
      <c r="EF23" s="16" t="n">
        <v>0</v>
      </c>
    </row>
    <row r="24" customFormat="false" ht="15" hidden="false" customHeight="true" outlineLevel="0" collapsed="false">
      <c r="A24" s="9" t="s">
        <v>12</v>
      </c>
      <c r="B24" s="9" t="s">
        <v>13</v>
      </c>
      <c r="C24" s="9" t="s">
        <v>13</v>
      </c>
      <c r="D24" s="9" t="s">
        <v>336</v>
      </c>
      <c r="E24" s="9" t="s">
        <v>14</v>
      </c>
      <c r="F24" s="9" t="s">
        <v>81</v>
      </c>
      <c r="G24" s="16" t="n">
        <v>34</v>
      </c>
      <c r="H24" s="16" t="n">
        <v>222</v>
      </c>
      <c r="I24" s="16" t="n">
        <v>0</v>
      </c>
      <c r="J24" s="16" t="n">
        <v>222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0</v>
      </c>
      <c r="AC24" s="16" t="n">
        <v>0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  <c r="AJ24" s="16" t="n">
        <v>0</v>
      </c>
      <c r="AK24" s="16" t="n">
        <v>0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0</v>
      </c>
      <c r="AS24" s="16" t="n">
        <v>0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0</v>
      </c>
      <c r="AY24" s="16" t="n">
        <v>0</v>
      </c>
      <c r="AZ24" s="16" t="n">
        <v>0</v>
      </c>
      <c r="BA24" s="16" t="n">
        <v>0</v>
      </c>
      <c r="BB24" s="16" t="n">
        <v>0</v>
      </c>
      <c r="BC24" s="16" t="n">
        <v>0</v>
      </c>
      <c r="BD24" s="16" t="n">
        <v>0</v>
      </c>
      <c r="BE24" s="16" t="n">
        <v>0</v>
      </c>
      <c r="BF24" s="16" t="n">
        <v>0</v>
      </c>
      <c r="BG24" s="16" t="n">
        <v>0</v>
      </c>
      <c r="BH24" s="16" t="n">
        <v>0</v>
      </c>
      <c r="BI24" s="16" t="n">
        <v>0</v>
      </c>
      <c r="BJ24" s="16" t="n">
        <v>0</v>
      </c>
      <c r="BK24" s="16" t="n">
        <v>0</v>
      </c>
      <c r="BL24" s="16" t="n">
        <v>0</v>
      </c>
      <c r="BM24" s="16" t="n">
        <v>0</v>
      </c>
      <c r="BN24" s="16" t="n">
        <v>0</v>
      </c>
      <c r="BO24" s="16" t="n">
        <v>0</v>
      </c>
      <c r="BP24" s="16" t="n">
        <v>0</v>
      </c>
      <c r="BQ24" s="16" t="n">
        <v>0</v>
      </c>
      <c r="BR24" s="16" t="n">
        <v>0</v>
      </c>
      <c r="BS24" s="16" t="n">
        <v>0</v>
      </c>
      <c r="BT24" s="16" t="n">
        <v>0</v>
      </c>
      <c r="BU24" s="16" t="n">
        <v>0</v>
      </c>
      <c r="BV24" s="16" t="n">
        <v>0</v>
      </c>
      <c r="BW24" s="16" t="n">
        <v>0</v>
      </c>
      <c r="BX24" s="16" t="n">
        <v>0</v>
      </c>
      <c r="BY24" s="16" t="n">
        <v>0</v>
      </c>
      <c r="BZ24" s="16" t="n">
        <v>0</v>
      </c>
      <c r="CA24" s="16" t="n">
        <v>0</v>
      </c>
      <c r="CB24" s="16" t="n">
        <v>0</v>
      </c>
      <c r="CC24" s="16" t="n">
        <v>0</v>
      </c>
      <c r="CD24" s="16" t="n">
        <v>0</v>
      </c>
      <c r="CE24" s="16" t="n">
        <v>0</v>
      </c>
      <c r="CF24" s="16" t="n">
        <v>0</v>
      </c>
      <c r="CG24" s="16" t="n">
        <v>0</v>
      </c>
      <c r="CH24" s="16" t="n">
        <v>0</v>
      </c>
      <c r="CI24" s="16" t="n">
        <v>0</v>
      </c>
      <c r="CJ24" s="16" t="n">
        <v>0</v>
      </c>
      <c r="CK24" s="16" t="n">
        <v>0</v>
      </c>
      <c r="CL24" s="16" t="n">
        <v>0</v>
      </c>
      <c r="CM24" s="16" t="n">
        <v>0</v>
      </c>
      <c r="CN24" s="16" t="n">
        <v>0</v>
      </c>
      <c r="CO24" s="16" t="n">
        <v>0</v>
      </c>
      <c r="CP24" s="16" t="n">
        <v>0</v>
      </c>
      <c r="CQ24" s="16" t="n">
        <v>0</v>
      </c>
      <c r="CR24" s="16" t="n">
        <v>0</v>
      </c>
      <c r="CS24" s="16" t="n">
        <v>0</v>
      </c>
      <c r="CT24" s="16" t="n">
        <v>0</v>
      </c>
      <c r="CU24" s="16" t="n">
        <v>0</v>
      </c>
      <c r="CV24" s="16" t="n">
        <v>0</v>
      </c>
      <c r="CW24" s="16" t="n">
        <v>0</v>
      </c>
      <c r="CX24" s="16" t="n">
        <v>0</v>
      </c>
      <c r="CY24" s="16" t="n">
        <v>0</v>
      </c>
      <c r="CZ24" s="16" t="n">
        <v>0</v>
      </c>
      <c r="DA24" s="16" t="n">
        <v>0</v>
      </c>
      <c r="DB24" s="16" t="n">
        <v>0</v>
      </c>
      <c r="DC24" s="16" t="n">
        <v>0</v>
      </c>
      <c r="DD24" s="16" t="n">
        <v>0</v>
      </c>
      <c r="DE24" s="16" t="n">
        <v>0</v>
      </c>
      <c r="DF24" s="16" t="n">
        <v>0</v>
      </c>
      <c r="DG24" s="16" t="n">
        <v>0</v>
      </c>
      <c r="DH24" s="16" t="n">
        <v>0</v>
      </c>
      <c r="DI24" s="16" t="n">
        <v>0</v>
      </c>
      <c r="DJ24" s="16" t="n">
        <v>0</v>
      </c>
      <c r="DK24" s="16" t="n">
        <v>0</v>
      </c>
      <c r="DL24" s="16" t="n">
        <v>0</v>
      </c>
      <c r="DM24" s="16" t="n">
        <v>0</v>
      </c>
      <c r="DN24" s="16" t="n">
        <v>0</v>
      </c>
      <c r="DO24" s="16" t="n">
        <v>0</v>
      </c>
      <c r="DP24" s="16" t="n">
        <v>0</v>
      </c>
      <c r="DQ24" s="16" t="n">
        <v>0</v>
      </c>
      <c r="DR24" s="16" t="n">
        <v>0</v>
      </c>
      <c r="DS24" s="16" t="n">
        <v>0</v>
      </c>
      <c r="DT24" s="16" t="n">
        <v>0</v>
      </c>
      <c r="DU24" s="16" t="n">
        <v>0</v>
      </c>
      <c r="DV24" s="16" t="n">
        <v>0</v>
      </c>
      <c r="DW24" s="16" t="n">
        <v>0</v>
      </c>
      <c r="DX24" s="16" t="n">
        <v>0</v>
      </c>
      <c r="DY24" s="16" t="n">
        <v>0</v>
      </c>
      <c r="DZ24" s="16" t="n">
        <v>0</v>
      </c>
      <c r="EA24" s="16" t="n">
        <v>0</v>
      </c>
      <c r="EB24" s="16" t="n">
        <v>0</v>
      </c>
      <c r="EC24" s="16" t="n">
        <v>0</v>
      </c>
      <c r="ED24" s="16" t="n">
        <v>0</v>
      </c>
      <c r="EE24" s="16" t="n">
        <v>0</v>
      </c>
      <c r="EF24" s="16" t="n">
        <v>0</v>
      </c>
    </row>
    <row r="25" customFormat="false" ht="15" hidden="false" customHeight="true" outlineLevel="0" collapsed="false">
      <c r="A25" s="9" t="s">
        <v>12</v>
      </c>
      <c r="B25" s="9" t="s">
        <v>13</v>
      </c>
      <c r="C25" s="9" t="s">
        <v>13</v>
      </c>
      <c r="D25" s="9" t="s">
        <v>342</v>
      </c>
      <c r="E25" s="9" t="s">
        <v>14</v>
      </c>
      <c r="F25" s="9" t="s">
        <v>81</v>
      </c>
      <c r="G25" s="16" t="n">
        <v>0</v>
      </c>
      <c r="H25" s="16" t="n">
        <v>0</v>
      </c>
      <c r="I25" s="16" t="n">
        <v>212</v>
      </c>
      <c r="J25" s="16" t="n">
        <v>-212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8</v>
      </c>
      <c r="AM25" s="16" t="n">
        <v>7</v>
      </c>
      <c r="AN25" s="16" t="n">
        <v>0</v>
      </c>
      <c r="AO25" s="16" t="n">
        <v>0</v>
      </c>
      <c r="AP25" s="16" t="n">
        <v>9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16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14</v>
      </c>
      <c r="DC25" s="16" t="n">
        <v>16</v>
      </c>
      <c r="DD25" s="16" t="n">
        <v>16</v>
      </c>
      <c r="DE25" s="16" t="n">
        <v>4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18</v>
      </c>
      <c r="DO25" s="16" t="n">
        <v>36</v>
      </c>
      <c r="DP25" s="16" t="n">
        <v>36</v>
      </c>
      <c r="DQ25" s="16" t="n">
        <v>32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</row>
    <row r="26" customFormat="false" ht="15" hidden="false" customHeight="true" outlineLevel="0" collapsed="false">
      <c r="A26" s="9" t="s">
        <v>12</v>
      </c>
      <c r="B26" s="9" t="s">
        <v>13</v>
      </c>
      <c r="C26" s="9" t="s">
        <v>13</v>
      </c>
      <c r="D26" s="9" t="s">
        <v>336</v>
      </c>
      <c r="E26" s="9" t="s">
        <v>14</v>
      </c>
      <c r="F26" s="9" t="s">
        <v>94</v>
      </c>
      <c r="G26" s="16" t="n">
        <v>10</v>
      </c>
      <c r="H26" s="16" t="n">
        <v>10</v>
      </c>
      <c r="I26" s="16" t="n">
        <v>0</v>
      </c>
      <c r="J26" s="16" t="n">
        <v>10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</row>
    <row r="27" customFormat="false" ht="15" hidden="false" customHeight="true" outlineLevel="0" collapsed="false">
      <c r="A27" s="9" t="s">
        <v>12</v>
      </c>
      <c r="B27" s="9" t="s">
        <v>13</v>
      </c>
      <c r="C27" s="9" t="s">
        <v>13</v>
      </c>
      <c r="D27" s="9" t="s">
        <v>342</v>
      </c>
      <c r="E27" s="9" t="s">
        <v>14</v>
      </c>
      <c r="F27" s="9" t="s">
        <v>94</v>
      </c>
      <c r="G27" s="16" t="n">
        <v>0</v>
      </c>
      <c r="H27" s="16" t="n">
        <v>0</v>
      </c>
      <c r="I27" s="16" t="n">
        <v>5</v>
      </c>
      <c r="J27" s="16" t="n">
        <v>-5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5</v>
      </c>
      <c r="AC27" s="16" t="n">
        <v>0</v>
      </c>
      <c r="AD27" s="16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0</v>
      </c>
      <c r="AS27" s="16" t="n">
        <v>0</v>
      </c>
      <c r="AT27" s="16" t="n">
        <v>0</v>
      </c>
      <c r="AU27" s="16" t="n">
        <v>0</v>
      </c>
      <c r="AV27" s="16" t="n">
        <v>0</v>
      </c>
      <c r="AW27" s="16" t="n">
        <v>0</v>
      </c>
      <c r="AX27" s="16" t="n">
        <v>0</v>
      </c>
      <c r="AY27" s="16" t="n">
        <v>0</v>
      </c>
      <c r="AZ27" s="16" t="n">
        <v>0</v>
      </c>
      <c r="BA27" s="16" t="n">
        <v>0</v>
      </c>
      <c r="BB27" s="16" t="n">
        <v>0</v>
      </c>
      <c r="BC27" s="16" t="n">
        <v>0</v>
      </c>
      <c r="BD27" s="16" t="n">
        <v>0</v>
      </c>
      <c r="BE27" s="16" t="n">
        <v>0</v>
      </c>
      <c r="BF27" s="16" t="n">
        <v>0</v>
      </c>
      <c r="BG27" s="16" t="n">
        <v>0</v>
      </c>
      <c r="BH27" s="16" t="n">
        <v>0</v>
      </c>
      <c r="BI27" s="16" t="n">
        <v>0</v>
      </c>
      <c r="BJ27" s="16" t="n">
        <v>0</v>
      </c>
      <c r="BK27" s="16" t="n">
        <v>0</v>
      </c>
      <c r="BL27" s="16" t="n">
        <v>0</v>
      </c>
      <c r="BM27" s="16" t="n">
        <v>0</v>
      </c>
      <c r="BN27" s="16" t="n">
        <v>0</v>
      </c>
      <c r="BO27" s="16" t="n">
        <v>0</v>
      </c>
      <c r="BP27" s="16" t="n">
        <v>0</v>
      </c>
      <c r="BQ27" s="16" t="n">
        <v>0</v>
      </c>
      <c r="BR27" s="16" t="n">
        <v>0</v>
      </c>
      <c r="BS27" s="16" t="n">
        <v>0</v>
      </c>
      <c r="BT27" s="16" t="n">
        <v>0</v>
      </c>
      <c r="BU27" s="16" t="n">
        <v>0</v>
      </c>
      <c r="BV27" s="16" t="n">
        <v>0</v>
      </c>
      <c r="BW27" s="16" t="n">
        <v>0</v>
      </c>
      <c r="BX27" s="16" t="n">
        <v>0</v>
      </c>
      <c r="BY27" s="16" t="n">
        <v>0</v>
      </c>
      <c r="BZ27" s="16" t="n">
        <v>0</v>
      </c>
      <c r="CA27" s="16" t="n">
        <v>0</v>
      </c>
      <c r="CB27" s="16" t="n">
        <v>0</v>
      </c>
      <c r="CC27" s="16" t="n">
        <v>0</v>
      </c>
      <c r="CD27" s="16" t="n">
        <v>0</v>
      </c>
      <c r="CE27" s="16" t="n">
        <v>0</v>
      </c>
      <c r="CF27" s="16" t="n">
        <v>0</v>
      </c>
      <c r="CG27" s="16" t="n">
        <v>0</v>
      </c>
      <c r="CH27" s="16" t="n">
        <v>0</v>
      </c>
      <c r="CI27" s="16" t="n">
        <v>0</v>
      </c>
      <c r="CJ27" s="16" t="n">
        <v>0</v>
      </c>
      <c r="CK27" s="16" t="n">
        <v>0</v>
      </c>
      <c r="CL27" s="16" t="n">
        <v>0</v>
      </c>
      <c r="CM27" s="16" t="n">
        <v>0</v>
      </c>
      <c r="CN27" s="16" t="n">
        <v>0</v>
      </c>
      <c r="CO27" s="16" t="n">
        <v>0</v>
      </c>
      <c r="CP27" s="16" t="n">
        <v>0</v>
      </c>
      <c r="CQ27" s="16" t="n">
        <v>0</v>
      </c>
      <c r="CR27" s="16" t="n">
        <v>0</v>
      </c>
      <c r="CS27" s="16" t="n">
        <v>0</v>
      </c>
      <c r="CT27" s="16" t="n">
        <v>0</v>
      </c>
      <c r="CU27" s="16" t="n">
        <v>0</v>
      </c>
      <c r="CV27" s="16" t="n">
        <v>0</v>
      </c>
      <c r="CW27" s="16" t="n">
        <v>0</v>
      </c>
      <c r="CX27" s="16" t="n">
        <v>0</v>
      </c>
      <c r="CY27" s="16" t="n">
        <v>0</v>
      </c>
      <c r="CZ27" s="16" t="n">
        <v>0</v>
      </c>
      <c r="DA27" s="16" t="n">
        <v>0</v>
      </c>
      <c r="DB27" s="16" t="n">
        <v>0</v>
      </c>
      <c r="DC27" s="16" t="n">
        <v>0</v>
      </c>
      <c r="DD27" s="16" t="n">
        <v>0</v>
      </c>
      <c r="DE27" s="16" t="n">
        <v>0</v>
      </c>
      <c r="DF27" s="16" t="n">
        <v>0</v>
      </c>
      <c r="DG27" s="16" t="n">
        <v>0</v>
      </c>
      <c r="DH27" s="16" t="n">
        <v>0</v>
      </c>
      <c r="DI27" s="16" t="n">
        <v>0</v>
      </c>
      <c r="DJ27" s="16" t="n">
        <v>0</v>
      </c>
      <c r="DK27" s="16" t="n">
        <v>0</v>
      </c>
      <c r="DL27" s="16" t="n">
        <v>0</v>
      </c>
      <c r="DM27" s="16" t="n">
        <v>0</v>
      </c>
      <c r="DN27" s="16" t="n">
        <v>0</v>
      </c>
      <c r="DO27" s="16" t="n">
        <v>0</v>
      </c>
      <c r="DP27" s="16" t="n">
        <v>0</v>
      </c>
      <c r="DQ27" s="16" t="n">
        <v>0</v>
      </c>
      <c r="DR27" s="16" t="n">
        <v>0</v>
      </c>
      <c r="DS27" s="16" t="n">
        <v>0</v>
      </c>
      <c r="DT27" s="16" t="n">
        <v>0</v>
      </c>
      <c r="DU27" s="16" t="n">
        <v>0</v>
      </c>
      <c r="DV27" s="16" t="n">
        <v>0</v>
      </c>
      <c r="DW27" s="16" t="n">
        <v>0</v>
      </c>
      <c r="DX27" s="16" t="n">
        <v>0</v>
      </c>
      <c r="DY27" s="16" t="n">
        <v>0</v>
      </c>
      <c r="DZ27" s="16" t="n">
        <v>0</v>
      </c>
      <c r="EA27" s="16" t="n">
        <v>0</v>
      </c>
      <c r="EB27" s="16" t="n">
        <v>0</v>
      </c>
      <c r="EC27" s="16" t="n">
        <v>0</v>
      </c>
      <c r="ED27" s="16" t="n">
        <v>0</v>
      </c>
      <c r="EE27" s="16" t="n">
        <v>0</v>
      </c>
      <c r="EF27" s="16" t="n">
        <v>0</v>
      </c>
    </row>
    <row r="28" customFormat="false" ht="15" hidden="false" customHeight="true" outlineLevel="0" collapsed="false">
      <c r="A28" s="9" t="s">
        <v>12</v>
      </c>
      <c r="B28" s="9" t="s">
        <v>13</v>
      </c>
      <c r="C28" s="9" t="s">
        <v>13</v>
      </c>
      <c r="D28" s="9" t="s">
        <v>336</v>
      </c>
      <c r="E28" s="9" t="s">
        <v>14</v>
      </c>
      <c r="F28" s="9" t="s">
        <v>82</v>
      </c>
      <c r="G28" s="16" t="n">
        <v>0</v>
      </c>
      <c r="H28" s="16" t="n">
        <v>0</v>
      </c>
      <c r="I28" s="16" t="n">
        <v>16</v>
      </c>
      <c r="J28" s="16" t="n">
        <v>-16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0</v>
      </c>
      <c r="Z28" s="16" t="n">
        <v>8</v>
      </c>
      <c r="AA28" s="16" t="n">
        <v>8</v>
      </c>
      <c r="AB28" s="16" t="n">
        <v>0</v>
      </c>
      <c r="AC28" s="16" t="n">
        <v>0</v>
      </c>
      <c r="AD28" s="16" t="n">
        <v>0</v>
      </c>
      <c r="AE28" s="16" t="n">
        <v>0</v>
      </c>
      <c r="AF28" s="16" t="n">
        <v>0</v>
      </c>
      <c r="AG28" s="16" t="n">
        <v>0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0</v>
      </c>
      <c r="AN28" s="16" t="n">
        <v>0</v>
      </c>
      <c r="AO28" s="16" t="n">
        <v>0</v>
      </c>
      <c r="AP28" s="16" t="n">
        <v>0</v>
      </c>
      <c r="AQ28" s="16" t="n">
        <v>0</v>
      </c>
      <c r="AR28" s="16" t="n">
        <v>0</v>
      </c>
      <c r="AS28" s="16" t="n">
        <v>0</v>
      </c>
      <c r="AT28" s="16" t="n">
        <v>0</v>
      </c>
      <c r="AU28" s="16" t="n">
        <v>0</v>
      </c>
      <c r="AV28" s="16" t="n">
        <v>0</v>
      </c>
      <c r="AW28" s="16" t="n">
        <v>0</v>
      </c>
      <c r="AX28" s="16" t="n">
        <v>0</v>
      </c>
      <c r="AY28" s="16" t="n">
        <v>0</v>
      </c>
      <c r="AZ28" s="16" t="n">
        <v>0</v>
      </c>
      <c r="BA28" s="16" t="n">
        <v>0</v>
      </c>
      <c r="BB28" s="16" t="n">
        <v>0</v>
      </c>
      <c r="BC28" s="16" t="n">
        <v>0</v>
      </c>
      <c r="BD28" s="16" t="n">
        <v>0</v>
      </c>
      <c r="BE28" s="16" t="n">
        <v>0</v>
      </c>
      <c r="BF28" s="16" t="n">
        <v>0</v>
      </c>
      <c r="BG28" s="16" t="n">
        <v>0</v>
      </c>
      <c r="BH28" s="16" t="n">
        <v>0</v>
      </c>
      <c r="BI28" s="16" t="n">
        <v>0</v>
      </c>
      <c r="BJ28" s="16" t="n">
        <v>0</v>
      </c>
      <c r="BK28" s="16" t="n">
        <v>0</v>
      </c>
      <c r="BL28" s="16" t="n">
        <v>0</v>
      </c>
      <c r="BM28" s="16" t="n">
        <v>0</v>
      </c>
      <c r="BN28" s="16" t="n">
        <v>0</v>
      </c>
      <c r="BO28" s="16" t="n">
        <v>0</v>
      </c>
      <c r="BP28" s="16" t="n">
        <v>0</v>
      </c>
      <c r="BQ28" s="16" t="n">
        <v>0</v>
      </c>
      <c r="BR28" s="16" t="n">
        <v>0</v>
      </c>
      <c r="BS28" s="16" t="n">
        <v>0</v>
      </c>
      <c r="BT28" s="16" t="n">
        <v>0</v>
      </c>
      <c r="BU28" s="16" t="n">
        <v>0</v>
      </c>
      <c r="BV28" s="16" t="n">
        <v>0</v>
      </c>
      <c r="BW28" s="16" t="n">
        <v>0</v>
      </c>
      <c r="BX28" s="16" t="n">
        <v>0</v>
      </c>
      <c r="BY28" s="16" t="n">
        <v>0</v>
      </c>
      <c r="BZ28" s="16" t="n">
        <v>0</v>
      </c>
      <c r="CA28" s="16" t="n">
        <v>0</v>
      </c>
      <c r="CB28" s="16" t="n">
        <v>0</v>
      </c>
      <c r="CC28" s="16" t="n">
        <v>0</v>
      </c>
      <c r="CD28" s="16" t="n">
        <v>0</v>
      </c>
      <c r="CE28" s="16" t="n">
        <v>0</v>
      </c>
      <c r="CF28" s="16" t="n">
        <v>0</v>
      </c>
      <c r="CG28" s="16" t="n">
        <v>0</v>
      </c>
      <c r="CH28" s="16" t="n">
        <v>0</v>
      </c>
      <c r="CI28" s="16" t="n">
        <v>0</v>
      </c>
      <c r="CJ28" s="16" t="n">
        <v>0</v>
      </c>
      <c r="CK28" s="16" t="n">
        <v>0</v>
      </c>
      <c r="CL28" s="16" t="n">
        <v>0</v>
      </c>
      <c r="CM28" s="16" t="n">
        <v>0</v>
      </c>
      <c r="CN28" s="16" t="n">
        <v>0</v>
      </c>
      <c r="CO28" s="16" t="n">
        <v>0</v>
      </c>
      <c r="CP28" s="16" t="n">
        <v>0</v>
      </c>
      <c r="CQ28" s="16" t="n">
        <v>0</v>
      </c>
      <c r="CR28" s="16" t="n">
        <v>0</v>
      </c>
      <c r="CS28" s="16" t="n">
        <v>0</v>
      </c>
      <c r="CT28" s="16" t="n">
        <v>0</v>
      </c>
      <c r="CU28" s="16" t="n">
        <v>0</v>
      </c>
      <c r="CV28" s="16" t="n">
        <v>0</v>
      </c>
      <c r="CW28" s="16" t="n">
        <v>0</v>
      </c>
      <c r="CX28" s="16" t="n">
        <v>0</v>
      </c>
      <c r="CY28" s="16" t="n">
        <v>0</v>
      </c>
      <c r="CZ28" s="16" t="n">
        <v>0</v>
      </c>
      <c r="DA28" s="16" t="n">
        <v>0</v>
      </c>
      <c r="DB28" s="16" t="n">
        <v>0</v>
      </c>
      <c r="DC28" s="16" t="n">
        <v>0</v>
      </c>
      <c r="DD28" s="16" t="n">
        <v>0</v>
      </c>
      <c r="DE28" s="16" t="n">
        <v>0</v>
      </c>
      <c r="DF28" s="16" t="n">
        <v>0</v>
      </c>
      <c r="DG28" s="16" t="n">
        <v>0</v>
      </c>
      <c r="DH28" s="16" t="n">
        <v>0</v>
      </c>
      <c r="DI28" s="16" t="n">
        <v>0</v>
      </c>
      <c r="DJ28" s="16" t="n">
        <v>0</v>
      </c>
      <c r="DK28" s="16" t="n">
        <v>0</v>
      </c>
      <c r="DL28" s="16" t="n">
        <v>0</v>
      </c>
      <c r="DM28" s="16" t="n">
        <v>0</v>
      </c>
      <c r="DN28" s="16" t="n">
        <v>0</v>
      </c>
      <c r="DO28" s="16" t="n">
        <v>0</v>
      </c>
      <c r="DP28" s="16" t="n">
        <v>0</v>
      </c>
      <c r="DQ28" s="16" t="n">
        <v>0</v>
      </c>
      <c r="DR28" s="16" t="n">
        <v>0</v>
      </c>
      <c r="DS28" s="16" t="n">
        <v>0</v>
      </c>
      <c r="DT28" s="16" t="n">
        <v>0</v>
      </c>
      <c r="DU28" s="16" t="n">
        <v>0</v>
      </c>
      <c r="DV28" s="16" t="n">
        <v>0</v>
      </c>
      <c r="DW28" s="16" t="n">
        <v>0</v>
      </c>
      <c r="DX28" s="16" t="n">
        <v>0</v>
      </c>
      <c r="DY28" s="16" t="n">
        <v>0</v>
      </c>
      <c r="DZ28" s="16" t="n">
        <v>0</v>
      </c>
      <c r="EA28" s="16" t="n">
        <v>0</v>
      </c>
      <c r="EB28" s="16" t="n">
        <v>0</v>
      </c>
      <c r="EC28" s="16" t="n">
        <v>0</v>
      </c>
      <c r="ED28" s="16" t="n">
        <v>0</v>
      </c>
      <c r="EE28" s="16" t="n">
        <v>0</v>
      </c>
      <c r="EF28" s="16" t="n">
        <v>0</v>
      </c>
    </row>
    <row r="29" customFormat="false" ht="15" hidden="false" customHeight="true" outlineLevel="0" collapsed="false">
      <c r="A29" s="9" t="s">
        <v>12</v>
      </c>
      <c r="B29" s="9" t="s">
        <v>13</v>
      </c>
      <c r="C29" s="9" t="s">
        <v>13</v>
      </c>
      <c r="D29" s="9" t="s">
        <v>342</v>
      </c>
      <c r="E29" s="9" t="s">
        <v>14</v>
      </c>
      <c r="F29" s="9" t="s">
        <v>83</v>
      </c>
      <c r="G29" s="16" t="n">
        <v>0</v>
      </c>
      <c r="H29" s="16" t="n">
        <v>0</v>
      </c>
      <c r="I29" s="16" t="n">
        <v>19</v>
      </c>
      <c r="J29" s="16" t="n">
        <v>-19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>
        <v>0</v>
      </c>
      <c r="AA29" s="16" t="n">
        <v>0</v>
      </c>
      <c r="AB29" s="16" t="n">
        <v>0</v>
      </c>
      <c r="AC29" s="16" t="n">
        <v>0</v>
      </c>
      <c r="AD29" s="16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  <c r="AK29" s="16" t="n">
        <v>0</v>
      </c>
      <c r="AL29" s="16" t="n">
        <v>0</v>
      </c>
      <c r="AM29" s="16" t="n">
        <v>0</v>
      </c>
      <c r="AN29" s="16" t="n">
        <v>0</v>
      </c>
      <c r="AO29" s="16" t="n">
        <v>19</v>
      </c>
      <c r="AP29" s="16" t="n">
        <v>0</v>
      </c>
      <c r="AQ29" s="16" t="n">
        <v>0</v>
      </c>
      <c r="AR29" s="16" t="n">
        <v>0</v>
      </c>
      <c r="AS29" s="16" t="n">
        <v>0</v>
      </c>
      <c r="AT29" s="16" t="n">
        <v>0</v>
      </c>
      <c r="AU29" s="16" t="n">
        <v>0</v>
      </c>
      <c r="AV29" s="16" t="n">
        <v>0</v>
      </c>
      <c r="AW29" s="16" t="n">
        <v>0</v>
      </c>
      <c r="AX29" s="16" t="n">
        <v>0</v>
      </c>
      <c r="AY29" s="16" t="n">
        <v>0</v>
      </c>
      <c r="AZ29" s="16" t="n">
        <v>0</v>
      </c>
      <c r="BA29" s="16" t="n">
        <v>0</v>
      </c>
      <c r="BB29" s="16" t="n">
        <v>0</v>
      </c>
      <c r="BC29" s="16" t="n">
        <v>0</v>
      </c>
      <c r="BD29" s="16" t="n">
        <v>0</v>
      </c>
      <c r="BE29" s="16" t="n">
        <v>0</v>
      </c>
      <c r="BF29" s="16" t="n">
        <v>0</v>
      </c>
      <c r="BG29" s="16" t="n">
        <v>0</v>
      </c>
      <c r="BH29" s="16" t="n">
        <v>0</v>
      </c>
      <c r="BI29" s="16" t="n">
        <v>0</v>
      </c>
      <c r="BJ29" s="16" t="n">
        <v>0</v>
      </c>
      <c r="BK29" s="16" t="n">
        <v>0</v>
      </c>
      <c r="BL29" s="16" t="n">
        <v>0</v>
      </c>
      <c r="BM29" s="16" t="n">
        <v>0</v>
      </c>
      <c r="BN29" s="16" t="n">
        <v>0</v>
      </c>
      <c r="BO29" s="16" t="n">
        <v>0</v>
      </c>
      <c r="BP29" s="16" t="n">
        <v>0</v>
      </c>
      <c r="BQ29" s="16" t="n">
        <v>0</v>
      </c>
      <c r="BR29" s="16" t="n">
        <v>0</v>
      </c>
      <c r="BS29" s="16" t="n">
        <v>0</v>
      </c>
      <c r="BT29" s="16" t="n">
        <v>0</v>
      </c>
      <c r="BU29" s="16" t="n">
        <v>0</v>
      </c>
      <c r="BV29" s="16" t="n">
        <v>0</v>
      </c>
      <c r="BW29" s="16" t="n">
        <v>0</v>
      </c>
      <c r="BX29" s="16" t="n">
        <v>0</v>
      </c>
      <c r="BY29" s="16" t="n">
        <v>0</v>
      </c>
      <c r="BZ29" s="16" t="n">
        <v>0</v>
      </c>
      <c r="CA29" s="16" t="n">
        <v>0</v>
      </c>
      <c r="CB29" s="16" t="n">
        <v>0</v>
      </c>
      <c r="CC29" s="16" t="n">
        <v>0</v>
      </c>
      <c r="CD29" s="16" t="n">
        <v>0</v>
      </c>
      <c r="CE29" s="16" t="n">
        <v>0</v>
      </c>
      <c r="CF29" s="16" t="n">
        <v>0</v>
      </c>
      <c r="CG29" s="16" t="n">
        <v>0</v>
      </c>
      <c r="CH29" s="16" t="n">
        <v>0</v>
      </c>
      <c r="CI29" s="16" t="n">
        <v>0</v>
      </c>
      <c r="CJ29" s="16" t="n">
        <v>0</v>
      </c>
      <c r="CK29" s="16" t="n">
        <v>0</v>
      </c>
      <c r="CL29" s="16" t="n">
        <v>0</v>
      </c>
      <c r="CM29" s="16" t="n">
        <v>0</v>
      </c>
      <c r="CN29" s="16" t="n">
        <v>0</v>
      </c>
      <c r="CO29" s="16" t="n">
        <v>0</v>
      </c>
      <c r="CP29" s="16" t="n">
        <v>0</v>
      </c>
      <c r="CQ29" s="16" t="n">
        <v>0</v>
      </c>
      <c r="CR29" s="16" t="n">
        <v>0</v>
      </c>
      <c r="CS29" s="16" t="n">
        <v>0</v>
      </c>
      <c r="CT29" s="16" t="n">
        <v>0</v>
      </c>
      <c r="CU29" s="16" t="n">
        <v>0</v>
      </c>
      <c r="CV29" s="16" t="n">
        <v>0</v>
      </c>
      <c r="CW29" s="16" t="n">
        <v>0</v>
      </c>
      <c r="CX29" s="16" t="n">
        <v>0</v>
      </c>
      <c r="CY29" s="16" t="n">
        <v>0</v>
      </c>
      <c r="CZ29" s="16" t="n">
        <v>0</v>
      </c>
      <c r="DA29" s="16" t="n">
        <v>0</v>
      </c>
      <c r="DB29" s="16" t="n">
        <v>0</v>
      </c>
      <c r="DC29" s="16" t="n">
        <v>0</v>
      </c>
      <c r="DD29" s="16" t="n">
        <v>0</v>
      </c>
      <c r="DE29" s="16" t="n">
        <v>0</v>
      </c>
      <c r="DF29" s="16" t="n">
        <v>0</v>
      </c>
      <c r="DG29" s="16" t="n">
        <v>0</v>
      </c>
      <c r="DH29" s="16" t="n">
        <v>0</v>
      </c>
      <c r="DI29" s="16" t="n">
        <v>0</v>
      </c>
      <c r="DJ29" s="16" t="n">
        <v>0</v>
      </c>
      <c r="DK29" s="16" t="n">
        <v>0</v>
      </c>
      <c r="DL29" s="16" t="n">
        <v>0</v>
      </c>
      <c r="DM29" s="16" t="n">
        <v>0</v>
      </c>
      <c r="DN29" s="16" t="n">
        <v>0</v>
      </c>
      <c r="DO29" s="16" t="n">
        <v>0</v>
      </c>
      <c r="DP29" s="16" t="n">
        <v>0</v>
      </c>
      <c r="DQ29" s="16" t="n">
        <v>0</v>
      </c>
      <c r="DR29" s="16" t="n">
        <v>0</v>
      </c>
      <c r="DS29" s="16" t="n">
        <v>0</v>
      </c>
      <c r="DT29" s="16" t="n">
        <v>0</v>
      </c>
      <c r="DU29" s="16" t="n">
        <v>0</v>
      </c>
      <c r="DV29" s="16" t="n">
        <v>0</v>
      </c>
      <c r="DW29" s="16" t="n">
        <v>0</v>
      </c>
      <c r="DX29" s="16" t="n">
        <v>0</v>
      </c>
      <c r="DY29" s="16" t="n">
        <v>0</v>
      </c>
      <c r="DZ29" s="16" t="n">
        <v>0</v>
      </c>
      <c r="EA29" s="16" t="n">
        <v>0</v>
      </c>
      <c r="EB29" s="16" t="n">
        <v>0</v>
      </c>
      <c r="EC29" s="16" t="n">
        <v>0</v>
      </c>
      <c r="ED29" s="16" t="n">
        <v>0</v>
      </c>
      <c r="EE29" s="16" t="n">
        <v>0</v>
      </c>
      <c r="EF29" s="16" t="n">
        <v>0</v>
      </c>
    </row>
    <row r="30" customFormat="false" ht="15" hidden="false" customHeight="true" outlineLevel="0" collapsed="false">
      <c r="A30" s="9" t="s">
        <v>12</v>
      </c>
      <c r="B30" s="9" t="s">
        <v>13</v>
      </c>
      <c r="C30" s="9" t="s">
        <v>13</v>
      </c>
      <c r="D30" s="9" t="s">
        <v>336</v>
      </c>
      <c r="E30" s="9" t="s">
        <v>14</v>
      </c>
      <c r="F30" s="9" t="s">
        <v>40</v>
      </c>
      <c r="G30" s="16" t="n">
        <v>32</v>
      </c>
      <c r="H30" s="16" t="n">
        <v>162</v>
      </c>
      <c r="I30" s="16" t="n">
        <v>0</v>
      </c>
      <c r="J30" s="16" t="n">
        <v>162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0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Y30" s="16" t="n">
        <v>0</v>
      </c>
      <c r="Z30" s="16" t="n">
        <v>0</v>
      </c>
      <c r="AA30" s="16" t="n">
        <v>0</v>
      </c>
      <c r="AB30" s="16" t="n">
        <v>0</v>
      </c>
      <c r="AC30" s="16" t="n">
        <v>0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0</v>
      </c>
      <c r="AT30" s="16" t="n">
        <v>0</v>
      </c>
      <c r="AU30" s="16" t="n">
        <v>0</v>
      </c>
      <c r="AV30" s="16" t="n">
        <v>0</v>
      </c>
      <c r="AW30" s="16" t="n">
        <v>0</v>
      </c>
      <c r="AX30" s="16" t="n">
        <v>0</v>
      </c>
      <c r="AY30" s="16" t="n">
        <v>0</v>
      </c>
      <c r="AZ30" s="16" t="n">
        <v>0</v>
      </c>
      <c r="BA30" s="16" t="n">
        <v>0</v>
      </c>
      <c r="BB30" s="16" t="n">
        <v>0</v>
      </c>
      <c r="BC30" s="16" t="n">
        <v>0</v>
      </c>
      <c r="BD30" s="16" t="n">
        <v>0</v>
      </c>
      <c r="BE30" s="16" t="n">
        <v>0</v>
      </c>
      <c r="BF30" s="16" t="n">
        <v>0</v>
      </c>
      <c r="BG30" s="16" t="n">
        <v>0</v>
      </c>
      <c r="BH30" s="16" t="n">
        <v>0</v>
      </c>
      <c r="BI30" s="16" t="n">
        <v>0</v>
      </c>
      <c r="BJ30" s="16" t="n">
        <v>0</v>
      </c>
      <c r="BK30" s="16" t="n">
        <v>0</v>
      </c>
      <c r="BL30" s="16" t="n">
        <v>0</v>
      </c>
      <c r="BM30" s="16" t="n">
        <v>0</v>
      </c>
      <c r="BN30" s="16" t="n">
        <v>0</v>
      </c>
      <c r="BO30" s="16" t="n">
        <v>0</v>
      </c>
      <c r="BP30" s="16" t="n">
        <v>0</v>
      </c>
      <c r="BQ30" s="16" t="n">
        <v>0</v>
      </c>
      <c r="BR30" s="16" t="n">
        <v>0</v>
      </c>
      <c r="BS30" s="16" t="n">
        <v>0</v>
      </c>
      <c r="BT30" s="16" t="n">
        <v>0</v>
      </c>
      <c r="BU30" s="16" t="n">
        <v>0</v>
      </c>
      <c r="BV30" s="16" t="n">
        <v>0</v>
      </c>
      <c r="BW30" s="16" t="n">
        <v>0</v>
      </c>
      <c r="BX30" s="16" t="n">
        <v>0</v>
      </c>
      <c r="BY30" s="16" t="n">
        <v>0</v>
      </c>
      <c r="BZ30" s="16" t="n">
        <v>0</v>
      </c>
      <c r="CA30" s="16" t="n">
        <v>0</v>
      </c>
      <c r="CB30" s="16" t="n">
        <v>0</v>
      </c>
      <c r="CC30" s="16" t="n">
        <v>0</v>
      </c>
      <c r="CD30" s="16" t="n">
        <v>0</v>
      </c>
      <c r="CE30" s="16" t="n">
        <v>0</v>
      </c>
      <c r="CF30" s="16" t="n">
        <v>0</v>
      </c>
      <c r="CG30" s="16" t="n">
        <v>0</v>
      </c>
      <c r="CH30" s="16" t="n">
        <v>0</v>
      </c>
      <c r="CI30" s="16" t="n">
        <v>0</v>
      </c>
      <c r="CJ30" s="16" t="n">
        <v>0</v>
      </c>
      <c r="CK30" s="16" t="n">
        <v>0</v>
      </c>
      <c r="CL30" s="16" t="n">
        <v>0</v>
      </c>
      <c r="CM30" s="16" t="n">
        <v>0</v>
      </c>
      <c r="CN30" s="16" t="n">
        <v>0</v>
      </c>
      <c r="CO30" s="16" t="n">
        <v>0</v>
      </c>
      <c r="CP30" s="16" t="n">
        <v>0</v>
      </c>
      <c r="CQ30" s="16" t="n">
        <v>0</v>
      </c>
      <c r="CR30" s="16" t="n">
        <v>0</v>
      </c>
      <c r="CS30" s="16" t="n">
        <v>0</v>
      </c>
      <c r="CT30" s="16" t="n">
        <v>0</v>
      </c>
      <c r="CU30" s="16" t="n">
        <v>0</v>
      </c>
      <c r="CV30" s="16" t="n">
        <v>0</v>
      </c>
      <c r="CW30" s="16" t="n">
        <v>0</v>
      </c>
      <c r="CX30" s="16" t="n">
        <v>0</v>
      </c>
      <c r="CY30" s="16" t="n">
        <v>0</v>
      </c>
      <c r="CZ30" s="16" t="n">
        <v>0</v>
      </c>
      <c r="DA30" s="16" t="n">
        <v>0</v>
      </c>
      <c r="DB30" s="16" t="n">
        <v>0</v>
      </c>
      <c r="DC30" s="16" t="n">
        <v>0</v>
      </c>
      <c r="DD30" s="16" t="n">
        <v>0</v>
      </c>
      <c r="DE30" s="16" t="n">
        <v>0</v>
      </c>
      <c r="DF30" s="16" t="n">
        <v>0</v>
      </c>
      <c r="DG30" s="16" t="n">
        <v>0</v>
      </c>
      <c r="DH30" s="16" t="n">
        <v>0</v>
      </c>
      <c r="DI30" s="16" t="n">
        <v>0</v>
      </c>
      <c r="DJ30" s="16" t="n">
        <v>0</v>
      </c>
      <c r="DK30" s="16" t="n">
        <v>0</v>
      </c>
      <c r="DL30" s="16" t="n">
        <v>0</v>
      </c>
      <c r="DM30" s="16" t="n">
        <v>0</v>
      </c>
      <c r="DN30" s="16" t="n">
        <v>0</v>
      </c>
      <c r="DO30" s="16" t="n">
        <v>0</v>
      </c>
      <c r="DP30" s="16" t="n">
        <v>0</v>
      </c>
      <c r="DQ30" s="16" t="n">
        <v>0</v>
      </c>
      <c r="DR30" s="16" t="n">
        <v>0</v>
      </c>
      <c r="DS30" s="16" t="n">
        <v>0</v>
      </c>
      <c r="DT30" s="16" t="n">
        <v>0</v>
      </c>
      <c r="DU30" s="16" t="n">
        <v>0</v>
      </c>
      <c r="DV30" s="16" t="n">
        <v>0</v>
      </c>
      <c r="DW30" s="16" t="n">
        <v>0</v>
      </c>
      <c r="DX30" s="16" t="n">
        <v>0</v>
      </c>
      <c r="DY30" s="16" t="n">
        <v>0</v>
      </c>
      <c r="DZ30" s="16" t="n">
        <v>0</v>
      </c>
      <c r="EA30" s="16" t="n">
        <v>0</v>
      </c>
      <c r="EB30" s="16" t="n">
        <v>0</v>
      </c>
      <c r="EC30" s="16" t="n">
        <v>0</v>
      </c>
      <c r="ED30" s="16" t="n">
        <v>0</v>
      </c>
      <c r="EE30" s="16" t="n">
        <v>0</v>
      </c>
      <c r="EF30" s="16" t="n">
        <v>0</v>
      </c>
    </row>
    <row r="31" customFormat="false" ht="15" hidden="false" customHeight="true" outlineLevel="0" collapsed="false">
      <c r="A31" s="9" t="s">
        <v>12</v>
      </c>
      <c r="B31" s="9" t="s">
        <v>13</v>
      </c>
      <c r="C31" s="9" t="s">
        <v>13</v>
      </c>
      <c r="D31" s="9" t="s">
        <v>342</v>
      </c>
      <c r="E31" s="9" t="s">
        <v>14</v>
      </c>
      <c r="F31" s="9" t="s">
        <v>40</v>
      </c>
      <c r="G31" s="16" t="n">
        <v>0</v>
      </c>
      <c r="H31" s="16" t="n">
        <v>0</v>
      </c>
      <c r="I31" s="16" t="n">
        <v>140</v>
      </c>
      <c r="J31" s="16" t="n">
        <v>-140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0</v>
      </c>
      <c r="AB31" s="16" t="n">
        <v>0</v>
      </c>
      <c r="AC31" s="16" t="n">
        <v>0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0</v>
      </c>
      <c r="AN31" s="16" t="n">
        <v>0</v>
      </c>
      <c r="AO31" s="16" t="n">
        <v>4</v>
      </c>
      <c r="AP31" s="16" t="n">
        <v>6</v>
      </c>
      <c r="AQ31" s="16" t="n">
        <v>0</v>
      </c>
      <c r="AR31" s="16" t="n">
        <v>0</v>
      </c>
      <c r="AS31" s="16" t="n">
        <v>0</v>
      </c>
      <c r="AT31" s="16" t="n">
        <v>0</v>
      </c>
      <c r="AU31" s="16" t="n">
        <v>0</v>
      </c>
      <c r="AV31" s="16" t="n">
        <v>0</v>
      </c>
      <c r="AW31" s="16" t="n">
        <v>0</v>
      </c>
      <c r="AX31" s="16" t="n">
        <v>0</v>
      </c>
      <c r="AY31" s="16" t="n">
        <v>0</v>
      </c>
      <c r="AZ31" s="16" t="n">
        <v>0</v>
      </c>
      <c r="BA31" s="16" t="n">
        <v>0</v>
      </c>
      <c r="BB31" s="16" t="n">
        <v>0</v>
      </c>
      <c r="BC31" s="16" t="n">
        <v>0</v>
      </c>
      <c r="BD31" s="16" t="n">
        <v>0</v>
      </c>
      <c r="BE31" s="16" t="n">
        <v>0</v>
      </c>
      <c r="BF31" s="16" t="n">
        <v>0</v>
      </c>
      <c r="BG31" s="16" t="n">
        <v>0</v>
      </c>
      <c r="BH31" s="16" t="n">
        <v>0</v>
      </c>
      <c r="BI31" s="16" t="n">
        <v>0</v>
      </c>
      <c r="BJ31" s="16" t="n">
        <v>0</v>
      </c>
      <c r="BK31" s="16" t="n">
        <v>0</v>
      </c>
      <c r="BL31" s="16" t="n">
        <v>0</v>
      </c>
      <c r="BM31" s="16" t="n">
        <v>0</v>
      </c>
      <c r="BN31" s="16" t="n">
        <v>0</v>
      </c>
      <c r="BO31" s="16" t="n">
        <v>0</v>
      </c>
      <c r="BP31" s="16" t="n">
        <v>0</v>
      </c>
      <c r="BQ31" s="16" t="n">
        <v>0</v>
      </c>
      <c r="BR31" s="16" t="n">
        <v>0</v>
      </c>
      <c r="BS31" s="16" t="n">
        <v>0</v>
      </c>
      <c r="BT31" s="16" t="n">
        <v>0</v>
      </c>
      <c r="BU31" s="16" t="n">
        <v>0</v>
      </c>
      <c r="BV31" s="16" t="n">
        <v>0</v>
      </c>
      <c r="BW31" s="16" t="n">
        <v>0</v>
      </c>
      <c r="BX31" s="16" t="n">
        <v>0</v>
      </c>
      <c r="BY31" s="16" t="n">
        <v>0</v>
      </c>
      <c r="BZ31" s="16" t="n">
        <v>0</v>
      </c>
      <c r="CA31" s="16" t="n">
        <v>0</v>
      </c>
      <c r="CB31" s="16" t="n">
        <v>0</v>
      </c>
      <c r="CC31" s="16" t="n">
        <v>0</v>
      </c>
      <c r="CD31" s="16" t="n">
        <v>0</v>
      </c>
      <c r="CE31" s="16" t="n">
        <v>0</v>
      </c>
      <c r="CF31" s="16" t="n">
        <v>0</v>
      </c>
      <c r="CG31" s="16" t="n">
        <v>0</v>
      </c>
      <c r="CH31" s="16" t="n">
        <v>0</v>
      </c>
      <c r="CI31" s="16" t="n">
        <v>0</v>
      </c>
      <c r="CJ31" s="16" t="n">
        <v>0</v>
      </c>
      <c r="CK31" s="16" t="n">
        <v>0</v>
      </c>
      <c r="CL31" s="16" t="n">
        <v>0</v>
      </c>
      <c r="CM31" s="16" t="n">
        <v>0</v>
      </c>
      <c r="CN31" s="16" t="n">
        <v>0</v>
      </c>
      <c r="CO31" s="16" t="n">
        <v>0</v>
      </c>
      <c r="CP31" s="16" t="n">
        <v>0</v>
      </c>
      <c r="CQ31" s="16" t="n">
        <v>0</v>
      </c>
      <c r="CR31" s="16" t="n">
        <v>0</v>
      </c>
      <c r="CS31" s="16" t="n">
        <v>0</v>
      </c>
      <c r="CT31" s="16" t="n">
        <v>0</v>
      </c>
      <c r="CU31" s="16" t="n">
        <v>0</v>
      </c>
      <c r="CV31" s="16" t="n">
        <v>0</v>
      </c>
      <c r="CW31" s="16" t="n">
        <v>0</v>
      </c>
      <c r="CX31" s="16" t="n">
        <v>0</v>
      </c>
      <c r="CY31" s="16" t="n">
        <v>0</v>
      </c>
      <c r="CZ31" s="16" t="n">
        <v>0</v>
      </c>
      <c r="DA31" s="16" t="n">
        <v>0</v>
      </c>
      <c r="DB31" s="16" t="n">
        <v>10</v>
      </c>
      <c r="DC31" s="16" t="n">
        <v>15</v>
      </c>
      <c r="DD31" s="16" t="n">
        <v>10</v>
      </c>
      <c r="DE31" s="16" t="n">
        <v>0</v>
      </c>
      <c r="DF31" s="16" t="n">
        <v>0</v>
      </c>
      <c r="DG31" s="16" t="n">
        <v>0</v>
      </c>
      <c r="DH31" s="16" t="n">
        <v>0</v>
      </c>
      <c r="DI31" s="16" t="n">
        <v>0</v>
      </c>
      <c r="DJ31" s="16" t="n">
        <v>0</v>
      </c>
      <c r="DK31" s="16" t="n">
        <v>0</v>
      </c>
      <c r="DL31" s="16" t="n">
        <v>0</v>
      </c>
      <c r="DM31" s="16" t="n">
        <v>0</v>
      </c>
      <c r="DN31" s="16" t="n">
        <v>0</v>
      </c>
      <c r="DO31" s="16" t="n">
        <v>50</v>
      </c>
      <c r="DP31" s="16" t="n">
        <v>30</v>
      </c>
      <c r="DQ31" s="16" t="n">
        <v>15</v>
      </c>
      <c r="DR31" s="16" t="n">
        <v>0</v>
      </c>
      <c r="DS31" s="16" t="n">
        <v>0</v>
      </c>
      <c r="DT31" s="16" t="n">
        <v>0</v>
      </c>
      <c r="DU31" s="16" t="n">
        <v>0</v>
      </c>
      <c r="DV31" s="16" t="n">
        <v>0</v>
      </c>
      <c r="DW31" s="16" t="n">
        <v>0</v>
      </c>
      <c r="DX31" s="16" t="n">
        <v>0</v>
      </c>
      <c r="DY31" s="16" t="n">
        <v>0</v>
      </c>
      <c r="DZ31" s="16" t="n">
        <v>0</v>
      </c>
      <c r="EA31" s="16" t="n">
        <v>0</v>
      </c>
      <c r="EB31" s="16" t="n">
        <v>0</v>
      </c>
      <c r="EC31" s="16" t="n">
        <v>0</v>
      </c>
      <c r="ED31" s="16" t="n">
        <v>0</v>
      </c>
      <c r="EE31" s="16" t="n">
        <v>0</v>
      </c>
      <c r="EF31" s="16" t="n">
        <v>0</v>
      </c>
    </row>
    <row r="32" customFormat="false" ht="15" hidden="false" customHeight="true" outlineLevel="0" collapsed="false">
      <c r="A32" s="9" t="s">
        <v>12</v>
      </c>
      <c r="B32" s="9" t="s">
        <v>13</v>
      </c>
      <c r="C32" s="9" t="s">
        <v>13</v>
      </c>
      <c r="D32" s="9" t="s">
        <v>336</v>
      </c>
      <c r="E32" s="9" t="s">
        <v>14</v>
      </c>
      <c r="F32" s="9" t="s">
        <v>96</v>
      </c>
      <c r="G32" s="16" t="n">
        <v>230</v>
      </c>
      <c r="H32" s="16" t="n">
        <v>674</v>
      </c>
      <c r="I32" s="16" t="n">
        <v>0</v>
      </c>
      <c r="J32" s="16" t="n">
        <v>674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0</v>
      </c>
      <c r="Q32" s="16" t="n">
        <v>0</v>
      </c>
      <c r="R32" s="16" t="n">
        <v>0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Y32" s="16" t="n">
        <v>0</v>
      </c>
      <c r="Z32" s="16" t="n">
        <v>0</v>
      </c>
      <c r="AA32" s="16" t="n">
        <v>0</v>
      </c>
      <c r="AB32" s="16" t="n">
        <v>0</v>
      </c>
      <c r="AC32" s="16" t="n">
        <v>0</v>
      </c>
      <c r="AD32" s="16" t="n">
        <v>0</v>
      </c>
      <c r="AE32" s="16" t="n">
        <v>0</v>
      </c>
      <c r="AF32" s="16" t="n">
        <v>0</v>
      </c>
      <c r="AG32" s="16" t="n">
        <v>0</v>
      </c>
      <c r="AH32" s="16" t="n">
        <v>0</v>
      </c>
      <c r="AI32" s="16" t="n">
        <v>0</v>
      </c>
      <c r="AJ32" s="16" t="n">
        <v>0</v>
      </c>
      <c r="AK32" s="16" t="n">
        <v>0</v>
      </c>
      <c r="AL32" s="16" t="n">
        <v>0</v>
      </c>
      <c r="AM32" s="16" t="n">
        <v>0</v>
      </c>
      <c r="AN32" s="16" t="n">
        <v>0</v>
      </c>
      <c r="AO32" s="16" t="n">
        <v>0</v>
      </c>
      <c r="AP32" s="16" t="n">
        <v>0</v>
      </c>
      <c r="AQ32" s="16" t="n">
        <v>0</v>
      </c>
      <c r="AR32" s="16" t="n">
        <v>0</v>
      </c>
      <c r="AS32" s="16" t="n">
        <v>0</v>
      </c>
      <c r="AT32" s="16" t="n">
        <v>0</v>
      </c>
      <c r="AU32" s="16" t="n">
        <v>0</v>
      </c>
      <c r="AV32" s="16" t="n">
        <v>0</v>
      </c>
      <c r="AW32" s="16" t="n">
        <v>0</v>
      </c>
      <c r="AX32" s="16" t="n">
        <v>0</v>
      </c>
      <c r="AY32" s="16" t="n">
        <v>0</v>
      </c>
      <c r="AZ32" s="16" t="n">
        <v>0</v>
      </c>
      <c r="BA32" s="16" t="n">
        <v>0</v>
      </c>
      <c r="BB32" s="16" t="n">
        <v>0</v>
      </c>
      <c r="BC32" s="16" t="n">
        <v>0</v>
      </c>
      <c r="BD32" s="16" t="n">
        <v>0</v>
      </c>
      <c r="BE32" s="16" t="n">
        <v>0</v>
      </c>
      <c r="BF32" s="16" t="n">
        <v>0</v>
      </c>
      <c r="BG32" s="16" t="n">
        <v>0</v>
      </c>
      <c r="BH32" s="16" t="n">
        <v>0</v>
      </c>
      <c r="BI32" s="16" t="n">
        <v>0</v>
      </c>
      <c r="BJ32" s="16" t="n">
        <v>0</v>
      </c>
      <c r="BK32" s="16" t="n">
        <v>0</v>
      </c>
      <c r="BL32" s="16" t="n">
        <v>0</v>
      </c>
      <c r="BM32" s="16" t="n">
        <v>0</v>
      </c>
      <c r="BN32" s="16" t="n">
        <v>0</v>
      </c>
      <c r="BO32" s="16" t="n">
        <v>0</v>
      </c>
      <c r="BP32" s="16" t="n">
        <v>0</v>
      </c>
      <c r="BQ32" s="16" t="n">
        <v>0</v>
      </c>
      <c r="BR32" s="16" t="n">
        <v>0</v>
      </c>
      <c r="BS32" s="16" t="n">
        <v>0</v>
      </c>
      <c r="BT32" s="16" t="n">
        <v>0</v>
      </c>
      <c r="BU32" s="16" t="n">
        <v>0</v>
      </c>
      <c r="BV32" s="16" t="n">
        <v>0</v>
      </c>
      <c r="BW32" s="16" t="n">
        <v>0</v>
      </c>
      <c r="BX32" s="16" t="n">
        <v>0</v>
      </c>
      <c r="BY32" s="16" t="n">
        <v>0</v>
      </c>
      <c r="BZ32" s="16" t="n">
        <v>0</v>
      </c>
      <c r="CA32" s="16" t="n">
        <v>0</v>
      </c>
      <c r="CB32" s="16" t="n">
        <v>0</v>
      </c>
      <c r="CC32" s="16" t="n">
        <v>0</v>
      </c>
      <c r="CD32" s="16" t="n">
        <v>0</v>
      </c>
      <c r="CE32" s="16" t="n">
        <v>0</v>
      </c>
      <c r="CF32" s="16" t="n">
        <v>0</v>
      </c>
      <c r="CG32" s="16" t="n">
        <v>0</v>
      </c>
      <c r="CH32" s="16" t="n">
        <v>0</v>
      </c>
      <c r="CI32" s="16" t="n">
        <v>0</v>
      </c>
      <c r="CJ32" s="16" t="n">
        <v>0</v>
      </c>
      <c r="CK32" s="16" t="n">
        <v>0</v>
      </c>
      <c r="CL32" s="16" t="n">
        <v>0</v>
      </c>
      <c r="CM32" s="16" t="n">
        <v>0</v>
      </c>
      <c r="CN32" s="16" t="n">
        <v>0</v>
      </c>
      <c r="CO32" s="16" t="n">
        <v>0</v>
      </c>
      <c r="CP32" s="16" t="n">
        <v>0</v>
      </c>
      <c r="CQ32" s="16" t="n">
        <v>0</v>
      </c>
      <c r="CR32" s="16" t="n">
        <v>0</v>
      </c>
      <c r="CS32" s="16" t="n">
        <v>0</v>
      </c>
      <c r="CT32" s="16" t="n">
        <v>0</v>
      </c>
      <c r="CU32" s="16" t="n">
        <v>0</v>
      </c>
      <c r="CV32" s="16" t="n">
        <v>0</v>
      </c>
      <c r="CW32" s="16" t="n">
        <v>0</v>
      </c>
      <c r="CX32" s="16" t="n">
        <v>0</v>
      </c>
      <c r="CY32" s="16" t="n">
        <v>0</v>
      </c>
      <c r="CZ32" s="16" t="n">
        <v>0</v>
      </c>
      <c r="DA32" s="16" t="n">
        <v>0</v>
      </c>
      <c r="DB32" s="16" t="n">
        <v>0</v>
      </c>
      <c r="DC32" s="16" t="n">
        <v>0</v>
      </c>
      <c r="DD32" s="16" t="n">
        <v>0</v>
      </c>
      <c r="DE32" s="16" t="n">
        <v>0</v>
      </c>
      <c r="DF32" s="16" t="n">
        <v>0</v>
      </c>
      <c r="DG32" s="16" t="n">
        <v>0</v>
      </c>
      <c r="DH32" s="16" t="n">
        <v>0</v>
      </c>
      <c r="DI32" s="16" t="n">
        <v>0</v>
      </c>
      <c r="DJ32" s="16" t="n">
        <v>0</v>
      </c>
      <c r="DK32" s="16" t="n">
        <v>0</v>
      </c>
      <c r="DL32" s="16" t="n">
        <v>0</v>
      </c>
      <c r="DM32" s="16" t="n">
        <v>0</v>
      </c>
      <c r="DN32" s="16" t="n">
        <v>0</v>
      </c>
      <c r="DO32" s="16" t="n">
        <v>0</v>
      </c>
      <c r="DP32" s="16" t="n">
        <v>0</v>
      </c>
      <c r="DQ32" s="16" t="n">
        <v>0</v>
      </c>
      <c r="DR32" s="16" t="n">
        <v>0</v>
      </c>
      <c r="DS32" s="16" t="n">
        <v>0</v>
      </c>
      <c r="DT32" s="16" t="n">
        <v>0</v>
      </c>
      <c r="DU32" s="16" t="n">
        <v>0</v>
      </c>
      <c r="DV32" s="16" t="n">
        <v>0</v>
      </c>
      <c r="DW32" s="16" t="n">
        <v>0</v>
      </c>
      <c r="DX32" s="16" t="n">
        <v>0</v>
      </c>
      <c r="DY32" s="16" t="n">
        <v>0</v>
      </c>
      <c r="DZ32" s="16" t="n">
        <v>0</v>
      </c>
      <c r="EA32" s="16" t="n">
        <v>0</v>
      </c>
      <c r="EB32" s="16" t="n">
        <v>0</v>
      </c>
      <c r="EC32" s="16" t="n">
        <v>0</v>
      </c>
      <c r="ED32" s="16" t="n">
        <v>0</v>
      </c>
      <c r="EE32" s="16" t="n">
        <v>0</v>
      </c>
      <c r="EF32" s="16" t="n">
        <v>0</v>
      </c>
    </row>
    <row r="33" customFormat="false" ht="15" hidden="false" customHeight="true" outlineLevel="0" collapsed="false">
      <c r="A33" s="9" t="s">
        <v>12</v>
      </c>
      <c r="B33" s="9" t="s">
        <v>13</v>
      </c>
      <c r="C33" s="9" t="s">
        <v>13</v>
      </c>
      <c r="D33" s="9" t="s">
        <v>342</v>
      </c>
      <c r="E33" s="9" t="s">
        <v>14</v>
      </c>
      <c r="F33" s="9" t="s">
        <v>96</v>
      </c>
      <c r="G33" s="16" t="n">
        <v>0</v>
      </c>
      <c r="H33" s="16" t="n">
        <v>0</v>
      </c>
      <c r="I33" s="16" t="n">
        <v>671.5</v>
      </c>
      <c r="J33" s="16" t="n">
        <v>-671.5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Y33" s="16" t="n">
        <v>0</v>
      </c>
      <c r="Z33" s="16" t="n">
        <v>0</v>
      </c>
      <c r="AA33" s="16" t="n">
        <v>0</v>
      </c>
      <c r="AB33" s="16" t="n">
        <v>8</v>
      </c>
      <c r="AC33" s="16" t="n">
        <v>2</v>
      </c>
      <c r="AD33" s="16" t="n">
        <v>0</v>
      </c>
      <c r="AE33" s="16" t="n">
        <v>0</v>
      </c>
      <c r="AF33" s="16" t="n">
        <v>32</v>
      </c>
      <c r="AG33" s="16" t="n">
        <v>34</v>
      </c>
      <c r="AH33" s="16" t="n">
        <v>0</v>
      </c>
      <c r="AI33" s="16" t="n">
        <v>0</v>
      </c>
      <c r="AJ33" s="16" t="n">
        <v>16</v>
      </c>
      <c r="AK33" s="16" t="n">
        <v>0</v>
      </c>
      <c r="AL33" s="16" t="n">
        <v>4</v>
      </c>
      <c r="AM33" s="16" t="n">
        <v>0</v>
      </c>
      <c r="AN33" s="16" t="n">
        <v>0</v>
      </c>
      <c r="AO33" s="16" t="n">
        <v>0</v>
      </c>
      <c r="AP33" s="16" t="n">
        <v>3</v>
      </c>
      <c r="AQ33" s="16" t="n">
        <v>25</v>
      </c>
      <c r="AR33" s="16" t="n">
        <v>10</v>
      </c>
      <c r="AS33" s="16" t="n">
        <v>0</v>
      </c>
      <c r="AT33" s="16" t="n">
        <v>0</v>
      </c>
      <c r="AU33" s="16" t="n">
        <v>0</v>
      </c>
      <c r="AV33" s="16" t="n">
        <v>0</v>
      </c>
      <c r="AW33" s="16" t="n">
        <v>0</v>
      </c>
      <c r="AX33" s="16" t="n">
        <v>0</v>
      </c>
      <c r="AY33" s="16" t="n">
        <v>0</v>
      </c>
      <c r="AZ33" s="16" t="n">
        <v>0</v>
      </c>
      <c r="BA33" s="16" t="n">
        <v>0</v>
      </c>
      <c r="BB33" s="16" t="n">
        <v>0</v>
      </c>
      <c r="BC33" s="16" t="n">
        <v>0</v>
      </c>
      <c r="BD33" s="16" t="n">
        <v>0</v>
      </c>
      <c r="BE33" s="16" t="n">
        <v>0</v>
      </c>
      <c r="BF33" s="16" t="n">
        <v>0</v>
      </c>
      <c r="BG33" s="16" t="n">
        <v>0</v>
      </c>
      <c r="BH33" s="16" t="n">
        <v>0</v>
      </c>
      <c r="BI33" s="16" t="n">
        <v>0</v>
      </c>
      <c r="BJ33" s="16" t="n">
        <v>0</v>
      </c>
      <c r="BK33" s="16" t="n">
        <v>0</v>
      </c>
      <c r="BL33" s="16" t="n">
        <v>0</v>
      </c>
      <c r="BM33" s="16" t="n">
        <v>0</v>
      </c>
      <c r="BN33" s="16" t="n">
        <v>0</v>
      </c>
      <c r="BO33" s="16" t="n">
        <v>0</v>
      </c>
      <c r="BP33" s="16" t="n">
        <v>0</v>
      </c>
      <c r="BQ33" s="16" t="n">
        <v>0</v>
      </c>
      <c r="BR33" s="16" t="n">
        <v>0</v>
      </c>
      <c r="BS33" s="16" t="n">
        <v>0</v>
      </c>
      <c r="BT33" s="16" t="n">
        <v>0</v>
      </c>
      <c r="BU33" s="16" t="n">
        <v>0</v>
      </c>
      <c r="BV33" s="16" t="n">
        <v>0</v>
      </c>
      <c r="BW33" s="16" t="n">
        <v>0</v>
      </c>
      <c r="BX33" s="16" t="n">
        <v>0</v>
      </c>
      <c r="BY33" s="16" t="n">
        <v>0</v>
      </c>
      <c r="BZ33" s="16" t="n">
        <v>0</v>
      </c>
      <c r="CA33" s="16" t="n">
        <v>0</v>
      </c>
      <c r="CB33" s="16" t="n">
        <v>0</v>
      </c>
      <c r="CC33" s="16" t="n">
        <v>0</v>
      </c>
      <c r="CD33" s="16" t="n">
        <v>0</v>
      </c>
      <c r="CE33" s="16" t="n">
        <v>0</v>
      </c>
      <c r="CF33" s="16" t="n">
        <v>0</v>
      </c>
      <c r="CG33" s="16" t="n">
        <v>0</v>
      </c>
      <c r="CH33" s="16" t="n">
        <v>0</v>
      </c>
      <c r="CI33" s="16" t="n">
        <v>0</v>
      </c>
      <c r="CJ33" s="16" t="n">
        <v>0</v>
      </c>
      <c r="CK33" s="16" t="n">
        <v>0</v>
      </c>
      <c r="CL33" s="16" t="n">
        <v>0</v>
      </c>
      <c r="CM33" s="16" t="n">
        <v>0</v>
      </c>
      <c r="CN33" s="16" t="n">
        <v>0</v>
      </c>
      <c r="CO33" s="16" t="n">
        <v>0</v>
      </c>
      <c r="CP33" s="16" t="n">
        <v>0</v>
      </c>
      <c r="CQ33" s="16" t="n">
        <v>0</v>
      </c>
      <c r="CR33" s="16" t="n">
        <v>0</v>
      </c>
      <c r="CS33" s="16" t="n">
        <v>28</v>
      </c>
      <c r="CT33" s="16" t="n">
        <v>0</v>
      </c>
      <c r="CU33" s="16" t="n">
        <v>30</v>
      </c>
      <c r="CV33" s="16" t="n">
        <v>25</v>
      </c>
      <c r="CW33" s="16" t="n">
        <v>30</v>
      </c>
      <c r="CX33" s="16" t="n">
        <v>30</v>
      </c>
      <c r="CY33" s="16" t="n">
        <v>20</v>
      </c>
      <c r="CZ33" s="16" t="n">
        <v>6.5</v>
      </c>
      <c r="DA33" s="16" t="n">
        <v>24</v>
      </c>
      <c r="DB33" s="16" t="n">
        <v>24</v>
      </c>
      <c r="DC33" s="16" t="n">
        <v>24</v>
      </c>
      <c r="DD33" s="16" t="n">
        <v>28</v>
      </c>
      <c r="DE33" s="16" t="n">
        <v>0</v>
      </c>
      <c r="DF33" s="16" t="n">
        <v>24</v>
      </c>
      <c r="DG33" s="16" t="n">
        <v>30</v>
      </c>
      <c r="DH33" s="16" t="n">
        <v>30</v>
      </c>
      <c r="DI33" s="16" t="n">
        <v>0</v>
      </c>
      <c r="DJ33" s="16" t="n">
        <v>0</v>
      </c>
      <c r="DK33" s="16" t="n">
        <v>16</v>
      </c>
      <c r="DL33" s="16" t="n">
        <v>24</v>
      </c>
      <c r="DM33" s="16" t="n">
        <v>24</v>
      </c>
      <c r="DN33" s="16" t="n">
        <v>30</v>
      </c>
      <c r="DO33" s="16" t="n">
        <v>30</v>
      </c>
      <c r="DP33" s="16" t="n">
        <v>30</v>
      </c>
      <c r="DQ33" s="16" t="n">
        <v>30</v>
      </c>
      <c r="DR33" s="16" t="n">
        <v>0</v>
      </c>
      <c r="DS33" s="16" t="n">
        <v>0</v>
      </c>
      <c r="DT33" s="16" t="n">
        <v>0</v>
      </c>
      <c r="DU33" s="16" t="n">
        <v>0</v>
      </c>
      <c r="DV33" s="16" t="n">
        <v>0</v>
      </c>
      <c r="DW33" s="16" t="n">
        <v>0</v>
      </c>
      <c r="DX33" s="16" t="n">
        <v>0</v>
      </c>
      <c r="DY33" s="16" t="n">
        <v>0</v>
      </c>
      <c r="DZ33" s="16" t="n">
        <v>0</v>
      </c>
      <c r="EA33" s="16" t="n">
        <v>0</v>
      </c>
      <c r="EB33" s="16" t="n">
        <v>0</v>
      </c>
      <c r="EC33" s="16" t="n">
        <v>0</v>
      </c>
      <c r="ED33" s="16" t="n">
        <v>0</v>
      </c>
      <c r="EE33" s="16" t="n">
        <v>0</v>
      </c>
      <c r="EF33" s="16" t="n">
        <v>0</v>
      </c>
    </row>
    <row r="34" customFormat="false" ht="15" hidden="false" customHeight="true" outlineLevel="0" collapsed="false">
      <c r="A34" s="9" t="s">
        <v>12</v>
      </c>
      <c r="B34" s="9" t="s">
        <v>13</v>
      </c>
      <c r="C34" s="9" t="s">
        <v>13</v>
      </c>
      <c r="D34" s="9" t="s">
        <v>342</v>
      </c>
      <c r="E34" s="9" t="s">
        <v>14</v>
      </c>
      <c r="F34" s="9" t="s">
        <v>97</v>
      </c>
      <c r="G34" s="16" t="n">
        <v>0</v>
      </c>
      <c r="H34" s="16" t="n">
        <v>0</v>
      </c>
      <c r="I34" s="16" t="n">
        <v>9</v>
      </c>
      <c r="J34" s="16" t="n">
        <v>-9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0</v>
      </c>
      <c r="Q34" s="16" t="n">
        <v>0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0</v>
      </c>
      <c r="AA34" s="16" t="n">
        <v>0</v>
      </c>
      <c r="AB34" s="16" t="n">
        <v>0</v>
      </c>
      <c r="AC34" s="16" t="n">
        <v>0</v>
      </c>
      <c r="AD34" s="16" t="n">
        <v>0</v>
      </c>
      <c r="AE34" s="16" t="n">
        <v>0</v>
      </c>
      <c r="AF34" s="16" t="n">
        <v>0</v>
      </c>
      <c r="AG34" s="16" t="n">
        <v>0</v>
      </c>
      <c r="AH34" s="16" t="n">
        <v>0</v>
      </c>
      <c r="AI34" s="16" t="n">
        <v>0</v>
      </c>
      <c r="AJ34" s="16" t="n">
        <v>0</v>
      </c>
      <c r="AK34" s="16" t="n">
        <v>4</v>
      </c>
      <c r="AL34" s="16" t="n">
        <v>5</v>
      </c>
      <c r="AM34" s="16" t="n">
        <v>0</v>
      </c>
      <c r="AN34" s="16" t="n">
        <v>0</v>
      </c>
      <c r="AO34" s="16" t="n">
        <v>0</v>
      </c>
      <c r="AP34" s="16" t="n">
        <v>0</v>
      </c>
      <c r="AQ34" s="16" t="n">
        <v>0</v>
      </c>
      <c r="AR34" s="16" t="n">
        <v>0</v>
      </c>
      <c r="AS34" s="16" t="n">
        <v>0</v>
      </c>
      <c r="AT34" s="16" t="n">
        <v>0</v>
      </c>
      <c r="AU34" s="16" t="n">
        <v>0</v>
      </c>
      <c r="AV34" s="16" t="n">
        <v>0</v>
      </c>
      <c r="AW34" s="16" t="n">
        <v>0</v>
      </c>
      <c r="AX34" s="16" t="n">
        <v>0</v>
      </c>
      <c r="AY34" s="16" t="n">
        <v>0</v>
      </c>
      <c r="AZ34" s="16" t="n">
        <v>0</v>
      </c>
      <c r="BA34" s="16" t="n">
        <v>0</v>
      </c>
      <c r="BB34" s="16" t="n">
        <v>0</v>
      </c>
      <c r="BC34" s="16" t="n">
        <v>0</v>
      </c>
      <c r="BD34" s="16" t="n">
        <v>0</v>
      </c>
      <c r="BE34" s="16" t="n">
        <v>0</v>
      </c>
      <c r="BF34" s="16" t="n">
        <v>0</v>
      </c>
      <c r="BG34" s="16" t="n">
        <v>0</v>
      </c>
      <c r="BH34" s="16" t="n">
        <v>0</v>
      </c>
      <c r="BI34" s="16" t="n">
        <v>0</v>
      </c>
      <c r="BJ34" s="16" t="n">
        <v>0</v>
      </c>
      <c r="BK34" s="16" t="n">
        <v>0</v>
      </c>
      <c r="BL34" s="16" t="n">
        <v>0</v>
      </c>
      <c r="BM34" s="16" t="n">
        <v>0</v>
      </c>
      <c r="BN34" s="16" t="n">
        <v>0</v>
      </c>
      <c r="BO34" s="16" t="n">
        <v>0</v>
      </c>
      <c r="BP34" s="16" t="n">
        <v>0</v>
      </c>
      <c r="BQ34" s="16" t="n">
        <v>0</v>
      </c>
      <c r="BR34" s="16" t="n">
        <v>0</v>
      </c>
      <c r="BS34" s="16" t="n">
        <v>0</v>
      </c>
      <c r="BT34" s="16" t="n">
        <v>0</v>
      </c>
      <c r="BU34" s="16" t="n">
        <v>0</v>
      </c>
      <c r="BV34" s="16" t="n">
        <v>0</v>
      </c>
      <c r="BW34" s="16" t="n">
        <v>0</v>
      </c>
      <c r="BX34" s="16" t="n">
        <v>0</v>
      </c>
      <c r="BY34" s="16" t="n">
        <v>0</v>
      </c>
      <c r="BZ34" s="16" t="n">
        <v>0</v>
      </c>
      <c r="CA34" s="16" t="n">
        <v>0</v>
      </c>
      <c r="CB34" s="16" t="n">
        <v>0</v>
      </c>
      <c r="CC34" s="16" t="n">
        <v>0</v>
      </c>
      <c r="CD34" s="16" t="n">
        <v>0</v>
      </c>
      <c r="CE34" s="16" t="n">
        <v>0</v>
      </c>
      <c r="CF34" s="16" t="n">
        <v>0</v>
      </c>
      <c r="CG34" s="16" t="n">
        <v>0</v>
      </c>
      <c r="CH34" s="16" t="n">
        <v>0</v>
      </c>
      <c r="CI34" s="16" t="n">
        <v>0</v>
      </c>
      <c r="CJ34" s="16" t="n">
        <v>0</v>
      </c>
      <c r="CK34" s="16" t="n">
        <v>0</v>
      </c>
      <c r="CL34" s="16" t="n">
        <v>0</v>
      </c>
      <c r="CM34" s="16" t="n">
        <v>0</v>
      </c>
      <c r="CN34" s="16" t="n">
        <v>0</v>
      </c>
      <c r="CO34" s="16" t="n">
        <v>0</v>
      </c>
      <c r="CP34" s="16" t="n">
        <v>0</v>
      </c>
      <c r="CQ34" s="16" t="n">
        <v>0</v>
      </c>
      <c r="CR34" s="16" t="n">
        <v>0</v>
      </c>
      <c r="CS34" s="16" t="n">
        <v>0</v>
      </c>
      <c r="CT34" s="16" t="n">
        <v>0</v>
      </c>
      <c r="CU34" s="16" t="n">
        <v>0</v>
      </c>
      <c r="CV34" s="16" t="n">
        <v>0</v>
      </c>
      <c r="CW34" s="16" t="n">
        <v>0</v>
      </c>
      <c r="CX34" s="16" t="n">
        <v>0</v>
      </c>
      <c r="CY34" s="16" t="n">
        <v>0</v>
      </c>
      <c r="CZ34" s="16" t="n">
        <v>0</v>
      </c>
      <c r="DA34" s="16" t="n">
        <v>0</v>
      </c>
      <c r="DB34" s="16" t="n">
        <v>0</v>
      </c>
      <c r="DC34" s="16" t="n">
        <v>0</v>
      </c>
      <c r="DD34" s="16" t="n">
        <v>0</v>
      </c>
      <c r="DE34" s="16" t="n">
        <v>0</v>
      </c>
      <c r="DF34" s="16" t="n">
        <v>0</v>
      </c>
      <c r="DG34" s="16" t="n">
        <v>0</v>
      </c>
      <c r="DH34" s="16" t="n">
        <v>0</v>
      </c>
      <c r="DI34" s="16" t="n">
        <v>0</v>
      </c>
      <c r="DJ34" s="16" t="n">
        <v>0</v>
      </c>
      <c r="DK34" s="16" t="n">
        <v>0</v>
      </c>
      <c r="DL34" s="16" t="n">
        <v>0</v>
      </c>
      <c r="DM34" s="16" t="n">
        <v>0</v>
      </c>
      <c r="DN34" s="16" t="n">
        <v>0</v>
      </c>
      <c r="DO34" s="16" t="n">
        <v>0</v>
      </c>
      <c r="DP34" s="16" t="n">
        <v>0</v>
      </c>
      <c r="DQ34" s="16" t="n">
        <v>0</v>
      </c>
      <c r="DR34" s="16" t="n">
        <v>0</v>
      </c>
      <c r="DS34" s="16" t="n">
        <v>0</v>
      </c>
      <c r="DT34" s="16" t="n">
        <v>0</v>
      </c>
      <c r="DU34" s="16" t="n">
        <v>0</v>
      </c>
      <c r="DV34" s="16" t="n">
        <v>0</v>
      </c>
      <c r="DW34" s="16" t="n">
        <v>0</v>
      </c>
      <c r="DX34" s="16" t="n">
        <v>0</v>
      </c>
      <c r="DY34" s="16" t="n">
        <v>0</v>
      </c>
      <c r="DZ34" s="16" t="n">
        <v>0</v>
      </c>
      <c r="EA34" s="16" t="n">
        <v>0</v>
      </c>
      <c r="EB34" s="16" t="n">
        <v>0</v>
      </c>
      <c r="EC34" s="16" t="n">
        <v>0</v>
      </c>
      <c r="ED34" s="16" t="n">
        <v>0</v>
      </c>
      <c r="EE34" s="16" t="n">
        <v>0</v>
      </c>
      <c r="EF34" s="16" t="n">
        <v>0</v>
      </c>
    </row>
    <row r="35" customFormat="false" ht="15" hidden="false" customHeight="true" outlineLevel="0" collapsed="false">
      <c r="A35" s="9" t="s">
        <v>12</v>
      </c>
      <c r="B35" s="9" t="s">
        <v>13</v>
      </c>
      <c r="C35" s="9" t="s">
        <v>13</v>
      </c>
      <c r="D35" s="9" t="s">
        <v>336</v>
      </c>
      <c r="E35" s="9" t="s">
        <v>14</v>
      </c>
      <c r="F35" s="9" t="s">
        <v>86</v>
      </c>
      <c r="G35" s="16" t="n">
        <v>0</v>
      </c>
      <c r="H35" s="16" t="n">
        <v>0</v>
      </c>
      <c r="I35" s="16" t="n">
        <v>16</v>
      </c>
      <c r="J35" s="16" t="n">
        <v>-16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16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0</v>
      </c>
      <c r="AM35" s="16" t="n">
        <v>0</v>
      </c>
      <c r="AN35" s="16" t="n">
        <v>0</v>
      </c>
      <c r="AO35" s="16" t="n">
        <v>0</v>
      </c>
      <c r="AP35" s="16" t="n">
        <v>0</v>
      </c>
      <c r="AQ35" s="16" t="n">
        <v>0</v>
      </c>
      <c r="AR35" s="16" t="n">
        <v>0</v>
      </c>
      <c r="AS35" s="16" t="n">
        <v>0</v>
      </c>
      <c r="AT35" s="16" t="n">
        <v>0</v>
      </c>
      <c r="AU35" s="16" t="n">
        <v>0</v>
      </c>
      <c r="AV35" s="16" t="n">
        <v>0</v>
      </c>
      <c r="AW35" s="16" t="n">
        <v>0</v>
      </c>
      <c r="AX35" s="16" t="n">
        <v>0</v>
      </c>
      <c r="AY35" s="16" t="n">
        <v>0</v>
      </c>
      <c r="AZ35" s="16" t="n">
        <v>0</v>
      </c>
      <c r="BA35" s="16" t="n">
        <v>0</v>
      </c>
      <c r="BB35" s="16" t="n">
        <v>0</v>
      </c>
      <c r="BC35" s="16" t="n">
        <v>0</v>
      </c>
      <c r="BD35" s="16" t="n">
        <v>0</v>
      </c>
      <c r="BE35" s="16" t="n">
        <v>0</v>
      </c>
      <c r="BF35" s="16" t="n">
        <v>0</v>
      </c>
      <c r="BG35" s="16" t="n">
        <v>0</v>
      </c>
      <c r="BH35" s="16" t="n">
        <v>0</v>
      </c>
      <c r="BI35" s="16" t="n">
        <v>0</v>
      </c>
      <c r="BJ35" s="16" t="n">
        <v>0</v>
      </c>
      <c r="BK35" s="16" t="n">
        <v>0</v>
      </c>
      <c r="BL35" s="16" t="n">
        <v>0</v>
      </c>
      <c r="BM35" s="16" t="n">
        <v>0</v>
      </c>
      <c r="BN35" s="16" t="n">
        <v>0</v>
      </c>
      <c r="BO35" s="16" t="n">
        <v>0</v>
      </c>
      <c r="BP35" s="16" t="n">
        <v>0</v>
      </c>
      <c r="BQ35" s="16" t="n">
        <v>0</v>
      </c>
      <c r="BR35" s="16" t="n">
        <v>0</v>
      </c>
      <c r="BS35" s="16" t="n">
        <v>0</v>
      </c>
      <c r="BT35" s="16" t="n">
        <v>0</v>
      </c>
      <c r="BU35" s="16" t="n">
        <v>0</v>
      </c>
      <c r="BV35" s="16" t="n">
        <v>0</v>
      </c>
      <c r="BW35" s="16" t="n">
        <v>0</v>
      </c>
      <c r="BX35" s="16" t="n">
        <v>0</v>
      </c>
      <c r="BY35" s="16" t="n">
        <v>0</v>
      </c>
      <c r="BZ35" s="16" t="n">
        <v>0</v>
      </c>
      <c r="CA35" s="16" t="n">
        <v>0</v>
      </c>
      <c r="CB35" s="16" t="n">
        <v>0</v>
      </c>
      <c r="CC35" s="16" t="n">
        <v>0</v>
      </c>
      <c r="CD35" s="16" t="n">
        <v>0</v>
      </c>
      <c r="CE35" s="16" t="n">
        <v>0</v>
      </c>
      <c r="CF35" s="16" t="n">
        <v>0</v>
      </c>
      <c r="CG35" s="16" t="n">
        <v>0</v>
      </c>
      <c r="CH35" s="16" t="n">
        <v>0</v>
      </c>
      <c r="CI35" s="16" t="n">
        <v>0</v>
      </c>
      <c r="CJ35" s="16" t="n">
        <v>0</v>
      </c>
      <c r="CK35" s="16" t="n">
        <v>0</v>
      </c>
      <c r="CL35" s="16" t="n">
        <v>0</v>
      </c>
      <c r="CM35" s="16" t="n">
        <v>0</v>
      </c>
      <c r="CN35" s="16" t="n">
        <v>0</v>
      </c>
      <c r="CO35" s="16" t="n">
        <v>0</v>
      </c>
      <c r="CP35" s="16" t="n">
        <v>0</v>
      </c>
      <c r="CQ35" s="16" t="n">
        <v>0</v>
      </c>
      <c r="CR35" s="16" t="n">
        <v>0</v>
      </c>
      <c r="CS35" s="16" t="n">
        <v>0</v>
      </c>
      <c r="CT35" s="16" t="n">
        <v>0</v>
      </c>
      <c r="CU35" s="16" t="n">
        <v>0</v>
      </c>
      <c r="CV35" s="16" t="n">
        <v>0</v>
      </c>
      <c r="CW35" s="16" t="n">
        <v>0</v>
      </c>
      <c r="CX35" s="16" t="n">
        <v>0</v>
      </c>
      <c r="CY35" s="16" t="n">
        <v>0</v>
      </c>
      <c r="CZ35" s="16" t="n">
        <v>0</v>
      </c>
      <c r="DA35" s="16" t="n">
        <v>0</v>
      </c>
      <c r="DB35" s="16" t="n">
        <v>0</v>
      </c>
      <c r="DC35" s="16" t="n">
        <v>0</v>
      </c>
      <c r="DD35" s="16" t="n">
        <v>0</v>
      </c>
      <c r="DE35" s="16" t="n">
        <v>0</v>
      </c>
      <c r="DF35" s="16" t="n">
        <v>0</v>
      </c>
      <c r="DG35" s="16" t="n">
        <v>0</v>
      </c>
      <c r="DH35" s="16" t="n">
        <v>0</v>
      </c>
      <c r="DI35" s="16" t="n">
        <v>0</v>
      </c>
      <c r="DJ35" s="16" t="n">
        <v>0</v>
      </c>
      <c r="DK35" s="16" t="n">
        <v>0</v>
      </c>
      <c r="DL35" s="16" t="n">
        <v>0</v>
      </c>
      <c r="DM35" s="16" t="n">
        <v>0</v>
      </c>
      <c r="DN35" s="16" t="n">
        <v>0</v>
      </c>
      <c r="DO35" s="16" t="n">
        <v>0</v>
      </c>
      <c r="DP35" s="16" t="n">
        <v>0</v>
      </c>
      <c r="DQ35" s="16" t="n">
        <v>0</v>
      </c>
      <c r="DR35" s="16" t="n">
        <v>0</v>
      </c>
      <c r="DS35" s="16" t="n">
        <v>0</v>
      </c>
      <c r="DT35" s="16" t="n">
        <v>0</v>
      </c>
      <c r="DU35" s="16" t="n">
        <v>0</v>
      </c>
      <c r="DV35" s="16" t="n">
        <v>0</v>
      </c>
      <c r="DW35" s="16" t="n">
        <v>0</v>
      </c>
      <c r="DX35" s="16" t="n">
        <v>0</v>
      </c>
      <c r="DY35" s="16" t="n">
        <v>0</v>
      </c>
      <c r="DZ35" s="16" t="n">
        <v>0</v>
      </c>
      <c r="EA35" s="16" t="n">
        <v>0</v>
      </c>
      <c r="EB35" s="16" t="n">
        <v>0</v>
      </c>
      <c r="EC35" s="16" t="n">
        <v>0</v>
      </c>
      <c r="ED35" s="16" t="n">
        <v>0</v>
      </c>
      <c r="EE35" s="16" t="n">
        <v>0</v>
      </c>
      <c r="EF35" s="16" t="n">
        <v>0</v>
      </c>
    </row>
    <row r="36" customFormat="false" ht="15" hidden="false" customHeight="true" outlineLevel="0" collapsed="false">
      <c r="A36" s="9" t="s">
        <v>12</v>
      </c>
      <c r="B36" s="9" t="s">
        <v>13</v>
      </c>
      <c r="C36" s="9" t="s">
        <v>13</v>
      </c>
      <c r="D36" s="9" t="s">
        <v>342</v>
      </c>
      <c r="E36" s="9" t="s">
        <v>14</v>
      </c>
      <c r="F36" s="9" t="s">
        <v>98</v>
      </c>
      <c r="G36" s="16" t="n">
        <v>0</v>
      </c>
      <c r="H36" s="16" t="n">
        <v>0</v>
      </c>
      <c r="I36" s="16" t="n">
        <v>77</v>
      </c>
      <c r="J36" s="16" t="n">
        <v>-77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0</v>
      </c>
      <c r="P36" s="16" t="n">
        <v>0</v>
      </c>
      <c r="Q36" s="16" t="n">
        <v>0</v>
      </c>
      <c r="R36" s="16" t="n">
        <v>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 t="n">
        <v>0</v>
      </c>
      <c r="AA36" s="16" t="n">
        <v>0</v>
      </c>
      <c r="AB36" s="16" t="n">
        <v>0</v>
      </c>
      <c r="AC36" s="16" t="n">
        <v>0</v>
      </c>
      <c r="AD36" s="16" t="n">
        <v>0</v>
      </c>
      <c r="AE36" s="16" t="n">
        <v>0</v>
      </c>
      <c r="AF36" s="16" t="n">
        <v>0</v>
      </c>
      <c r="AG36" s="16" t="n">
        <v>0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0</v>
      </c>
      <c r="AM36" s="16" t="n">
        <v>0</v>
      </c>
      <c r="AN36" s="16" t="n">
        <v>0</v>
      </c>
      <c r="AO36" s="16" t="n">
        <v>0</v>
      </c>
      <c r="AP36" s="16" t="n">
        <v>0</v>
      </c>
      <c r="AQ36" s="16" t="n">
        <v>0</v>
      </c>
      <c r="AR36" s="16" t="n">
        <v>0</v>
      </c>
      <c r="AS36" s="16" t="n">
        <v>0</v>
      </c>
      <c r="AT36" s="16" t="n">
        <v>0</v>
      </c>
      <c r="AU36" s="16" t="n">
        <v>0</v>
      </c>
      <c r="AV36" s="16" t="n">
        <v>0</v>
      </c>
      <c r="AW36" s="16" t="n">
        <v>0</v>
      </c>
      <c r="AX36" s="16" t="n">
        <v>0</v>
      </c>
      <c r="AY36" s="16" t="n">
        <v>0</v>
      </c>
      <c r="AZ36" s="16" t="n">
        <v>0</v>
      </c>
      <c r="BA36" s="16" t="n">
        <v>0</v>
      </c>
      <c r="BB36" s="16" t="n">
        <v>0</v>
      </c>
      <c r="BC36" s="16" t="n">
        <v>0</v>
      </c>
      <c r="BD36" s="16" t="n">
        <v>0</v>
      </c>
      <c r="BE36" s="16" t="n">
        <v>0</v>
      </c>
      <c r="BF36" s="16" t="n">
        <v>0</v>
      </c>
      <c r="BG36" s="16" t="n">
        <v>0</v>
      </c>
      <c r="BH36" s="16" t="n">
        <v>0</v>
      </c>
      <c r="BI36" s="16" t="n">
        <v>0</v>
      </c>
      <c r="BJ36" s="16" t="n">
        <v>0</v>
      </c>
      <c r="BK36" s="16" t="n">
        <v>0</v>
      </c>
      <c r="BL36" s="16" t="n">
        <v>0</v>
      </c>
      <c r="BM36" s="16" t="n">
        <v>0</v>
      </c>
      <c r="BN36" s="16" t="n">
        <v>0</v>
      </c>
      <c r="BO36" s="16" t="n">
        <v>0</v>
      </c>
      <c r="BP36" s="16" t="n">
        <v>0</v>
      </c>
      <c r="BQ36" s="16" t="n">
        <v>0</v>
      </c>
      <c r="BR36" s="16" t="n">
        <v>0</v>
      </c>
      <c r="BS36" s="16" t="n">
        <v>0</v>
      </c>
      <c r="BT36" s="16" t="n">
        <v>0</v>
      </c>
      <c r="BU36" s="16" t="n">
        <v>0</v>
      </c>
      <c r="BV36" s="16" t="n">
        <v>0</v>
      </c>
      <c r="BW36" s="16" t="n">
        <v>0</v>
      </c>
      <c r="BX36" s="16" t="n">
        <v>0</v>
      </c>
      <c r="BY36" s="16" t="n">
        <v>0</v>
      </c>
      <c r="BZ36" s="16" t="n">
        <v>0</v>
      </c>
      <c r="CA36" s="16" t="n">
        <v>0</v>
      </c>
      <c r="CB36" s="16" t="n">
        <v>0</v>
      </c>
      <c r="CC36" s="16" t="n">
        <v>0</v>
      </c>
      <c r="CD36" s="16" t="n">
        <v>0</v>
      </c>
      <c r="CE36" s="16" t="n">
        <v>0</v>
      </c>
      <c r="CF36" s="16" t="n">
        <v>0</v>
      </c>
      <c r="CG36" s="16" t="n">
        <v>0</v>
      </c>
      <c r="CH36" s="16" t="n">
        <v>0</v>
      </c>
      <c r="CI36" s="16" t="n">
        <v>0</v>
      </c>
      <c r="CJ36" s="16" t="n">
        <v>0</v>
      </c>
      <c r="CK36" s="16" t="n">
        <v>0</v>
      </c>
      <c r="CL36" s="16" t="n">
        <v>0</v>
      </c>
      <c r="CM36" s="16" t="n">
        <v>0</v>
      </c>
      <c r="CN36" s="16" t="n">
        <v>0</v>
      </c>
      <c r="CO36" s="16" t="n">
        <v>0</v>
      </c>
      <c r="CP36" s="16" t="n">
        <v>0</v>
      </c>
      <c r="CQ36" s="16" t="n">
        <v>0</v>
      </c>
      <c r="CR36" s="16" t="n">
        <v>0</v>
      </c>
      <c r="CS36" s="16" t="n">
        <v>8</v>
      </c>
      <c r="CT36" s="16" t="n">
        <v>8</v>
      </c>
      <c r="CU36" s="16" t="n">
        <v>8</v>
      </c>
      <c r="CV36" s="16" t="n">
        <v>8</v>
      </c>
      <c r="CW36" s="16" t="n">
        <v>0</v>
      </c>
      <c r="CX36" s="16" t="n">
        <v>0</v>
      </c>
      <c r="CY36" s="16" t="n">
        <v>5</v>
      </c>
      <c r="CZ36" s="16" t="n">
        <v>5</v>
      </c>
      <c r="DA36" s="16" t="n">
        <v>5</v>
      </c>
      <c r="DB36" s="16" t="n">
        <v>5</v>
      </c>
      <c r="DC36" s="16" t="n">
        <v>5</v>
      </c>
      <c r="DD36" s="16" t="n">
        <v>5</v>
      </c>
      <c r="DE36" s="16" t="n">
        <v>0</v>
      </c>
      <c r="DF36" s="16" t="n">
        <v>5</v>
      </c>
      <c r="DG36" s="16" t="n">
        <v>5</v>
      </c>
      <c r="DH36" s="16" t="n">
        <v>5</v>
      </c>
      <c r="DI36" s="16" t="n">
        <v>0</v>
      </c>
      <c r="DJ36" s="16" t="n">
        <v>0</v>
      </c>
      <c r="DK36" s="16" t="n">
        <v>0</v>
      </c>
      <c r="DL36" s="16" t="n">
        <v>0</v>
      </c>
      <c r="DM36" s="16" t="n">
        <v>0</v>
      </c>
      <c r="DN36" s="16" t="n">
        <v>0</v>
      </c>
      <c r="DO36" s="16" t="n">
        <v>0</v>
      </c>
      <c r="DP36" s="16" t="n">
        <v>0</v>
      </c>
      <c r="DQ36" s="16" t="n">
        <v>0</v>
      </c>
      <c r="DR36" s="16" t="n">
        <v>0</v>
      </c>
      <c r="DS36" s="16" t="n">
        <v>0</v>
      </c>
      <c r="DT36" s="16" t="n">
        <v>0</v>
      </c>
      <c r="DU36" s="16" t="n">
        <v>0</v>
      </c>
      <c r="DV36" s="16" t="n">
        <v>0</v>
      </c>
      <c r="DW36" s="16" t="n">
        <v>0</v>
      </c>
      <c r="DX36" s="16" t="n">
        <v>0</v>
      </c>
      <c r="DY36" s="16" t="n">
        <v>0</v>
      </c>
      <c r="DZ36" s="16" t="n">
        <v>0</v>
      </c>
      <c r="EA36" s="16" t="n">
        <v>0</v>
      </c>
      <c r="EB36" s="16" t="n">
        <v>0</v>
      </c>
      <c r="EC36" s="16" t="n">
        <v>0</v>
      </c>
      <c r="ED36" s="16" t="n">
        <v>0</v>
      </c>
      <c r="EE36" s="16" t="n">
        <v>0</v>
      </c>
      <c r="EF36" s="16" t="n">
        <v>0</v>
      </c>
    </row>
    <row r="37" customFormat="false" ht="15" hidden="false" customHeight="true" outlineLevel="0" collapsed="false">
      <c r="A37" s="9" t="s">
        <v>12</v>
      </c>
      <c r="B37" s="9" t="s">
        <v>13</v>
      </c>
      <c r="C37" s="9" t="s">
        <v>13</v>
      </c>
      <c r="D37" s="9" t="s">
        <v>336</v>
      </c>
      <c r="E37" s="9" t="s">
        <v>14</v>
      </c>
      <c r="F37" s="9" t="s">
        <v>99</v>
      </c>
      <c r="G37" s="16" t="n">
        <v>56</v>
      </c>
      <c r="H37" s="16" t="n">
        <v>113</v>
      </c>
      <c r="I37" s="16" t="n">
        <v>0</v>
      </c>
      <c r="J37" s="16" t="n">
        <v>113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  <c r="AC37" s="16" t="n">
        <v>0</v>
      </c>
      <c r="AD37" s="16" t="n">
        <v>0</v>
      </c>
      <c r="AE37" s="16" t="n">
        <v>0</v>
      </c>
      <c r="AF37" s="16" t="n">
        <v>0</v>
      </c>
      <c r="AG37" s="16" t="n">
        <v>0</v>
      </c>
      <c r="AH37" s="16" t="n">
        <v>0</v>
      </c>
      <c r="AI37" s="16" t="n">
        <v>0</v>
      </c>
      <c r="AJ37" s="16" t="n">
        <v>0</v>
      </c>
      <c r="AK37" s="16" t="n">
        <v>0</v>
      </c>
      <c r="AL37" s="16" t="n">
        <v>0</v>
      </c>
      <c r="AM37" s="16" t="n">
        <v>0</v>
      </c>
      <c r="AN37" s="16" t="n">
        <v>0</v>
      </c>
      <c r="AO37" s="16" t="n">
        <v>0</v>
      </c>
      <c r="AP37" s="16" t="n">
        <v>0</v>
      </c>
      <c r="AQ37" s="16" t="n">
        <v>0</v>
      </c>
      <c r="AR37" s="16" t="n">
        <v>0</v>
      </c>
      <c r="AS37" s="16" t="n">
        <v>0</v>
      </c>
      <c r="AT37" s="16" t="n">
        <v>0</v>
      </c>
      <c r="AU37" s="16" t="n">
        <v>0</v>
      </c>
      <c r="AV37" s="16" t="n">
        <v>0</v>
      </c>
      <c r="AW37" s="16" t="n">
        <v>0</v>
      </c>
      <c r="AX37" s="16" t="n">
        <v>0</v>
      </c>
      <c r="AY37" s="16" t="n">
        <v>0</v>
      </c>
      <c r="AZ37" s="16" t="n">
        <v>0</v>
      </c>
      <c r="BA37" s="16" t="n">
        <v>0</v>
      </c>
      <c r="BB37" s="16" t="n">
        <v>0</v>
      </c>
      <c r="BC37" s="16" t="n">
        <v>0</v>
      </c>
      <c r="BD37" s="16" t="n">
        <v>0</v>
      </c>
      <c r="BE37" s="16" t="n">
        <v>0</v>
      </c>
      <c r="BF37" s="16" t="n">
        <v>0</v>
      </c>
      <c r="BG37" s="16" t="n">
        <v>0</v>
      </c>
      <c r="BH37" s="16" t="n">
        <v>0</v>
      </c>
      <c r="BI37" s="16" t="n">
        <v>0</v>
      </c>
      <c r="BJ37" s="16" t="n">
        <v>0</v>
      </c>
      <c r="BK37" s="16" t="n">
        <v>0</v>
      </c>
      <c r="BL37" s="16" t="n">
        <v>0</v>
      </c>
      <c r="BM37" s="16" t="n">
        <v>0</v>
      </c>
      <c r="BN37" s="16" t="n">
        <v>0</v>
      </c>
      <c r="BO37" s="16" t="n">
        <v>0</v>
      </c>
      <c r="BP37" s="16" t="n">
        <v>0</v>
      </c>
      <c r="BQ37" s="16" t="n">
        <v>0</v>
      </c>
      <c r="BR37" s="16" t="n">
        <v>0</v>
      </c>
      <c r="BS37" s="16" t="n">
        <v>0</v>
      </c>
      <c r="BT37" s="16" t="n">
        <v>0</v>
      </c>
      <c r="BU37" s="16" t="n">
        <v>0</v>
      </c>
      <c r="BV37" s="16" t="n">
        <v>0</v>
      </c>
      <c r="BW37" s="16" t="n">
        <v>0</v>
      </c>
      <c r="BX37" s="16" t="n">
        <v>0</v>
      </c>
      <c r="BY37" s="16" t="n">
        <v>0</v>
      </c>
      <c r="BZ37" s="16" t="n">
        <v>0</v>
      </c>
      <c r="CA37" s="16" t="n">
        <v>0</v>
      </c>
      <c r="CB37" s="16" t="n">
        <v>0</v>
      </c>
      <c r="CC37" s="16" t="n">
        <v>0</v>
      </c>
      <c r="CD37" s="16" t="n">
        <v>0</v>
      </c>
      <c r="CE37" s="16" t="n">
        <v>0</v>
      </c>
      <c r="CF37" s="16" t="n">
        <v>0</v>
      </c>
      <c r="CG37" s="16" t="n">
        <v>0</v>
      </c>
      <c r="CH37" s="16" t="n">
        <v>0</v>
      </c>
      <c r="CI37" s="16" t="n">
        <v>0</v>
      </c>
      <c r="CJ37" s="16" t="n">
        <v>0</v>
      </c>
      <c r="CK37" s="16" t="n">
        <v>0</v>
      </c>
      <c r="CL37" s="16" t="n">
        <v>0</v>
      </c>
      <c r="CM37" s="16" t="n">
        <v>0</v>
      </c>
      <c r="CN37" s="16" t="n">
        <v>0</v>
      </c>
      <c r="CO37" s="16" t="n">
        <v>0</v>
      </c>
      <c r="CP37" s="16" t="n">
        <v>0</v>
      </c>
      <c r="CQ37" s="16" t="n">
        <v>0</v>
      </c>
      <c r="CR37" s="16" t="n">
        <v>0</v>
      </c>
      <c r="CS37" s="16" t="n">
        <v>0</v>
      </c>
      <c r="CT37" s="16" t="n">
        <v>0</v>
      </c>
      <c r="CU37" s="16" t="n">
        <v>0</v>
      </c>
      <c r="CV37" s="16" t="n">
        <v>0</v>
      </c>
      <c r="CW37" s="16" t="n">
        <v>0</v>
      </c>
      <c r="CX37" s="16" t="n">
        <v>0</v>
      </c>
      <c r="CY37" s="16" t="n">
        <v>0</v>
      </c>
      <c r="CZ37" s="16" t="n">
        <v>0</v>
      </c>
      <c r="DA37" s="16" t="n">
        <v>0</v>
      </c>
      <c r="DB37" s="16" t="n">
        <v>0</v>
      </c>
      <c r="DC37" s="16" t="n">
        <v>0</v>
      </c>
      <c r="DD37" s="16" t="n">
        <v>0</v>
      </c>
      <c r="DE37" s="16" t="n">
        <v>0</v>
      </c>
      <c r="DF37" s="16" t="n">
        <v>0</v>
      </c>
      <c r="DG37" s="16" t="n">
        <v>0</v>
      </c>
      <c r="DH37" s="16" t="n">
        <v>0</v>
      </c>
      <c r="DI37" s="16" t="n">
        <v>0</v>
      </c>
      <c r="DJ37" s="16" t="n">
        <v>0</v>
      </c>
      <c r="DK37" s="16" t="n">
        <v>0</v>
      </c>
      <c r="DL37" s="16" t="n">
        <v>0</v>
      </c>
      <c r="DM37" s="16" t="n">
        <v>0</v>
      </c>
      <c r="DN37" s="16" t="n">
        <v>0</v>
      </c>
      <c r="DO37" s="16" t="n">
        <v>0</v>
      </c>
      <c r="DP37" s="16" t="n">
        <v>0</v>
      </c>
      <c r="DQ37" s="16" t="n">
        <v>0</v>
      </c>
      <c r="DR37" s="16" t="n">
        <v>0</v>
      </c>
      <c r="DS37" s="16" t="n">
        <v>0</v>
      </c>
      <c r="DT37" s="16" t="n">
        <v>0</v>
      </c>
      <c r="DU37" s="16" t="n">
        <v>0</v>
      </c>
      <c r="DV37" s="16" t="n">
        <v>0</v>
      </c>
      <c r="DW37" s="16" t="n">
        <v>0</v>
      </c>
      <c r="DX37" s="16" t="n">
        <v>0</v>
      </c>
      <c r="DY37" s="16" t="n">
        <v>0</v>
      </c>
      <c r="DZ37" s="16" t="n">
        <v>0</v>
      </c>
      <c r="EA37" s="16" t="n">
        <v>0</v>
      </c>
      <c r="EB37" s="16" t="n">
        <v>0</v>
      </c>
      <c r="EC37" s="16" t="n">
        <v>0</v>
      </c>
      <c r="ED37" s="16" t="n">
        <v>0</v>
      </c>
      <c r="EE37" s="16" t="n">
        <v>0</v>
      </c>
      <c r="EF37" s="16" t="n">
        <v>0</v>
      </c>
    </row>
    <row r="38" customFormat="false" ht="15" hidden="false" customHeight="true" outlineLevel="0" collapsed="false">
      <c r="A38" s="9" t="s">
        <v>12</v>
      </c>
      <c r="B38" s="9" t="s">
        <v>13</v>
      </c>
      <c r="C38" s="9" t="s">
        <v>13</v>
      </c>
      <c r="D38" s="9" t="s">
        <v>342</v>
      </c>
      <c r="E38" s="9" t="s">
        <v>14</v>
      </c>
      <c r="F38" s="9" t="s">
        <v>99</v>
      </c>
      <c r="G38" s="16" t="n">
        <v>0</v>
      </c>
      <c r="H38" s="16" t="n">
        <v>0</v>
      </c>
      <c r="I38" s="16" t="n">
        <v>63</v>
      </c>
      <c r="J38" s="16" t="n">
        <v>-63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6" t="n">
        <v>0</v>
      </c>
      <c r="R38" s="16" t="n">
        <v>0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0</v>
      </c>
      <c r="Z38" s="16" t="n">
        <v>0</v>
      </c>
      <c r="AA38" s="16" t="n">
        <v>0</v>
      </c>
      <c r="AB38" s="16" t="n">
        <v>0</v>
      </c>
      <c r="AC38" s="16" t="n">
        <v>0</v>
      </c>
      <c r="AD38" s="16" t="n">
        <v>0</v>
      </c>
      <c r="AE38" s="16" t="n">
        <v>0</v>
      </c>
      <c r="AF38" s="16" t="n">
        <v>0</v>
      </c>
      <c r="AG38" s="16" t="n">
        <v>0</v>
      </c>
      <c r="AH38" s="16" t="n">
        <v>0</v>
      </c>
      <c r="AI38" s="16" t="n">
        <v>0</v>
      </c>
      <c r="AJ38" s="16" t="n">
        <v>0</v>
      </c>
      <c r="AK38" s="16" t="n">
        <v>0</v>
      </c>
      <c r="AL38" s="16" t="n">
        <v>0</v>
      </c>
      <c r="AM38" s="16" t="n">
        <v>0</v>
      </c>
      <c r="AN38" s="16" t="n">
        <v>0</v>
      </c>
      <c r="AO38" s="16" t="n">
        <v>0</v>
      </c>
      <c r="AP38" s="16" t="n">
        <v>0</v>
      </c>
      <c r="AQ38" s="16" t="n">
        <v>4</v>
      </c>
      <c r="AR38" s="16" t="n">
        <v>2</v>
      </c>
      <c r="AS38" s="16" t="n">
        <v>3</v>
      </c>
      <c r="AT38" s="16" t="n">
        <v>0</v>
      </c>
      <c r="AU38" s="16" t="n">
        <v>0</v>
      </c>
      <c r="AV38" s="16" t="n">
        <v>0</v>
      </c>
      <c r="AW38" s="16" t="n">
        <v>0</v>
      </c>
      <c r="AX38" s="16" t="n">
        <v>0</v>
      </c>
      <c r="AY38" s="16" t="n">
        <v>0</v>
      </c>
      <c r="AZ38" s="16" t="n">
        <v>0</v>
      </c>
      <c r="BA38" s="16" t="n">
        <v>0</v>
      </c>
      <c r="BB38" s="16" t="n">
        <v>0</v>
      </c>
      <c r="BC38" s="16" t="n">
        <v>0</v>
      </c>
      <c r="BD38" s="16" t="n">
        <v>0</v>
      </c>
      <c r="BE38" s="16" t="n">
        <v>0</v>
      </c>
      <c r="BF38" s="16" t="n">
        <v>0</v>
      </c>
      <c r="BG38" s="16" t="n">
        <v>0</v>
      </c>
      <c r="BH38" s="16" t="n">
        <v>0</v>
      </c>
      <c r="BI38" s="16" t="n">
        <v>0</v>
      </c>
      <c r="BJ38" s="16" t="n">
        <v>0</v>
      </c>
      <c r="BK38" s="16" t="n">
        <v>0</v>
      </c>
      <c r="BL38" s="16" t="n">
        <v>0</v>
      </c>
      <c r="BM38" s="16" t="n">
        <v>0</v>
      </c>
      <c r="BN38" s="16" t="n">
        <v>0</v>
      </c>
      <c r="BO38" s="16" t="n">
        <v>0</v>
      </c>
      <c r="BP38" s="16" t="n">
        <v>0</v>
      </c>
      <c r="BQ38" s="16" t="n">
        <v>0</v>
      </c>
      <c r="BR38" s="16" t="n">
        <v>0</v>
      </c>
      <c r="BS38" s="16" t="n">
        <v>0</v>
      </c>
      <c r="BT38" s="16" t="n">
        <v>0</v>
      </c>
      <c r="BU38" s="16" t="n">
        <v>0</v>
      </c>
      <c r="BV38" s="16" t="n">
        <v>0</v>
      </c>
      <c r="BW38" s="16" t="n">
        <v>0</v>
      </c>
      <c r="BX38" s="16" t="n">
        <v>0</v>
      </c>
      <c r="BY38" s="16" t="n">
        <v>0</v>
      </c>
      <c r="BZ38" s="16" t="n">
        <v>0</v>
      </c>
      <c r="CA38" s="16" t="n">
        <v>0</v>
      </c>
      <c r="CB38" s="16" t="n">
        <v>0</v>
      </c>
      <c r="CC38" s="16" t="n">
        <v>0</v>
      </c>
      <c r="CD38" s="16" t="n">
        <v>0</v>
      </c>
      <c r="CE38" s="16" t="n">
        <v>0</v>
      </c>
      <c r="CF38" s="16" t="n">
        <v>0</v>
      </c>
      <c r="CG38" s="16" t="n">
        <v>0</v>
      </c>
      <c r="CH38" s="16" t="n">
        <v>0</v>
      </c>
      <c r="CI38" s="16" t="n">
        <v>0</v>
      </c>
      <c r="CJ38" s="16" t="n">
        <v>0</v>
      </c>
      <c r="CK38" s="16" t="n">
        <v>0</v>
      </c>
      <c r="CL38" s="16" t="n">
        <v>0</v>
      </c>
      <c r="CM38" s="16" t="n">
        <v>0</v>
      </c>
      <c r="CN38" s="16" t="n">
        <v>0</v>
      </c>
      <c r="CO38" s="16" t="n">
        <v>0</v>
      </c>
      <c r="CP38" s="16" t="n">
        <v>0</v>
      </c>
      <c r="CQ38" s="16" t="n">
        <v>0</v>
      </c>
      <c r="CR38" s="16" t="n">
        <v>0</v>
      </c>
      <c r="CS38" s="16" t="n">
        <v>3</v>
      </c>
      <c r="CT38" s="16" t="n">
        <v>0</v>
      </c>
      <c r="CU38" s="16" t="n">
        <v>0</v>
      </c>
      <c r="CV38" s="16" t="n">
        <v>0</v>
      </c>
      <c r="CW38" s="16" t="n">
        <v>0</v>
      </c>
      <c r="CX38" s="16" t="n">
        <v>0</v>
      </c>
      <c r="CY38" s="16" t="n">
        <v>0</v>
      </c>
      <c r="CZ38" s="16" t="n">
        <v>0</v>
      </c>
      <c r="DA38" s="16" t="n">
        <v>0</v>
      </c>
      <c r="DB38" s="16" t="n">
        <v>9</v>
      </c>
      <c r="DC38" s="16" t="n">
        <v>11</v>
      </c>
      <c r="DD38" s="16" t="n">
        <v>7</v>
      </c>
      <c r="DE38" s="16" t="n">
        <v>0</v>
      </c>
      <c r="DF38" s="16" t="n">
        <v>0</v>
      </c>
      <c r="DG38" s="16" t="n">
        <v>0</v>
      </c>
      <c r="DH38" s="16" t="n">
        <v>0</v>
      </c>
      <c r="DI38" s="16" t="n">
        <v>0</v>
      </c>
      <c r="DJ38" s="16" t="n">
        <v>0</v>
      </c>
      <c r="DK38" s="16" t="n">
        <v>0</v>
      </c>
      <c r="DL38" s="16" t="n">
        <v>0</v>
      </c>
      <c r="DM38" s="16" t="n">
        <v>0</v>
      </c>
      <c r="DN38" s="16" t="n">
        <v>0</v>
      </c>
      <c r="DO38" s="16" t="n">
        <v>9</v>
      </c>
      <c r="DP38" s="16" t="n">
        <v>10.5</v>
      </c>
      <c r="DQ38" s="16" t="n">
        <v>7.5</v>
      </c>
      <c r="DR38" s="16" t="n">
        <v>0</v>
      </c>
      <c r="DS38" s="16" t="n">
        <v>0</v>
      </c>
      <c r="DT38" s="16" t="n">
        <v>0</v>
      </c>
      <c r="DU38" s="16" t="n">
        <v>0</v>
      </c>
      <c r="DV38" s="16" t="n">
        <v>0</v>
      </c>
      <c r="DW38" s="16" t="n">
        <v>0</v>
      </c>
      <c r="DX38" s="16" t="n">
        <v>0</v>
      </c>
      <c r="DY38" s="16" t="n">
        <v>0</v>
      </c>
      <c r="DZ38" s="16" t="n">
        <v>0</v>
      </c>
      <c r="EA38" s="16" t="n">
        <v>0</v>
      </c>
      <c r="EB38" s="16" t="n">
        <v>0</v>
      </c>
      <c r="EC38" s="16" t="n">
        <v>0</v>
      </c>
      <c r="ED38" s="16" t="n">
        <v>0</v>
      </c>
      <c r="EE38" s="16" t="n">
        <v>0</v>
      </c>
      <c r="EF38" s="16" t="n">
        <v>0</v>
      </c>
    </row>
    <row r="39" customFormat="false" ht="15" hidden="false" customHeight="true" outlineLevel="0" collapsed="false">
      <c r="A39" s="9" t="s">
        <v>12</v>
      </c>
      <c r="B39" s="9" t="s">
        <v>13</v>
      </c>
      <c r="C39" s="9" t="s">
        <v>13</v>
      </c>
      <c r="D39" s="9" t="s">
        <v>336</v>
      </c>
      <c r="E39" s="9" t="s">
        <v>14</v>
      </c>
      <c r="F39" s="9" t="s">
        <v>43</v>
      </c>
      <c r="G39" s="16" t="n">
        <v>14</v>
      </c>
      <c r="H39" s="16" t="n">
        <v>111</v>
      </c>
      <c r="I39" s="16" t="n">
        <v>0</v>
      </c>
      <c r="J39" s="16" t="n">
        <v>111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0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0</v>
      </c>
      <c r="BC39" s="16" t="n">
        <v>0</v>
      </c>
      <c r="BD39" s="16" t="n">
        <v>0</v>
      </c>
      <c r="BE39" s="16" t="n">
        <v>0</v>
      </c>
      <c r="BF39" s="16" t="n">
        <v>0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6" t="n">
        <v>0</v>
      </c>
      <c r="BM39" s="16" t="n">
        <v>0</v>
      </c>
      <c r="BN39" s="16" t="n">
        <v>0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0</v>
      </c>
      <c r="BV39" s="16" t="n">
        <v>0</v>
      </c>
      <c r="BW39" s="16" t="n">
        <v>0</v>
      </c>
      <c r="BX39" s="16" t="n">
        <v>0</v>
      </c>
      <c r="BY39" s="16" t="n">
        <v>0</v>
      </c>
      <c r="BZ39" s="16" t="n">
        <v>0</v>
      </c>
      <c r="CA39" s="16" t="n">
        <v>0</v>
      </c>
      <c r="CB39" s="16" t="n">
        <v>0</v>
      </c>
      <c r="CC39" s="16" t="n">
        <v>0</v>
      </c>
      <c r="CD39" s="16" t="n">
        <v>0</v>
      </c>
      <c r="CE39" s="16" t="n">
        <v>0</v>
      </c>
      <c r="CF39" s="16" t="n">
        <v>0</v>
      </c>
      <c r="CG39" s="16" t="n">
        <v>0</v>
      </c>
      <c r="CH39" s="16" t="n">
        <v>0</v>
      </c>
      <c r="CI39" s="16" t="n">
        <v>0</v>
      </c>
      <c r="CJ39" s="16" t="n">
        <v>0</v>
      </c>
      <c r="CK39" s="16" t="n">
        <v>0</v>
      </c>
      <c r="CL39" s="16" t="n">
        <v>0</v>
      </c>
      <c r="CM39" s="16" t="n">
        <v>0</v>
      </c>
      <c r="CN39" s="16" t="n">
        <v>0</v>
      </c>
      <c r="CO39" s="16" t="n">
        <v>0</v>
      </c>
      <c r="CP39" s="16" t="n">
        <v>0</v>
      </c>
      <c r="CQ39" s="16" t="n">
        <v>0</v>
      </c>
      <c r="CR39" s="16" t="n">
        <v>0</v>
      </c>
      <c r="CS39" s="16" t="n">
        <v>0</v>
      </c>
      <c r="CT39" s="16" t="n">
        <v>0</v>
      </c>
      <c r="CU39" s="16" t="n">
        <v>0</v>
      </c>
      <c r="CV39" s="16" t="n">
        <v>0</v>
      </c>
      <c r="CW39" s="16" t="n">
        <v>0</v>
      </c>
      <c r="CX39" s="16" t="n">
        <v>0</v>
      </c>
      <c r="CY39" s="16" t="n">
        <v>0</v>
      </c>
      <c r="CZ39" s="16" t="n">
        <v>0</v>
      </c>
      <c r="DA39" s="16" t="n">
        <v>0</v>
      </c>
      <c r="DB39" s="16" t="n">
        <v>0</v>
      </c>
      <c r="DC39" s="16" t="n">
        <v>0</v>
      </c>
      <c r="DD39" s="16" t="n">
        <v>0</v>
      </c>
      <c r="DE39" s="16" t="n">
        <v>0</v>
      </c>
      <c r="DF39" s="16" t="n">
        <v>0</v>
      </c>
      <c r="DG39" s="16" t="n">
        <v>0</v>
      </c>
      <c r="DH39" s="16" t="n">
        <v>0</v>
      </c>
      <c r="DI39" s="16" t="n">
        <v>0</v>
      </c>
      <c r="DJ39" s="16" t="n">
        <v>0</v>
      </c>
      <c r="DK39" s="16" t="n">
        <v>0</v>
      </c>
      <c r="DL39" s="16" t="n">
        <v>0</v>
      </c>
      <c r="DM39" s="16" t="n">
        <v>0</v>
      </c>
      <c r="DN39" s="16" t="n">
        <v>0</v>
      </c>
      <c r="DO39" s="16" t="n">
        <v>0</v>
      </c>
      <c r="DP39" s="16" t="n">
        <v>0</v>
      </c>
      <c r="DQ39" s="16" t="n">
        <v>0</v>
      </c>
      <c r="DR39" s="16" t="n">
        <v>0</v>
      </c>
      <c r="DS39" s="16" t="n">
        <v>0</v>
      </c>
      <c r="DT39" s="16" t="n">
        <v>0</v>
      </c>
      <c r="DU39" s="16" t="n">
        <v>0</v>
      </c>
      <c r="DV39" s="16" t="n">
        <v>0</v>
      </c>
      <c r="DW39" s="16" t="n">
        <v>0</v>
      </c>
      <c r="DX39" s="16" t="n">
        <v>0</v>
      </c>
      <c r="DY39" s="16" t="n">
        <v>0</v>
      </c>
      <c r="DZ39" s="16" t="n">
        <v>0</v>
      </c>
      <c r="EA39" s="16" t="n">
        <v>0</v>
      </c>
      <c r="EB39" s="16" t="n">
        <v>0</v>
      </c>
      <c r="EC39" s="16" t="n">
        <v>0</v>
      </c>
      <c r="ED39" s="16" t="n">
        <v>0</v>
      </c>
      <c r="EE39" s="16" t="n">
        <v>0</v>
      </c>
      <c r="EF39" s="16" t="n">
        <v>0</v>
      </c>
    </row>
    <row r="40" customFormat="false" ht="15" hidden="false" customHeight="true" outlineLevel="0" collapsed="false">
      <c r="A40" s="9" t="s">
        <v>12</v>
      </c>
      <c r="B40" s="9" t="s">
        <v>13</v>
      </c>
      <c r="C40" s="9" t="s">
        <v>13</v>
      </c>
      <c r="D40" s="9" t="s">
        <v>342</v>
      </c>
      <c r="E40" s="9" t="s">
        <v>14</v>
      </c>
      <c r="F40" s="9" t="s">
        <v>43</v>
      </c>
      <c r="G40" s="16" t="n">
        <v>0</v>
      </c>
      <c r="H40" s="16" t="n">
        <v>0</v>
      </c>
      <c r="I40" s="16" t="n">
        <v>107</v>
      </c>
      <c r="J40" s="16" t="n">
        <v>-107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0</v>
      </c>
      <c r="Q40" s="16" t="n">
        <v>0</v>
      </c>
      <c r="R40" s="16" t="n">
        <v>0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>0</v>
      </c>
      <c r="AB40" s="16" t="n">
        <v>0</v>
      </c>
      <c r="AC40" s="16" t="n">
        <v>0</v>
      </c>
      <c r="AD40" s="16" t="n">
        <v>0</v>
      </c>
      <c r="AE40" s="16" t="n">
        <v>0</v>
      </c>
      <c r="AF40" s="16" t="n">
        <v>0</v>
      </c>
      <c r="AG40" s="16" t="n">
        <v>0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0</v>
      </c>
      <c r="AN40" s="16" t="n">
        <v>0</v>
      </c>
      <c r="AO40" s="16" t="n">
        <v>0</v>
      </c>
      <c r="AP40" s="16" t="n">
        <v>4</v>
      </c>
      <c r="AQ40" s="16" t="n">
        <v>2</v>
      </c>
      <c r="AR40" s="16" t="n">
        <v>4</v>
      </c>
      <c r="AS40" s="16" t="n">
        <v>5</v>
      </c>
      <c r="AT40" s="16" t="n">
        <v>0</v>
      </c>
      <c r="AU40" s="16" t="n">
        <v>0</v>
      </c>
      <c r="AV40" s="16" t="n">
        <v>0</v>
      </c>
      <c r="AW40" s="16" t="n">
        <v>0</v>
      </c>
      <c r="AX40" s="16" t="n">
        <v>0</v>
      </c>
      <c r="AY40" s="16" t="n">
        <v>0</v>
      </c>
      <c r="AZ40" s="16" t="n">
        <v>0</v>
      </c>
      <c r="BA40" s="16" t="n">
        <v>0</v>
      </c>
      <c r="BB40" s="16" t="n">
        <v>0</v>
      </c>
      <c r="BC40" s="16" t="n">
        <v>0</v>
      </c>
      <c r="BD40" s="16" t="n">
        <v>0</v>
      </c>
      <c r="BE40" s="16" t="n">
        <v>0</v>
      </c>
      <c r="BF40" s="16" t="n">
        <v>0</v>
      </c>
      <c r="BG40" s="16" t="n">
        <v>0</v>
      </c>
      <c r="BH40" s="16" t="n">
        <v>0</v>
      </c>
      <c r="BI40" s="16" t="n">
        <v>0</v>
      </c>
      <c r="BJ40" s="16" t="n">
        <v>0</v>
      </c>
      <c r="BK40" s="16" t="n">
        <v>0</v>
      </c>
      <c r="BL40" s="16" t="n">
        <v>0</v>
      </c>
      <c r="BM40" s="16" t="n">
        <v>0</v>
      </c>
      <c r="BN40" s="16" t="n">
        <v>0</v>
      </c>
      <c r="BO40" s="16" t="n">
        <v>0</v>
      </c>
      <c r="BP40" s="16" t="n">
        <v>0</v>
      </c>
      <c r="BQ40" s="16" t="n">
        <v>0</v>
      </c>
      <c r="BR40" s="16" t="n">
        <v>0</v>
      </c>
      <c r="BS40" s="16" t="n">
        <v>0</v>
      </c>
      <c r="BT40" s="16" t="n">
        <v>0</v>
      </c>
      <c r="BU40" s="16" t="n">
        <v>0</v>
      </c>
      <c r="BV40" s="16" t="n">
        <v>0</v>
      </c>
      <c r="BW40" s="16" t="n">
        <v>0</v>
      </c>
      <c r="BX40" s="16" t="n">
        <v>0</v>
      </c>
      <c r="BY40" s="16" t="n">
        <v>0</v>
      </c>
      <c r="BZ40" s="16" t="n">
        <v>0</v>
      </c>
      <c r="CA40" s="16" t="n">
        <v>0</v>
      </c>
      <c r="CB40" s="16" t="n">
        <v>0</v>
      </c>
      <c r="CC40" s="16" t="n">
        <v>0</v>
      </c>
      <c r="CD40" s="16" t="n">
        <v>0</v>
      </c>
      <c r="CE40" s="16" t="n">
        <v>0</v>
      </c>
      <c r="CF40" s="16" t="n">
        <v>0</v>
      </c>
      <c r="CG40" s="16" t="n">
        <v>0</v>
      </c>
      <c r="CH40" s="16" t="n">
        <v>0</v>
      </c>
      <c r="CI40" s="16" t="n">
        <v>0</v>
      </c>
      <c r="CJ40" s="16" t="n">
        <v>0</v>
      </c>
      <c r="CK40" s="16" t="n">
        <v>0</v>
      </c>
      <c r="CL40" s="16" t="n">
        <v>0</v>
      </c>
      <c r="CM40" s="16" t="n">
        <v>0</v>
      </c>
      <c r="CN40" s="16" t="n">
        <v>0</v>
      </c>
      <c r="CO40" s="16" t="n">
        <v>0</v>
      </c>
      <c r="CP40" s="16" t="n">
        <v>0</v>
      </c>
      <c r="CQ40" s="16" t="n">
        <v>0</v>
      </c>
      <c r="CR40" s="16" t="n">
        <v>0</v>
      </c>
      <c r="CS40" s="16" t="n">
        <v>11</v>
      </c>
      <c r="CT40" s="16" t="n">
        <v>9</v>
      </c>
      <c r="CU40" s="16" t="n">
        <v>0</v>
      </c>
      <c r="CV40" s="16" t="n">
        <v>0</v>
      </c>
      <c r="CW40" s="16" t="n">
        <v>0</v>
      </c>
      <c r="CX40" s="16" t="n">
        <v>0</v>
      </c>
      <c r="CY40" s="16" t="n">
        <v>0</v>
      </c>
      <c r="CZ40" s="16" t="n">
        <v>0</v>
      </c>
      <c r="DA40" s="16" t="n">
        <v>0</v>
      </c>
      <c r="DB40" s="16" t="n">
        <v>0</v>
      </c>
      <c r="DC40" s="16" t="n">
        <v>9</v>
      </c>
      <c r="DD40" s="16" t="n">
        <v>13</v>
      </c>
      <c r="DE40" s="16" t="n">
        <v>11</v>
      </c>
      <c r="DF40" s="16" t="n">
        <v>1</v>
      </c>
      <c r="DG40" s="16" t="n">
        <v>0</v>
      </c>
      <c r="DH40" s="16" t="n">
        <v>0</v>
      </c>
      <c r="DI40" s="16" t="n">
        <v>0</v>
      </c>
      <c r="DJ40" s="16" t="n">
        <v>0</v>
      </c>
      <c r="DK40" s="16" t="n">
        <v>0</v>
      </c>
      <c r="DL40" s="16" t="n">
        <v>0</v>
      </c>
      <c r="DM40" s="16" t="n">
        <v>0</v>
      </c>
      <c r="DN40" s="16" t="n">
        <v>0</v>
      </c>
      <c r="DO40" s="16" t="n">
        <v>0</v>
      </c>
      <c r="DP40" s="16" t="n">
        <v>11</v>
      </c>
      <c r="DQ40" s="16" t="n">
        <v>18</v>
      </c>
      <c r="DR40" s="16" t="n">
        <v>14</v>
      </c>
      <c r="DS40" s="16" t="n">
        <v>0</v>
      </c>
      <c r="DT40" s="16" t="n">
        <v>0</v>
      </c>
      <c r="DU40" s="16" t="n">
        <v>0</v>
      </c>
      <c r="DV40" s="16" t="n">
        <v>0</v>
      </c>
      <c r="DW40" s="16" t="n">
        <v>0</v>
      </c>
      <c r="DX40" s="16" t="n">
        <v>0</v>
      </c>
      <c r="DY40" s="16" t="n">
        <v>0</v>
      </c>
      <c r="DZ40" s="16" t="n">
        <v>0</v>
      </c>
      <c r="EA40" s="16" t="n">
        <v>0</v>
      </c>
      <c r="EB40" s="16" t="n">
        <v>0</v>
      </c>
      <c r="EC40" s="16" t="n">
        <v>0</v>
      </c>
      <c r="ED40" s="16" t="n">
        <v>0</v>
      </c>
      <c r="EE40" s="16" t="n">
        <v>0</v>
      </c>
      <c r="EF40" s="16" t="n">
        <v>0</v>
      </c>
    </row>
    <row r="41" customFormat="false" ht="15" hidden="false" customHeight="true" outlineLevel="0" collapsed="false">
      <c r="A41" s="9" t="s">
        <v>12</v>
      </c>
      <c r="B41" s="9" t="s">
        <v>13</v>
      </c>
      <c r="C41" s="9" t="s">
        <v>13</v>
      </c>
      <c r="D41" s="9" t="s">
        <v>336</v>
      </c>
      <c r="E41" s="9" t="s">
        <v>14</v>
      </c>
      <c r="F41" s="9" t="s">
        <v>100</v>
      </c>
      <c r="G41" s="16" t="n">
        <v>14</v>
      </c>
      <c r="H41" s="16" t="n">
        <v>48</v>
      </c>
      <c r="I41" s="16" t="n">
        <v>0</v>
      </c>
      <c r="J41" s="16" t="n">
        <v>48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0</v>
      </c>
      <c r="Y41" s="16" t="n">
        <v>0</v>
      </c>
      <c r="Z41" s="16" t="n">
        <v>0</v>
      </c>
      <c r="AA41" s="16" t="n">
        <v>0</v>
      </c>
      <c r="AB41" s="16" t="n">
        <v>0</v>
      </c>
      <c r="AC41" s="16" t="n">
        <v>0</v>
      </c>
      <c r="AD41" s="16" t="n">
        <v>0</v>
      </c>
      <c r="AE41" s="16" t="n">
        <v>0</v>
      </c>
      <c r="AF41" s="16" t="n">
        <v>0</v>
      </c>
      <c r="AG41" s="16" t="n">
        <v>0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0</v>
      </c>
      <c r="AN41" s="16" t="n">
        <v>0</v>
      </c>
      <c r="AO41" s="16" t="n">
        <v>0</v>
      </c>
      <c r="AP41" s="16" t="n">
        <v>0</v>
      </c>
      <c r="AQ41" s="16" t="n">
        <v>0</v>
      </c>
      <c r="AR41" s="16" t="n">
        <v>0</v>
      </c>
      <c r="AS41" s="16" t="n">
        <v>0</v>
      </c>
      <c r="AT41" s="16" t="n">
        <v>0</v>
      </c>
      <c r="AU41" s="16" t="n">
        <v>0</v>
      </c>
      <c r="AV41" s="16" t="n">
        <v>0</v>
      </c>
      <c r="AW41" s="16" t="n">
        <v>0</v>
      </c>
      <c r="AX41" s="16" t="n">
        <v>0</v>
      </c>
      <c r="AY41" s="16" t="n">
        <v>0</v>
      </c>
      <c r="AZ41" s="16" t="n">
        <v>0</v>
      </c>
      <c r="BA41" s="16" t="n">
        <v>0</v>
      </c>
      <c r="BB41" s="16" t="n">
        <v>0</v>
      </c>
      <c r="BC41" s="16" t="n">
        <v>0</v>
      </c>
      <c r="BD41" s="16" t="n">
        <v>0</v>
      </c>
      <c r="BE41" s="16" t="n">
        <v>0</v>
      </c>
      <c r="BF41" s="16" t="n">
        <v>0</v>
      </c>
      <c r="BG41" s="16" t="n">
        <v>0</v>
      </c>
      <c r="BH41" s="16" t="n">
        <v>0</v>
      </c>
      <c r="BI41" s="16" t="n">
        <v>0</v>
      </c>
      <c r="BJ41" s="16" t="n">
        <v>0</v>
      </c>
      <c r="BK41" s="16" t="n">
        <v>0</v>
      </c>
      <c r="BL41" s="16" t="n">
        <v>0</v>
      </c>
      <c r="BM41" s="16" t="n">
        <v>0</v>
      </c>
      <c r="BN41" s="16" t="n">
        <v>0</v>
      </c>
      <c r="BO41" s="16" t="n">
        <v>0</v>
      </c>
      <c r="BP41" s="16" t="n">
        <v>0</v>
      </c>
      <c r="BQ41" s="16" t="n">
        <v>0</v>
      </c>
      <c r="BR41" s="16" t="n">
        <v>0</v>
      </c>
      <c r="BS41" s="16" t="n">
        <v>0</v>
      </c>
      <c r="BT41" s="16" t="n">
        <v>0</v>
      </c>
      <c r="BU41" s="16" t="n">
        <v>0</v>
      </c>
      <c r="BV41" s="16" t="n">
        <v>0</v>
      </c>
      <c r="BW41" s="16" t="n">
        <v>0</v>
      </c>
      <c r="BX41" s="16" t="n">
        <v>0</v>
      </c>
      <c r="BY41" s="16" t="n">
        <v>0</v>
      </c>
      <c r="BZ41" s="16" t="n">
        <v>0</v>
      </c>
      <c r="CA41" s="16" t="n">
        <v>0</v>
      </c>
      <c r="CB41" s="16" t="n">
        <v>0</v>
      </c>
      <c r="CC41" s="16" t="n">
        <v>0</v>
      </c>
      <c r="CD41" s="16" t="n">
        <v>0</v>
      </c>
      <c r="CE41" s="16" t="n">
        <v>0</v>
      </c>
      <c r="CF41" s="16" t="n">
        <v>0</v>
      </c>
      <c r="CG41" s="16" t="n">
        <v>0</v>
      </c>
      <c r="CH41" s="16" t="n">
        <v>0</v>
      </c>
      <c r="CI41" s="16" t="n">
        <v>0</v>
      </c>
      <c r="CJ41" s="16" t="n">
        <v>0</v>
      </c>
      <c r="CK41" s="16" t="n">
        <v>0</v>
      </c>
      <c r="CL41" s="16" t="n">
        <v>0</v>
      </c>
      <c r="CM41" s="16" t="n">
        <v>0</v>
      </c>
      <c r="CN41" s="16" t="n">
        <v>0</v>
      </c>
      <c r="CO41" s="16" t="n">
        <v>0</v>
      </c>
      <c r="CP41" s="16" t="n">
        <v>0</v>
      </c>
      <c r="CQ41" s="16" t="n">
        <v>0</v>
      </c>
      <c r="CR41" s="16" t="n">
        <v>0</v>
      </c>
      <c r="CS41" s="16" t="n">
        <v>0</v>
      </c>
      <c r="CT41" s="16" t="n">
        <v>0</v>
      </c>
      <c r="CU41" s="16" t="n">
        <v>0</v>
      </c>
      <c r="CV41" s="16" t="n">
        <v>0</v>
      </c>
      <c r="CW41" s="16" t="n">
        <v>0</v>
      </c>
      <c r="CX41" s="16" t="n">
        <v>0</v>
      </c>
      <c r="CY41" s="16" t="n">
        <v>0</v>
      </c>
      <c r="CZ41" s="16" t="n">
        <v>0</v>
      </c>
      <c r="DA41" s="16" t="n">
        <v>0</v>
      </c>
      <c r="DB41" s="16" t="n">
        <v>0</v>
      </c>
      <c r="DC41" s="16" t="n">
        <v>0</v>
      </c>
      <c r="DD41" s="16" t="n">
        <v>0</v>
      </c>
      <c r="DE41" s="16" t="n">
        <v>0</v>
      </c>
      <c r="DF41" s="16" t="n">
        <v>0</v>
      </c>
      <c r="DG41" s="16" t="n">
        <v>0</v>
      </c>
      <c r="DH41" s="16" t="n">
        <v>0</v>
      </c>
      <c r="DI41" s="16" t="n">
        <v>0</v>
      </c>
      <c r="DJ41" s="16" t="n">
        <v>0</v>
      </c>
      <c r="DK41" s="16" t="n">
        <v>0</v>
      </c>
      <c r="DL41" s="16" t="n">
        <v>0</v>
      </c>
      <c r="DM41" s="16" t="n">
        <v>0</v>
      </c>
      <c r="DN41" s="16" t="n">
        <v>0</v>
      </c>
      <c r="DO41" s="16" t="n">
        <v>0</v>
      </c>
      <c r="DP41" s="16" t="n">
        <v>0</v>
      </c>
      <c r="DQ41" s="16" t="n">
        <v>0</v>
      </c>
      <c r="DR41" s="16" t="n">
        <v>0</v>
      </c>
      <c r="DS41" s="16" t="n">
        <v>0</v>
      </c>
      <c r="DT41" s="16" t="n">
        <v>0</v>
      </c>
      <c r="DU41" s="16" t="n">
        <v>0</v>
      </c>
      <c r="DV41" s="16" t="n">
        <v>0</v>
      </c>
      <c r="DW41" s="16" t="n">
        <v>0</v>
      </c>
      <c r="DX41" s="16" t="n">
        <v>0</v>
      </c>
      <c r="DY41" s="16" t="n">
        <v>0</v>
      </c>
      <c r="DZ41" s="16" t="n">
        <v>0</v>
      </c>
      <c r="EA41" s="16" t="n">
        <v>0</v>
      </c>
      <c r="EB41" s="16" t="n">
        <v>0</v>
      </c>
      <c r="EC41" s="16" t="n">
        <v>0</v>
      </c>
      <c r="ED41" s="16" t="n">
        <v>0</v>
      </c>
      <c r="EE41" s="16" t="n">
        <v>0</v>
      </c>
      <c r="EF41" s="16" t="n">
        <v>0</v>
      </c>
    </row>
    <row r="42" customFormat="false" ht="15" hidden="false" customHeight="true" outlineLevel="0" collapsed="false">
      <c r="A42" s="9" t="s">
        <v>12</v>
      </c>
      <c r="B42" s="9" t="s">
        <v>13</v>
      </c>
      <c r="C42" s="9" t="s">
        <v>13</v>
      </c>
      <c r="D42" s="9" t="s">
        <v>342</v>
      </c>
      <c r="E42" s="9" t="s">
        <v>14</v>
      </c>
      <c r="F42" s="9" t="s">
        <v>100</v>
      </c>
      <c r="G42" s="16" t="n">
        <v>0</v>
      </c>
      <c r="H42" s="16" t="n">
        <v>0</v>
      </c>
      <c r="I42" s="16" t="n">
        <v>65</v>
      </c>
      <c r="J42" s="16" t="n">
        <v>-65</v>
      </c>
      <c r="K42" s="16" t="n">
        <v>0</v>
      </c>
      <c r="L42" s="16" t="n">
        <v>0</v>
      </c>
      <c r="M42" s="16" t="n">
        <v>0</v>
      </c>
      <c r="N42" s="16" t="n">
        <v>0</v>
      </c>
      <c r="O42" s="16" t="n">
        <v>0</v>
      </c>
      <c r="P42" s="16" t="n">
        <v>0</v>
      </c>
      <c r="Q42" s="16" t="n">
        <v>0</v>
      </c>
      <c r="R42" s="16" t="n">
        <v>0</v>
      </c>
      <c r="S42" s="16" t="n">
        <v>0</v>
      </c>
      <c r="T42" s="16" t="n">
        <v>0</v>
      </c>
      <c r="U42" s="16" t="n">
        <v>0</v>
      </c>
      <c r="V42" s="16" t="n">
        <v>0</v>
      </c>
      <c r="W42" s="16" t="n">
        <v>0</v>
      </c>
      <c r="X42" s="16" t="n">
        <v>0</v>
      </c>
      <c r="Y42" s="16" t="n">
        <v>0</v>
      </c>
      <c r="Z42" s="16" t="n">
        <v>0</v>
      </c>
      <c r="AA42" s="16" t="n">
        <v>0</v>
      </c>
      <c r="AB42" s="16" t="n">
        <v>0</v>
      </c>
      <c r="AC42" s="16" t="n">
        <v>0</v>
      </c>
      <c r="AD42" s="16" t="n">
        <v>0</v>
      </c>
      <c r="AE42" s="16" t="n">
        <v>0</v>
      </c>
      <c r="AF42" s="16" t="n">
        <v>0</v>
      </c>
      <c r="AG42" s="16" t="n">
        <v>0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0</v>
      </c>
      <c r="AM42" s="16" t="n">
        <v>0</v>
      </c>
      <c r="AN42" s="16" t="n">
        <v>0</v>
      </c>
      <c r="AO42" s="16" t="n">
        <v>17</v>
      </c>
      <c r="AP42" s="16" t="n">
        <v>5</v>
      </c>
      <c r="AQ42" s="16" t="n">
        <v>1</v>
      </c>
      <c r="AR42" s="16" t="n">
        <v>8</v>
      </c>
      <c r="AS42" s="16" t="n">
        <v>0</v>
      </c>
      <c r="AT42" s="16" t="n">
        <v>0</v>
      </c>
      <c r="AU42" s="16" t="n">
        <v>0</v>
      </c>
      <c r="AV42" s="16" t="n">
        <v>0</v>
      </c>
      <c r="AW42" s="16" t="n">
        <v>0</v>
      </c>
      <c r="AX42" s="16" t="n">
        <v>0</v>
      </c>
      <c r="AY42" s="16" t="n">
        <v>0</v>
      </c>
      <c r="AZ42" s="16" t="n">
        <v>0</v>
      </c>
      <c r="BA42" s="16" t="n">
        <v>0</v>
      </c>
      <c r="BB42" s="16" t="n">
        <v>0</v>
      </c>
      <c r="BC42" s="16" t="n">
        <v>0</v>
      </c>
      <c r="BD42" s="16" t="n">
        <v>0</v>
      </c>
      <c r="BE42" s="16" t="n">
        <v>0</v>
      </c>
      <c r="BF42" s="16" t="n">
        <v>0</v>
      </c>
      <c r="BG42" s="16" t="n">
        <v>0</v>
      </c>
      <c r="BH42" s="16" t="n">
        <v>0</v>
      </c>
      <c r="BI42" s="16" t="n">
        <v>0</v>
      </c>
      <c r="BJ42" s="16" t="n">
        <v>0</v>
      </c>
      <c r="BK42" s="16" t="n">
        <v>0</v>
      </c>
      <c r="BL42" s="16" t="n">
        <v>0</v>
      </c>
      <c r="BM42" s="16" t="n">
        <v>0</v>
      </c>
      <c r="BN42" s="16" t="n">
        <v>0</v>
      </c>
      <c r="BO42" s="16" t="n">
        <v>0</v>
      </c>
      <c r="BP42" s="16" t="n">
        <v>0</v>
      </c>
      <c r="BQ42" s="16" t="n">
        <v>0</v>
      </c>
      <c r="BR42" s="16" t="n">
        <v>0</v>
      </c>
      <c r="BS42" s="16" t="n">
        <v>0</v>
      </c>
      <c r="BT42" s="16" t="n">
        <v>0</v>
      </c>
      <c r="BU42" s="16" t="n">
        <v>0</v>
      </c>
      <c r="BV42" s="16" t="n">
        <v>0</v>
      </c>
      <c r="BW42" s="16" t="n">
        <v>0</v>
      </c>
      <c r="BX42" s="16" t="n">
        <v>0</v>
      </c>
      <c r="BY42" s="16" t="n">
        <v>0</v>
      </c>
      <c r="BZ42" s="16" t="n">
        <v>0</v>
      </c>
      <c r="CA42" s="16" t="n">
        <v>0</v>
      </c>
      <c r="CB42" s="16" t="n">
        <v>0</v>
      </c>
      <c r="CC42" s="16" t="n">
        <v>0</v>
      </c>
      <c r="CD42" s="16" t="n">
        <v>0</v>
      </c>
      <c r="CE42" s="16" t="n">
        <v>0</v>
      </c>
      <c r="CF42" s="16" t="n">
        <v>0</v>
      </c>
      <c r="CG42" s="16" t="n">
        <v>0</v>
      </c>
      <c r="CH42" s="16" t="n">
        <v>0</v>
      </c>
      <c r="CI42" s="16" t="n">
        <v>0</v>
      </c>
      <c r="CJ42" s="16" t="n">
        <v>0</v>
      </c>
      <c r="CK42" s="16" t="n">
        <v>0</v>
      </c>
      <c r="CL42" s="16" t="n">
        <v>0</v>
      </c>
      <c r="CM42" s="16" t="n">
        <v>0</v>
      </c>
      <c r="CN42" s="16" t="n">
        <v>0</v>
      </c>
      <c r="CO42" s="16" t="n">
        <v>0</v>
      </c>
      <c r="CP42" s="16" t="n">
        <v>0</v>
      </c>
      <c r="CQ42" s="16" t="n">
        <v>0</v>
      </c>
      <c r="CR42" s="16" t="n">
        <v>0</v>
      </c>
      <c r="CS42" s="16" t="n">
        <v>2</v>
      </c>
      <c r="CT42" s="16" t="n">
        <v>0</v>
      </c>
      <c r="CU42" s="16" t="n">
        <v>0</v>
      </c>
      <c r="CV42" s="16" t="n">
        <v>0</v>
      </c>
      <c r="CW42" s="16" t="n">
        <v>0</v>
      </c>
      <c r="CX42" s="16" t="n">
        <v>0</v>
      </c>
      <c r="CY42" s="16" t="n">
        <v>0</v>
      </c>
      <c r="CZ42" s="16" t="n">
        <v>0</v>
      </c>
      <c r="DA42" s="16" t="n">
        <v>0</v>
      </c>
      <c r="DB42" s="16" t="n">
        <v>7</v>
      </c>
      <c r="DC42" s="16" t="n">
        <v>6</v>
      </c>
      <c r="DD42" s="16" t="n">
        <v>3</v>
      </c>
      <c r="DE42" s="16" t="n">
        <v>0</v>
      </c>
      <c r="DF42" s="16" t="n">
        <v>0</v>
      </c>
      <c r="DG42" s="16" t="n">
        <v>0</v>
      </c>
      <c r="DH42" s="16" t="n">
        <v>0</v>
      </c>
      <c r="DI42" s="16" t="n">
        <v>0</v>
      </c>
      <c r="DJ42" s="16" t="n">
        <v>0</v>
      </c>
      <c r="DK42" s="16" t="n">
        <v>0</v>
      </c>
      <c r="DL42" s="16" t="n">
        <v>0</v>
      </c>
      <c r="DM42" s="16" t="n">
        <v>0</v>
      </c>
      <c r="DN42" s="16" t="n">
        <v>0</v>
      </c>
      <c r="DO42" s="16" t="n">
        <v>7</v>
      </c>
      <c r="DP42" s="16" t="n">
        <v>8</v>
      </c>
      <c r="DQ42" s="16" t="n">
        <v>1</v>
      </c>
      <c r="DR42" s="16" t="n">
        <v>0</v>
      </c>
      <c r="DS42" s="16" t="n">
        <v>0</v>
      </c>
      <c r="DT42" s="16" t="n">
        <v>0</v>
      </c>
      <c r="DU42" s="16" t="n">
        <v>0</v>
      </c>
      <c r="DV42" s="16" t="n">
        <v>0</v>
      </c>
      <c r="DW42" s="16" t="n">
        <v>0</v>
      </c>
      <c r="DX42" s="16" t="n">
        <v>0</v>
      </c>
      <c r="DY42" s="16" t="n">
        <v>0</v>
      </c>
      <c r="DZ42" s="16" t="n">
        <v>0</v>
      </c>
      <c r="EA42" s="16" t="n">
        <v>0</v>
      </c>
      <c r="EB42" s="16" t="n">
        <v>0</v>
      </c>
      <c r="EC42" s="16" t="n">
        <v>0</v>
      </c>
      <c r="ED42" s="16" t="n">
        <v>0</v>
      </c>
      <c r="EE42" s="16" t="n">
        <v>0</v>
      </c>
      <c r="EF42" s="16" t="n">
        <v>0</v>
      </c>
    </row>
    <row r="43" customFormat="false" ht="15" hidden="false" customHeight="true" outlineLevel="0" collapsed="false">
      <c r="A43" s="9" t="s">
        <v>12</v>
      </c>
      <c r="B43" s="9" t="s">
        <v>13</v>
      </c>
      <c r="C43" s="9" t="s">
        <v>13</v>
      </c>
      <c r="D43" s="9" t="s">
        <v>342</v>
      </c>
      <c r="E43" s="9" t="s">
        <v>14</v>
      </c>
      <c r="F43" s="9" t="s">
        <v>87</v>
      </c>
      <c r="G43" s="16" t="n">
        <v>0</v>
      </c>
      <c r="H43" s="16" t="n">
        <v>0</v>
      </c>
      <c r="I43" s="16" t="n">
        <v>20</v>
      </c>
      <c r="J43" s="16" t="n">
        <v>-20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  <c r="Z43" s="16" t="n">
        <v>0</v>
      </c>
      <c r="AA43" s="16" t="n">
        <v>0</v>
      </c>
      <c r="AB43" s="16" t="n">
        <v>0</v>
      </c>
      <c r="AC43" s="16" t="n">
        <v>0</v>
      </c>
      <c r="AD43" s="16" t="n">
        <v>0</v>
      </c>
      <c r="AE43" s="16" t="n">
        <v>0</v>
      </c>
      <c r="AF43" s="16" t="n">
        <v>0</v>
      </c>
      <c r="AG43" s="16" t="n">
        <v>0</v>
      </c>
      <c r="AH43" s="16" t="n">
        <v>0</v>
      </c>
      <c r="AI43" s="16" t="n">
        <v>0</v>
      </c>
      <c r="AJ43" s="16" t="n">
        <v>0</v>
      </c>
      <c r="AK43" s="16" t="n">
        <v>0</v>
      </c>
      <c r="AL43" s="16" t="n">
        <v>2</v>
      </c>
      <c r="AM43" s="16" t="n">
        <v>15</v>
      </c>
      <c r="AN43" s="16" t="n">
        <v>3</v>
      </c>
      <c r="AO43" s="16" t="n">
        <v>0</v>
      </c>
      <c r="AP43" s="16" t="n">
        <v>0</v>
      </c>
      <c r="AQ43" s="16" t="n">
        <v>0</v>
      </c>
      <c r="AR43" s="16" t="n">
        <v>0</v>
      </c>
      <c r="AS43" s="16" t="n">
        <v>0</v>
      </c>
      <c r="AT43" s="16" t="n">
        <v>0</v>
      </c>
      <c r="AU43" s="16" t="n">
        <v>0</v>
      </c>
      <c r="AV43" s="16" t="n">
        <v>0</v>
      </c>
      <c r="AW43" s="16" t="n">
        <v>0</v>
      </c>
      <c r="AX43" s="16" t="n">
        <v>0</v>
      </c>
      <c r="AY43" s="16" t="n">
        <v>0</v>
      </c>
      <c r="AZ43" s="16" t="n">
        <v>0</v>
      </c>
      <c r="BA43" s="16" t="n">
        <v>0</v>
      </c>
      <c r="BB43" s="16" t="n">
        <v>0</v>
      </c>
      <c r="BC43" s="16" t="n">
        <v>0</v>
      </c>
      <c r="BD43" s="16" t="n">
        <v>0</v>
      </c>
      <c r="BE43" s="16" t="n">
        <v>0</v>
      </c>
      <c r="BF43" s="16" t="n">
        <v>0</v>
      </c>
      <c r="BG43" s="16" t="n">
        <v>0</v>
      </c>
      <c r="BH43" s="16" t="n">
        <v>0</v>
      </c>
      <c r="BI43" s="16" t="n">
        <v>0</v>
      </c>
      <c r="BJ43" s="16" t="n">
        <v>0</v>
      </c>
      <c r="BK43" s="16" t="n">
        <v>0</v>
      </c>
      <c r="BL43" s="16" t="n">
        <v>0</v>
      </c>
      <c r="BM43" s="16" t="n">
        <v>0</v>
      </c>
      <c r="BN43" s="16" t="n">
        <v>0</v>
      </c>
      <c r="BO43" s="16" t="n">
        <v>0</v>
      </c>
      <c r="BP43" s="16" t="n">
        <v>0</v>
      </c>
      <c r="BQ43" s="16" t="n">
        <v>0</v>
      </c>
      <c r="BR43" s="16" t="n">
        <v>0</v>
      </c>
      <c r="BS43" s="16" t="n">
        <v>0</v>
      </c>
      <c r="BT43" s="16" t="n">
        <v>0</v>
      </c>
      <c r="BU43" s="16" t="n">
        <v>0</v>
      </c>
      <c r="BV43" s="16" t="n">
        <v>0</v>
      </c>
      <c r="BW43" s="16" t="n">
        <v>0</v>
      </c>
      <c r="BX43" s="16" t="n">
        <v>0</v>
      </c>
      <c r="BY43" s="16" t="n">
        <v>0</v>
      </c>
      <c r="BZ43" s="16" t="n">
        <v>0</v>
      </c>
      <c r="CA43" s="16" t="n">
        <v>0</v>
      </c>
      <c r="CB43" s="16" t="n">
        <v>0</v>
      </c>
      <c r="CC43" s="16" t="n">
        <v>0</v>
      </c>
      <c r="CD43" s="16" t="n">
        <v>0</v>
      </c>
      <c r="CE43" s="16" t="n">
        <v>0</v>
      </c>
      <c r="CF43" s="16" t="n">
        <v>0</v>
      </c>
      <c r="CG43" s="16" t="n">
        <v>0</v>
      </c>
      <c r="CH43" s="16" t="n">
        <v>0</v>
      </c>
      <c r="CI43" s="16" t="n">
        <v>0</v>
      </c>
      <c r="CJ43" s="16" t="n">
        <v>0</v>
      </c>
      <c r="CK43" s="16" t="n">
        <v>0</v>
      </c>
      <c r="CL43" s="16" t="n">
        <v>0</v>
      </c>
      <c r="CM43" s="16" t="n">
        <v>0</v>
      </c>
      <c r="CN43" s="16" t="n">
        <v>0</v>
      </c>
      <c r="CO43" s="16" t="n">
        <v>0</v>
      </c>
      <c r="CP43" s="16" t="n">
        <v>0</v>
      </c>
      <c r="CQ43" s="16" t="n">
        <v>0</v>
      </c>
      <c r="CR43" s="16" t="n">
        <v>0</v>
      </c>
      <c r="CS43" s="16" t="n">
        <v>0</v>
      </c>
      <c r="CT43" s="16" t="n">
        <v>0</v>
      </c>
      <c r="CU43" s="16" t="n">
        <v>0</v>
      </c>
      <c r="CV43" s="16" t="n">
        <v>0</v>
      </c>
      <c r="CW43" s="16" t="n">
        <v>0</v>
      </c>
      <c r="CX43" s="16" t="n">
        <v>0</v>
      </c>
      <c r="CY43" s="16" t="n">
        <v>0</v>
      </c>
      <c r="CZ43" s="16" t="n">
        <v>0</v>
      </c>
      <c r="DA43" s="16" t="n">
        <v>0</v>
      </c>
      <c r="DB43" s="16" t="n">
        <v>0</v>
      </c>
      <c r="DC43" s="16" t="n">
        <v>0</v>
      </c>
      <c r="DD43" s="16" t="n">
        <v>0</v>
      </c>
      <c r="DE43" s="16" t="n">
        <v>0</v>
      </c>
      <c r="DF43" s="16" t="n">
        <v>0</v>
      </c>
      <c r="DG43" s="16" t="n">
        <v>0</v>
      </c>
      <c r="DH43" s="16" t="n">
        <v>0</v>
      </c>
      <c r="DI43" s="16" t="n">
        <v>0</v>
      </c>
      <c r="DJ43" s="16" t="n">
        <v>0</v>
      </c>
      <c r="DK43" s="16" t="n">
        <v>0</v>
      </c>
      <c r="DL43" s="16" t="n">
        <v>0</v>
      </c>
      <c r="DM43" s="16" t="n">
        <v>0</v>
      </c>
      <c r="DN43" s="16" t="n">
        <v>0</v>
      </c>
      <c r="DO43" s="16" t="n">
        <v>0</v>
      </c>
      <c r="DP43" s="16" t="n">
        <v>0</v>
      </c>
      <c r="DQ43" s="16" t="n">
        <v>0</v>
      </c>
      <c r="DR43" s="16" t="n">
        <v>0</v>
      </c>
      <c r="DS43" s="16" t="n">
        <v>0</v>
      </c>
      <c r="DT43" s="16" t="n">
        <v>0</v>
      </c>
      <c r="DU43" s="16" t="n">
        <v>0</v>
      </c>
      <c r="DV43" s="16" t="n">
        <v>0</v>
      </c>
      <c r="DW43" s="16" t="n">
        <v>0</v>
      </c>
      <c r="DX43" s="16" t="n">
        <v>0</v>
      </c>
      <c r="DY43" s="16" t="n">
        <v>0</v>
      </c>
      <c r="DZ43" s="16" t="n">
        <v>0</v>
      </c>
      <c r="EA43" s="16" t="n">
        <v>0</v>
      </c>
      <c r="EB43" s="16" t="n">
        <v>0</v>
      </c>
      <c r="EC43" s="16" t="n">
        <v>0</v>
      </c>
      <c r="ED43" s="16" t="n">
        <v>0</v>
      </c>
      <c r="EE43" s="16" t="n">
        <v>0</v>
      </c>
      <c r="EF43" s="16" t="n">
        <v>0</v>
      </c>
    </row>
    <row r="44" customFormat="false" ht="15" hidden="false" customHeight="true" outlineLevel="0" collapsed="false">
      <c r="A44" s="9" t="s">
        <v>12</v>
      </c>
      <c r="B44" s="9" t="s">
        <v>9</v>
      </c>
      <c r="C44" s="9" t="s">
        <v>9</v>
      </c>
      <c r="D44" s="9" t="s">
        <v>338</v>
      </c>
      <c r="E44" s="9" t="s">
        <v>10</v>
      </c>
      <c r="F44" s="9" t="s">
        <v>81</v>
      </c>
      <c r="G44" s="16" t="n">
        <v>37.2</v>
      </c>
      <c r="H44" s="16" t="n">
        <v>152.2</v>
      </c>
      <c r="I44" s="16" t="n">
        <v>0</v>
      </c>
      <c r="J44" s="16" t="n">
        <v>152.2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6" t="n">
        <v>0</v>
      </c>
      <c r="AB44" s="16" t="n">
        <v>0</v>
      </c>
      <c r="AC44" s="16" t="n">
        <v>0</v>
      </c>
      <c r="AD44" s="16" t="n">
        <v>0</v>
      </c>
      <c r="AE44" s="16" t="n">
        <v>0</v>
      </c>
      <c r="AF44" s="16" t="n">
        <v>0</v>
      </c>
      <c r="AG44" s="16" t="n">
        <v>0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0</v>
      </c>
      <c r="AM44" s="16" t="n">
        <v>0</v>
      </c>
      <c r="AN44" s="16" t="n">
        <v>0</v>
      </c>
      <c r="AO44" s="16" t="n">
        <v>0</v>
      </c>
      <c r="AP44" s="16" t="n">
        <v>0</v>
      </c>
      <c r="AQ44" s="16" t="n">
        <v>0</v>
      </c>
      <c r="AR44" s="16" t="n">
        <v>0</v>
      </c>
      <c r="AS44" s="16" t="n">
        <v>0</v>
      </c>
      <c r="AT44" s="16" t="n">
        <v>0</v>
      </c>
      <c r="AU44" s="16" t="n">
        <v>0</v>
      </c>
      <c r="AV44" s="16" t="n">
        <v>0</v>
      </c>
      <c r="AW44" s="16" t="n">
        <v>0</v>
      </c>
      <c r="AX44" s="16" t="n">
        <v>0</v>
      </c>
      <c r="AY44" s="16" t="n">
        <v>0</v>
      </c>
      <c r="AZ44" s="16" t="n">
        <v>0</v>
      </c>
      <c r="BA44" s="16" t="n">
        <v>0</v>
      </c>
      <c r="BB44" s="16" t="n">
        <v>0</v>
      </c>
      <c r="BC44" s="16" t="n">
        <v>0</v>
      </c>
      <c r="BD44" s="16" t="n">
        <v>0</v>
      </c>
      <c r="BE44" s="16" t="n">
        <v>0</v>
      </c>
      <c r="BF44" s="16" t="n">
        <v>0</v>
      </c>
      <c r="BG44" s="16" t="n">
        <v>0</v>
      </c>
      <c r="BH44" s="16" t="n">
        <v>0</v>
      </c>
      <c r="BI44" s="16" t="n">
        <v>0</v>
      </c>
      <c r="BJ44" s="16" t="n">
        <v>0</v>
      </c>
      <c r="BK44" s="16" t="n">
        <v>0</v>
      </c>
      <c r="BL44" s="16" t="n">
        <v>0</v>
      </c>
      <c r="BM44" s="16" t="n">
        <v>0</v>
      </c>
      <c r="BN44" s="16" t="n">
        <v>0</v>
      </c>
      <c r="BO44" s="16" t="n">
        <v>0</v>
      </c>
      <c r="BP44" s="16" t="n">
        <v>0</v>
      </c>
      <c r="BQ44" s="16" t="n">
        <v>0</v>
      </c>
      <c r="BR44" s="16" t="n">
        <v>0</v>
      </c>
      <c r="BS44" s="16" t="n">
        <v>0</v>
      </c>
      <c r="BT44" s="16" t="n">
        <v>0</v>
      </c>
      <c r="BU44" s="16" t="n">
        <v>0</v>
      </c>
      <c r="BV44" s="16" t="n">
        <v>0</v>
      </c>
      <c r="BW44" s="16" t="n">
        <v>0</v>
      </c>
      <c r="BX44" s="16" t="n">
        <v>0</v>
      </c>
      <c r="BY44" s="16" t="n">
        <v>0</v>
      </c>
      <c r="BZ44" s="16" t="n">
        <v>0</v>
      </c>
      <c r="CA44" s="16" t="n">
        <v>0</v>
      </c>
      <c r="CB44" s="16" t="n">
        <v>0</v>
      </c>
      <c r="CC44" s="16" t="n">
        <v>0</v>
      </c>
      <c r="CD44" s="16" t="n">
        <v>0</v>
      </c>
      <c r="CE44" s="16" t="n">
        <v>0</v>
      </c>
      <c r="CF44" s="16" t="n">
        <v>0</v>
      </c>
      <c r="CG44" s="16" t="n">
        <v>0</v>
      </c>
      <c r="CH44" s="16" t="n">
        <v>0</v>
      </c>
      <c r="CI44" s="16" t="n">
        <v>0</v>
      </c>
      <c r="CJ44" s="16" t="n">
        <v>0</v>
      </c>
      <c r="CK44" s="16" t="n">
        <v>0</v>
      </c>
      <c r="CL44" s="16" t="n">
        <v>0</v>
      </c>
      <c r="CM44" s="16" t="n">
        <v>0</v>
      </c>
      <c r="CN44" s="16" t="n">
        <v>0</v>
      </c>
      <c r="CO44" s="16" t="n">
        <v>0</v>
      </c>
      <c r="CP44" s="16" t="n">
        <v>0</v>
      </c>
      <c r="CQ44" s="16" t="n">
        <v>0</v>
      </c>
      <c r="CR44" s="16" t="n">
        <v>0</v>
      </c>
      <c r="CS44" s="16" t="n">
        <v>0</v>
      </c>
      <c r="CT44" s="16" t="n">
        <v>0</v>
      </c>
      <c r="CU44" s="16" t="n">
        <v>0</v>
      </c>
      <c r="CV44" s="16" t="n">
        <v>0</v>
      </c>
      <c r="CW44" s="16" t="n">
        <v>0</v>
      </c>
      <c r="CX44" s="16" t="n">
        <v>0</v>
      </c>
      <c r="CY44" s="16" t="n">
        <v>0</v>
      </c>
      <c r="CZ44" s="16" t="n">
        <v>0</v>
      </c>
      <c r="DA44" s="16" t="n">
        <v>0</v>
      </c>
      <c r="DB44" s="16" t="n">
        <v>0</v>
      </c>
      <c r="DC44" s="16" t="n">
        <v>0</v>
      </c>
      <c r="DD44" s="16" t="n">
        <v>0</v>
      </c>
      <c r="DE44" s="16" t="n">
        <v>0</v>
      </c>
      <c r="DF44" s="16" t="n">
        <v>0</v>
      </c>
      <c r="DG44" s="16" t="n">
        <v>0</v>
      </c>
      <c r="DH44" s="16" t="n">
        <v>0</v>
      </c>
      <c r="DI44" s="16" t="n">
        <v>0</v>
      </c>
      <c r="DJ44" s="16" t="n">
        <v>0</v>
      </c>
      <c r="DK44" s="16" t="n">
        <v>0</v>
      </c>
      <c r="DL44" s="16" t="n">
        <v>0</v>
      </c>
      <c r="DM44" s="16" t="n">
        <v>0</v>
      </c>
      <c r="DN44" s="16" t="n">
        <v>0</v>
      </c>
      <c r="DO44" s="16" t="n">
        <v>0</v>
      </c>
      <c r="DP44" s="16" t="n">
        <v>0</v>
      </c>
      <c r="DQ44" s="16" t="n">
        <v>0</v>
      </c>
      <c r="DR44" s="16" t="n">
        <v>0</v>
      </c>
      <c r="DS44" s="16" t="n">
        <v>0</v>
      </c>
      <c r="DT44" s="16" t="n">
        <v>0</v>
      </c>
      <c r="DU44" s="16" t="n">
        <v>0</v>
      </c>
      <c r="DV44" s="16" t="n">
        <v>0</v>
      </c>
      <c r="DW44" s="16" t="n">
        <v>0</v>
      </c>
      <c r="DX44" s="16" t="n">
        <v>0</v>
      </c>
      <c r="DY44" s="16" t="n">
        <v>0</v>
      </c>
      <c r="DZ44" s="16" t="n">
        <v>0</v>
      </c>
      <c r="EA44" s="16" t="n">
        <v>0</v>
      </c>
      <c r="EB44" s="16" t="n">
        <v>0</v>
      </c>
      <c r="EC44" s="16" t="n">
        <v>0</v>
      </c>
      <c r="ED44" s="16" t="n">
        <v>0</v>
      </c>
      <c r="EE44" s="16" t="n">
        <v>0</v>
      </c>
      <c r="EF44" s="16" t="n">
        <v>0</v>
      </c>
    </row>
    <row r="45" customFormat="false" ht="15" hidden="false" customHeight="true" outlineLevel="0" collapsed="false">
      <c r="A45" s="9" t="s">
        <v>12</v>
      </c>
      <c r="B45" s="9" t="s">
        <v>9</v>
      </c>
      <c r="C45" s="9" t="s">
        <v>9</v>
      </c>
      <c r="D45" s="9" t="s">
        <v>337</v>
      </c>
      <c r="E45" s="9" t="s">
        <v>10</v>
      </c>
      <c r="F45" s="9" t="s">
        <v>81</v>
      </c>
      <c r="G45" s="16" t="n">
        <v>0</v>
      </c>
      <c r="H45" s="16" t="n">
        <v>0</v>
      </c>
      <c r="I45" s="16" t="n">
        <v>132.5</v>
      </c>
      <c r="J45" s="16" t="n">
        <v>-132.5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0</v>
      </c>
      <c r="W45" s="16" t="n">
        <v>0</v>
      </c>
      <c r="X45" s="16" t="n">
        <v>0</v>
      </c>
      <c r="Y45" s="16" t="n">
        <v>0</v>
      </c>
      <c r="Z45" s="16" t="n">
        <v>0</v>
      </c>
      <c r="AA45" s="16" t="n">
        <v>0</v>
      </c>
      <c r="AB45" s="16" t="n">
        <v>0</v>
      </c>
      <c r="AC45" s="16" t="n">
        <v>0</v>
      </c>
      <c r="AD45" s="16" t="n">
        <v>0</v>
      </c>
      <c r="AE45" s="16" t="n">
        <v>0</v>
      </c>
      <c r="AF45" s="16" t="n">
        <v>0</v>
      </c>
      <c r="AG45" s="16" t="n">
        <v>0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0</v>
      </c>
      <c r="AN45" s="16" t="n">
        <v>0</v>
      </c>
      <c r="AO45" s="16" t="n">
        <v>3</v>
      </c>
      <c r="AP45" s="16" t="n">
        <v>5.5</v>
      </c>
      <c r="AQ45" s="16" t="n">
        <v>9</v>
      </c>
      <c r="AR45" s="16" t="n">
        <v>0</v>
      </c>
      <c r="AS45" s="16" t="n">
        <v>0</v>
      </c>
      <c r="AT45" s="16" t="n">
        <v>0</v>
      </c>
      <c r="AU45" s="16" t="n">
        <v>0</v>
      </c>
      <c r="AV45" s="16" t="n">
        <v>0</v>
      </c>
      <c r="AW45" s="16" t="n">
        <v>0</v>
      </c>
      <c r="AX45" s="16" t="n">
        <v>0</v>
      </c>
      <c r="AY45" s="16" t="n">
        <v>0</v>
      </c>
      <c r="AZ45" s="16" t="n">
        <v>0</v>
      </c>
      <c r="BA45" s="16" t="n">
        <v>0</v>
      </c>
      <c r="BB45" s="16" t="n">
        <v>0</v>
      </c>
      <c r="BC45" s="16" t="n">
        <v>0</v>
      </c>
      <c r="BD45" s="16" t="n">
        <v>0</v>
      </c>
      <c r="BE45" s="16" t="n">
        <v>0</v>
      </c>
      <c r="BF45" s="16" t="n">
        <v>0</v>
      </c>
      <c r="BG45" s="16" t="n">
        <v>0</v>
      </c>
      <c r="BH45" s="16" t="n">
        <v>0</v>
      </c>
      <c r="BI45" s="16" t="n">
        <v>0</v>
      </c>
      <c r="BJ45" s="16" t="n">
        <v>0</v>
      </c>
      <c r="BK45" s="16" t="n">
        <v>0</v>
      </c>
      <c r="BL45" s="16" t="n">
        <v>0</v>
      </c>
      <c r="BM45" s="16" t="n">
        <v>0</v>
      </c>
      <c r="BN45" s="16" t="n">
        <v>0</v>
      </c>
      <c r="BO45" s="16" t="n">
        <v>0</v>
      </c>
      <c r="BP45" s="16" t="n">
        <v>0</v>
      </c>
      <c r="BQ45" s="16" t="n">
        <v>0</v>
      </c>
      <c r="BR45" s="16" t="n">
        <v>0</v>
      </c>
      <c r="BS45" s="16" t="n">
        <v>0</v>
      </c>
      <c r="BT45" s="16" t="n">
        <v>0</v>
      </c>
      <c r="BU45" s="16" t="n">
        <v>0</v>
      </c>
      <c r="BV45" s="16" t="n">
        <v>0</v>
      </c>
      <c r="BW45" s="16" t="n">
        <v>0</v>
      </c>
      <c r="BX45" s="16" t="n">
        <v>0</v>
      </c>
      <c r="BY45" s="16" t="n">
        <v>0</v>
      </c>
      <c r="BZ45" s="16" t="n">
        <v>0</v>
      </c>
      <c r="CA45" s="16" t="n">
        <v>0</v>
      </c>
      <c r="CB45" s="16" t="n">
        <v>0</v>
      </c>
      <c r="CC45" s="16" t="n">
        <v>0</v>
      </c>
      <c r="CD45" s="16" t="n">
        <v>0</v>
      </c>
      <c r="CE45" s="16" t="n">
        <v>0</v>
      </c>
      <c r="CF45" s="16" t="n">
        <v>0</v>
      </c>
      <c r="CG45" s="16" t="n">
        <v>0</v>
      </c>
      <c r="CH45" s="16" t="n">
        <v>0</v>
      </c>
      <c r="CI45" s="16" t="n">
        <v>0</v>
      </c>
      <c r="CJ45" s="16" t="n">
        <v>0</v>
      </c>
      <c r="CK45" s="16" t="n">
        <v>0</v>
      </c>
      <c r="CL45" s="16" t="n">
        <v>0</v>
      </c>
      <c r="CM45" s="16" t="n">
        <v>0</v>
      </c>
      <c r="CN45" s="16" t="n">
        <v>0</v>
      </c>
      <c r="CO45" s="16" t="n">
        <v>0</v>
      </c>
      <c r="CP45" s="16" t="n">
        <v>0</v>
      </c>
      <c r="CQ45" s="16" t="n">
        <v>0</v>
      </c>
      <c r="CR45" s="16" t="n">
        <v>0</v>
      </c>
      <c r="CS45" s="16" t="n">
        <v>0</v>
      </c>
      <c r="CT45" s="16" t="n">
        <v>1</v>
      </c>
      <c r="CU45" s="16" t="n">
        <v>0</v>
      </c>
      <c r="CV45" s="16" t="n">
        <v>0</v>
      </c>
      <c r="CW45" s="16" t="n">
        <v>8</v>
      </c>
      <c r="CX45" s="16" t="n">
        <v>0</v>
      </c>
      <c r="CY45" s="16" t="n">
        <v>0</v>
      </c>
      <c r="CZ45" s="16" t="n">
        <v>8</v>
      </c>
      <c r="DA45" s="16" t="n">
        <v>8</v>
      </c>
      <c r="DB45" s="16" t="n">
        <v>8</v>
      </c>
      <c r="DC45" s="16" t="n">
        <v>2</v>
      </c>
      <c r="DD45" s="16" t="n">
        <v>0</v>
      </c>
      <c r="DE45" s="16" t="n">
        <v>0</v>
      </c>
      <c r="DF45" s="16" t="n">
        <v>0</v>
      </c>
      <c r="DG45" s="16" t="n">
        <v>0</v>
      </c>
      <c r="DH45" s="16" t="n">
        <v>0</v>
      </c>
      <c r="DI45" s="16" t="n">
        <v>0</v>
      </c>
      <c r="DJ45" s="16" t="n">
        <v>0</v>
      </c>
      <c r="DK45" s="16" t="n">
        <v>0</v>
      </c>
      <c r="DL45" s="16" t="n">
        <v>8</v>
      </c>
      <c r="DM45" s="16" t="n">
        <v>24</v>
      </c>
      <c r="DN45" s="16" t="n">
        <v>8</v>
      </c>
      <c r="DO45" s="16" t="n">
        <v>8</v>
      </c>
      <c r="DP45" s="16" t="n">
        <v>24</v>
      </c>
      <c r="DQ45" s="16" t="n">
        <v>8</v>
      </c>
      <c r="DR45" s="16" t="n">
        <v>0</v>
      </c>
      <c r="DS45" s="16" t="n">
        <v>0</v>
      </c>
      <c r="DT45" s="16" t="n">
        <v>0</v>
      </c>
      <c r="DU45" s="16" t="n">
        <v>0</v>
      </c>
      <c r="DV45" s="16" t="n">
        <v>0</v>
      </c>
      <c r="DW45" s="16" t="n">
        <v>0</v>
      </c>
      <c r="DX45" s="16" t="n">
        <v>0</v>
      </c>
      <c r="DY45" s="16" t="n">
        <v>0</v>
      </c>
      <c r="DZ45" s="16" t="n">
        <v>0</v>
      </c>
      <c r="EA45" s="16" t="n">
        <v>0</v>
      </c>
      <c r="EB45" s="16" t="n">
        <v>0</v>
      </c>
      <c r="EC45" s="16" t="n">
        <v>0</v>
      </c>
      <c r="ED45" s="16" t="n">
        <v>0</v>
      </c>
      <c r="EE45" s="16" t="n">
        <v>0</v>
      </c>
      <c r="EF45" s="16" t="n">
        <v>0</v>
      </c>
    </row>
    <row r="46" customFormat="false" ht="15" hidden="false" customHeight="true" outlineLevel="0" collapsed="false">
      <c r="A46" s="9" t="s">
        <v>12</v>
      </c>
      <c r="B46" s="9" t="s">
        <v>9</v>
      </c>
      <c r="C46" s="9" t="s">
        <v>9</v>
      </c>
      <c r="D46" s="9" t="s">
        <v>338</v>
      </c>
      <c r="E46" s="9" t="s">
        <v>10</v>
      </c>
      <c r="F46" s="9" t="s">
        <v>94</v>
      </c>
      <c r="G46" s="16" t="n">
        <v>76</v>
      </c>
      <c r="H46" s="16" t="n">
        <v>162.5</v>
      </c>
      <c r="I46" s="16" t="n">
        <v>41.5</v>
      </c>
      <c r="J46" s="16" t="n">
        <v>121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0</v>
      </c>
      <c r="Q46" s="16" t="n">
        <v>0</v>
      </c>
      <c r="R46" s="16" t="n">
        <v>0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0</v>
      </c>
      <c r="X46" s="16" t="n">
        <v>0</v>
      </c>
      <c r="Y46" s="16" t="n">
        <v>0</v>
      </c>
      <c r="Z46" s="16" t="n">
        <v>0</v>
      </c>
      <c r="AA46" s="16" t="n">
        <v>0</v>
      </c>
      <c r="AB46" s="16" t="n">
        <v>0</v>
      </c>
      <c r="AC46" s="16" t="n">
        <v>11</v>
      </c>
      <c r="AD46" s="16" t="n">
        <v>5</v>
      </c>
      <c r="AE46" s="16" t="n">
        <v>0.5</v>
      </c>
      <c r="AF46" s="16" t="n">
        <v>3.5</v>
      </c>
      <c r="AG46" s="16" t="n">
        <v>7</v>
      </c>
      <c r="AH46" s="16" t="n">
        <v>0</v>
      </c>
      <c r="AI46" s="16" t="n">
        <v>10</v>
      </c>
      <c r="AJ46" s="16" t="n">
        <v>4.5</v>
      </c>
      <c r="AK46" s="16" t="n">
        <v>0</v>
      </c>
      <c r="AL46" s="16" t="n">
        <v>0</v>
      </c>
      <c r="AM46" s="16" t="n">
        <v>0</v>
      </c>
      <c r="AN46" s="16" t="n">
        <v>0</v>
      </c>
      <c r="AO46" s="16" t="n">
        <v>0</v>
      </c>
      <c r="AP46" s="16" t="n">
        <v>0</v>
      </c>
      <c r="AQ46" s="16" t="n">
        <v>0</v>
      </c>
      <c r="AR46" s="16" t="n">
        <v>0</v>
      </c>
      <c r="AS46" s="16" t="n">
        <v>0</v>
      </c>
      <c r="AT46" s="16" t="n">
        <v>0</v>
      </c>
      <c r="AU46" s="16" t="n">
        <v>0</v>
      </c>
      <c r="AV46" s="16" t="n">
        <v>0</v>
      </c>
      <c r="AW46" s="16" t="n">
        <v>0</v>
      </c>
      <c r="AX46" s="16" t="n">
        <v>0</v>
      </c>
      <c r="AY46" s="16" t="n">
        <v>0</v>
      </c>
      <c r="AZ46" s="16" t="n">
        <v>0</v>
      </c>
      <c r="BA46" s="16" t="n">
        <v>0</v>
      </c>
      <c r="BB46" s="16" t="n">
        <v>0</v>
      </c>
      <c r="BC46" s="16" t="n">
        <v>0</v>
      </c>
      <c r="BD46" s="16" t="n">
        <v>0</v>
      </c>
      <c r="BE46" s="16" t="n">
        <v>0</v>
      </c>
      <c r="BF46" s="16" t="n">
        <v>0</v>
      </c>
      <c r="BG46" s="16" t="n">
        <v>0</v>
      </c>
      <c r="BH46" s="16" t="n">
        <v>0</v>
      </c>
      <c r="BI46" s="16" t="n">
        <v>0</v>
      </c>
      <c r="BJ46" s="16" t="n">
        <v>0</v>
      </c>
      <c r="BK46" s="16" t="n">
        <v>0</v>
      </c>
      <c r="BL46" s="16" t="n">
        <v>0</v>
      </c>
      <c r="BM46" s="16" t="n">
        <v>0</v>
      </c>
      <c r="BN46" s="16" t="n">
        <v>0</v>
      </c>
      <c r="BO46" s="16" t="n">
        <v>0</v>
      </c>
      <c r="BP46" s="16" t="n">
        <v>0</v>
      </c>
      <c r="BQ46" s="16" t="n">
        <v>0</v>
      </c>
      <c r="BR46" s="16" t="n">
        <v>0</v>
      </c>
      <c r="BS46" s="16" t="n">
        <v>0</v>
      </c>
      <c r="BT46" s="16" t="n">
        <v>0</v>
      </c>
      <c r="BU46" s="16" t="n">
        <v>0</v>
      </c>
      <c r="BV46" s="16" t="n">
        <v>0</v>
      </c>
      <c r="BW46" s="16" t="n">
        <v>0</v>
      </c>
      <c r="BX46" s="16" t="n">
        <v>0</v>
      </c>
      <c r="BY46" s="16" t="n">
        <v>0</v>
      </c>
      <c r="BZ46" s="16" t="n">
        <v>0</v>
      </c>
      <c r="CA46" s="16" t="n">
        <v>0</v>
      </c>
      <c r="CB46" s="16" t="n">
        <v>0</v>
      </c>
      <c r="CC46" s="16" t="n">
        <v>0</v>
      </c>
      <c r="CD46" s="16" t="n">
        <v>0</v>
      </c>
      <c r="CE46" s="16" t="n">
        <v>0</v>
      </c>
      <c r="CF46" s="16" t="n">
        <v>0</v>
      </c>
      <c r="CG46" s="16" t="n">
        <v>0</v>
      </c>
      <c r="CH46" s="16" t="n">
        <v>0</v>
      </c>
      <c r="CI46" s="16" t="n">
        <v>0</v>
      </c>
      <c r="CJ46" s="16" t="n">
        <v>0</v>
      </c>
      <c r="CK46" s="16" t="n">
        <v>0</v>
      </c>
      <c r="CL46" s="16" t="n">
        <v>0</v>
      </c>
      <c r="CM46" s="16" t="n">
        <v>0</v>
      </c>
      <c r="CN46" s="16" t="n">
        <v>0</v>
      </c>
      <c r="CO46" s="16" t="n">
        <v>0</v>
      </c>
      <c r="CP46" s="16" t="n">
        <v>0</v>
      </c>
      <c r="CQ46" s="16" t="n">
        <v>0</v>
      </c>
      <c r="CR46" s="16" t="n">
        <v>0</v>
      </c>
      <c r="CS46" s="16" t="n">
        <v>0</v>
      </c>
      <c r="CT46" s="16" t="n">
        <v>0</v>
      </c>
      <c r="CU46" s="16" t="n">
        <v>0</v>
      </c>
      <c r="CV46" s="16" t="n">
        <v>0</v>
      </c>
      <c r="CW46" s="16" t="n">
        <v>0</v>
      </c>
      <c r="CX46" s="16" t="n">
        <v>0</v>
      </c>
      <c r="CY46" s="16" t="n">
        <v>0</v>
      </c>
      <c r="CZ46" s="16" t="n">
        <v>0</v>
      </c>
      <c r="DA46" s="16" t="n">
        <v>0</v>
      </c>
      <c r="DB46" s="16" t="n">
        <v>0</v>
      </c>
      <c r="DC46" s="16" t="n">
        <v>0</v>
      </c>
      <c r="DD46" s="16" t="n">
        <v>0</v>
      </c>
      <c r="DE46" s="16" t="n">
        <v>0</v>
      </c>
      <c r="DF46" s="16" t="n">
        <v>0</v>
      </c>
      <c r="DG46" s="16" t="n">
        <v>0</v>
      </c>
      <c r="DH46" s="16" t="n">
        <v>0</v>
      </c>
      <c r="DI46" s="16" t="n">
        <v>0</v>
      </c>
      <c r="DJ46" s="16" t="n">
        <v>0</v>
      </c>
      <c r="DK46" s="16" t="n">
        <v>0</v>
      </c>
      <c r="DL46" s="16" t="n">
        <v>0</v>
      </c>
      <c r="DM46" s="16" t="n">
        <v>0</v>
      </c>
      <c r="DN46" s="16" t="n">
        <v>0</v>
      </c>
      <c r="DO46" s="16" t="n">
        <v>0</v>
      </c>
      <c r="DP46" s="16" t="n">
        <v>0</v>
      </c>
      <c r="DQ46" s="16" t="n">
        <v>0</v>
      </c>
      <c r="DR46" s="16" t="n">
        <v>0</v>
      </c>
      <c r="DS46" s="16" t="n">
        <v>0</v>
      </c>
      <c r="DT46" s="16" t="n">
        <v>0</v>
      </c>
      <c r="DU46" s="16" t="n">
        <v>0</v>
      </c>
      <c r="DV46" s="16" t="n">
        <v>0</v>
      </c>
      <c r="DW46" s="16" t="n">
        <v>0</v>
      </c>
      <c r="DX46" s="16" t="n">
        <v>0</v>
      </c>
      <c r="DY46" s="16" t="n">
        <v>0</v>
      </c>
      <c r="DZ46" s="16" t="n">
        <v>0</v>
      </c>
      <c r="EA46" s="16" t="n">
        <v>0</v>
      </c>
      <c r="EB46" s="16" t="n">
        <v>0</v>
      </c>
      <c r="EC46" s="16" t="n">
        <v>0</v>
      </c>
      <c r="ED46" s="16" t="n">
        <v>0</v>
      </c>
      <c r="EE46" s="16" t="n">
        <v>0</v>
      </c>
      <c r="EF46" s="16" t="n">
        <v>0</v>
      </c>
    </row>
    <row r="47" customFormat="false" ht="15" hidden="false" customHeight="true" outlineLevel="0" collapsed="false">
      <c r="A47" s="9" t="s">
        <v>12</v>
      </c>
      <c r="B47" s="9" t="s">
        <v>9</v>
      </c>
      <c r="C47" s="9" t="s">
        <v>9</v>
      </c>
      <c r="D47" s="9" t="s">
        <v>337</v>
      </c>
      <c r="E47" s="9" t="s">
        <v>10</v>
      </c>
      <c r="F47" s="9" t="s">
        <v>94</v>
      </c>
      <c r="G47" s="16" t="n">
        <v>0</v>
      </c>
      <c r="H47" s="16" t="n">
        <v>0</v>
      </c>
      <c r="I47" s="16" t="n">
        <v>121.7</v>
      </c>
      <c r="J47" s="16" t="n">
        <v>-121.7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0</v>
      </c>
      <c r="T47" s="16" t="n">
        <v>0</v>
      </c>
      <c r="U47" s="16" t="n">
        <v>0</v>
      </c>
      <c r="V47" s="16" t="n">
        <v>0</v>
      </c>
      <c r="W47" s="16" t="n">
        <v>0</v>
      </c>
      <c r="X47" s="16" t="n">
        <v>0</v>
      </c>
      <c r="Y47" s="16" t="n">
        <v>0</v>
      </c>
      <c r="Z47" s="16" t="n">
        <v>0</v>
      </c>
      <c r="AA47" s="16" t="n">
        <v>0</v>
      </c>
      <c r="AB47" s="16" t="n">
        <v>0</v>
      </c>
      <c r="AC47" s="16" t="n">
        <v>0</v>
      </c>
      <c r="AD47" s="16" t="n">
        <v>0</v>
      </c>
      <c r="AE47" s="16" t="n">
        <v>0</v>
      </c>
      <c r="AF47" s="16" t="n">
        <v>0</v>
      </c>
      <c r="AG47" s="16" t="n">
        <v>0</v>
      </c>
      <c r="AH47" s="16" t="n">
        <v>0</v>
      </c>
      <c r="AI47" s="16" t="n">
        <v>0</v>
      </c>
      <c r="AJ47" s="16" t="n">
        <v>0</v>
      </c>
      <c r="AK47" s="16" t="n">
        <v>0</v>
      </c>
      <c r="AL47" s="16" t="n">
        <v>4</v>
      </c>
      <c r="AM47" s="16" t="n">
        <v>0.5</v>
      </c>
      <c r="AN47" s="16" t="n">
        <v>0.5</v>
      </c>
      <c r="AO47" s="16" t="n">
        <v>25.2</v>
      </c>
      <c r="AP47" s="16" t="n">
        <v>2.5</v>
      </c>
      <c r="AQ47" s="16" t="n">
        <v>2.5</v>
      </c>
      <c r="AR47" s="16" t="n">
        <v>0</v>
      </c>
      <c r="AS47" s="16" t="n">
        <v>0</v>
      </c>
      <c r="AT47" s="16" t="n">
        <v>0</v>
      </c>
      <c r="AU47" s="16" t="n">
        <v>0</v>
      </c>
      <c r="AV47" s="16" t="n">
        <v>0</v>
      </c>
      <c r="AW47" s="16" t="n">
        <v>0</v>
      </c>
      <c r="AX47" s="16" t="n">
        <v>0</v>
      </c>
      <c r="AY47" s="16" t="n">
        <v>0</v>
      </c>
      <c r="AZ47" s="16" t="n">
        <v>0</v>
      </c>
      <c r="BA47" s="16" t="n">
        <v>0</v>
      </c>
      <c r="BB47" s="16" t="n">
        <v>0</v>
      </c>
      <c r="BC47" s="16" t="n">
        <v>0</v>
      </c>
      <c r="BD47" s="16" t="n">
        <v>0</v>
      </c>
      <c r="BE47" s="16" t="n">
        <v>0</v>
      </c>
      <c r="BF47" s="16" t="n">
        <v>0</v>
      </c>
      <c r="BG47" s="16" t="n">
        <v>0</v>
      </c>
      <c r="BH47" s="16" t="n">
        <v>0</v>
      </c>
      <c r="BI47" s="16" t="n">
        <v>0</v>
      </c>
      <c r="BJ47" s="16" t="n">
        <v>0</v>
      </c>
      <c r="BK47" s="16" t="n">
        <v>0</v>
      </c>
      <c r="BL47" s="16" t="n">
        <v>0</v>
      </c>
      <c r="BM47" s="16" t="n">
        <v>0</v>
      </c>
      <c r="BN47" s="16" t="n">
        <v>0</v>
      </c>
      <c r="BO47" s="16" t="n">
        <v>0</v>
      </c>
      <c r="BP47" s="16" t="n">
        <v>0</v>
      </c>
      <c r="BQ47" s="16" t="n">
        <v>0</v>
      </c>
      <c r="BR47" s="16" t="n">
        <v>0</v>
      </c>
      <c r="BS47" s="16" t="n">
        <v>0</v>
      </c>
      <c r="BT47" s="16" t="n">
        <v>0</v>
      </c>
      <c r="BU47" s="16" t="n">
        <v>0</v>
      </c>
      <c r="BV47" s="16" t="n">
        <v>0</v>
      </c>
      <c r="BW47" s="16" t="n">
        <v>0</v>
      </c>
      <c r="BX47" s="16" t="n">
        <v>0</v>
      </c>
      <c r="BY47" s="16" t="n">
        <v>0</v>
      </c>
      <c r="BZ47" s="16" t="n">
        <v>0</v>
      </c>
      <c r="CA47" s="16" t="n">
        <v>0</v>
      </c>
      <c r="CB47" s="16" t="n">
        <v>0</v>
      </c>
      <c r="CC47" s="16" t="n">
        <v>0</v>
      </c>
      <c r="CD47" s="16" t="n">
        <v>0</v>
      </c>
      <c r="CE47" s="16" t="n">
        <v>0</v>
      </c>
      <c r="CF47" s="16" t="n">
        <v>0</v>
      </c>
      <c r="CG47" s="16" t="n">
        <v>0</v>
      </c>
      <c r="CH47" s="16" t="n">
        <v>0</v>
      </c>
      <c r="CI47" s="16" t="n">
        <v>0</v>
      </c>
      <c r="CJ47" s="16" t="n">
        <v>0</v>
      </c>
      <c r="CK47" s="16" t="n">
        <v>0</v>
      </c>
      <c r="CL47" s="16" t="n">
        <v>0</v>
      </c>
      <c r="CM47" s="16" t="n">
        <v>0</v>
      </c>
      <c r="CN47" s="16" t="n">
        <v>0</v>
      </c>
      <c r="CO47" s="16" t="n">
        <v>0</v>
      </c>
      <c r="CP47" s="16" t="n">
        <v>0</v>
      </c>
      <c r="CQ47" s="16" t="n">
        <v>0</v>
      </c>
      <c r="CR47" s="16" t="n">
        <v>0</v>
      </c>
      <c r="CS47" s="16" t="n">
        <v>0</v>
      </c>
      <c r="CT47" s="16" t="n">
        <v>0.5</v>
      </c>
      <c r="CU47" s="16" t="n">
        <v>0</v>
      </c>
      <c r="CV47" s="16" t="n">
        <v>0</v>
      </c>
      <c r="CW47" s="16" t="n">
        <v>0</v>
      </c>
      <c r="CX47" s="16" t="n">
        <v>0.5</v>
      </c>
      <c r="CY47" s="16" t="n">
        <v>0</v>
      </c>
      <c r="CZ47" s="16" t="n">
        <v>2</v>
      </c>
      <c r="DA47" s="16" t="n">
        <v>0</v>
      </c>
      <c r="DB47" s="16" t="n">
        <v>3</v>
      </c>
      <c r="DC47" s="16" t="n">
        <v>3</v>
      </c>
      <c r="DD47" s="16" t="n">
        <v>1</v>
      </c>
      <c r="DE47" s="16" t="n">
        <v>0</v>
      </c>
      <c r="DF47" s="16" t="n">
        <v>7.5</v>
      </c>
      <c r="DG47" s="16" t="n">
        <v>0</v>
      </c>
      <c r="DH47" s="16" t="n">
        <v>0</v>
      </c>
      <c r="DI47" s="16" t="n">
        <v>0</v>
      </c>
      <c r="DJ47" s="16" t="n">
        <v>0</v>
      </c>
      <c r="DK47" s="16" t="n">
        <v>0</v>
      </c>
      <c r="DL47" s="16" t="n">
        <v>0</v>
      </c>
      <c r="DM47" s="16" t="n">
        <v>3</v>
      </c>
      <c r="DN47" s="16" t="n">
        <v>7</v>
      </c>
      <c r="DO47" s="16" t="n">
        <v>5</v>
      </c>
      <c r="DP47" s="16" t="n">
        <v>36</v>
      </c>
      <c r="DQ47" s="16" t="n">
        <v>18</v>
      </c>
      <c r="DR47" s="16" t="n">
        <v>0</v>
      </c>
      <c r="DS47" s="16" t="n">
        <v>0</v>
      </c>
      <c r="DT47" s="16" t="n">
        <v>0</v>
      </c>
      <c r="DU47" s="16" t="n">
        <v>0</v>
      </c>
      <c r="DV47" s="16" t="n">
        <v>0</v>
      </c>
      <c r="DW47" s="16" t="n">
        <v>0</v>
      </c>
      <c r="DX47" s="16" t="n">
        <v>0</v>
      </c>
      <c r="DY47" s="16" t="n">
        <v>0</v>
      </c>
      <c r="DZ47" s="16" t="n">
        <v>0</v>
      </c>
      <c r="EA47" s="16" t="n">
        <v>0</v>
      </c>
      <c r="EB47" s="16" t="n">
        <v>0</v>
      </c>
      <c r="EC47" s="16" t="n">
        <v>0</v>
      </c>
      <c r="ED47" s="16" t="n">
        <v>0</v>
      </c>
      <c r="EE47" s="16" t="n">
        <v>0</v>
      </c>
      <c r="EF47" s="16" t="n">
        <v>0</v>
      </c>
    </row>
    <row r="48" customFormat="false" ht="15" hidden="false" customHeight="true" outlineLevel="0" collapsed="false">
      <c r="A48" s="9" t="s">
        <v>12</v>
      </c>
      <c r="B48" s="9" t="s">
        <v>9</v>
      </c>
      <c r="C48" s="9" t="s">
        <v>9</v>
      </c>
      <c r="D48" s="9" t="s">
        <v>338</v>
      </c>
      <c r="E48" s="9" t="s">
        <v>10</v>
      </c>
      <c r="F48" s="9" t="s">
        <v>95</v>
      </c>
      <c r="G48" s="16" t="n">
        <v>206</v>
      </c>
      <c r="H48" s="16" t="n">
        <v>473</v>
      </c>
      <c r="I48" s="16" t="n">
        <v>98</v>
      </c>
      <c r="J48" s="16" t="n">
        <v>375</v>
      </c>
      <c r="K48" s="16" t="n">
        <v>0</v>
      </c>
      <c r="L48" s="16" t="n">
        <v>0</v>
      </c>
      <c r="M48" s="16" t="n">
        <v>0</v>
      </c>
      <c r="N48" s="16" t="n">
        <v>0</v>
      </c>
      <c r="O48" s="16" t="n">
        <v>0</v>
      </c>
      <c r="P48" s="16" t="n">
        <v>0</v>
      </c>
      <c r="Q48" s="16" t="n">
        <v>0</v>
      </c>
      <c r="R48" s="16" t="n">
        <v>0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0</v>
      </c>
      <c r="X48" s="16" t="n">
        <v>0</v>
      </c>
      <c r="Y48" s="16" t="n">
        <v>0</v>
      </c>
      <c r="Z48" s="16" t="n">
        <v>0</v>
      </c>
      <c r="AA48" s="16" t="n">
        <v>0</v>
      </c>
      <c r="AB48" s="16" t="n">
        <v>0</v>
      </c>
      <c r="AC48" s="16" t="n">
        <v>6</v>
      </c>
      <c r="AD48" s="16" t="n">
        <v>15.5</v>
      </c>
      <c r="AE48" s="16" t="n">
        <v>20</v>
      </c>
      <c r="AF48" s="16" t="n">
        <v>21</v>
      </c>
      <c r="AG48" s="16" t="n">
        <v>20.5</v>
      </c>
      <c r="AH48" s="16" t="n">
        <v>0</v>
      </c>
      <c r="AI48" s="16" t="n">
        <v>6</v>
      </c>
      <c r="AJ48" s="16" t="n">
        <v>9</v>
      </c>
      <c r="AK48" s="16" t="n">
        <v>0</v>
      </c>
      <c r="AL48" s="16" t="n">
        <v>0</v>
      </c>
      <c r="AM48" s="16" t="n">
        <v>0</v>
      </c>
      <c r="AN48" s="16" t="n">
        <v>0</v>
      </c>
      <c r="AO48" s="16" t="n">
        <v>0</v>
      </c>
      <c r="AP48" s="16" t="n">
        <v>0</v>
      </c>
      <c r="AQ48" s="16" t="n">
        <v>0</v>
      </c>
      <c r="AR48" s="16" t="n">
        <v>0</v>
      </c>
      <c r="AS48" s="16" t="n">
        <v>0</v>
      </c>
      <c r="AT48" s="16" t="n">
        <v>0</v>
      </c>
      <c r="AU48" s="16" t="n">
        <v>0</v>
      </c>
      <c r="AV48" s="16" t="n">
        <v>0</v>
      </c>
      <c r="AW48" s="16" t="n">
        <v>0</v>
      </c>
      <c r="AX48" s="16" t="n">
        <v>0</v>
      </c>
      <c r="AY48" s="16" t="n">
        <v>0</v>
      </c>
      <c r="AZ48" s="16" t="n">
        <v>0</v>
      </c>
      <c r="BA48" s="16" t="n">
        <v>0</v>
      </c>
      <c r="BB48" s="16" t="n">
        <v>0</v>
      </c>
      <c r="BC48" s="16" t="n">
        <v>0</v>
      </c>
      <c r="BD48" s="16" t="n">
        <v>0</v>
      </c>
      <c r="BE48" s="16" t="n">
        <v>0</v>
      </c>
      <c r="BF48" s="16" t="n">
        <v>0</v>
      </c>
      <c r="BG48" s="16" t="n">
        <v>0</v>
      </c>
      <c r="BH48" s="16" t="n">
        <v>0</v>
      </c>
      <c r="BI48" s="16" t="n">
        <v>0</v>
      </c>
      <c r="BJ48" s="16" t="n">
        <v>0</v>
      </c>
      <c r="BK48" s="16" t="n">
        <v>0</v>
      </c>
      <c r="BL48" s="16" t="n">
        <v>0</v>
      </c>
      <c r="BM48" s="16" t="n">
        <v>0</v>
      </c>
      <c r="BN48" s="16" t="n">
        <v>0</v>
      </c>
      <c r="BO48" s="16" t="n">
        <v>0</v>
      </c>
      <c r="BP48" s="16" t="n">
        <v>0</v>
      </c>
      <c r="BQ48" s="16" t="n">
        <v>0</v>
      </c>
      <c r="BR48" s="16" t="n">
        <v>0</v>
      </c>
      <c r="BS48" s="16" t="n">
        <v>0</v>
      </c>
      <c r="BT48" s="16" t="n">
        <v>0</v>
      </c>
      <c r="BU48" s="16" t="n">
        <v>0</v>
      </c>
      <c r="BV48" s="16" t="n">
        <v>0</v>
      </c>
      <c r="BW48" s="16" t="n">
        <v>0</v>
      </c>
      <c r="BX48" s="16" t="n">
        <v>0</v>
      </c>
      <c r="BY48" s="16" t="n">
        <v>0</v>
      </c>
      <c r="BZ48" s="16" t="n">
        <v>0</v>
      </c>
      <c r="CA48" s="16" t="n">
        <v>0</v>
      </c>
      <c r="CB48" s="16" t="n">
        <v>0</v>
      </c>
      <c r="CC48" s="16" t="n">
        <v>0</v>
      </c>
      <c r="CD48" s="16" t="n">
        <v>0</v>
      </c>
      <c r="CE48" s="16" t="n">
        <v>0</v>
      </c>
      <c r="CF48" s="16" t="n">
        <v>0</v>
      </c>
      <c r="CG48" s="16" t="n">
        <v>0</v>
      </c>
      <c r="CH48" s="16" t="n">
        <v>0</v>
      </c>
      <c r="CI48" s="16" t="n">
        <v>0</v>
      </c>
      <c r="CJ48" s="16" t="n">
        <v>0</v>
      </c>
      <c r="CK48" s="16" t="n">
        <v>0</v>
      </c>
      <c r="CL48" s="16" t="n">
        <v>0</v>
      </c>
      <c r="CM48" s="16" t="n">
        <v>0</v>
      </c>
      <c r="CN48" s="16" t="n">
        <v>0</v>
      </c>
      <c r="CO48" s="16" t="n">
        <v>0</v>
      </c>
      <c r="CP48" s="16" t="n">
        <v>0</v>
      </c>
      <c r="CQ48" s="16" t="n">
        <v>0</v>
      </c>
      <c r="CR48" s="16" t="n">
        <v>0</v>
      </c>
      <c r="CS48" s="16" t="n">
        <v>0</v>
      </c>
      <c r="CT48" s="16" t="n">
        <v>0</v>
      </c>
      <c r="CU48" s="16" t="n">
        <v>0</v>
      </c>
      <c r="CV48" s="16" t="n">
        <v>0</v>
      </c>
      <c r="CW48" s="16" t="n">
        <v>0</v>
      </c>
      <c r="CX48" s="16" t="n">
        <v>0</v>
      </c>
      <c r="CY48" s="16" t="n">
        <v>0</v>
      </c>
      <c r="CZ48" s="16" t="n">
        <v>0</v>
      </c>
      <c r="DA48" s="16" t="n">
        <v>0</v>
      </c>
      <c r="DB48" s="16" t="n">
        <v>0</v>
      </c>
      <c r="DC48" s="16" t="n">
        <v>0</v>
      </c>
      <c r="DD48" s="16" t="n">
        <v>0</v>
      </c>
      <c r="DE48" s="16" t="n">
        <v>0</v>
      </c>
      <c r="DF48" s="16" t="n">
        <v>0</v>
      </c>
      <c r="DG48" s="16" t="n">
        <v>0</v>
      </c>
      <c r="DH48" s="16" t="n">
        <v>0</v>
      </c>
      <c r="DI48" s="16" t="n">
        <v>0</v>
      </c>
      <c r="DJ48" s="16" t="n">
        <v>0</v>
      </c>
      <c r="DK48" s="16" t="n">
        <v>0</v>
      </c>
      <c r="DL48" s="16" t="n">
        <v>0</v>
      </c>
      <c r="DM48" s="16" t="n">
        <v>0</v>
      </c>
      <c r="DN48" s="16" t="n">
        <v>0</v>
      </c>
      <c r="DO48" s="16" t="n">
        <v>0</v>
      </c>
      <c r="DP48" s="16" t="n">
        <v>0</v>
      </c>
      <c r="DQ48" s="16" t="n">
        <v>0</v>
      </c>
      <c r="DR48" s="16" t="n">
        <v>0</v>
      </c>
      <c r="DS48" s="16" t="n">
        <v>0</v>
      </c>
      <c r="DT48" s="16" t="n">
        <v>0</v>
      </c>
      <c r="DU48" s="16" t="n">
        <v>0</v>
      </c>
      <c r="DV48" s="16" t="n">
        <v>0</v>
      </c>
      <c r="DW48" s="16" t="n">
        <v>0</v>
      </c>
      <c r="DX48" s="16" t="n">
        <v>0</v>
      </c>
      <c r="DY48" s="16" t="n">
        <v>0</v>
      </c>
      <c r="DZ48" s="16" t="n">
        <v>0</v>
      </c>
      <c r="EA48" s="16" t="n">
        <v>0</v>
      </c>
      <c r="EB48" s="16" t="n">
        <v>0</v>
      </c>
      <c r="EC48" s="16" t="n">
        <v>0</v>
      </c>
      <c r="ED48" s="16" t="n">
        <v>0</v>
      </c>
      <c r="EE48" s="16" t="n">
        <v>0</v>
      </c>
      <c r="EF48" s="16" t="n">
        <v>0</v>
      </c>
    </row>
    <row r="49" customFormat="false" ht="15" hidden="false" customHeight="true" outlineLevel="0" collapsed="false">
      <c r="A49" s="9" t="s">
        <v>12</v>
      </c>
      <c r="B49" s="9" t="s">
        <v>9</v>
      </c>
      <c r="C49" s="9" t="s">
        <v>9</v>
      </c>
      <c r="D49" s="9" t="s">
        <v>337</v>
      </c>
      <c r="E49" s="9" t="s">
        <v>10</v>
      </c>
      <c r="F49" s="9" t="s">
        <v>95</v>
      </c>
      <c r="G49" s="16" t="n">
        <v>0</v>
      </c>
      <c r="H49" s="16" t="n">
        <v>0</v>
      </c>
      <c r="I49" s="16" t="n">
        <v>376</v>
      </c>
      <c r="J49" s="16" t="n">
        <v>-376</v>
      </c>
      <c r="K49" s="16" t="n">
        <v>0</v>
      </c>
      <c r="L49" s="16" t="n">
        <v>0</v>
      </c>
      <c r="M49" s="16" t="n">
        <v>0</v>
      </c>
      <c r="N49" s="16" t="n">
        <v>0</v>
      </c>
      <c r="O49" s="16" t="n">
        <v>0</v>
      </c>
      <c r="P49" s="16" t="n">
        <v>0</v>
      </c>
      <c r="Q49" s="16" t="n">
        <v>0</v>
      </c>
      <c r="R49" s="16" t="n">
        <v>0</v>
      </c>
      <c r="S49" s="16" t="n">
        <v>0</v>
      </c>
      <c r="T49" s="16" t="n">
        <v>0</v>
      </c>
      <c r="U49" s="16" t="n">
        <v>0</v>
      </c>
      <c r="V49" s="16" t="n">
        <v>0</v>
      </c>
      <c r="W49" s="16" t="n">
        <v>0</v>
      </c>
      <c r="X49" s="16" t="n">
        <v>0</v>
      </c>
      <c r="Y49" s="16" t="n">
        <v>0</v>
      </c>
      <c r="Z49" s="16" t="n">
        <v>0</v>
      </c>
      <c r="AA49" s="16" t="n">
        <v>0</v>
      </c>
      <c r="AB49" s="16" t="n">
        <v>0</v>
      </c>
      <c r="AC49" s="16" t="n">
        <v>0</v>
      </c>
      <c r="AD49" s="16" t="n">
        <v>0</v>
      </c>
      <c r="AE49" s="16" t="n">
        <v>0</v>
      </c>
      <c r="AF49" s="16" t="n">
        <v>0</v>
      </c>
      <c r="AG49" s="16" t="n">
        <v>0</v>
      </c>
      <c r="AH49" s="16" t="n">
        <v>0</v>
      </c>
      <c r="AI49" s="16" t="n">
        <v>0</v>
      </c>
      <c r="AJ49" s="16" t="n">
        <v>14</v>
      </c>
      <c r="AK49" s="16" t="n">
        <v>29.5</v>
      </c>
      <c r="AL49" s="16" t="n">
        <v>26.5</v>
      </c>
      <c r="AM49" s="16" t="n">
        <v>13</v>
      </c>
      <c r="AN49" s="16" t="n">
        <v>10</v>
      </c>
      <c r="AO49" s="16" t="n">
        <v>0.5</v>
      </c>
      <c r="AP49" s="16" t="n">
        <v>4</v>
      </c>
      <c r="AQ49" s="16" t="n">
        <v>3</v>
      </c>
      <c r="AR49" s="16" t="n">
        <v>8.5</v>
      </c>
      <c r="AS49" s="16" t="n">
        <v>0</v>
      </c>
      <c r="AT49" s="16" t="n">
        <v>0</v>
      </c>
      <c r="AU49" s="16" t="n">
        <v>0</v>
      </c>
      <c r="AV49" s="16" t="n">
        <v>0</v>
      </c>
      <c r="AW49" s="16" t="n">
        <v>0</v>
      </c>
      <c r="AX49" s="16" t="n">
        <v>0</v>
      </c>
      <c r="AY49" s="16" t="n">
        <v>0</v>
      </c>
      <c r="AZ49" s="16" t="n">
        <v>0</v>
      </c>
      <c r="BA49" s="16" t="n">
        <v>0</v>
      </c>
      <c r="BB49" s="16" t="n">
        <v>0</v>
      </c>
      <c r="BC49" s="16" t="n">
        <v>0</v>
      </c>
      <c r="BD49" s="16" t="n">
        <v>0</v>
      </c>
      <c r="BE49" s="16" t="n">
        <v>0</v>
      </c>
      <c r="BF49" s="16" t="n">
        <v>0</v>
      </c>
      <c r="BG49" s="16" t="n">
        <v>0</v>
      </c>
      <c r="BH49" s="16" t="n">
        <v>0</v>
      </c>
      <c r="BI49" s="16" t="n">
        <v>0</v>
      </c>
      <c r="BJ49" s="16" t="n">
        <v>0</v>
      </c>
      <c r="BK49" s="16" t="n">
        <v>0</v>
      </c>
      <c r="BL49" s="16" t="n">
        <v>0</v>
      </c>
      <c r="BM49" s="16" t="n">
        <v>0</v>
      </c>
      <c r="BN49" s="16" t="n">
        <v>0</v>
      </c>
      <c r="BO49" s="16" t="n">
        <v>0</v>
      </c>
      <c r="BP49" s="16" t="n">
        <v>0</v>
      </c>
      <c r="BQ49" s="16" t="n">
        <v>0</v>
      </c>
      <c r="BR49" s="16" t="n">
        <v>0</v>
      </c>
      <c r="BS49" s="16" t="n">
        <v>0</v>
      </c>
      <c r="BT49" s="16" t="n">
        <v>0</v>
      </c>
      <c r="BU49" s="16" t="n">
        <v>0</v>
      </c>
      <c r="BV49" s="16" t="n">
        <v>0</v>
      </c>
      <c r="BW49" s="16" t="n">
        <v>0</v>
      </c>
      <c r="BX49" s="16" t="n">
        <v>0</v>
      </c>
      <c r="BY49" s="16" t="n">
        <v>0</v>
      </c>
      <c r="BZ49" s="16" t="n">
        <v>0</v>
      </c>
      <c r="CA49" s="16" t="n">
        <v>0</v>
      </c>
      <c r="CB49" s="16" t="n">
        <v>0</v>
      </c>
      <c r="CC49" s="16" t="n">
        <v>0</v>
      </c>
      <c r="CD49" s="16" t="n">
        <v>0</v>
      </c>
      <c r="CE49" s="16" t="n">
        <v>0</v>
      </c>
      <c r="CF49" s="16" t="n">
        <v>0</v>
      </c>
      <c r="CG49" s="16" t="n">
        <v>0</v>
      </c>
      <c r="CH49" s="16" t="n">
        <v>0</v>
      </c>
      <c r="CI49" s="16" t="n">
        <v>0</v>
      </c>
      <c r="CJ49" s="16" t="n">
        <v>0</v>
      </c>
      <c r="CK49" s="16" t="n">
        <v>0</v>
      </c>
      <c r="CL49" s="16" t="n">
        <v>0</v>
      </c>
      <c r="CM49" s="16" t="n">
        <v>0</v>
      </c>
      <c r="CN49" s="16" t="n">
        <v>0</v>
      </c>
      <c r="CO49" s="16" t="n">
        <v>0</v>
      </c>
      <c r="CP49" s="16" t="n">
        <v>0</v>
      </c>
      <c r="CQ49" s="16" t="n">
        <v>0</v>
      </c>
      <c r="CR49" s="16" t="n">
        <v>0</v>
      </c>
      <c r="CS49" s="16" t="n">
        <v>0</v>
      </c>
      <c r="CT49" s="16" t="n">
        <v>0</v>
      </c>
      <c r="CU49" s="16" t="n">
        <v>0</v>
      </c>
      <c r="CV49" s="16" t="n">
        <v>0</v>
      </c>
      <c r="CW49" s="16" t="n">
        <v>0</v>
      </c>
      <c r="CX49" s="16" t="n">
        <v>0</v>
      </c>
      <c r="CY49" s="16" t="n">
        <v>3</v>
      </c>
      <c r="CZ49" s="16" t="n">
        <v>0</v>
      </c>
      <c r="DA49" s="16" t="n">
        <v>2</v>
      </c>
      <c r="DB49" s="16" t="n">
        <v>2</v>
      </c>
      <c r="DC49" s="16" t="n">
        <v>7</v>
      </c>
      <c r="DD49" s="16" t="n">
        <v>16</v>
      </c>
      <c r="DE49" s="16" t="n">
        <v>3</v>
      </c>
      <c r="DF49" s="16" t="n">
        <v>24</v>
      </c>
      <c r="DG49" s="16" t="n">
        <v>36</v>
      </c>
      <c r="DH49" s="16" t="n">
        <v>14</v>
      </c>
      <c r="DI49" s="16" t="n">
        <v>3</v>
      </c>
      <c r="DJ49" s="16" t="n">
        <v>0</v>
      </c>
      <c r="DK49" s="16" t="n">
        <v>0</v>
      </c>
      <c r="DL49" s="16" t="n">
        <v>6</v>
      </c>
      <c r="DM49" s="16" t="n">
        <v>3</v>
      </c>
      <c r="DN49" s="16" t="n">
        <v>14</v>
      </c>
      <c r="DO49" s="16" t="n">
        <v>58</v>
      </c>
      <c r="DP49" s="16" t="n">
        <v>67</v>
      </c>
      <c r="DQ49" s="16" t="n">
        <v>9</v>
      </c>
      <c r="DR49" s="16" t="n">
        <v>0</v>
      </c>
      <c r="DS49" s="16" t="n">
        <v>0</v>
      </c>
      <c r="DT49" s="16" t="n">
        <v>0</v>
      </c>
      <c r="DU49" s="16" t="n">
        <v>0</v>
      </c>
      <c r="DV49" s="16" t="n">
        <v>0</v>
      </c>
      <c r="DW49" s="16" t="n">
        <v>0</v>
      </c>
      <c r="DX49" s="16" t="n">
        <v>0</v>
      </c>
      <c r="DY49" s="16" t="n">
        <v>0</v>
      </c>
      <c r="DZ49" s="16" t="n">
        <v>0</v>
      </c>
      <c r="EA49" s="16" t="n">
        <v>0</v>
      </c>
      <c r="EB49" s="16" t="n">
        <v>0</v>
      </c>
      <c r="EC49" s="16" t="n">
        <v>0</v>
      </c>
      <c r="ED49" s="16" t="n">
        <v>0</v>
      </c>
      <c r="EE49" s="16" t="n">
        <v>0</v>
      </c>
      <c r="EF49" s="16" t="n">
        <v>0</v>
      </c>
    </row>
    <row r="50" customFormat="false" ht="15" hidden="false" customHeight="true" outlineLevel="0" collapsed="false">
      <c r="A50" s="9" t="s">
        <v>12</v>
      </c>
      <c r="B50" s="9" t="s">
        <v>9</v>
      </c>
      <c r="C50" s="9" t="s">
        <v>9</v>
      </c>
      <c r="D50" s="9" t="s">
        <v>338</v>
      </c>
      <c r="E50" s="9" t="s">
        <v>10</v>
      </c>
      <c r="F50" s="9" t="s">
        <v>82</v>
      </c>
      <c r="G50" s="16" t="n">
        <v>12.1</v>
      </c>
      <c r="H50" s="16" t="n">
        <v>12.1</v>
      </c>
      <c r="I50" s="16" t="n">
        <v>12.1</v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0</v>
      </c>
      <c r="P50" s="16" t="n">
        <v>0</v>
      </c>
      <c r="Q50" s="16" t="n">
        <v>0</v>
      </c>
      <c r="R50" s="16" t="n">
        <v>0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0</v>
      </c>
      <c r="X50" s="16" t="n">
        <v>0</v>
      </c>
      <c r="Y50" s="16" t="n">
        <v>0</v>
      </c>
      <c r="Z50" s="16" t="n">
        <v>0</v>
      </c>
      <c r="AA50" s="16" t="n">
        <v>0</v>
      </c>
      <c r="AB50" s="16" t="n">
        <v>12.1</v>
      </c>
      <c r="AC50" s="16" t="n">
        <v>0</v>
      </c>
      <c r="AD50" s="16" t="n">
        <v>0</v>
      </c>
      <c r="AE50" s="16" t="n">
        <v>0</v>
      </c>
      <c r="AF50" s="16" t="n">
        <v>0</v>
      </c>
      <c r="AG50" s="16" t="n">
        <v>0</v>
      </c>
      <c r="AH50" s="16" t="n">
        <v>0</v>
      </c>
      <c r="AI50" s="16" t="n">
        <v>0</v>
      </c>
      <c r="AJ50" s="16" t="n">
        <v>0</v>
      </c>
      <c r="AK50" s="16" t="n">
        <v>0</v>
      </c>
      <c r="AL50" s="16" t="n">
        <v>0</v>
      </c>
      <c r="AM50" s="16" t="n">
        <v>0</v>
      </c>
      <c r="AN50" s="16" t="n">
        <v>0</v>
      </c>
      <c r="AO50" s="16" t="n">
        <v>0</v>
      </c>
      <c r="AP50" s="16" t="n">
        <v>0</v>
      </c>
      <c r="AQ50" s="16" t="n">
        <v>0</v>
      </c>
      <c r="AR50" s="16" t="n">
        <v>0</v>
      </c>
      <c r="AS50" s="16" t="n">
        <v>0</v>
      </c>
      <c r="AT50" s="16" t="n">
        <v>0</v>
      </c>
      <c r="AU50" s="16" t="n">
        <v>0</v>
      </c>
      <c r="AV50" s="16" t="n">
        <v>0</v>
      </c>
      <c r="AW50" s="16" t="n">
        <v>0</v>
      </c>
      <c r="AX50" s="16" t="n">
        <v>0</v>
      </c>
      <c r="AY50" s="16" t="n">
        <v>0</v>
      </c>
      <c r="AZ50" s="16" t="n">
        <v>0</v>
      </c>
      <c r="BA50" s="16" t="n">
        <v>0</v>
      </c>
      <c r="BB50" s="16" t="n">
        <v>0</v>
      </c>
      <c r="BC50" s="16" t="n">
        <v>0</v>
      </c>
      <c r="BD50" s="16" t="n">
        <v>0</v>
      </c>
      <c r="BE50" s="16" t="n">
        <v>0</v>
      </c>
      <c r="BF50" s="16" t="n">
        <v>0</v>
      </c>
      <c r="BG50" s="16" t="n">
        <v>0</v>
      </c>
      <c r="BH50" s="16" t="n">
        <v>0</v>
      </c>
      <c r="BI50" s="16" t="n">
        <v>0</v>
      </c>
      <c r="BJ50" s="16" t="n">
        <v>0</v>
      </c>
      <c r="BK50" s="16" t="n">
        <v>0</v>
      </c>
      <c r="BL50" s="16" t="n">
        <v>0</v>
      </c>
      <c r="BM50" s="16" t="n">
        <v>0</v>
      </c>
      <c r="BN50" s="16" t="n">
        <v>0</v>
      </c>
      <c r="BO50" s="16" t="n">
        <v>0</v>
      </c>
      <c r="BP50" s="16" t="n">
        <v>0</v>
      </c>
      <c r="BQ50" s="16" t="n">
        <v>0</v>
      </c>
      <c r="BR50" s="16" t="n">
        <v>0</v>
      </c>
      <c r="BS50" s="16" t="n">
        <v>0</v>
      </c>
      <c r="BT50" s="16" t="n">
        <v>0</v>
      </c>
      <c r="BU50" s="16" t="n">
        <v>0</v>
      </c>
      <c r="BV50" s="16" t="n">
        <v>0</v>
      </c>
      <c r="BW50" s="16" t="n">
        <v>0</v>
      </c>
      <c r="BX50" s="16" t="n">
        <v>0</v>
      </c>
      <c r="BY50" s="16" t="n">
        <v>0</v>
      </c>
      <c r="BZ50" s="16" t="n">
        <v>0</v>
      </c>
      <c r="CA50" s="16" t="n">
        <v>0</v>
      </c>
      <c r="CB50" s="16" t="n">
        <v>0</v>
      </c>
      <c r="CC50" s="16" t="n">
        <v>0</v>
      </c>
      <c r="CD50" s="16" t="n">
        <v>0</v>
      </c>
      <c r="CE50" s="16" t="n">
        <v>0</v>
      </c>
      <c r="CF50" s="16" t="n">
        <v>0</v>
      </c>
      <c r="CG50" s="16" t="n">
        <v>0</v>
      </c>
      <c r="CH50" s="16" t="n">
        <v>0</v>
      </c>
      <c r="CI50" s="16" t="n">
        <v>0</v>
      </c>
      <c r="CJ50" s="16" t="n">
        <v>0</v>
      </c>
      <c r="CK50" s="16" t="n">
        <v>0</v>
      </c>
      <c r="CL50" s="16" t="n">
        <v>0</v>
      </c>
      <c r="CM50" s="16" t="n">
        <v>0</v>
      </c>
      <c r="CN50" s="16" t="n">
        <v>0</v>
      </c>
      <c r="CO50" s="16" t="n">
        <v>0</v>
      </c>
      <c r="CP50" s="16" t="n">
        <v>0</v>
      </c>
      <c r="CQ50" s="16" t="n">
        <v>0</v>
      </c>
      <c r="CR50" s="16" t="n">
        <v>0</v>
      </c>
      <c r="CS50" s="16" t="n">
        <v>0</v>
      </c>
      <c r="CT50" s="16" t="n">
        <v>0</v>
      </c>
      <c r="CU50" s="16" t="n">
        <v>0</v>
      </c>
      <c r="CV50" s="16" t="n">
        <v>0</v>
      </c>
      <c r="CW50" s="16" t="n">
        <v>0</v>
      </c>
      <c r="CX50" s="16" t="n">
        <v>0</v>
      </c>
      <c r="CY50" s="16" t="n">
        <v>0</v>
      </c>
      <c r="CZ50" s="16" t="n">
        <v>0</v>
      </c>
      <c r="DA50" s="16" t="n">
        <v>0</v>
      </c>
      <c r="DB50" s="16" t="n">
        <v>0</v>
      </c>
      <c r="DC50" s="16" t="n">
        <v>0</v>
      </c>
      <c r="DD50" s="16" t="n">
        <v>0</v>
      </c>
      <c r="DE50" s="16" t="n">
        <v>0</v>
      </c>
      <c r="DF50" s="16" t="n">
        <v>0</v>
      </c>
      <c r="DG50" s="16" t="n">
        <v>0</v>
      </c>
      <c r="DH50" s="16" t="n">
        <v>0</v>
      </c>
      <c r="DI50" s="16" t="n">
        <v>0</v>
      </c>
      <c r="DJ50" s="16" t="n">
        <v>0</v>
      </c>
      <c r="DK50" s="16" t="n">
        <v>0</v>
      </c>
      <c r="DL50" s="16" t="n">
        <v>0</v>
      </c>
      <c r="DM50" s="16" t="n">
        <v>0</v>
      </c>
      <c r="DN50" s="16" t="n">
        <v>0</v>
      </c>
      <c r="DO50" s="16" t="n">
        <v>0</v>
      </c>
      <c r="DP50" s="16" t="n">
        <v>0</v>
      </c>
      <c r="DQ50" s="16" t="n">
        <v>0</v>
      </c>
      <c r="DR50" s="16" t="n">
        <v>0</v>
      </c>
      <c r="DS50" s="16" t="n">
        <v>0</v>
      </c>
      <c r="DT50" s="16" t="n">
        <v>0</v>
      </c>
      <c r="DU50" s="16" t="n">
        <v>0</v>
      </c>
      <c r="DV50" s="16" t="n">
        <v>0</v>
      </c>
      <c r="DW50" s="16" t="n">
        <v>0</v>
      </c>
      <c r="DX50" s="16" t="n">
        <v>0</v>
      </c>
      <c r="DY50" s="16" t="n">
        <v>0</v>
      </c>
      <c r="DZ50" s="16" t="n">
        <v>0</v>
      </c>
      <c r="EA50" s="16" t="n">
        <v>0</v>
      </c>
      <c r="EB50" s="16" t="n">
        <v>0</v>
      </c>
      <c r="EC50" s="16" t="n">
        <v>0</v>
      </c>
      <c r="ED50" s="16" t="n">
        <v>0</v>
      </c>
      <c r="EE50" s="16" t="n">
        <v>0</v>
      </c>
      <c r="EF50" s="16" t="n">
        <v>0</v>
      </c>
    </row>
    <row r="51" customFormat="false" ht="15" hidden="false" customHeight="true" outlineLevel="0" collapsed="false">
      <c r="A51" s="9" t="s">
        <v>12</v>
      </c>
      <c r="B51" s="9" t="s">
        <v>9</v>
      </c>
      <c r="C51" s="9" t="s">
        <v>9</v>
      </c>
      <c r="D51" s="9" t="s">
        <v>337</v>
      </c>
      <c r="E51" s="9" t="s">
        <v>10</v>
      </c>
      <c r="F51" s="9" t="s">
        <v>82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  <c r="N51" s="16" t="n">
        <v>0</v>
      </c>
      <c r="O51" s="16" t="n">
        <v>0</v>
      </c>
      <c r="P51" s="16" t="n">
        <v>0</v>
      </c>
      <c r="Q51" s="16" t="n">
        <v>0</v>
      </c>
      <c r="R51" s="16" t="n">
        <v>0</v>
      </c>
      <c r="S51" s="16" t="n">
        <v>0</v>
      </c>
      <c r="T51" s="16" t="n">
        <v>0</v>
      </c>
      <c r="U51" s="16" t="n">
        <v>0</v>
      </c>
      <c r="V51" s="16" t="n">
        <v>0</v>
      </c>
      <c r="W51" s="16" t="n">
        <v>0</v>
      </c>
      <c r="X51" s="16" t="n">
        <v>0</v>
      </c>
      <c r="Y51" s="16" t="n">
        <v>0</v>
      </c>
      <c r="Z51" s="16" t="n">
        <v>0</v>
      </c>
      <c r="AA51" s="16" t="n">
        <v>0</v>
      </c>
      <c r="AB51" s="16" t="n">
        <v>0</v>
      </c>
      <c r="AC51" s="16" t="n">
        <v>0</v>
      </c>
      <c r="AD51" s="16" t="n">
        <v>0</v>
      </c>
      <c r="AE51" s="16" t="n">
        <v>0</v>
      </c>
      <c r="AF51" s="16" t="n">
        <v>0</v>
      </c>
      <c r="AG51" s="16" t="n">
        <v>0</v>
      </c>
      <c r="AH51" s="16" t="n">
        <v>0</v>
      </c>
      <c r="AI51" s="16" t="n">
        <v>0</v>
      </c>
      <c r="AJ51" s="16" t="n">
        <v>0</v>
      </c>
      <c r="AK51" s="16" t="n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16" t="n">
        <v>0</v>
      </c>
      <c r="AQ51" s="16" t="n">
        <v>0</v>
      </c>
      <c r="AR51" s="16" t="n">
        <v>0</v>
      </c>
      <c r="AS51" s="16" t="n">
        <v>0</v>
      </c>
      <c r="AT51" s="16" t="n">
        <v>0</v>
      </c>
      <c r="AU51" s="16" t="n">
        <v>0</v>
      </c>
      <c r="AV51" s="16" t="n">
        <v>0</v>
      </c>
      <c r="AW51" s="16" t="n">
        <v>0</v>
      </c>
      <c r="AX51" s="16" t="n">
        <v>0</v>
      </c>
      <c r="AY51" s="16" t="n">
        <v>0</v>
      </c>
      <c r="AZ51" s="16" t="n">
        <v>0</v>
      </c>
      <c r="BA51" s="16" t="n">
        <v>0</v>
      </c>
      <c r="BB51" s="16" t="n">
        <v>0</v>
      </c>
      <c r="BC51" s="16" t="n">
        <v>0</v>
      </c>
      <c r="BD51" s="16" t="n">
        <v>0</v>
      </c>
      <c r="BE51" s="16" t="n">
        <v>0</v>
      </c>
      <c r="BF51" s="16" t="n">
        <v>0</v>
      </c>
      <c r="BG51" s="16" t="n">
        <v>0</v>
      </c>
      <c r="BH51" s="16" t="n">
        <v>0</v>
      </c>
      <c r="BI51" s="16" t="n">
        <v>0</v>
      </c>
      <c r="BJ51" s="16" t="n">
        <v>0</v>
      </c>
      <c r="BK51" s="16" t="n">
        <v>0</v>
      </c>
      <c r="BL51" s="16" t="n">
        <v>0</v>
      </c>
      <c r="BM51" s="16" t="n">
        <v>0</v>
      </c>
      <c r="BN51" s="16" t="n">
        <v>0</v>
      </c>
      <c r="BO51" s="16" t="n">
        <v>0</v>
      </c>
      <c r="BP51" s="16" t="n">
        <v>0</v>
      </c>
      <c r="BQ51" s="16" t="n">
        <v>0</v>
      </c>
      <c r="BR51" s="16" t="n">
        <v>0</v>
      </c>
      <c r="BS51" s="16" t="n">
        <v>0</v>
      </c>
      <c r="BT51" s="16" t="n">
        <v>0</v>
      </c>
      <c r="BU51" s="16" t="n">
        <v>0</v>
      </c>
      <c r="BV51" s="16" t="n">
        <v>0</v>
      </c>
      <c r="BW51" s="16" t="n">
        <v>0</v>
      </c>
      <c r="BX51" s="16" t="n">
        <v>0</v>
      </c>
      <c r="BY51" s="16" t="n">
        <v>0</v>
      </c>
      <c r="BZ51" s="16" t="n">
        <v>0</v>
      </c>
      <c r="CA51" s="16" t="n">
        <v>0</v>
      </c>
      <c r="CB51" s="16" t="n">
        <v>0</v>
      </c>
      <c r="CC51" s="16" t="n">
        <v>0</v>
      </c>
      <c r="CD51" s="16" t="n">
        <v>0</v>
      </c>
      <c r="CE51" s="16" t="n">
        <v>0</v>
      </c>
      <c r="CF51" s="16" t="n">
        <v>0</v>
      </c>
      <c r="CG51" s="16" t="n">
        <v>0</v>
      </c>
      <c r="CH51" s="16" t="n">
        <v>0</v>
      </c>
      <c r="CI51" s="16" t="n">
        <v>0</v>
      </c>
      <c r="CJ51" s="16" t="n">
        <v>0</v>
      </c>
      <c r="CK51" s="16" t="n">
        <v>0</v>
      </c>
      <c r="CL51" s="16" t="n">
        <v>0</v>
      </c>
      <c r="CM51" s="16" t="n">
        <v>0</v>
      </c>
      <c r="CN51" s="16" t="n">
        <v>0</v>
      </c>
      <c r="CO51" s="16" t="n">
        <v>0</v>
      </c>
      <c r="CP51" s="16" t="n">
        <v>0</v>
      </c>
      <c r="CQ51" s="16" t="n">
        <v>0</v>
      </c>
      <c r="CR51" s="16" t="n">
        <v>0</v>
      </c>
      <c r="CS51" s="16" t="n">
        <v>0</v>
      </c>
      <c r="CT51" s="16" t="n">
        <v>0</v>
      </c>
      <c r="CU51" s="16" t="n">
        <v>0</v>
      </c>
      <c r="CV51" s="16" t="n">
        <v>0</v>
      </c>
      <c r="CW51" s="16" t="n">
        <v>0</v>
      </c>
      <c r="CX51" s="16" t="n">
        <v>0</v>
      </c>
      <c r="CY51" s="16" t="n">
        <v>0</v>
      </c>
      <c r="CZ51" s="16" t="n">
        <v>0</v>
      </c>
      <c r="DA51" s="16" t="n">
        <v>0</v>
      </c>
      <c r="DB51" s="16" t="n">
        <v>0</v>
      </c>
      <c r="DC51" s="16" t="n">
        <v>0</v>
      </c>
      <c r="DD51" s="16" t="n">
        <v>0</v>
      </c>
      <c r="DE51" s="16" t="n">
        <v>0</v>
      </c>
      <c r="DF51" s="16" t="n">
        <v>0</v>
      </c>
      <c r="DG51" s="16" t="n">
        <v>0</v>
      </c>
      <c r="DH51" s="16" t="n">
        <v>0</v>
      </c>
      <c r="DI51" s="16" t="n">
        <v>0</v>
      </c>
      <c r="DJ51" s="16" t="n">
        <v>0</v>
      </c>
      <c r="DK51" s="16" t="n">
        <v>0</v>
      </c>
      <c r="DL51" s="16" t="n">
        <v>0</v>
      </c>
      <c r="DM51" s="16" t="n">
        <v>0</v>
      </c>
      <c r="DN51" s="16" t="n">
        <v>0</v>
      </c>
      <c r="DO51" s="16" t="n">
        <v>0</v>
      </c>
      <c r="DP51" s="16" t="n">
        <v>0</v>
      </c>
      <c r="DQ51" s="16" t="n">
        <v>0</v>
      </c>
      <c r="DR51" s="16" t="n">
        <v>0</v>
      </c>
      <c r="DS51" s="16" t="n">
        <v>0</v>
      </c>
      <c r="DT51" s="16" t="n">
        <v>0</v>
      </c>
      <c r="DU51" s="16" t="n">
        <v>0</v>
      </c>
      <c r="DV51" s="16" t="n">
        <v>0</v>
      </c>
      <c r="DW51" s="16" t="n">
        <v>0</v>
      </c>
      <c r="DX51" s="16" t="n">
        <v>0</v>
      </c>
      <c r="DY51" s="16" t="n">
        <v>0</v>
      </c>
      <c r="DZ51" s="16" t="n">
        <v>0</v>
      </c>
      <c r="EA51" s="16" t="n">
        <v>0</v>
      </c>
      <c r="EB51" s="16" t="n">
        <v>0</v>
      </c>
      <c r="EC51" s="16" t="n">
        <v>0</v>
      </c>
      <c r="ED51" s="16" t="n">
        <v>0</v>
      </c>
      <c r="EE51" s="16" t="n">
        <v>0</v>
      </c>
      <c r="EF51" s="16" t="n">
        <v>0</v>
      </c>
    </row>
    <row r="52" customFormat="false" ht="15" hidden="false" customHeight="true" outlineLevel="0" collapsed="false">
      <c r="A52" s="9" t="s">
        <v>12</v>
      </c>
      <c r="B52" s="9" t="s">
        <v>9</v>
      </c>
      <c r="C52" s="9" t="s">
        <v>9</v>
      </c>
      <c r="D52" s="9" t="s">
        <v>338</v>
      </c>
      <c r="E52" s="9" t="s">
        <v>10</v>
      </c>
      <c r="F52" s="9" t="s">
        <v>83</v>
      </c>
      <c r="G52" s="16" t="n">
        <v>10</v>
      </c>
      <c r="H52" s="16" t="n">
        <v>10</v>
      </c>
      <c r="I52" s="16" t="n">
        <v>0</v>
      </c>
      <c r="J52" s="16" t="n">
        <v>10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0</v>
      </c>
      <c r="X52" s="16" t="n">
        <v>0</v>
      </c>
      <c r="Y52" s="16" t="n">
        <v>0</v>
      </c>
      <c r="Z52" s="16" t="n">
        <v>0</v>
      </c>
      <c r="AA52" s="16" t="n">
        <v>0</v>
      </c>
      <c r="AB52" s="16" t="n">
        <v>0</v>
      </c>
      <c r="AC52" s="16" t="n">
        <v>0</v>
      </c>
      <c r="AD52" s="16" t="n">
        <v>0</v>
      </c>
      <c r="AE52" s="16" t="n">
        <v>0</v>
      </c>
      <c r="AF52" s="16" t="n">
        <v>0</v>
      </c>
      <c r="AG52" s="16" t="n">
        <v>0</v>
      </c>
      <c r="AH52" s="16" t="n">
        <v>0</v>
      </c>
      <c r="AI52" s="16" t="n">
        <v>0</v>
      </c>
      <c r="AJ52" s="16" t="n">
        <v>0</v>
      </c>
      <c r="AK52" s="16" t="n">
        <v>0</v>
      </c>
      <c r="AL52" s="16" t="n">
        <v>0</v>
      </c>
      <c r="AM52" s="16" t="n">
        <v>0</v>
      </c>
      <c r="AN52" s="16" t="n">
        <v>0</v>
      </c>
      <c r="AO52" s="16" t="n">
        <v>0</v>
      </c>
      <c r="AP52" s="16" t="n">
        <v>0</v>
      </c>
      <c r="AQ52" s="16" t="n">
        <v>0</v>
      </c>
      <c r="AR52" s="16" t="n">
        <v>0</v>
      </c>
      <c r="AS52" s="16" t="n">
        <v>0</v>
      </c>
      <c r="AT52" s="16" t="n">
        <v>0</v>
      </c>
      <c r="AU52" s="16" t="n">
        <v>0</v>
      </c>
      <c r="AV52" s="16" t="n">
        <v>0</v>
      </c>
      <c r="AW52" s="16" t="n">
        <v>0</v>
      </c>
      <c r="AX52" s="16" t="n">
        <v>0</v>
      </c>
      <c r="AY52" s="16" t="n">
        <v>0</v>
      </c>
      <c r="AZ52" s="16" t="n">
        <v>0</v>
      </c>
      <c r="BA52" s="16" t="n">
        <v>0</v>
      </c>
      <c r="BB52" s="16" t="n">
        <v>0</v>
      </c>
      <c r="BC52" s="16" t="n">
        <v>0</v>
      </c>
      <c r="BD52" s="16" t="n">
        <v>0</v>
      </c>
      <c r="BE52" s="16" t="n">
        <v>0</v>
      </c>
      <c r="BF52" s="16" t="n">
        <v>0</v>
      </c>
      <c r="BG52" s="16" t="n">
        <v>0</v>
      </c>
      <c r="BH52" s="16" t="n">
        <v>0</v>
      </c>
      <c r="BI52" s="16" t="n">
        <v>0</v>
      </c>
      <c r="BJ52" s="16" t="n">
        <v>0</v>
      </c>
      <c r="BK52" s="16" t="n">
        <v>0</v>
      </c>
      <c r="BL52" s="16" t="n">
        <v>0</v>
      </c>
      <c r="BM52" s="16" t="n">
        <v>0</v>
      </c>
      <c r="BN52" s="16" t="n">
        <v>0</v>
      </c>
      <c r="BO52" s="16" t="n">
        <v>0</v>
      </c>
      <c r="BP52" s="16" t="n">
        <v>0</v>
      </c>
      <c r="BQ52" s="16" t="n">
        <v>0</v>
      </c>
      <c r="BR52" s="16" t="n">
        <v>0</v>
      </c>
      <c r="BS52" s="16" t="n">
        <v>0</v>
      </c>
      <c r="BT52" s="16" t="n">
        <v>0</v>
      </c>
      <c r="BU52" s="16" t="n">
        <v>0</v>
      </c>
      <c r="BV52" s="16" t="n">
        <v>0</v>
      </c>
      <c r="BW52" s="16" t="n">
        <v>0</v>
      </c>
      <c r="BX52" s="16" t="n">
        <v>0</v>
      </c>
      <c r="BY52" s="16" t="n">
        <v>0</v>
      </c>
      <c r="BZ52" s="16" t="n">
        <v>0</v>
      </c>
      <c r="CA52" s="16" t="n">
        <v>0</v>
      </c>
      <c r="CB52" s="16" t="n">
        <v>0</v>
      </c>
      <c r="CC52" s="16" t="n">
        <v>0</v>
      </c>
      <c r="CD52" s="16" t="n">
        <v>0</v>
      </c>
      <c r="CE52" s="16" t="n">
        <v>0</v>
      </c>
      <c r="CF52" s="16" t="n">
        <v>0</v>
      </c>
      <c r="CG52" s="16" t="n">
        <v>0</v>
      </c>
      <c r="CH52" s="16" t="n">
        <v>0</v>
      </c>
      <c r="CI52" s="16" t="n">
        <v>0</v>
      </c>
      <c r="CJ52" s="16" t="n">
        <v>0</v>
      </c>
      <c r="CK52" s="16" t="n">
        <v>0</v>
      </c>
      <c r="CL52" s="16" t="n">
        <v>0</v>
      </c>
      <c r="CM52" s="16" t="n">
        <v>0</v>
      </c>
      <c r="CN52" s="16" t="n">
        <v>0</v>
      </c>
      <c r="CO52" s="16" t="n">
        <v>0</v>
      </c>
      <c r="CP52" s="16" t="n">
        <v>0</v>
      </c>
      <c r="CQ52" s="16" t="n">
        <v>0</v>
      </c>
      <c r="CR52" s="16" t="n">
        <v>0</v>
      </c>
      <c r="CS52" s="16" t="n">
        <v>0</v>
      </c>
      <c r="CT52" s="16" t="n">
        <v>0</v>
      </c>
      <c r="CU52" s="16" t="n">
        <v>0</v>
      </c>
      <c r="CV52" s="16" t="n">
        <v>0</v>
      </c>
      <c r="CW52" s="16" t="n">
        <v>0</v>
      </c>
      <c r="CX52" s="16" t="n">
        <v>0</v>
      </c>
      <c r="CY52" s="16" t="n">
        <v>0</v>
      </c>
      <c r="CZ52" s="16" t="n">
        <v>0</v>
      </c>
      <c r="DA52" s="16" t="n">
        <v>0</v>
      </c>
      <c r="DB52" s="16" t="n">
        <v>0</v>
      </c>
      <c r="DC52" s="16" t="n">
        <v>0</v>
      </c>
      <c r="DD52" s="16" t="n">
        <v>0</v>
      </c>
      <c r="DE52" s="16" t="n">
        <v>0</v>
      </c>
      <c r="DF52" s="16" t="n">
        <v>0</v>
      </c>
      <c r="DG52" s="16" t="n">
        <v>0</v>
      </c>
      <c r="DH52" s="16" t="n">
        <v>0</v>
      </c>
      <c r="DI52" s="16" t="n">
        <v>0</v>
      </c>
      <c r="DJ52" s="16" t="n">
        <v>0</v>
      </c>
      <c r="DK52" s="16" t="n">
        <v>0</v>
      </c>
      <c r="DL52" s="16" t="n">
        <v>0</v>
      </c>
      <c r="DM52" s="16" t="n">
        <v>0</v>
      </c>
      <c r="DN52" s="16" t="n">
        <v>0</v>
      </c>
      <c r="DO52" s="16" t="n">
        <v>0</v>
      </c>
      <c r="DP52" s="16" t="n">
        <v>0</v>
      </c>
      <c r="DQ52" s="16" t="n">
        <v>0</v>
      </c>
      <c r="DR52" s="16" t="n">
        <v>0</v>
      </c>
      <c r="DS52" s="16" t="n">
        <v>0</v>
      </c>
      <c r="DT52" s="16" t="n">
        <v>0</v>
      </c>
      <c r="DU52" s="16" t="n">
        <v>0</v>
      </c>
      <c r="DV52" s="16" t="n">
        <v>0</v>
      </c>
      <c r="DW52" s="16" t="n">
        <v>0</v>
      </c>
      <c r="DX52" s="16" t="n">
        <v>0</v>
      </c>
      <c r="DY52" s="16" t="n">
        <v>0</v>
      </c>
      <c r="DZ52" s="16" t="n">
        <v>0</v>
      </c>
      <c r="EA52" s="16" t="n">
        <v>0</v>
      </c>
      <c r="EB52" s="16" t="n">
        <v>0</v>
      </c>
      <c r="EC52" s="16" t="n">
        <v>0</v>
      </c>
      <c r="ED52" s="16" t="n">
        <v>0</v>
      </c>
      <c r="EE52" s="16" t="n">
        <v>0</v>
      </c>
      <c r="EF52" s="16" t="n">
        <v>0</v>
      </c>
    </row>
    <row r="53" customFormat="false" ht="15" hidden="false" customHeight="true" outlineLevel="0" collapsed="false">
      <c r="A53" s="9" t="s">
        <v>12</v>
      </c>
      <c r="B53" s="9" t="s">
        <v>9</v>
      </c>
      <c r="C53" s="9" t="s">
        <v>9</v>
      </c>
      <c r="D53" s="9" t="s">
        <v>337</v>
      </c>
      <c r="E53" s="9" t="s">
        <v>10</v>
      </c>
      <c r="F53" s="9" t="s">
        <v>83</v>
      </c>
      <c r="G53" s="16" t="n">
        <v>0</v>
      </c>
      <c r="H53" s="16" t="n">
        <v>0</v>
      </c>
      <c r="I53" s="16" t="n">
        <v>15.5</v>
      </c>
      <c r="J53" s="16" t="n">
        <v>-15.5</v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6" t="n">
        <v>0</v>
      </c>
      <c r="Q53" s="16" t="n">
        <v>0</v>
      </c>
      <c r="R53" s="16" t="n">
        <v>0</v>
      </c>
      <c r="S53" s="16" t="n">
        <v>0</v>
      </c>
      <c r="T53" s="16" t="n">
        <v>0</v>
      </c>
      <c r="U53" s="16" t="n">
        <v>0</v>
      </c>
      <c r="V53" s="16" t="n">
        <v>0</v>
      </c>
      <c r="W53" s="16" t="n">
        <v>0</v>
      </c>
      <c r="X53" s="16" t="n">
        <v>0</v>
      </c>
      <c r="Y53" s="16" t="n">
        <v>0</v>
      </c>
      <c r="Z53" s="16" t="n">
        <v>0</v>
      </c>
      <c r="AA53" s="16" t="n">
        <v>0</v>
      </c>
      <c r="AB53" s="16" t="n">
        <v>0</v>
      </c>
      <c r="AC53" s="16" t="n">
        <v>0</v>
      </c>
      <c r="AD53" s="16" t="n">
        <v>0</v>
      </c>
      <c r="AE53" s="16" t="n">
        <v>0</v>
      </c>
      <c r="AF53" s="16" t="n">
        <v>0</v>
      </c>
      <c r="AG53" s="16" t="n">
        <v>0</v>
      </c>
      <c r="AH53" s="16" t="n">
        <v>0</v>
      </c>
      <c r="AI53" s="16" t="n">
        <v>0</v>
      </c>
      <c r="AJ53" s="16" t="n">
        <v>0</v>
      </c>
      <c r="AK53" s="16" t="n">
        <v>0</v>
      </c>
      <c r="AL53" s="16" t="n">
        <v>0</v>
      </c>
      <c r="AM53" s="16" t="n">
        <v>0</v>
      </c>
      <c r="AN53" s="16" t="n">
        <v>6.5</v>
      </c>
      <c r="AO53" s="16" t="n">
        <v>9</v>
      </c>
      <c r="AP53" s="16" t="n">
        <v>0</v>
      </c>
      <c r="AQ53" s="16" t="n">
        <v>0</v>
      </c>
      <c r="AR53" s="16" t="n">
        <v>0</v>
      </c>
      <c r="AS53" s="16" t="n">
        <v>0</v>
      </c>
      <c r="AT53" s="16" t="n">
        <v>0</v>
      </c>
      <c r="AU53" s="16" t="n">
        <v>0</v>
      </c>
      <c r="AV53" s="16" t="n">
        <v>0</v>
      </c>
      <c r="AW53" s="16" t="n">
        <v>0</v>
      </c>
      <c r="AX53" s="16" t="n">
        <v>0</v>
      </c>
      <c r="AY53" s="16" t="n">
        <v>0</v>
      </c>
      <c r="AZ53" s="16" t="n">
        <v>0</v>
      </c>
      <c r="BA53" s="16" t="n">
        <v>0</v>
      </c>
      <c r="BB53" s="16" t="n">
        <v>0</v>
      </c>
      <c r="BC53" s="16" t="n">
        <v>0</v>
      </c>
      <c r="BD53" s="16" t="n">
        <v>0</v>
      </c>
      <c r="BE53" s="16" t="n">
        <v>0</v>
      </c>
      <c r="BF53" s="16" t="n">
        <v>0</v>
      </c>
      <c r="BG53" s="16" t="n">
        <v>0</v>
      </c>
      <c r="BH53" s="16" t="n">
        <v>0</v>
      </c>
      <c r="BI53" s="16" t="n">
        <v>0</v>
      </c>
      <c r="BJ53" s="16" t="n">
        <v>0</v>
      </c>
      <c r="BK53" s="16" t="n">
        <v>0</v>
      </c>
      <c r="BL53" s="16" t="n">
        <v>0</v>
      </c>
      <c r="BM53" s="16" t="n">
        <v>0</v>
      </c>
      <c r="BN53" s="16" t="n">
        <v>0</v>
      </c>
      <c r="BO53" s="16" t="n">
        <v>0</v>
      </c>
      <c r="BP53" s="16" t="n">
        <v>0</v>
      </c>
      <c r="BQ53" s="16" t="n">
        <v>0</v>
      </c>
      <c r="BR53" s="16" t="n">
        <v>0</v>
      </c>
      <c r="BS53" s="16" t="n">
        <v>0</v>
      </c>
      <c r="BT53" s="16" t="n">
        <v>0</v>
      </c>
      <c r="BU53" s="16" t="n">
        <v>0</v>
      </c>
      <c r="BV53" s="16" t="n">
        <v>0</v>
      </c>
      <c r="BW53" s="16" t="n">
        <v>0</v>
      </c>
      <c r="BX53" s="16" t="n">
        <v>0</v>
      </c>
      <c r="BY53" s="16" t="n">
        <v>0</v>
      </c>
      <c r="BZ53" s="16" t="n">
        <v>0</v>
      </c>
      <c r="CA53" s="16" t="n">
        <v>0</v>
      </c>
      <c r="CB53" s="16" t="n">
        <v>0</v>
      </c>
      <c r="CC53" s="16" t="n">
        <v>0</v>
      </c>
      <c r="CD53" s="16" t="n">
        <v>0</v>
      </c>
      <c r="CE53" s="16" t="n">
        <v>0</v>
      </c>
      <c r="CF53" s="16" t="n">
        <v>0</v>
      </c>
      <c r="CG53" s="16" t="n">
        <v>0</v>
      </c>
      <c r="CH53" s="16" t="n">
        <v>0</v>
      </c>
      <c r="CI53" s="16" t="n">
        <v>0</v>
      </c>
      <c r="CJ53" s="16" t="n">
        <v>0</v>
      </c>
      <c r="CK53" s="16" t="n">
        <v>0</v>
      </c>
      <c r="CL53" s="16" t="n">
        <v>0</v>
      </c>
      <c r="CM53" s="16" t="n">
        <v>0</v>
      </c>
      <c r="CN53" s="16" t="n">
        <v>0</v>
      </c>
      <c r="CO53" s="16" t="n">
        <v>0</v>
      </c>
      <c r="CP53" s="16" t="n">
        <v>0</v>
      </c>
      <c r="CQ53" s="16" t="n">
        <v>0</v>
      </c>
      <c r="CR53" s="16" t="n">
        <v>0</v>
      </c>
      <c r="CS53" s="16" t="n">
        <v>0</v>
      </c>
      <c r="CT53" s="16" t="n">
        <v>0</v>
      </c>
      <c r="CU53" s="16" t="n">
        <v>0</v>
      </c>
      <c r="CV53" s="16" t="n">
        <v>0</v>
      </c>
      <c r="CW53" s="16" t="n">
        <v>0</v>
      </c>
      <c r="CX53" s="16" t="n">
        <v>0</v>
      </c>
      <c r="CY53" s="16" t="n">
        <v>0</v>
      </c>
      <c r="CZ53" s="16" t="n">
        <v>0</v>
      </c>
      <c r="DA53" s="16" t="n">
        <v>0</v>
      </c>
      <c r="DB53" s="16" t="n">
        <v>0</v>
      </c>
      <c r="DC53" s="16" t="n">
        <v>0</v>
      </c>
      <c r="DD53" s="16" t="n">
        <v>0</v>
      </c>
      <c r="DE53" s="16" t="n">
        <v>0</v>
      </c>
      <c r="DF53" s="16" t="n">
        <v>0</v>
      </c>
      <c r="DG53" s="16" t="n">
        <v>0</v>
      </c>
      <c r="DH53" s="16" t="n">
        <v>0</v>
      </c>
      <c r="DI53" s="16" t="n">
        <v>0</v>
      </c>
      <c r="DJ53" s="16" t="n">
        <v>0</v>
      </c>
      <c r="DK53" s="16" t="n">
        <v>0</v>
      </c>
      <c r="DL53" s="16" t="n">
        <v>0</v>
      </c>
      <c r="DM53" s="16" t="n">
        <v>0</v>
      </c>
      <c r="DN53" s="16" t="n">
        <v>0</v>
      </c>
      <c r="DO53" s="16" t="n">
        <v>0</v>
      </c>
      <c r="DP53" s="16" t="n">
        <v>0</v>
      </c>
      <c r="DQ53" s="16" t="n">
        <v>0</v>
      </c>
      <c r="DR53" s="16" t="n">
        <v>0</v>
      </c>
      <c r="DS53" s="16" t="n">
        <v>0</v>
      </c>
      <c r="DT53" s="16" t="n">
        <v>0</v>
      </c>
      <c r="DU53" s="16" t="n">
        <v>0</v>
      </c>
      <c r="DV53" s="16" t="n">
        <v>0</v>
      </c>
      <c r="DW53" s="16" t="n">
        <v>0</v>
      </c>
      <c r="DX53" s="16" t="n">
        <v>0</v>
      </c>
      <c r="DY53" s="16" t="n">
        <v>0</v>
      </c>
      <c r="DZ53" s="16" t="n">
        <v>0</v>
      </c>
      <c r="EA53" s="16" t="n">
        <v>0</v>
      </c>
      <c r="EB53" s="16" t="n">
        <v>0</v>
      </c>
      <c r="EC53" s="16" t="n">
        <v>0</v>
      </c>
      <c r="ED53" s="16" t="n">
        <v>0</v>
      </c>
      <c r="EE53" s="16" t="n">
        <v>0</v>
      </c>
      <c r="EF53" s="16" t="n">
        <v>0</v>
      </c>
    </row>
    <row r="54" customFormat="false" ht="15" hidden="false" customHeight="true" outlineLevel="0" collapsed="false">
      <c r="A54" s="9" t="s">
        <v>12</v>
      </c>
      <c r="B54" s="9" t="s">
        <v>9</v>
      </c>
      <c r="C54" s="9" t="s">
        <v>9</v>
      </c>
      <c r="D54" s="9" t="s">
        <v>338</v>
      </c>
      <c r="E54" s="9" t="s">
        <v>10</v>
      </c>
      <c r="F54" s="9" t="s">
        <v>84</v>
      </c>
      <c r="G54" s="16" t="n">
        <v>0</v>
      </c>
      <c r="H54" s="16" t="n">
        <v>10</v>
      </c>
      <c r="I54" s="16" t="n">
        <v>0</v>
      </c>
      <c r="J54" s="16" t="n">
        <v>10</v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  <c r="P54" s="16" t="n">
        <v>0</v>
      </c>
      <c r="Q54" s="16" t="n">
        <v>0</v>
      </c>
      <c r="R54" s="16" t="n">
        <v>0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0</v>
      </c>
      <c r="X54" s="16" t="n">
        <v>0</v>
      </c>
      <c r="Y54" s="16" t="n">
        <v>0</v>
      </c>
      <c r="Z54" s="16" t="n">
        <v>0</v>
      </c>
      <c r="AA54" s="16" t="n">
        <v>0</v>
      </c>
      <c r="AB54" s="16" t="n">
        <v>0</v>
      </c>
      <c r="AC54" s="16" t="n">
        <v>0</v>
      </c>
      <c r="AD54" s="16" t="n">
        <v>0</v>
      </c>
      <c r="AE54" s="16" t="n">
        <v>0</v>
      </c>
      <c r="AF54" s="16" t="n">
        <v>0</v>
      </c>
      <c r="AG54" s="16" t="n">
        <v>0</v>
      </c>
      <c r="AH54" s="16" t="n">
        <v>0</v>
      </c>
      <c r="AI54" s="16" t="n">
        <v>0</v>
      </c>
      <c r="AJ54" s="16" t="n">
        <v>0</v>
      </c>
      <c r="AK54" s="16" t="n">
        <v>0</v>
      </c>
      <c r="AL54" s="16" t="n">
        <v>0</v>
      </c>
      <c r="AM54" s="16" t="n">
        <v>0</v>
      </c>
      <c r="AN54" s="16" t="n">
        <v>0</v>
      </c>
      <c r="AO54" s="16" t="n">
        <v>0</v>
      </c>
      <c r="AP54" s="16" t="n">
        <v>0</v>
      </c>
      <c r="AQ54" s="16" t="n">
        <v>0</v>
      </c>
      <c r="AR54" s="16" t="n">
        <v>0</v>
      </c>
      <c r="AS54" s="16" t="n">
        <v>0</v>
      </c>
      <c r="AT54" s="16" t="n">
        <v>0</v>
      </c>
      <c r="AU54" s="16" t="n">
        <v>0</v>
      </c>
      <c r="AV54" s="16" t="n">
        <v>0</v>
      </c>
      <c r="AW54" s="16" t="n">
        <v>0</v>
      </c>
      <c r="AX54" s="16" t="n">
        <v>0</v>
      </c>
      <c r="AY54" s="16" t="n">
        <v>0</v>
      </c>
      <c r="AZ54" s="16" t="n">
        <v>0</v>
      </c>
      <c r="BA54" s="16" t="n">
        <v>0</v>
      </c>
      <c r="BB54" s="16" t="n">
        <v>0</v>
      </c>
      <c r="BC54" s="16" t="n">
        <v>0</v>
      </c>
      <c r="BD54" s="16" t="n">
        <v>0</v>
      </c>
      <c r="BE54" s="16" t="n">
        <v>0</v>
      </c>
      <c r="BF54" s="16" t="n">
        <v>0</v>
      </c>
      <c r="BG54" s="16" t="n">
        <v>0</v>
      </c>
      <c r="BH54" s="16" t="n">
        <v>0</v>
      </c>
      <c r="BI54" s="16" t="n">
        <v>0</v>
      </c>
      <c r="BJ54" s="16" t="n">
        <v>0</v>
      </c>
      <c r="BK54" s="16" t="n">
        <v>0</v>
      </c>
      <c r="BL54" s="16" t="n">
        <v>0</v>
      </c>
      <c r="BM54" s="16" t="n">
        <v>0</v>
      </c>
      <c r="BN54" s="16" t="n">
        <v>0</v>
      </c>
      <c r="BO54" s="16" t="n">
        <v>0</v>
      </c>
      <c r="BP54" s="16" t="n">
        <v>0</v>
      </c>
      <c r="BQ54" s="16" t="n">
        <v>0</v>
      </c>
      <c r="BR54" s="16" t="n">
        <v>0</v>
      </c>
      <c r="BS54" s="16" t="n">
        <v>0</v>
      </c>
      <c r="BT54" s="16" t="n">
        <v>0</v>
      </c>
      <c r="BU54" s="16" t="n">
        <v>0</v>
      </c>
      <c r="BV54" s="16" t="n">
        <v>0</v>
      </c>
      <c r="BW54" s="16" t="n">
        <v>0</v>
      </c>
      <c r="BX54" s="16" t="n">
        <v>0</v>
      </c>
      <c r="BY54" s="16" t="n">
        <v>0</v>
      </c>
      <c r="BZ54" s="16" t="n">
        <v>0</v>
      </c>
      <c r="CA54" s="16" t="n">
        <v>0</v>
      </c>
      <c r="CB54" s="16" t="n">
        <v>0</v>
      </c>
      <c r="CC54" s="16" t="n">
        <v>0</v>
      </c>
      <c r="CD54" s="16" t="n">
        <v>0</v>
      </c>
      <c r="CE54" s="16" t="n">
        <v>0</v>
      </c>
      <c r="CF54" s="16" t="n">
        <v>0</v>
      </c>
      <c r="CG54" s="16" t="n">
        <v>0</v>
      </c>
      <c r="CH54" s="16" t="n">
        <v>0</v>
      </c>
      <c r="CI54" s="16" t="n">
        <v>0</v>
      </c>
      <c r="CJ54" s="16" t="n">
        <v>0</v>
      </c>
      <c r="CK54" s="16" t="n">
        <v>0</v>
      </c>
      <c r="CL54" s="16" t="n">
        <v>0</v>
      </c>
      <c r="CM54" s="16" t="n">
        <v>0</v>
      </c>
      <c r="CN54" s="16" t="n">
        <v>0</v>
      </c>
      <c r="CO54" s="16" t="n">
        <v>0</v>
      </c>
      <c r="CP54" s="16" t="n">
        <v>0</v>
      </c>
      <c r="CQ54" s="16" t="n">
        <v>0</v>
      </c>
      <c r="CR54" s="16" t="n">
        <v>0</v>
      </c>
      <c r="CS54" s="16" t="n">
        <v>0</v>
      </c>
      <c r="CT54" s="16" t="n">
        <v>0</v>
      </c>
      <c r="CU54" s="16" t="n">
        <v>0</v>
      </c>
      <c r="CV54" s="16" t="n">
        <v>0</v>
      </c>
      <c r="CW54" s="16" t="n">
        <v>0</v>
      </c>
      <c r="CX54" s="16" t="n">
        <v>0</v>
      </c>
      <c r="CY54" s="16" t="n">
        <v>0</v>
      </c>
      <c r="CZ54" s="16" t="n">
        <v>0</v>
      </c>
      <c r="DA54" s="16" t="n">
        <v>0</v>
      </c>
      <c r="DB54" s="16" t="n">
        <v>0</v>
      </c>
      <c r="DC54" s="16" t="n">
        <v>0</v>
      </c>
      <c r="DD54" s="16" t="n">
        <v>0</v>
      </c>
      <c r="DE54" s="16" t="n">
        <v>0</v>
      </c>
      <c r="DF54" s="16" t="n">
        <v>0</v>
      </c>
      <c r="DG54" s="16" t="n">
        <v>0</v>
      </c>
      <c r="DH54" s="16" t="n">
        <v>0</v>
      </c>
      <c r="DI54" s="16" t="n">
        <v>0</v>
      </c>
      <c r="DJ54" s="16" t="n">
        <v>0</v>
      </c>
      <c r="DK54" s="16" t="n">
        <v>0</v>
      </c>
      <c r="DL54" s="16" t="n">
        <v>0</v>
      </c>
      <c r="DM54" s="16" t="n">
        <v>0</v>
      </c>
      <c r="DN54" s="16" t="n">
        <v>0</v>
      </c>
      <c r="DO54" s="16" t="n">
        <v>0</v>
      </c>
      <c r="DP54" s="16" t="n">
        <v>0</v>
      </c>
      <c r="DQ54" s="16" t="n">
        <v>0</v>
      </c>
      <c r="DR54" s="16" t="n">
        <v>0</v>
      </c>
      <c r="DS54" s="16" t="n">
        <v>0</v>
      </c>
      <c r="DT54" s="16" t="n">
        <v>0</v>
      </c>
      <c r="DU54" s="16" t="n">
        <v>0</v>
      </c>
      <c r="DV54" s="16" t="n">
        <v>0</v>
      </c>
      <c r="DW54" s="16" t="n">
        <v>0</v>
      </c>
      <c r="DX54" s="16" t="n">
        <v>0</v>
      </c>
      <c r="DY54" s="16" t="n">
        <v>0</v>
      </c>
      <c r="DZ54" s="16" t="n">
        <v>0</v>
      </c>
      <c r="EA54" s="16" t="n">
        <v>0</v>
      </c>
      <c r="EB54" s="16" t="n">
        <v>0</v>
      </c>
      <c r="EC54" s="16" t="n">
        <v>0</v>
      </c>
      <c r="ED54" s="16" t="n">
        <v>0</v>
      </c>
      <c r="EE54" s="16" t="n">
        <v>0</v>
      </c>
      <c r="EF54" s="16" t="n">
        <v>0</v>
      </c>
    </row>
    <row r="55" customFormat="false" ht="15" hidden="false" customHeight="true" outlineLevel="0" collapsed="false">
      <c r="A55" s="9" t="s">
        <v>12</v>
      </c>
      <c r="B55" s="9" t="s">
        <v>9</v>
      </c>
      <c r="C55" s="9" t="s">
        <v>9</v>
      </c>
      <c r="D55" s="9" t="s">
        <v>337</v>
      </c>
      <c r="E55" s="9" t="s">
        <v>10</v>
      </c>
      <c r="F55" s="9" t="s">
        <v>84</v>
      </c>
      <c r="G55" s="16" t="n">
        <v>0</v>
      </c>
      <c r="H55" s="16" t="n">
        <v>0</v>
      </c>
      <c r="I55" s="16" t="n">
        <v>10</v>
      </c>
      <c r="J55" s="16" t="n">
        <v>-10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0</v>
      </c>
      <c r="T55" s="16" t="n">
        <v>0</v>
      </c>
      <c r="U55" s="16" t="n">
        <v>0</v>
      </c>
      <c r="V55" s="16" t="n">
        <v>0</v>
      </c>
      <c r="W55" s="16" t="n">
        <v>0</v>
      </c>
      <c r="X55" s="16" t="n">
        <v>0</v>
      </c>
      <c r="Y55" s="16" t="n">
        <v>0</v>
      </c>
      <c r="Z55" s="16" t="n">
        <v>0</v>
      </c>
      <c r="AA55" s="16" t="n">
        <v>0</v>
      </c>
      <c r="AB55" s="16" t="n">
        <v>0</v>
      </c>
      <c r="AC55" s="16" t="n">
        <v>0</v>
      </c>
      <c r="AD55" s="16" t="n">
        <v>0</v>
      </c>
      <c r="AE55" s="16" t="n">
        <v>0</v>
      </c>
      <c r="AF55" s="16" t="n">
        <v>0</v>
      </c>
      <c r="AG55" s="16" t="n">
        <v>0</v>
      </c>
      <c r="AH55" s="16" t="n">
        <v>0</v>
      </c>
      <c r="AI55" s="16" t="n">
        <v>0</v>
      </c>
      <c r="AJ55" s="16" t="n">
        <v>0</v>
      </c>
      <c r="AK55" s="16" t="n">
        <v>0</v>
      </c>
      <c r="AL55" s="16" t="n">
        <v>0</v>
      </c>
      <c r="AM55" s="16" t="n">
        <v>0</v>
      </c>
      <c r="AN55" s="16" t="n">
        <v>0</v>
      </c>
      <c r="AO55" s="16" t="n">
        <v>0</v>
      </c>
      <c r="AP55" s="16" t="n">
        <v>0</v>
      </c>
      <c r="AQ55" s="16" t="n">
        <v>0</v>
      </c>
      <c r="AR55" s="16" t="n">
        <v>0</v>
      </c>
      <c r="AS55" s="16" t="n">
        <v>0</v>
      </c>
      <c r="AT55" s="16" t="n">
        <v>0</v>
      </c>
      <c r="AU55" s="16" t="n">
        <v>0</v>
      </c>
      <c r="AV55" s="16" t="n">
        <v>0</v>
      </c>
      <c r="AW55" s="16" t="n">
        <v>0</v>
      </c>
      <c r="AX55" s="16" t="n">
        <v>0</v>
      </c>
      <c r="AY55" s="16" t="n">
        <v>0</v>
      </c>
      <c r="AZ55" s="16" t="n">
        <v>0</v>
      </c>
      <c r="BA55" s="16" t="n">
        <v>0</v>
      </c>
      <c r="BB55" s="16" t="n">
        <v>0</v>
      </c>
      <c r="BC55" s="16" t="n">
        <v>0</v>
      </c>
      <c r="BD55" s="16" t="n">
        <v>0</v>
      </c>
      <c r="BE55" s="16" t="n">
        <v>0</v>
      </c>
      <c r="BF55" s="16" t="n">
        <v>0</v>
      </c>
      <c r="BG55" s="16" t="n">
        <v>0</v>
      </c>
      <c r="BH55" s="16" t="n">
        <v>0</v>
      </c>
      <c r="BI55" s="16" t="n">
        <v>0</v>
      </c>
      <c r="BJ55" s="16" t="n">
        <v>0</v>
      </c>
      <c r="BK55" s="16" t="n">
        <v>0</v>
      </c>
      <c r="BL55" s="16" t="n">
        <v>0</v>
      </c>
      <c r="BM55" s="16" t="n">
        <v>0</v>
      </c>
      <c r="BN55" s="16" t="n">
        <v>0</v>
      </c>
      <c r="BO55" s="16" t="n">
        <v>0</v>
      </c>
      <c r="BP55" s="16" t="n">
        <v>0</v>
      </c>
      <c r="BQ55" s="16" t="n">
        <v>0</v>
      </c>
      <c r="BR55" s="16" t="n">
        <v>0</v>
      </c>
      <c r="BS55" s="16" t="n">
        <v>0</v>
      </c>
      <c r="BT55" s="16" t="n">
        <v>0</v>
      </c>
      <c r="BU55" s="16" t="n">
        <v>0</v>
      </c>
      <c r="BV55" s="16" t="n">
        <v>0</v>
      </c>
      <c r="BW55" s="16" t="n">
        <v>0</v>
      </c>
      <c r="BX55" s="16" t="n">
        <v>0</v>
      </c>
      <c r="BY55" s="16" t="n">
        <v>0</v>
      </c>
      <c r="BZ55" s="16" t="n">
        <v>0</v>
      </c>
      <c r="CA55" s="16" t="n">
        <v>0</v>
      </c>
      <c r="CB55" s="16" t="n">
        <v>0</v>
      </c>
      <c r="CC55" s="16" t="n">
        <v>0</v>
      </c>
      <c r="CD55" s="16" t="n">
        <v>0</v>
      </c>
      <c r="CE55" s="16" t="n">
        <v>0</v>
      </c>
      <c r="CF55" s="16" t="n">
        <v>0</v>
      </c>
      <c r="CG55" s="16" t="n">
        <v>0</v>
      </c>
      <c r="CH55" s="16" t="n">
        <v>0</v>
      </c>
      <c r="CI55" s="16" t="n">
        <v>0</v>
      </c>
      <c r="CJ55" s="16" t="n">
        <v>0</v>
      </c>
      <c r="CK55" s="16" t="n">
        <v>0</v>
      </c>
      <c r="CL55" s="16" t="n">
        <v>0</v>
      </c>
      <c r="CM55" s="16" t="n">
        <v>0</v>
      </c>
      <c r="CN55" s="16" t="n">
        <v>0</v>
      </c>
      <c r="CO55" s="16" t="n">
        <v>0</v>
      </c>
      <c r="CP55" s="16" t="n">
        <v>0</v>
      </c>
      <c r="CQ55" s="16" t="n">
        <v>0</v>
      </c>
      <c r="CR55" s="16" t="n">
        <v>0</v>
      </c>
      <c r="CS55" s="16" t="n">
        <v>0</v>
      </c>
      <c r="CT55" s="16" t="n">
        <v>0</v>
      </c>
      <c r="CU55" s="16" t="n">
        <v>0</v>
      </c>
      <c r="CV55" s="16" t="n">
        <v>0</v>
      </c>
      <c r="CW55" s="16" t="n">
        <v>0</v>
      </c>
      <c r="CX55" s="16" t="n">
        <v>0</v>
      </c>
      <c r="CY55" s="16" t="n">
        <v>0</v>
      </c>
      <c r="CZ55" s="16" t="n">
        <v>5</v>
      </c>
      <c r="DA55" s="16" t="n">
        <v>5</v>
      </c>
      <c r="DB55" s="16" t="n">
        <v>0</v>
      </c>
      <c r="DC55" s="16" t="n">
        <v>0</v>
      </c>
      <c r="DD55" s="16" t="n">
        <v>0</v>
      </c>
      <c r="DE55" s="16" t="n">
        <v>0</v>
      </c>
      <c r="DF55" s="16" t="n">
        <v>0</v>
      </c>
      <c r="DG55" s="16" t="n">
        <v>0</v>
      </c>
      <c r="DH55" s="16" t="n">
        <v>0</v>
      </c>
      <c r="DI55" s="16" t="n">
        <v>0</v>
      </c>
      <c r="DJ55" s="16" t="n">
        <v>0</v>
      </c>
      <c r="DK55" s="16" t="n">
        <v>0</v>
      </c>
      <c r="DL55" s="16" t="n">
        <v>0</v>
      </c>
      <c r="DM55" s="16" t="n">
        <v>0</v>
      </c>
      <c r="DN55" s="16" t="n">
        <v>0</v>
      </c>
      <c r="DO55" s="16" t="n">
        <v>0</v>
      </c>
      <c r="DP55" s="16" t="n">
        <v>0</v>
      </c>
      <c r="DQ55" s="16" t="n">
        <v>0</v>
      </c>
      <c r="DR55" s="16" t="n">
        <v>0</v>
      </c>
      <c r="DS55" s="16" t="n">
        <v>0</v>
      </c>
      <c r="DT55" s="16" t="n">
        <v>0</v>
      </c>
      <c r="DU55" s="16" t="n">
        <v>0</v>
      </c>
      <c r="DV55" s="16" t="n">
        <v>0</v>
      </c>
      <c r="DW55" s="16" t="n">
        <v>0</v>
      </c>
      <c r="DX55" s="16" t="n">
        <v>0</v>
      </c>
      <c r="DY55" s="16" t="n">
        <v>0</v>
      </c>
      <c r="DZ55" s="16" t="n">
        <v>0</v>
      </c>
      <c r="EA55" s="16" t="n">
        <v>0</v>
      </c>
      <c r="EB55" s="16" t="n">
        <v>0</v>
      </c>
      <c r="EC55" s="16" t="n">
        <v>0</v>
      </c>
      <c r="ED55" s="16" t="n">
        <v>0</v>
      </c>
      <c r="EE55" s="16" t="n">
        <v>0</v>
      </c>
      <c r="EF55" s="16" t="n">
        <v>0</v>
      </c>
    </row>
    <row r="56" customFormat="false" ht="15" hidden="false" customHeight="true" outlineLevel="0" collapsed="false">
      <c r="A56" s="9" t="s">
        <v>12</v>
      </c>
      <c r="B56" s="9" t="s">
        <v>9</v>
      </c>
      <c r="C56" s="9" t="s">
        <v>9</v>
      </c>
      <c r="D56" s="9" t="s">
        <v>338</v>
      </c>
      <c r="E56" s="9" t="s">
        <v>10</v>
      </c>
      <c r="F56" s="9" t="s">
        <v>40</v>
      </c>
      <c r="G56" s="16" t="n">
        <v>1</v>
      </c>
      <c r="H56" s="16" t="n">
        <v>25</v>
      </c>
      <c r="I56" s="16" t="n">
        <v>1</v>
      </c>
      <c r="J56" s="16" t="n">
        <v>24</v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  <c r="P56" s="16" t="n">
        <v>0</v>
      </c>
      <c r="Q56" s="16" t="n">
        <v>0</v>
      </c>
      <c r="R56" s="16" t="n">
        <v>0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0</v>
      </c>
      <c r="X56" s="16" t="n">
        <v>0</v>
      </c>
      <c r="Y56" s="16" t="n">
        <v>0</v>
      </c>
      <c r="Z56" s="16" t="n">
        <v>0</v>
      </c>
      <c r="AA56" s="16" t="n">
        <v>0</v>
      </c>
      <c r="AB56" s="16" t="n">
        <v>0</v>
      </c>
      <c r="AC56" s="16" t="n">
        <v>0</v>
      </c>
      <c r="AD56" s="16" t="n">
        <v>0</v>
      </c>
      <c r="AE56" s="16" t="n">
        <v>0</v>
      </c>
      <c r="AF56" s="16" t="n">
        <v>0</v>
      </c>
      <c r="AG56" s="16" t="n">
        <v>1</v>
      </c>
      <c r="AH56" s="16" t="n">
        <v>0</v>
      </c>
      <c r="AI56" s="16" t="n">
        <v>0</v>
      </c>
      <c r="AJ56" s="16" t="n">
        <v>0</v>
      </c>
      <c r="AK56" s="16" t="n">
        <v>0</v>
      </c>
      <c r="AL56" s="16" t="n">
        <v>0</v>
      </c>
      <c r="AM56" s="16" t="n">
        <v>0</v>
      </c>
      <c r="AN56" s="16" t="n">
        <v>0</v>
      </c>
      <c r="AO56" s="16" t="n">
        <v>0</v>
      </c>
      <c r="AP56" s="16" t="n">
        <v>0</v>
      </c>
      <c r="AQ56" s="16" t="n">
        <v>0</v>
      </c>
      <c r="AR56" s="16" t="n">
        <v>0</v>
      </c>
      <c r="AS56" s="16" t="n">
        <v>0</v>
      </c>
      <c r="AT56" s="16" t="n">
        <v>0</v>
      </c>
      <c r="AU56" s="16" t="n">
        <v>0</v>
      </c>
      <c r="AV56" s="16" t="n">
        <v>0</v>
      </c>
      <c r="AW56" s="16" t="n">
        <v>0</v>
      </c>
      <c r="AX56" s="16" t="n">
        <v>0</v>
      </c>
      <c r="AY56" s="16" t="n">
        <v>0</v>
      </c>
      <c r="AZ56" s="16" t="n">
        <v>0</v>
      </c>
      <c r="BA56" s="16" t="n">
        <v>0</v>
      </c>
      <c r="BB56" s="16" t="n">
        <v>0</v>
      </c>
      <c r="BC56" s="16" t="n">
        <v>0</v>
      </c>
      <c r="BD56" s="16" t="n">
        <v>0</v>
      </c>
      <c r="BE56" s="16" t="n">
        <v>0</v>
      </c>
      <c r="BF56" s="16" t="n">
        <v>0</v>
      </c>
      <c r="BG56" s="16" t="n">
        <v>0</v>
      </c>
      <c r="BH56" s="16" t="n">
        <v>0</v>
      </c>
      <c r="BI56" s="16" t="n">
        <v>0</v>
      </c>
      <c r="BJ56" s="16" t="n">
        <v>0</v>
      </c>
      <c r="BK56" s="16" t="n">
        <v>0</v>
      </c>
      <c r="BL56" s="16" t="n">
        <v>0</v>
      </c>
      <c r="BM56" s="16" t="n">
        <v>0</v>
      </c>
      <c r="BN56" s="16" t="n">
        <v>0</v>
      </c>
      <c r="BO56" s="16" t="n">
        <v>0</v>
      </c>
      <c r="BP56" s="16" t="n">
        <v>0</v>
      </c>
      <c r="BQ56" s="16" t="n">
        <v>0</v>
      </c>
      <c r="BR56" s="16" t="n">
        <v>0</v>
      </c>
      <c r="BS56" s="16" t="n">
        <v>0</v>
      </c>
      <c r="BT56" s="16" t="n">
        <v>0</v>
      </c>
      <c r="BU56" s="16" t="n">
        <v>0</v>
      </c>
      <c r="BV56" s="16" t="n">
        <v>0</v>
      </c>
      <c r="BW56" s="16" t="n">
        <v>0</v>
      </c>
      <c r="BX56" s="16" t="n">
        <v>0</v>
      </c>
      <c r="BY56" s="16" t="n">
        <v>0</v>
      </c>
      <c r="BZ56" s="16" t="n">
        <v>0</v>
      </c>
      <c r="CA56" s="16" t="n">
        <v>0</v>
      </c>
      <c r="CB56" s="16" t="n">
        <v>0</v>
      </c>
      <c r="CC56" s="16" t="n">
        <v>0</v>
      </c>
      <c r="CD56" s="16" t="n">
        <v>0</v>
      </c>
      <c r="CE56" s="16" t="n">
        <v>0</v>
      </c>
      <c r="CF56" s="16" t="n">
        <v>0</v>
      </c>
      <c r="CG56" s="16" t="n">
        <v>0</v>
      </c>
      <c r="CH56" s="16" t="n">
        <v>0</v>
      </c>
      <c r="CI56" s="16" t="n">
        <v>0</v>
      </c>
      <c r="CJ56" s="16" t="n">
        <v>0</v>
      </c>
      <c r="CK56" s="16" t="n">
        <v>0</v>
      </c>
      <c r="CL56" s="16" t="n">
        <v>0</v>
      </c>
      <c r="CM56" s="16" t="n">
        <v>0</v>
      </c>
      <c r="CN56" s="16" t="n">
        <v>0</v>
      </c>
      <c r="CO56" s="16" t="n">
        <v>0</v>
      </c>
      <c r="CP56" s="16" t="n">
        <v>0</v>
      </c>
      <c r="CQ56" s="16" t="n">
        <v>0</v>
      </c>
      <c r="CR56" s="16" t="n">
        <v>0</v>
      </c>
      <c r="CS56" s="16" t="n">
        <v>0</v>
      </c>
      <c r="CT56" s="16" t="n">
        <v>0</v>
      </c>
      <c r="CU56" s="16" t="n">
        <v>0</v>
      </c>
      <c r="CV56" s="16" t="n">
        <v>0</v>
      </c>
      <c r="CW56" s="16" t="n">
        <v>0</v>
      </c>
      <c r="CX56" s="16" t="n">
        <v>0</v>
      </c>
      <c r="CY56" s="16" t="n">
        <v>0</v>
      </c>
      <c r="CZ56" s="16" t="n">
        <v>0</v>
      </c>
      <c r="DA56" s="16" t="n">
        <v>0</v>
      </c>
      <c r="DB56" s="16" t="n">
        <v>0</v>
      </c>
      <c r="DC56" s="16" t="n">
        <v>0</v>
      </c>
      <c r="DD56" s="16" t="n">
        <v>0</v>
      </c>
      <c r="DE56" s="16" t="n">
        <v>0</v>
      </c>
      <c r="DF56" s="16" t="n">
        <v>0</v>
      </c>
      <c r="DG56" s="16" t="n">
        <v>0</v>
      </c>
      <c r="DH56" s="16" t="n">
        <v>0</v>
      </c>
      <c r="DI56" s="16" t="n">
        <v>0</v>
      </c>
      <c r="DJ56" s="16" t="n">
        <v>0</v>
      </c>
      <c r="DK56" s="16" t="n">
        <v>0</v>
      </c>
      <c r="DL56" s="16" t="n">
        <v>0</v>
      </c>
      <c r="DM56" s="16" t="n">
        <v>0</v>
      </c>
      <c r="DN56" s="16" t="n">
        <v>0</v>
      </c>
      <c r="DO56" s="16" t="n">
        <v>0</v>
      </c>
      <c r="DP56" s="16" t="n">
        <v>0</v>
      </c>
      <c r="DQ56" s="16" t="n">
        <v>0</v>
      </c>
      <c r="DR56" s="16" t="n">
        <v>0</v>
      </c>
      <c r="DS56" s="16" t="n">
        <v>0</v>
      </c>
      <c r="DT56" s="16" t="n">
        <v>0</v>
      </c>
      <c r="DU56" s="16" t="n">
        <v>0</v>
      </c>
      <c r="DV56" s="16" t="n">
        <v>0</v>
      </c>
      <c r="DW56" s="16" t="n">
        <v>0</v>
      </c>
      <c r="DX56" s="16" t="n">
        <v>0</v>
      </c>
      <c r="DY56" s="16" t="n">
        <v>0</v>
      </c>
      <c r="DZ56" s="16" t="n">
        <v>0</v>
      </c>
      <c r="EA56" s="16" t="n">
        <v>0</v>
      </c>
      <c r="EB56" s="16" t="n">
        <v>0</v>
      </c>
      <c r="EC56" s="16" t="n">
        <v>0</v>
      </c>
      <c r="ED56" s="16" t="n">
        <v>0</v>
      </c>
      <c r="EE56" s="16" t="n">
        <v>0</v>
      </c>
      <c r="EF56" s="16" t="n">
        <v>0</v>
      </c>
    </row>
    <row r="57" customFormat="false" ht="15" hidden="false" customHeight="true" outlineLevel="0" collapsed="false">
      <c r="A57" s="9" t="s">
        <v>12</v>
      </c>
      <c r="B57" s="9" t="s">
        <v>9</v>
      </c>
      <c r="C57" s="9" t="s">
        <v>9</v>
      </c>
      <c r="D57" s="9" t="s">
        <v>337</v>
      </c>
      <c r="E57" s="9" t="s">
        <v>10</v>
      </c>
      <c r="F57" s="9" t="s">
        <v>40</v>
      </c>
      <c r="G57" s="16" t="n">
        <v>0</v>
      </c>
      <c r="H57" s="16" t="n">
        <v>0</v>
      </c>
      <c r="I57" s="16" t="n">
        <v>35.5</v>
      </c>
      <c r="J57" s="16" t="n">
        <v>-35.5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0</v>
      </c>
      <c r="T57" s="16" t="n">
        <v>0</v>
      </c>
      <c r="U57" s="16" t="n">
        <v>0</v>
      </c>
      <c r="V57" s="16" t="n">
        <v>0</v>
      </c>
      <c r="W57" s="16" t="n">
        <v>0</v>
      </c>
      <c r="X57" s="16" t="n">
        <v>0</v>
      </c>
      <c r="Y57" s="16" t="n">
        <v>0</v>
      </c>
      <c r="Z57" s="16" t="n">
        <v>0</v>
      </c>
      <c r="AA57" s="16" t="n">
        <v>0</v>
      </c>
      <c r="AB57" s="16" t="n">
        <v>0</v>
      </c>
      <c r="AC57" s="16" t="n">
        <v>0</v>
      </c>
      <c r="AD57" s="16" t="n">
        <v>0</v>
      </c>
      <c r="AE57" s="16" t="n">
        <v>0</v>
      </c>
      <c r="AF57" s="16" t="n">
        <v>0</v>
      </c>
      <c r="AG57" s="16" t="n">
        <v>0</v>
      </c>
      <c r="AH57" s="16" t="n">
        <v>0</v>
      </c>
      <c r="AI57" s="16" t="n">
        <v>0</v>
      </c>
      <c r="AJ57" s="16" t="n">
        <v>0</v>
      </c>
      <c r="AK57" s="16" t="n">
        <v>0</v>
      </c>
      <c r="AL57" s="16" t="n">
        <v>0</v>
      </c>
      <c r="AM57" s="16" t="n">
        <v>0</v>
      </c>
      <c r="AN57" s="16" t="n">
        <v>0</v>
      </c>
      <c r="AO57" s="16" t="n">
        <v>0</v>
      </c>
      <c r="AP57" s="16" t="n">
        <v>0</v>
      </c>
      <c r="AQ57" s="16" t="n">
        <v>11.5</v>
      </c>
      <c r="AR57" s="16" t="n">
        <v>0</v>
      </c>
      <c r="AS57" s="16" t="n">
        <v>0</v>
      </c>
      <c r="AT57" s="16" t="n">
        <v>0</v>
      </c>
      <c r="AU57" s="16" t="n">
        <v>0</v>
      </c>
      <c r="AV57" s="16" t="n">
        <v>0</v>
      </c>
      <c r="AW57" s="16" t="n">
        <v>0</v>
      </c>
      <c r="AX57" s="16" t="n">
        <v>0</v>
      </c>
      <c r="AY57" s="16" t="n">
        <v>0</v>
      </c>
      <c r="AZ57" s="16" t="n">
        <v>0</v>
      </c>
      <c r="BA57" s="16" t="n">
        <v>0</v>
      </c>
      <c r="BB57" s="16" t="n">
        <v>0</v>
      </c>
      <c r="BC57" s="16" t="n">
        <v>0</v>
      </c>
      <c r="BD57" s="16" t="n">
        <v>0</v>
      </c>
      <c r="BE57" s="16" t="n">
        <v>0</v>
      </c>
      <c r="BF57" s="16" t="n">
        <v>0</v>
      </c>
      <c r="BG57" s="16" t="n">
        <v>0</v>
      </c>
      <c r="BH57" s="16" t="n">
        <v>0</v>
      </c>
      <c r="BI57" s="16" t="n">
        <v>0</v>
      </c>
      <c r="BJ57" s="16" t="n">
        <v>0</v>
      </c>
      <c r="BK57" s="16" t="n">
        <v>0</v>
      </c>
      <c r="BL57" s="16" t="n">
        <v>0</v>
      </c>
      <c r="BM57" s="16" t="n">
        <v>0</v>
      </c>
      <c r="BN57" s="16" t="n">
        <v>0</v>
      </c>
      <c r="BO57" s="16" t="n">
        <v>0</v>
      </c>
      <c r="BP57" s="16" t="n">
        <v>0</v>
      </c>
      <c r="BQ57" s="16" t="n">
        <v>0</v>
      </c>
      <c r="BR57" s="16" t="n">
        <v>0</v>
      </c>
      <c r="BS57" s="16" t="n">
        <v>0</v>
      </c>
      <c r="BT57" s="16" t="n">
        <v>0</v>
      </c>
      <c r="BU57" s="16" t="n">
        <v>0</v>
      </c>
      <c r="BV57" s="16" t="n">
        <v>0</v>
      </c>
      <c r="BW57" s="16" t="n">
        <v>0</v>
      </c>
      <c r="BX57" s="16" t="n">
        <v>0</v>
      </c>
      <c r="BY57" s="16" t="n">
        <v>0</v>
      </c>
      <c r="BZ57" s="16" t="n">
        <v>0</v>
      </c>
      <c r="CA57" s="16" t="n">
        <v>0</v>
      </c>
      <c r="CB57" s="16" t="n">
        <v>0</v>
      </c>
      <c r="CC57" s="16" t="n">
        <v>0</v>
      </c>
      <c r="CD57" s="16" t="n">
        <v>0</v>
      </c>
      <c r="CE57" s="16" t="n">
        <v>0</v>
      </c>
      <c r="CF57" s="16" t="n">
        <v>0</v>
      </c>
      <c r="CG57" s="16" t="n">
        <v>0</v>
      </c>
      <c r="CH57" s="16" t="n">
        <v>0</v>
      </c>
      <c r="CI57" s="16" t="n">
        <v>0</v>
      </c>
      <c r="CJ57" s="16" t="n">
        <v>0</v>
      </c>
      <c r="CK57" s="16" t="n">
        <v>0</v>
      </c>
      <c r="CL57" s="16" t="n">
        <v>0</v>
      </c>
      <c r="CM57" s="16" t="n">
        <v>0</v>
      </c>
      <c r="CN57" s="16" t="n">
        <v>0</v>
      </c>
      <c r="CO57" s="16" t="n">
        <v>0</v>
      </c>
      <c r="CP57" s="16" t="n">
        <v>0</v>
      </c>
      <c r="CQ57" s="16" t="n">
        <v>0</v>
      </c>
      <c r="CR57" s="16" t="n">
        <v>0</v>
      </c>
      <c r="CS57" s="16" t="n">
        <v>0</v>
      </c>
      <c r="CT57" s="16" t="n">
        <v>0</v>
      </c>
      <c r="CU57" s="16" t="n">
        <v>0</v>
      </c>
      <c r="CV57" s="16" t="n">
        <v>0</v>
      </c>
      <c r="CW57" s="16" t="n">
        <v>0</v>
      </c>
      <c r="CX57" s="16" t="n">
        <v>0</v>
      </c>
      <c r="CY57" s="16" t="n">
        <v>0</v>
      </c>
      <c r="CZ57" s="16" t="n">
        <v>0</v>
      </c>
      <c r="DA57" s="16" t="n">
        <v>0</v>
      </c>
      <c r="DB57" s="16" t="n">
        <v>0</v>
      </c>
      <c r="DC57" s="16" t="n">
        <v>0</v>
      </c>
      <c r="DD57" s="16" t="n">
        <v>0</v>
      </c>
      <c r="DE57" s="16" t="n">
        <v>0</v>
      </c>
      <c r="DF57" s="16" t="n">
        <v>0</v>
      </c>
      <c r="DG57" s="16" t="n">
        <v>0</v>
      </c>
      <c r="DH57" s="16" t="n">
        <v>0</v>
      </c>
      <c r="DI57" s="16" t="n">
        <v>0</v>
      </c>
      <c r="DJ57" s="16" t="n">
        <v>0</v>
      </c>
      <c r="DK57" s="16" t="n">
        <v>0</v>
      </c>
      <c r="DL57" s="16" t="n">
        <v>0</v>
      </c>
      <c r="DM57" s="16" t="n">
        <v>0</v>
      </c>
      <c r="DN57" s="16" t="n">
        <v>0</v>
      </c>
      <c r="DO57" s="16" t="n">
        <v>5.5</v>
      </c>
      <c r="DP57" s="16" t="n">
        <v>1.5</v>
      </c>
      <c r="DQ57" s="16" t="n">
        <v>16</v>
      </c>
      <c r="DR57" s="16" t="n">
        <v>1</v>
      </c>
      <c r="DS57" s="16" t="n">
        <v>0</v>
      </c>
      <c r="DT57" s="16" t="n">
        <v>0</v>
      </c>
      <c r="DU57" s="16" t="n">
        <v>0</v>
      </c>
      <c r="DV57" s="16" t="n">
        <v>0</v>
      </c>
      <c r="DW57" s="16" t="n">
        <v>0</v>
      </c>
      <c r="DX57" s="16" t="n">
        <v>0</v>
      </c>
      <c r="DY57" s="16" t="n">
        <v>0</v>
      </c>
      <c r="DZ57" s="16" t="n">
        <v>0</v>
      </c>
      <c r="EA57" s="16" t="n">
        <v>0</v>
      </c>
      <c r="EB57" s="16" t="n">
        <v>0</v>
      </c>
      <c r="EC57" s="16" t="n">
        <v>0</v>
      </c>
      <c r="ED57" s="16" t="n">
        <v>0</v>
      </c>
      <c r="EE57" s="16" t="n">
        <v>0</v>
      </c>
      <c r="EF57" s="16" t="n">
        <v>0</v>
      </c>
    </row>
    <row r="58" customFormat="false" ht="15" hidden="false" customHeight="true" outlineLevel="0" collapsed="false">
      <c r="A58" s="9" t="s">
        <v>12</v>
      </c>
      <c r="B58" s="9" t="s">
        <v>9</v>
      </c>
      <c r="C58" s="9" t="s">
        <v>9</v>
      </c>
      <c r="D58" s="9" t="s">
        <v>338</v>
      </c>
      <c r="E58" s="9" t="s">
        <v>10</v>
      </c>
      <c r="F58" s="9" t="s">
        <v>96</v>
      </c>
      <c r="G58" s="16" t="n">
        <v>102.5</v>
      </c>
      <c r="H58" s="16" t="n">
        <v>243.2</v>
      </c>
      <c r="I58" s="16" t="n">
        <v>33</v>
      </c>
      <c r="J58" s="16" t="n">
        <v>210.2</v>
      </c>
      <c r="K58" s="16" t="n">
        <v>0</v>
      </c>
      <c r="L58" s="16" t="n">
        <v>0</v>
      </c>
      <c r="M58" s="16" t="n">
        <v>0</v>
      </c>
      <c r="N58" s="16" t="n">
        <v>0</v>
      </c>
      <c r="O58" s="16" t="n">
        <v>0</v>
      </c>
      <c r="P58" s="16" t="n">
        <v>0</v>
      </c>
      <c r="Q58" s="16" t="n">
        <v>0</v>
      </c>
      <c r="R58" s="16" t="n">
        <v>0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0</v>
      </c>
      <c r="X58" s="16" t="n">
        <v>0</v>
      </c>
      <c r="Y58" s="16" t="n">
        <v>0</v>
      </c>
      <c r="Z58" s="16" t="n">
        <v>0</v>
      </c>
      <c r="AA58" s="16" t="n">
        <v>0</v>
      </c>
      <c r="AB58" s="16" t="n">
        <v>1</v>
      </c>
      <c r="AC58" s="16" t="n">
        <v>5.5</v>
      </c>
      <c r="AD58" s="16" t="n">
        <v>10.5</v>
      </c>
      <c r="AE58" s="16" t="n">
        <v>2</v>
      </c>
      <c r="AF58" s="16" t="n">
        <v>8</v>
      </c>
      <c r="AG58" s="16" t="n">
        <v>2</v>
      </c>
      <c r="AH58" s="16" t="n">
        <v>0</v>
      </c>
      <c r="AI58" s="16" t="n">
        <v>3</v>
      </c>
      <c r="AJ58" s="16" t="n">
        <v>1</v>
      </c>
      <c r="AK58" s="16" t="n">
        <v>0</v>
      </c>
      <c r="AL58" s="16" t="n">
        <v>0</v>
      </c>
      <c r="AM58" s="16" t="n">
        <v>0</v>
      </c>
      <c r="AN58" s="16" t="n">
        <v>0</v>
      </c>
      <c r="AO58" s="16" t="n">
        <v>0</v>
      </c>
      <c r="AP58" s="16" t="n">
        <v>0</v>
      </c>
      <c r="AQ58" s="16" t="n">
        <v>0</v>
      </c>
      <c r="AR58" s="16" t="n">
        <v>0</v>
      </c>
      <c r="AS58" s="16" t="n">
        <v>0</v>
      </c>
      <c r="AT58" s="16" t="n">
        <v>0</v>
      </c>
      <c r="AU58" s="16" t="n">
        <v>0</v>
      </c>
      <c r="AV58" s="16" t="n">
        <v>0</v>
      </c>
      <c r="AW58" s="16" t="n">
        <v>0</v>
      </c>
      <c r="AX58" s="16" t="n">
        <v>0</v>
      </c>
      <c r="AY58" s="16" t="n">
        <v>0</v>
      </c>
      <c r="AZ58" s="16" t="n">
        <v>0</v>
      </c>
      <c r="BA58" s="16" t="n">
        <v>0</v>
      </c>
      <c r="BB58" s="16" t="n">
        <v>0</v>
      </c>
      <c r="BC58" s="16" t="n">
        <v>0</v>
      </c>
      <c r="BD58" s="16" t="n">
        <v>0</v>
      </c>
      <c r="BE58" s="16" t="n">
        <v>0</v>
      </c>
      <c r="BF58" s="16" t="n">
        <v>0</v>
      </c>
      <c r="BG58" s="16" t="n">
        <v>0</v>
      </c>
      <c r="BH58" s="16" t="n">
        <v>0</v>
      </c>
      <c r="BI58" s="16" t="n">
        <v>0</v>
      </c>
      <c r="BJ58" s="16" t="n">
        <v>0</v>
      </c>
      <c r="BK58" s="16" t="n">
        <v>0</v>
      </c>
      <c r="BL58" s="16" t="n">
        <v>0</v>
      </c>
      <c r="BM58" s="16" t="n">
        <v>0</v>
      </c>
      <c r="BN58" s="16" t="n">
        <v>0</v>
      </c>
      <c r="BO58" s="16" t="n">
        <v>0</v>
      </c>
      <c r="BP58" s="16" t="n">
        <v>0</v>
      </c>
      <c r="BQ58" s="16" t="n">
        <v>0</v>
      </c>
      <c r="BR58" s="16" t="n">
        <v>0</v>
      </c>
      <c r="BS58" s="16" t="n">
        <v>0</v>
      </c>
      <c r="BT58" s="16" t="n">
        <v>0</v>
      </c>
      <c r="BU58" s="16" t="n">
        <v>0</v>
      </c>
      <c r="BV58" s="16" t="n">
        <v>0</v>
      </c>
      <c r="BW58" s="16" t="n">
        <v>0</v>
      </c>
      <c r="BX58" s="16" t="n">
        <v>0</v>
      </c>
      <c r="BY58" s="16" t="n">
        <v>0</v>
      </c>
      <c r="BZ58" s="16" t="n">
        <v>0</v>
      </c>
      <c r="CA58" s="16" t="n">
        <v>0</v>
      </c>
      <c r="CB58" s="16" t="n">
        <v>0</v>
      </c>
      <c r="CC58" s="16" t="n">
        <v>0</v>
      </c>
      <c r="CD58" s="16" t="n">
        <v>0</v>
      </c>
      <c r="CE58" s="16" t="n">
        <v>0</v>
      </c>
      <c r="CF58" s="16" t="n">
        <v>0</v>
      </c>
      <c r="CG58" s="16" t="n">
        <v>0</v>
      </c>
      <c r="CH58" s="16" t="n">
        <v>0</v>
      </c>
      <c r="CI58" s="16" t="n">
        <v>0</v>
      </c>
      <c r="CJ58" s="16" t="n">
        <v>0</v>
      </c>
      <c r="CK58" s="16" t="n">
        <v>0</v>
      </c>
      <c r="CL58" s="16" t="n">
        <v>0</v>
      </c>
      <c r="CM58" s="16" t="n">
        <v>0</v>
      </c>
      <c r="CN58" s="16" t="n">
        <v>0</v>
      </c>
      <c r="CO58" s="16" t="n">
        <v>0</v>
      </c>
      <c r="CP58" s="16" t="n">
        <v>0</v>
      </c>
      <c r="CQ58" s="16" t="n">
        <v>0</v>
      </c>
      <c r="CR58" s="16" t="n">
        <v>0</v>
      </c>
      <c r="CS58" s="16" t="n">
        <v>0</v>
      </c>
      <c r="CT58" s="16" t="n">
        <v>0</v>
      </c>
      <c r="CU58" s="16" t="n">
        <v>0</v>
      </c>
      <c r="CV58" s="16" t="n">
        <v>0</v>
      </c>
      <c r="CW58" s="16" t="n">
        <v>0</v>
      </c>
      <c r="CX58" s="16" t="n">
        <v>0</v>
      </c>
      <c r="CY58" s="16" t="n">
        <v>0</v>
      </c>
      <c r="CZ58" s="16" t="n">
        <v>0</v>
      </c>
      <c r="DA58" s="16" t="n">
        <v>0</v>
      </c>
      <c r="DB58" s="16" t="n">
        <v>0</v>
      </c>
      <c r="DC58" s="16" t="n">
        <v>0</v>
      </c>
      <c r="DD58" s="16" t="n">
        <v>0</v>
      </c>
      <c r="DE58" s="16" t="n">
        <v>0</v>
      </c>
      <c r="DF58" s="16" t="n">
        <v>0</v>
      </c>
      <c r="DG58" s="16" t="n">
        <v>0</v>
      </c>
      <c r="DH58" s="16" t="n">
        <v>0</v>
      </c>
      <c r="DI58" s="16" t="n">
        <v>0</v>
      </c>
      <c r="DJ58" s="16" t="n">
        <v>0</v>
      </c>
      <c r="DK58" s="16" t="n">
        <v>0</v>
      </c>
      <c r="DL58" s="16" t="n">
        <v>0</v>
      </c>
      <c r="DM58" s="16" t="n">
        <v>0</v>
      </c>
      <c r="DN58" s="16" t="n">
        <v>0</v>
      </c>
      <c r="DO58" s="16" t="n">
        <v>0</v>
      </c>
      <c r="DP58" s="16" t="n">
        <v>0</v>
      </c>
      <c r="DQ58" s="16" t="n">
        <v>0</v>
      </c>
      <c r="DR58" s="16" t="n">
        <v>0</v>
      </c>
      <c r="DS58" s="16" t="n">
        <v>0</v>
      </c>
      <c r="DT58" s="16" t="n">
        <v>0</v>
      </c>
      <c r="DU58" s="16" t="n">
        <v>0</v>
      </c>
      <c r="DV58" s="16" t="n">
        <v>0</v>
      </c>
      <c r="DW58" s="16" t="n">
        <v>0</v>
      </c>
      <c r="DX58" s="16" t="n">
        <v>0</v>
      </c>
      <c r="DY58" s="16" t="n">
        <v>0</v>
      </c>
      <c r="DZ58" s="16" t="n">
        <v>0</v>
      </c>
      <c r="EA58" s="16" t="n">
        <v>0</v>
      </c>
      <c r="EB58" s="16" t="n">
        <v>0</v>
      </c>
      <c r="EC58" s="16" t="n">
        <v>0</v>
      </c>
      <c r="ED58" s="16" t="n">
        <v>0</v>
      </c>
      <c r="EE58" s="16" t="n">
        <v>0</v>
      </c>
      <c r="EF58" s="16" t="n">
        <v>0</v>
      </c>
    </row>
    <row r="59" customFormat="false" ht="15" hidden="false" customHeight="true" outlineLevel="0" collapsed="false">
      <c r="A59" s="9" t="s">
        <v>12</v>
      </c>
      <c r="B59" s="9" t="s">
        <v>9</v>
      </c>
      <c r="C59" s="9" t="s">
        <v>9</v>
      </c>
      <c r="D59" s="9" t="s">
        <v>337</v>
      </c>
      <c r="E59" s="9" t="s">
        <v>10</v>
      </c>
      <c r="F59" s="9" t="s">
        <v>96</v>
      </c>
      <c r="G59" s="16" t="n">
        <v>0</v>
      </c>
      <c r="H59" s="16" t="n">
        <v>0</v>
      </c>
      <c r="I59" s="16" t="n">
        <v>179.6</v>
      </c>
      <c r="J59" s="16" t="n">
        <v>-179.6</v>
      </c>
      <c r="K59" s="16" t="n">
        <v>0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0</v>
      </c>
      <c r="Q59" s="16" t="n">
        <v>0</v>
      </c>
      <c r="R59" s="16" t="n">
        <v>0</v>
      </c>
      <c r="S59" s="16" t="n">
        <v>0</v>
      </c>
      <c r="T59" s="16" t="n">
        <v>0</v>
      </c>
      <c r="U59" s="16" t="n">
        <v>0</v>
      </c>
      <c r="V59" s="16" t="n">
        <v>0</v>
      </c>
      <c r="W59" s="16" t="n">
        <v>0</v>
      </c>
      <c r="X59" s="16" t="n">
        <v>0</v>
      </c>
      <c r="Y59" s="16" t="n">
        <v>0</v>
      </c>
      <c r="Z59" s="16" t="n">
        <v>0</v>
      </c>
      <c r="AA59" s="16" t="n">
        <v>0</v>
      </c>
      <c r="AB59" s="16" t="n">
        <v>0</v>
      </c>
      <c r="AC59" s="16" t="n">
        <v>0</v>
      </c>
      <c r="AD59" s="16" t="n">
        <v>0</v>
      </c>
      <c r="AE59" s="16" t="n">
        <v>0</v>
      </c>
      <c r="AF59" s="16" t="n">
        <v>0</v>
      </c>
      <c r="AG59" s="16" t="n">
        <v>0</v>
      </c>
      <c r="AH59" s="16" t="n">
        <v>0</v>
      </c>
      <c r="AI59" s="16" t="n">
        <v>0</v>
      </c>
      <c r="AJ59" s="16" t="n">
        <v>0</v>
      </c>
      <c r="AK59" s="16" t="n">
        <v>3</v>
      </c>
      <c r="AL59" s="16" t="n">
        <v>2</v>
      </c>
      <c r="AM59" s="16" t="n">
        <v>1.5</v>
      </c>
      <c r="AN59" s="16" t="n">
        <v>9</v>
      </c>
      <c r="AO59" s="16" t="n">
        <v>6.8</v>
      </c>
      <c r="AP59" s="16" t="n">
        <v>18</v>
      </c>
      <c r="AQ59" s="16" t="n">
        <v>0.5</v>
      </c>
      <c r="AR59" s="16" t="n">
        <v>15.7</v>
      </c>
      <c r="AS59" s="16" t="n">
        <v>0</v>
      </c>
      <c r="AT59" s="16" t="n">
        <v>0</v>
      </c>
      <c r="AU59" s="16" t="n">
        <v>0</v>
      </c>
      <c r="AV59" s="16" t="n">
        <v>0</v>
      </c>
      <c r="AW59" s="16" t="n">
        <v>0</v>
      </c>
      <c r="AX59" s="16" t="n">
        <v>0</v>
      </c>
      <c r="AY59" s="16" t="n">
        <v>0</v>
      </c>
      <c r="AZ59" s="16" t="n">
        <v>0</v>
      </c>
      <c r="BA59" s="16" t="n">
        <v>0</v>
      </c>
      <c r="BB59" s="16" t="n">
        <v>0</v>
      </c>
      <c r="BC59" s="16" t="n">
        <v>0</v>
      </c>
      <c r="BD59" s="16" t="n">
        <v>0</v>
      </c>
      <c r="BE59" s="16" t="n">
        <v>0</v>
      </c>
      <c r="BF59" s="16" t="n">
        <v>0</v>
      </c>
      <c r="BG59" s="16" t="n">
        <v>0</v>
      </c>
      <c r="BH59" s="16" t="n">
        <v>0</v>
      </c>
      <c r="BI59" s="16" t="n">
        <v>0</v>
      </c>
      <c r="BJ59" s="16" t="n">
        <v>0</v>
      </c>
      <c r="BK59" s="16" t="n">
        <v>0</v>
      </c>
      <c r="BL59" s="16" t="n">
        <v>0</v>
      </c>
      <c r="BM59" s="16" t="n">
        <v>0</v>
      </c>
      <c r="BN59" s="16" t="n">
        <v>0</v>
      </c>
      <c r="BO59" s="16" t="n">
        <v>0</v>
      </c>
      <c r="BP59" s="16" t="n">
        <v>0</v>
      </c>
      <c r="BQ59" s="16" t="n">
        <v>0</v>
      </c>
      <c r="BR59" s="16" t="n">
        <v>0</v>
      </c>
      <c r="BS59" s="16" t="n">
        <v>0</v>
      </c>
      <c r="BT59" s="16" t="n">
        <v>0</v>
      </c>
      <c r="BU59" s="16" t="n">
        <v>0</v>
      </c>
      <c r="BV59" s="16" t="n">
        <v>0</v>
      </c>
      <c r="BW59" s="16" t="n">
        <v>0</v>
      </c>
      <c r="BX59" s="16" t="n">
        <v>0</v>
      </c>
      <c r="BY59" s="16" t="n">
        <v>0</v>
      </c>
      <c r="BZ59" s="16" t="n">
        <v>0</v>
      </c>
      <c r="CA59" s="16" t="n">
        <v>0</v>
      </c>
      <c r="CB59" s="16" t="n">
        <v>0</v>
      </c>
      <c r="CC59" s="16" t="n">
        <v>0</v>
      </c>
      <c r="CD59" s="16" t="n">
        <v>0</v>
      </c>
      <c r="CE59" s="16" t="n">
        <v>0</v>
      </c>
      <c r="CF59" s="16" t="n">
        <v>0</v>
      </c>
      <c r="CG59" s="16" t="n">
        <v>0</v>
      </c>
      <c r="CH59" s="16" t="n">
        <v>0</v>
      </c>
      <c r="CI59" s="16" t="n">
        <v>0</v>
      </c>
      <c r="CJ59" s="16" t="n">
        <v>0</v>
      </c>
      <c r="CK59" s="16" t="n">
        <v>0</v>
      </c>
      <c r="CL59" s="16" t="n">
        <v>0</v>
      </c>
      <c r="CM59" s="16" t="n">
        <v>0</v>
      </c>
      <c r="CN59" s="16" t="n">
        <v>0</v>
      </c>
      <c r="CO59" s="16" t="n">
        <v>0</v>
      </c>
      <c r="CP59" s="16" t="n">
        <v>0</v>
      </c>
      <c r="CQ59" s="16" t="n">
        <v>0</v>
      </c>
      <c r="CR59" s="16" t="n">
        <v>0</v>
      </c>
      <c r="CS59" s="16" t="n">
        <v>18</v>
      </c>
      <c r="CT59" s="16" t="n">
        <v>18</v>
      </c>
      <c r="CU59" s="16" t="n">
        <v>0</v>
      </c>
      <c r="CV59" s="16" t="n">
        <v>0</v>
      </c>
      <c r="CW59" s="16" t="n">
        <v>0</v>
      </c>
      <c r="CX59" s="16" t="n">
        <v>0</v>
      </c>
      <c r="CY59" s="16" t="n">
        <v>0</v>
      </c>
      <c r="CZ59" s="16" t="n">
        <v>0</v>
      </c>
      <c r="DA59" s="16" t="n">
        <v>0</v>
      </c>
      <c r="DB59" s="16" t="n">
        <v>0</v>
      </c>
      <c r="DC59" s="16" t="n">
        <v>8.5</v>
      </c>
      <c r="DD59" s="16" t="n">
        <v>3.5</v>
      </c>
      <c r="DE59" s="16" t="n">
        <v>0</v>
      </c>
      <c r="DF59" s="16" t="n">
        <v>18.4</v>
      </c>
      <c r="DG59" s="16" t="n">
        <v>15.8</v>
      </c>
      <c r="DH59" s="16" t="n">
        <v>1.5</v>
      </c>
      <c r="DI59" s="16" t="n">
        <v>0</v>
      </c>
      <c r="DJ59" s="16" t="n">
        <v>0</v>
      </c>
      <c r="DK59" s="16" t="n">
        <v>0</v>
      </c>
      <c r="DL59" s="16" t="n">
        <v>0</v>
      </c>
      <c r="DM59" s="16" t="n">
        <v>0</v>
      </c>
      <c r="DN59" s="16" t="n">
        <v>0</v>
      </c>
      <c r="DO59" s="16" t="n">
        <v>1</v>
      </c>
      <c r="DP59" s="16" t="n">
        <v>21.5</v>
      </c>
      <c r="DQ59" s="16" t="n">
        <v>16.9</v>
      </c>
      <c r="DR59" s="16" t="n">
        <v>0</v>
      </c>
      <c r="DS59" s="16" t="n">
        <v>0</v>
      </c>
      <c r="DT59" s="16" t="n">
        <v>0</v>
      </c>
      <c r="DU59" s="16" t="n">
        <v>0</v>
      </c>
      <c r="DV59" s="16" t="n">
        <v>0</v>
      </c>
      <c r="DW59" s="16" t="n">
        <v>0</v>
      </c>
      <c r="DX59" s="16" t="n">
        <v>0</v>
      </c>
      <c r="DY59" s="16" t="n">
        <v>0</v>
      </c>
      <c r="DZ59" s="16" t="n">
        <v>0</v>
      </c>
      <c r="EA59" s="16" t="n">
        <v>0</v>
      </c>
      <c r="EB59" s="16" t="n">
        <v>0</v>
      </c>
      <c r="EC59" s="16" t="n">
        <v>0</v>
      </c>
      <c r="ED59" s="16" t="n">
        <v>0</v>
      </c>
      <c r="EE59" s="16" t="n">
        <v>0</v>
      </c>
      <c r="EF59" s="16" t="n">
        <v>0</v>
      </c>
    </row>
    <row r="60" customFormat="false" ht="15" hidden="false" customHeight="true" outlineLevel="0" collapsed="false">
      <c r="A60" s="9" t="s">
        <v>12</v>
      </c>
      <c r="B60" s="9" t="s">
        <v>9</v>
      </c>
      <c r="C60" s="9" t="s">
        <v>9</v>
      </c>
      <c r="D60" s="9" t="s">
        <v>338</v>
      </c>
      <c r="E60" s="9" t="s">
        <v>10</v>
      </c>
      <c r="F60" s="9" t="s">
        <v>97</v>
      </c>
      <c r="G60" s="16" t="n">
        <v>4.5</v>
      </c>
      <c r="H60" s="16" t="n">
        <v>4.5</v>
      </c>
      <c r="I60" s="16" t="n">
        <v>5</v>
      </c>
      <c r="J60" s="16" t="n">
        <v>-0.5</v>
      </c>
      <c r="K60" s="16" t="n">
        <v>0</v>
      </c>
      <c r="L60" s="16" t="n">
        <v>0</v>
      </c>
      <c r="M60" s="16" t="n">
        <v>0</v>
      </c>
      <c r="N60" s="16" t="n">
        <v>0</v>
      </c>
      <c r="O60" s="16" t="n">
        <v>0</v>
      </c>
      <c r="P60" s="16" t="n">
        <v>0</v>
      </c>
      <c r="Q60" s="16" t="n">
        <v>0</v>
      </c>
      <c r="R60" s="16" t="n">
        <v>0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0</v>
      </c>
      <c r="X60" s="16" t="n">
        <v>0</v>
      </c>
      <c r="Y60" s="16" t="n">
        <v>0</v>
      </c>
      <c r="Z60" s="16" t="n">
        <v>0</v>
      </c>
      <c r="AA60" s="16" t="n">
        <v>0</v>
      </c>
      <c r="AB60" s="16" t="n">
        <v>0</v>
      </c>
      <c r="AC60" s="16" t="n">
        <v>0</v>
      </c>
      <c r="AD60" s="16" t="n">
        <v>0</v>
      </c>
      <c r="AE60" s="16" t="n">
        <v>0</v>
      </c>
      <c r="AF60" s="16" t="n">
        <v>1.5</v>
      </c>
      <c r="AG60" s="16" t="n">
        <v>3</v>
      </c>
      <c r="AH60" s="16" t="n">
        <v>0</v>
      </c>
      <c r="AI60" s="16" t="n">
        <v>0</v>
      </c>
      <c r="AJ60" s="16" t="n">
        <v>0.5</v>
      </c>
      <c r="AK60" s="16" t="n">
        <v>0</v>
      </c>
      <c r="AL60" s="16" t="n">
        <v>0</v>
      </c>
      <c r="AM60" s="16" t="n">
        <v>0</v>
      </c>
      <c r="AN60" s="16" t="n">
        <v>0</v>
      </c>
      <c r="AO60" s="16" t="n">
        <v>0</v>
      </c>
      <c r="AP60" s="16" t="n">
        <v>0</v>
      </c>
      <c r="AQ60" s="16" t="n">
        <v>0</v>
      </c>
      <c r="AR60" s="16" t="n">
        <v>0</v>
      </c>
      <c r="AS60" s="16" t="n">
        <v>0</v>
      </c>
      <c r="AT60" s="16" t="n">
        <v>0</v>
      </c>
      <c r="AU60" s="16" t="n">
        <v>0</v>
      </c>
      <c r="AV60" s="16" t="n">
        <v>0</v>
      </c>
      <c r="AW60" s="16" t="n">
        <v>0</v>
      </c>
      <c r="AX60" s="16" t="n">
        <v>0</v>
      </c>
      <c r="AY60" s="16" t="n">
        <v>0</v>
      </c>
      <c r="AZ60" s="16" t="n">
        <v>0</v>
      </c>
      <c r="BA60" s="16" t="n">
        <v>0</v>
      </c>
      <c r="BB60" s="16" t="n">
        <v>0</v>
      </c>
      <c r="BC60" s="16" t="n">
        <v>0</v>
      </c>
      <c r="BD60" s="16" t="n">
        <v>0</v>
      </c>
      <c r="BE60" s="16" t="n">
        <v>0</v>
      </c>
      <c r="BF60" s="16" t="n">
        <v>0</v>
      </c>
      <c r="BG60" s="16" t="n">
        <v>0</v>
      </c>
      <c r="BH60" s="16" t="n">
        <v>0</v>
      </c>
      <c r="BI60" s="16" t="n">
        <v>0</v>
      </c>
      <c r="BJ60" s="16" t="n">
        <v>0</v>
      </c>
      <c r="BK60" s="16" t="n">
        <v>0</v>
      </c>
      <c r="BL60" s="16" t="n">
        <v>0</v>
      </c>
      <c r="BM60" s="16" t="n">
        <v>0</v>
      </c>
      <c r="BN60" s="16" t="n">
        <v>0</v>
      </c>
      <c r="BO60" s="16" t="n">
        <v>0</v>
      </c>
      <c r="BP60" s="16" t="n">
        <v>0</v>
      </c>
      <c r="BQ60" s="16" t="n">
        <v>0</v>
      </c>
      <c r="BR60" s="16" t="n">
        <v>0</v>
      </c>
      <c r="BS60" s="16" t="n">
        <v>0</v>
      </c>
      <c r="BT60" s="16" t="n">
        <v>0</v>
      </c>
      <c r="BU60" s="16" t="n">
        <v>0</v>
      </c>
      <c r="BV60" s="16" t="n">
        <v>0</v>
      </c>
      <c r="BW60" s="16" t="n">
        <v>0</v>
      </c>
      <c r="BX60" s="16" t="n">
        <v>0</v>
      </c>
      <c r="BY60" s="16" t="n">
        <v>0</v>
      </c>
      <c r="BZ60" s="16" t="n">
        <v>0</v>
      </c>
      <c r="CA60" s="16" t="n">
        <v>0</v>
      </c>
      <c r="CB60" s="16" t="n">
        <v>0</v>
      </c>
      <c r="CC60" s="16" t="n">
        <v>0</v>
      </c>
      <c r="CD60" s="16" t="n">
        <v>0</v>
      </c>
      <c r="CE60" s="16" t="n">
        <v>0</v>
      </c>
      <c r="CF60" s="16" t="n">
        <v>0</v>
      </c>
      <c r="CG60" s="16" t="n">
        <v>0</v>
      </c>
      <c r="CH60" s="16" t="n">
        <v>0</v>
      </c>
      <c r="CI60" s="16" t="n">
        <v>0</v>
      </c>
      <c r="CJ60" s="16" t="n">
        <v>0</v>
      </c>
      <c r="CK60" s="16" t="n">
        <v>0</v>
      </c>
      <c r="CL60" s="16" t="n">
        <v>0</v>
      </c>
      <c r="CM60" s="16" t="n">
        <v>0</v>
      </c>
      <c r="CN60" s="16" t="n">
        <v>0</v>
      </c>
      <c r="CO60" s="16" t="n">
        <v>0</v>
      </c>
      <c r="CP60" s="16" t="n">
        <v>0</v>
      </c>
      <c r="CQ60" s="16" t="n">
        <v>0</v>
      </c>
      <c r="CR60" s="16" t="n">
        <v>0</v>
      </c>
      <c r="CS60" s="16" t="n">
        <v>0</v>
      </c>
      <c r="CT60" s="16" t="n">
        <v>0</v>
      </c>
      <c r="CU60" s="16" t="n">
        <v>0</v>
      </c>
      <c r="CV60" s="16" t="n">
        <v>0</v>
      </c>
      <c r="CW60" s="16" t="n">
        <v>0</v>
      </c>
      <c r="CX60" s="16" t="n">
        <v>0</v>
      </c>
      <c r="CY60" s="16" t="n">
        <v>0</v>
      </c>
      <c r="CZ60" s="16" t="n">
        <v>0</v>
      </c>
      <c r="DA60" s="16" t="n">
        <v>0</v>
      </c>
      <c r="DB60" s="16" t="n">
        <v>0</v>
      </c>
      <c r="DC60" s="16" t="n">
        <v>0</v>
      </c>
      <c r="DD60" s="16" t="n">
        <v>0</v>
      </c>
      <c r="DE60" s="16" t="n">
        <v>0</v>
      </c>
      <c r="DF60" s="16" t="n">
        <v>0</v>
      </c>
      <c r="DG60" s="16" t="n">
        <v>0</v>
      </c>
      <c r="DH60" s="16" t="n">
        <v>0</v>
      </c>
      <c r="DI60" s="16" t="n">
        <v>0</v>
      </c>
      <c r="DJ60" s="16" t="n">
        <v>0</v>
      </c>
      <c r="DK60" s="16" t="n">
        <v>0</v>
      </c>
      <c r="DL60" s="16" t="n">
        <v>0</v>
      </c>
      <c r="DM60" s="16" t="n">
        <v>0</v>
      </c>
      <c r="DN60" s="16" t="n">
        <v>0</v>
      </c>
      <c r="DO60" s="16" t="n">
        <v>0</v>
      </c>
      <c r="DP60" s="16" t="n">
        <v>0</v>
      </c>
      <c r="DQ60" s="16" t="n">
        <v>0</v>
      </c>
      <c r="DR60" s="16" t="n">
        <v>0</v>
      </c>
      <c r="DS60" s="16" t="n">
        <v>0</v>
      </c>
      <c r="DT60" s="16" t="n">
        <v>0</v>
      </c>
      <c r="DU60" s="16" t="n">
        <v>0</v>
      </c>
      <c r="DV60" s="16" t="n">
        <v>0</v>
      </c>
      <c r="DW60" s="16" t="n">
        <v>0</v>
      </c>
      <c r="DX60" s="16" t="n">
        <v>0</v>
      </c>
      <c r="DY60" s="16" t="n">
        <v>0</v>
      </c>
      <c r="DZ60" s="16" t="n">
        <v>0</v>
      </c>
      <c r="EA60" s="16" t="n">
        <v>0</v>
      </c>
      <c r="EB60" s="16" t="n">
        <v>0</v>
      </c>
      <c r="EC60" s="16" t="n">
        <v>0</v>
      </c>
      <c r="ED60" s="16" t="n">
        <v>0</v>
      </c>
      <c r="EE60" s="16" t="n">
        <v>0</v>
      </c>
      <c r="EF60" s="16" t="n">
        <v>0</v>
      </c>
    </row>
    <row r="61" customFormat="false" ht="15" hidden="false" customHeight="true" outlineLevel="0" collapsed="false">
      <c r="A61" s="9" t="s">
        <v>12</v>
      </c>
      <c r="B61" s="9" t="s">
        <v>9</v>
      </c>
      <c r="C61" s="9" t="s">
        <v>9</v>
      </c>
      <c r="D61" s="9" t="s">
        <v>337</v>
      </c>
      <c r="E61" s="9" t="s">
        <v>10</v>
      </c>
      <c r="F61" s="9" t="s">
        <v>97</v>
      </c>
      <c r="G61" s="16" t="n">
        <v>0</v>
      </c>
      <c r="H61" s="16" t="n">
        <v>0</v>
      </c>
      <c r="I61" s="16" t="n">
        <v>21</v>
      </c>
      <c r="J61" s="16" t="n">
        <v>-21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0</v>
      </c>
      <c r="S61" s="16" t="n">
        <v>0</v>
      </c>
      <c r="T61" s="16" t="n">
        <v>0</v>
      </c>
      <c r="U61" s="16" t="n">
        <v>0</v>
      </c>
      <c r="V61" s="16" t="n">
        <v>0</v>
      </c>
      <c r="W61" s="16" t="n">
        <v>0</v>
      </c>
      <c r="X61" s="16" t="n">
        <v>0</v>
      </c>
      <c r="Y61" s="16" t="n">
        <v>0</v>
      </c>
      <c r="Z61" s="16" t="n">
        <v>0</v>
      </c>
      <c r="AA61" s="16" t="n">
        <v>0</v>
      </c>
      <c r="AB61" s="16" t="n">
        <v>0</v>
      </c>
      <c r="AC61" s="16" t="n">
        <v>0</v>
      </c>
      <c r="AD61" s="16" t="n">
        <v>0</v>
      </c>
      <c r="AE61" s="16" t="n">
        <v>0</v>
      </c>
      <c r="AF61" s="16" t="n">
        <v>0</v>
      </c>
      <c r="AG61" s="16" t="n">
        <v>0</v>
      </c>
      <c r="AH61" s="16" t="n">
        <v>0</v>
      </c>
      <c r="AI61" s="16" t="n">
        <v>0</v>
      </c>
      <c r="AJ61" s="16" t="n">
        <v>0</v>
      </c>
      <c r="AK61" s="16" t="n">
        <v>1</v>
      </c>
      <c r="AL61" s="16" t="n">
        <v>8.5</v>
      </c>
      <c r="AM61" s="16" t="n">
        <v>6</v>
      </c>
      <c r="AN61" s="16" t="n">
        <v>0</v>
      </c>
      <c r="AO61" s="16" t="n">
        <v>0</v>
      </c>
      <c r="AP61" s="16" t="n">
        <v>3.5</v>
      </c>
      <c r="AQ61" s="16" t="n">
        <v>2</v>
      </c>
      <c r="AR61" s="16" t="n">
        <v>0</v>
      </c>
      <c r="AS61" s="16" t="n">
        <v>0</v>
      </c>
      <c r="AT61" s="16" t="n">
        <v>0</v>
      </c>
      <c r="AU61" s="16" t="n">
        <v>0</v>
      </c>
      <c r="AV61" s="16" t="n">
        <v>0</v>
      </c>
      <c r="AW61" s="16" t="n">
        <v>0</v>
      </c>
      <c r="AX61" s="16" t="n">
        <v>0</v>
      </c>
      <c r="AY61" s="16" t="n">
        <v>0</v>
      </c>
      <c r="AZ61" s="16" t="n">
        <v>0</v>
      </c>
      <c r="BA61" s="16" t="n">
        <v>0</v>
      </c>
      <c r="BB61" s="16" t="n">
        <v>0</v>
      </c>
      <c r="BC61" s="16" t="n">
        <v>0</v>
      </c>
      <c r="BD61" s="16" t="n">
        <v>0</v>
      </c>
      <c r="BE61" s="16" t="n">
        <v>0</v>
      </c>
      <c r="BF61" s="16" t="n">
        <v>0</v>
      </c>
      <c r="BG61" s="16" t="n">
        <v>0</v>
      </c>
      <c r="BH61" s="16" t="n">
        <v>0</v>
      </c>
      <c r="BI61" s="16" t="n">
        <v>0</v>
      </c>
      <c r="BJ61" s="16" t="n">
        <v>0</v>
      </c>
      <c r="BK61" s="16" t="n">
        <v>0</v>
      </c>
      <c r="BL61" s="16" t="n">
        <v>0</v>
      </c>
      <c r="BM61" s="16" t="n">
        <v>0</v>
      </c>
      <c r="BN61" s="16" t="n">
        <v>0</v>
      </c>
      <c r="BO61" s="16" t="n">
        <v>0</v>
      </c>
      <c r="BP61" s="16" t="n">
        <v>0</v>
      </c>
      <c r="BQ61" s="16" t="n">
        <v>0</v>
      </c>
      <c r="BR61" s="16" t="n">
        <v>0</v>
      </c>
      <c r="BS61" s="16" t="n">
        <v>0</v>
      </c>
      <c r="BT61" s="16" t="n">
        <v>0</v>
      </c>
      <c r="BU61" s="16" t="n">
        <v>0</v>
      </c>
      <c r="BV61" s="16" t="n">
        <v>0</v>
      </c>
      <c r="BW61" s="16" t="n">
        <v>0</v>
      </c>
      <c r="BX61" s="16" t="n">
        <v>0</v>
      </c>
      <c r="BY61" s="16" t="n">
        <v>0</v>
      </c>
      <c r="BZ61" s="16" t="n">
        <v>0</v>
      </c>
      <c r="CA61" s="16" t="n">
        <v>0</v>
      </c>
      <c r="CB61" s="16" t="n">
        <v>0</v>
      </c>
      <c r="CC61" s="16" t="n">
        <v>0</v>
      </c>
      <c r="CD61" s="16" t="n">
        <v>0</v>
      </c>
      <c r="CE61" s="16" t="n">
        <v>0</v>
      </c>
      <c r="CF61" s="16" t="n">
        <v>0</v>
      </c>
      <c r="CG61" s="16" t="n">
        <v>0</v>
      </c>
      <c r="CH61" s="16" t="n">
        <v>0</v>
      </c>
      <c r="CI61" s="16" t="n">
        <v>0</v>
      </c>
      <c r="CJ61" s="16" t="n">
        <v>0</v>
      </c>
      <c r="CK61" s="16" t="n">
        <v>0</v>
      </c>
      <c r="CL61" s="16" t="n">
        <v>0</v>
      </c>
      <c r="CM61" s="16" t="n">
        <v>0</v>
      </c>
      <c r="CN61" s="16" t="n">
        <v>0</v>
      </c>
      <c r="CO61" s="16" t="n">
        <v>0</v>
      </c>
      <c r="CP61" s="16" t="n">
        <v>0</v>
      </c>
      <c r="CQ61" s="16" t="n">
        <v>0</v>
      </c>
      <c r="CR61" s="16" t="n">
        <v>0</v>
      </c>
      <c r="CS61" s="16" t="n">
        <v>0</v>
      </c>
      <c r="CT61" s="16" t="n">
        <v>0</v>
      </c>
      <c r="CU61" s="16" t="n">
        <v>0</v>
      </c>
      <c r="CV61" s="16" t="n">
        <v>0</v>
      </c>
      <c r="CW61" s="16" t="n">
        <v>0</v>
      </c>
      <c r="CX61" s="16" t="n">
        <v>0</v>
      </c>
      <c r="CY61" s="16" t="n">
        <v>0</v>
      </c>
      <c r="CZ61" s="16" t="n">
        <v>0</v>
      </c>
      <c r="DA61" s="16" t="n">
        <v>0</v>
      </c>
      <c r="DB61" s="16" t="n">
        <v>0</v>
      </c>
      <c r="DC61" s="16" t="n">
        <v>0</v>
      </c>
      <c r="DD61" s="16" t="n">
        <v>0</v>
      </c>
      <c r="DE61" s="16" t="n">
        <v>0</v>
      </c>
      <c r="DF61" s="16" t="n">
        <v>0</v>
      </c>
      <c r="DG61" s="16" t="n">
        <v>0</v>
      </c>
      <c r="DH61" s="16" t="n">
        <v>0</v>
      </c>
      <c r="DI61" s="16" t="n">
        <v>0</v>
      </c>
      <c r="DJ61" s="16" t="n">
        <v>0</v>
      </c>
      <c r="DK61" s="16" t="n">
        <v>0</v>
      </c>
      <c r="DL61" s="16" t="n">
        <v>0</v>
      </c>
      <c r="DM61" s="16" t="n">
        <v>0</v>
      </c>
      <c r="DN61" s="16" t="n">
        <v>0</v>
      </c>
      <c r="DO61" s="16" t="n">
        <v>0</v>
      </c>
      <c r="DP61" s="16" t="n">
        <v>0</v>
      </c>
      <c r="DQ61" s="16" t="n">
        <v>0</v>
      </c>
      <c r="DR61" s="16" t="n">
        <v>0</v>
      </c>
      <c r="DS61" s="16" t="n">
        <v>0</v>
      </c>
      <c r="DT61" s="16" t="n">
        <v>0</v>
      </c>
      <c r="DU61" s="16" t="n">
        <v>0</v>
      </c>
      <c r="DV61" s="16" t="n">
        <v>0</v>
      </c>
      <c r="DW61" s="16" t="n">
        <v>0</v>
      </c>
      <c r="DX61" s="16" t="n">
        <v>0</v>
      </c>
      <c r="DY61" s="16" t="n">
        <v>0</v>
      </c>
      <c r="DZ61" s="16" t="n">
        <v>0</v>
      </c>
      <c r="EA61" s="16" t="n">
        <v>0</v>
      </c>
      <c r="EB61" s="16" t="n">
        <v>0</v>
      </c>
      <c r="EC61" s="16" t="n">
        <v>0</v>
      </c>
      <c r="ED61" s="16" t="n">
        <v>0</v>
      </c>
      <c r="EE61" s="16" t="n">
        <v>0</v>
      </c>
      <c r="EF61" s="16" t="n">
        <v>0</v>
      </c>
    </row>
    <row r="62" customFormat="false" ht="15" hidden="false" customHeight="true" outlineLevel="0" collapsed="false">
      <c r="A62" s="9" t="s">
        <v>12</v>
      </c>
      <c r="B62" s="9" t="s">
        <v>9</v>
      </c>
      <c r="C62" s="9" t="s">
        <v>9</v>
      </c>
      <c r="D62" s="9" t="s">
        <v>338</v>
      </c>
      <c r="E62" s="9" t="s">
        <v>10</v>
      </c>
      <c r="F62" s="9" t="s">
        <v>86</v>
      </c>
      <c r="G62" s="16" t="n">
        <v>0</v>
      </c>
      <c r="H62" s="16" t="n">
        <v>0</v>
      </c>
      <c r="I62" s="16" t="n">
        <v>26.1</v>
      </c>
      <c r="J62" s="16" t="n">
        <v>-26.1</v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0</v>
      </c>
      <c r="Q62" s="16" t="n">
        <v>0</v>
      </c>
      <c r="R62" s="16" t="n">
        <v>0</v>
      </c>
      <c r="S62" s="16" t="n">
        <v>0</v>
      </c>
      <c r="T62" s="16" t="n">
        <v>0</v>
      </c>
      <c r="U62" s="16" t="n">
        <v>0</v>
      </c>
      <c r="V62" s="16" t="n">
        <v>0</v>
      </c>
      <c r="W62" s="16" t="n">
        <v>0</v>
      </c>
      <c r="X62" s="16" t="n">
        <v>0</v>
      </c>
      <c r="Y62" s="16" t="n">
        <v>3</v>
      </c>
      <c r="Z62" s="16" t="n">
        <v>0</v>
      </c>
      <c r="AA62" s="16" t="n">
        <v>23.1</v>
      </c>
      <c r="AB62" s="16" t="n">
        <v>0</v>
      </c>
      <c r="AC62" s="16" t="n">
        <v>0</v>
      </c>
      <c r="AD62" s="16" t="n">
        <v>0</v>
      </c>
      <c r="AE62" s="16" t="n">
        <v>0</v>
      </c>
      <c r="AF62" s="16" t="n">
        <v>0</v>
      </c>
      <c r="AG62" s="16" t="n">
        <v>0</v>
      </c>
      <c r="AH62" s="16" t="n">
        <v>0</v>
      </c>
      <c r="AI62" s="16" t="n">
        <v>0</v>
      </c>
      <c r="AJ62" s="16" t="n">
        <v>0</v>
      </c>
      <c r="AK62" s="16" t="n">
        <v>0</v>
      </c>
      <c r="AL62" s="16" t="n">
        <v>0</v>
      </c>
      <c r="AM62" s="16" t="n">
        <v>0</v>
      </c>
      <c r="AN62" s="16" t="n">
        <v>0</v>
      </c>
      <c r="AO62" s="16" t="n">
        <v>0</v>
      </c>
      <c r="AP62" s="16" t="n">
        <v>0</v>
      </c>
      <c r="AQ62" s="16" t="n">
        <v>0</v>
      </c>
      <c r="AR62" s="16" t="n">
        <v>0</v>
      </c>
      <c r="AS62" s="16" t="n">
        <v>0</v>
      </c>
      <c r="AT62" s="16" t="n">
        <v>0</v>
      </c>
      <c r="AU62" s="16" t="n">
        <v>0</v>
      </c>
      <c r="AV62" s="16" t="n">
        <v>0</v>
      </c>
      <c r="AW62" s="16" t="n">
        <v>0</v>
      </c>
      <c r="AX62" s="16" t="n">
        <v>0</v>
      </c>
      <c r="AY62" s="16" t="n">
        <v>0</v>
      </c>
      <c r="AZ62" s="16" t="n">
        <v>0</v>
      </c>
      <c r="BA62" s="16" t="n">
        <v>0</v>
      </c>
      <c r="BB62" s="16" t="n">
        <v>0</v>
      </c>
      <c r="BC62" s="16" t="n">
        <v>0</v>
      </c>
      <c r="BD62" s="16" t="n">
        <v>0</v>
      </c>
      <c r="BE62" s="16" t="n">
        <v>0</v>
      </c>
      <c r="BF62" s="16" t="n">
        <v>0</v>
      </c>
      <c r="BG62" s="16" t="n">
        <v>0</v>
      </c>
      <c r="BH62" s="16" t="n">
        <v>0</v>
      </c>
      <c r="BI62" s="16" t="n">
        <v>0</v>
      </c>
      <c r="BJ62" s="16" t="n">
        <v>0</v>
      </c>
      <c r="BK62" s="16" t="n">
        <v>0</v>
      </c>
      <c r="BL62" s="16" t="n">
        <v>0</v>
      </c>
      <c r="BM62" s="16" t="n">
        <v>0</v>
      </c>
      <c r="BN62" s="16" t="n">
        <v>0</v>
      </c>
      <c r="BO62" s="16" t="n">
        <v>0</v>
      </c>
      <c r="BP62" s="16" t="n">
        <v>0</v>
      </c>
      <c r="BQ62" s="16" t="n">
        <v>0</v>
      </c>
      <c r="BR62" s="16" t="n">
        <v>0</v>
      </c>
      <c r="BS62" s="16" t="n">
        <v>0</v>
      </c>
      <c r="BT62" s="16" t="n">
        <v>0</v>
      </c>
      <c r="BU62" s="16" t="n">
        <v>0</v>
      </c>
      <c r="BV62" s="16" t="n">
        <v>0</v>
      </c>
      <c r="BW62" s="16" t="n">
        <v>0</v>
      </c>
      <c r="BX62" s="16" t="n">
        <v>0</v>
      </c>
      <c r="BY62" s="16" t="n">
        <v>0</v>
      </c>
      <c r="BZ62" s="16" t="n">
        <v>0</v>
      </c>
      <c r="CA62" s="16" t="n">
        <v>0</v>
      </c>
      <c r="CB62" s="16" t="n">
        <v>0</v>
      </c>
      <c r="CC62" s="16" t="n">
        <v>0</v>
      </c>
      <c r="CD62" s="16" t="n">
        <v>0</v>
      </c>
      <c r="CE62" s="16" t="n">
        <v>0</v>
      </c>
      <c r="CF62" s="16" t="n">
        <v>0</v>
      </c>
      <c r="CG62" s="16" t="n">
        <v>0</v>
      </c>
      <c r="CH62" s="16" t="n">
        <v>0</v>
      </c>
      <c r="CI62" s="16" t="n">
        <v>0</v>
      </c>
      <c r="CJ62" s="16" t="n">
        <v>0</v>
      </c>
      <c r="CK62" s="16" t="n">
        <v>0</v>
      </c>
      <c r="CL62" s="16" t="n">
        <v>0</v>
      </c>
      <c r="CM62" s="16" t="n">
        <v>0</v>
      </c>
      <c r="CN62" s="16" t="n">
        <v>0</v>
      </c>
      <c r="CO62" s="16" t="n">
        <v>0</v>
      </c>
      <c r="CP62" s="16" t="n">
        <v>0</v>
      </c>
      <c r="CQ62" s="16" t="n">
        <v>0</v>
      </c>
      <c r="CR62" s="16" t="n">
        <v>0</v>
      </c>
      <c r="CS62" s="16" t="n">
        <v>0</v>
      </c>
      <c r="CT62" s="16" t="n">
        <v>0</v>
      </c>
      <c r="CU62" s="16" t="n">
        <v>0</v>
      </c>
      <c r="CV62" s="16" t="n">
        <v>0</v>
      </c>
      <c r="CW62" s="16" t="n">
        <v>0</v>
      </c>
      <c r="CX62" s="16" t="n">
        <v>0</v>
      </c>
      <c r="CY62" s="16" t="n">
        <v>0</v>
      </c>
      <c r="CZ62" s="16" t="n">
        <v>0</v>
      </c>
      <c r="DA62" s="16" t="n">
        <v>0</v>
      </c>
      <c r="DB62" s="16" t="n">
        <v>0</v>
      </c>
      <c r="DC62" s="16" t="n">
        <v>0</v>
      </c>
      <c r="DD62" s="16" t="n">
        <v>0</v>
      </c>
      <c r="DE62" s="16" t="n">
        <v>0</v>
      </c>
      <c r="DF62" s="16" t="n">
        <v>0</v>
      </c>
      <c r="DG62" s="16" t="n">
        <v>0</v>
      </c>
      <c r="DH62" s="16" t="n">
        <v>0</v>
      </c>
      <c r="DI62" s="16" t="n">
        <v>0</v>
      </c>
      <c r="DJ62" s="16" t="n">
        <v>0</v>
      </c>
      <c r="DK62" s="16" t="n">
        <v>0</v>
      </c>
      <c r="DL62" s="16" t="n">
        <v>0</v>
      </c>
      <c r="DM62" s="16" t="n">
        <v>0</v>
      </c>
      <c r="DN62" s="16" t="n">
        <v>0</v>
      </c>
      <c r="DO62" s="16" t="n">
        <v>0</v>
      </c>
      <c r="DP62" s="16" t="n">
        <v>0</v>
      </c>
      <c r="DQ62" s="16" t="n">
        <v>0</v>
      </c>
      <c r="DR62" s="16" t="n">
        <v>0</v>
      </c>
      <c r="DS62" s="16" t="n">
        <v>0</v>
      </c>
      <c r="DT62" s="16" t="n">
        <v>0</v>
      </c>
      <c r="DU62" s="16" t="n">
        <v>0</v>
      </c>
      <c r="DV62" s="16" t="n">
        <v>0</v>
      </c>
      <c r="DW62" s="16" t="n">
        <v>0</v>
      </c>
      <c r="DX62" s="16" t="n">
        <v>0</v>
      </c>
      <c r="DY62" s="16" t="n">
        <v>0</v>
      </c>
      <c r="DZ62" s="16" t="n">
        <v>0</v>
      </c>
      <c r="EA62" s="16" t="n">
        <v>0</v>
      </c>
      <c r="EB62" s="16" t="n">
        <v>0</v>
      </c>
      <c r="EC62" s="16" t="n">
        <v>0</v>
      </c>
      <c r="ED62" s="16" t="n">
        <v>0</v>
      </c>
      <c r="EE62" s="16" t="n">
        <v>0</v>
      </c>
      <c r="EF62" s="16" t="n">
        <v>0</v>
      </c>
    </row>
    <row r="63" customFormat="false" ht="15" hidden="false" customHeight="true" outlineLevel="0" collapsed="false">
      <c r="A63" s="9" t="s">
        <v>12</v>
      </c>
      <c r="B63" s="9" t="s">
        <v>9</v>
      </c>
      <c r="C63" s="9" t="s">
        <v>9</v>
      </c>
      <c r="D63" s="9" t="s">
        <v>338</v>
      </c>
      <c r="E63" s="9" t="s">
        <v>10</v>
      </c>
      <c r="F63" s="9" t="s">
        <v>99</v>
      </c>
      <c r="G63" s="16" t="n">
        <v>38</v>
      </c>
      <c r="H63" s="16" t="n">
        <v>77.5</v>
      </c>
      <c r="I63" s="16" t="n">
        <v>0</v>
      </c>
      <c r="J63" s="16" t="n">
        <v>77.5</v>
      </c>
      <c r="K63" s="16" t="n">
        <v>0</v>
      </c>
      <c r="L63" s="16" t="n">
        <v>0</v>
      </c>
      <c r="M63" s="16" t="n">
        <v>0</v>
      </c>
      <c r="N63" s="16" t="n">
        <v>0</v>
      </c>
      <c r="O63" s="16" t="n">
        <v>0</v>
      </c>
      <c r="P63" s="16" t="n">
        <v>0</v>
      </c>
      <c r="Q63" s="16" t="n">
        <v>0</v>
      </c>
      <c r="R63" s="16" t="n">
        <v>0</v>
      </c>
      <c r="S63" s="16" t="n">
        <v>0</v>
      </c>
      <c r="T63" s="16" t="n">
        <v>0</v>
      </c>
      <c r="U63" s="16" t="n">
        <v>0</v>
      </c>
      <c r="V63" s="16" t="n">
        <v>0</v>
      </c>
      <c r="W63" s="16" t="n">
        <v>0</v>
      </c>
      <c r="X63" s="16" t="n">
        <v>0</v>
      </c>
      <c r="Y63" s="16" t="n">
        <v>0</v>
      </c>
      <c r="Z63" s="16" t="n">
        <v>0</v>
      </c>
      <c r="AA63" s="16" t="n">
        <v>0</v>
      </c>
      <c r="AB63" s="16" t="n">
        <v>0</v>
      </c>
      <c r="AC63" s="16" t="n">
        <v>0</v>
      </c>
      <c r="AD63" s="16" t="n">
        <v>0</v>
      </c>
      <c r="AE63" s="16" t="n">
        <v>0</v>
      </c>
      <c r="AF63" s="16" t="n">
        <v>0</v>
      </c>
      <c r="AG63" s="16" t="n">
        <v>0</v>
      </c>
      <c r="AH63" s="16" t="n">
        <v>0</v>
      </c>
      <c r="AI63" s="16" t="n">
        <v>0</v>
      </c>
      <c r="AJ63" s="16" t="n">
        <v>0</v>
      </c>
      <c r="AK63" s="16" t="n">
        <v>0</v>
      </c>
      <c r="AL63" s="16" t="n">
        <v>0</v>
      </c>
      <c r="AM63" s="16" t="n">
        <v>0</v>
      </c>
      <c r="AN63" s="16" t="n">
        <v>0</v>
      </c>
      <c r="AO63" s="16" t="n">
        <v>0</v>
      </c>
      <c r="AP63" s="16" t="n">
        <v>0</v>
      </c>
      <c r="AQ63" s="16" t="n">
        <v>0</v>
      </c>
      <c r="AR63" s="16" t="n">
        <v>0</v>
      </c>
      <c r="AS63" s="16" t="n">
        <v>0</v>
      </c>
      <c r="AT63" s="16" t="n">
        <v>0</v>
      </c>
      <c r="AU63" s="16" t="n">
        <v>0</v>
      </c>
      <c r="AV63" s="16" t="n">
        <v>0</v>
      </c>
      <c r="AW63" s="16" t="n">
        <v>0</v>
      </c>
      <c r="AX63" s="16" t="n">
        <v>0</v>
      </c>
      <c r="AY63" s="16" t="n">
        <v>0</v>
      </c>
      <c r="AZ63" s="16" t="n">
        <v>0</v>
      </c>
      <c r="BA63" s="16" t="n">
        <v>0</v>
      </c>
      <c r="BB63" s="16" t="n">
        <v>0</v>
      </c>
      <c r="BC63" s="16" t="n">
        <v>0</v>
      </c>
      <c r="BD63" s="16" t="n">
        <v>0</v>
      </c>
      <c r="BE63" s="16" t="n">
        <v>0</v>
      </c>
      <c r="BF63" s="16" t="n">
        <v>0</v>
      </c>
      <c r="BG63" s="16" t="n">
        <v>0</v>
      </c>
      <c r="BH63" s="16" t="n">
        <v>0</v>
      </c>
      <c r="BI63" s="16" t="n">
        <v>0</v>
      </c>
      <c r="BJ63" s="16" t="n">
        <v>0</v>
      </c>
      <c r="BK63" s="16" t="n">
        <v>0</v>
      </c>
      <c r="BL63" s="16" t="n">
        <v>0</v>
      </c>
      <c r="BM63" s="16" t="n">
        <v>0</v>
      </c>
      <c r="BN63" s="16" t="n">
        <v>0</v>
      </c>
      <c r="BO63" s="16" t="n">
        <v>0</v>
      </c>
      <c r="BP63" s="16" t="n">
        <v>0</v>
      </c>
      <c r="BQ63" s="16" t="n">
        <v>0</v>
      </c>
      <c r="BR63" s="16" t="n">
        <v>0</v>
      </c>
      <c r="BS63" s="16" t="n">
        <v>0</v>
      </c>
      <c r="BT63" s="16" t="n">
        <v>0</v>
      </c>
      <c r="BU63" s="16" t="n">
        <v>0</v>
      </c>
      <c r="BV63" s="16" t="n">
        <v>0</v>
      </c>
      <c r="BW63" s="16" t="n">
        <v>0</v>
      </c>
      <c r="BX63" s="16" t="n">
        <v>0</v>
      </c>
      <c r="BY63" s="16" t="n">
        <v>0</v>
      </c>
      <c r="BZ63" s="16" t="n">
        <v>0</v>
      </c>
      <c r="CA63" s="16" t="n">
        <v>0</v>
      </c>
      <c r="CB63" s="16" t="n">
        <v>0</v>
      </c>
      <c r="CC63" s="16" t="n">
        <v>0</v>
      </c>
      <c r="CD63" s="16" t="n">
        <v>0</v>
      </c>
      <c r="CE63" s="16" t="n">
        <v>0</v>
      </c>
      <c r="CF63" s="16" t="n">
        <v>0</v>
      </c>
      <c r="CG63" s="16" t="n">
        <v>0</v>
      </c>
      <c r="CH63" s="16" t="n">
        <v>0</v>
      </c>
      <c r="CI63" s="16" t="n">
        <v>0</v>
      </c>
      <c r="CJ63" s="16" t="n">
        <v>0</v>
      </c>
      <c r="CK63" s="16" t="n">
        <v>0</v>
      </c>
      <c r="CL63" s="16" t="n">
        <v>0</v>
      </c>
      <c r="CM63" s="16" t="n">
        <v>0</v>
      </c>
      <c r="CN63" s="16" t="n">
        <v>0</v>
      </c>
      <c r="CO63" s="16" t="n">
        <v>0</v>
      </c>
      <c r="CP63" s="16" t="n">
        <v>0</v>
      </c>
      <c r="CQ63" s="16" t="n">
        <v>0</v>
      </c>
      <c r="CR63" s="16" t="n">
        <v>0</v>
      </c>
      <c r="CS63" s="16" t="n">
        <v>0</v>
      </c>
      <c r="CT63" s="16" t="n">
        <v>0</v>
      </c>
      <c r="CU63" s="16" t="n">
        <v>0</v>
      </c>
      <c r="CV63" s="16" t="n">
        <v>0</v>
      </c>
      <c r="CW63" s="16" t="n">
        <v>0</v>
      </c>
      <c r="CX63" s="16" t="n">
        <v>0</v>
      </c>
      <c r="CY63" s="16" t="n">
        <v>0</v>
      </c>
      <c r="CZ63" s="16" t="n">
        <v>0</v>
      </c>
      <c r="DA63" s="16" t="n">
        <v>0</v>
      </c>
      <c r="DB63" s="16" t="n">
        <v>0</v>
      </c>
      <c r="DC63" s="16" t="n">
        <v>0</v>
      </c>
      <c r="DD63" s="16" t="n">
        <v>0</v>
      </c>
      <c r="DE63" s="16" t="n">
        <v>0</v>
      </c>
      <c r="DF63" s="16" t="n">
        <v>0</v>
      </c>
      <c r="DG63" s="16" t="n">
        <v>0</v>
      </c>
      <c r="DH63" s="16" t="n">
        <v>0</v>
      </c>
      <c r="DI63" s="16" t="n">
        <v>0</v>
      </c>
      <c r="DJ63" s="16" t="n">
        <v>0</v>
      </c>
      <c r="DK63" s="16" t="n">
        <v>0</v>
      </c>
      <c r="DL63" s="16" t="n">
        <v>0</v>
      </c>
      <c r="DM63" s="16" t="n">
        <v>0</v>
      </c>
      <c r="DN63" s="16" t="n">
        <v>0</v>
      </c>
      <c r="DO63" s="16" t="n">
        <v>0</v>
      </c>
      <c r="DP63" s="16" t="n">
        <v>0</v>
      </c>
      <c r="DQ63" s="16" t="n">
        <v>0</v>
      </c>
      <c r="DR63" s="16" t="n">
        <v>0</v>
      </c>
      <c r="DS63" s="16" t="n">
        <v>0</v>
      </c>
      <c r="DT63" s="16" t="n">
        <v>0</v>
      </c>
      <c r="DU63" s="16" t="n">
        <v>0</v>
      </c>
      <c r="DV63" s="16" t="n">
        <v>0</v>
      </c>
      <c r="DW63" s="16" t="n">
        <v>0</v>
      </c>
      <c r="DX63" s="16" t="n">
        <v>0</v>
      </c>
      <c r="DY63" s="16" t="n">
        <v>0</v>
      </c>
      <c r="DZ63" s="16" t="n">
        <v>0</v>
      </c>
      <c r="EA63" s="16" t="n">
        <v>0</v>
      </c>
      <c r="EB63" s="16" t="n">
        <v>0</v>
      </c>
      <c r="EC63" s="16" t="n">
        <v>0</v>
      </c>
      <c r="ED63" s="16" t="n">
        <v>0</v>
      </c>
      <c r="EE63" s="16" t="n">
        <v>0</v>
      </c>
      <c r="EF63" s="16" t="n">
        <v>0</v>
      </c>
    </row>
    <row r="64" customFormat="false" ht="15" hidden="false" customHeight="true" outlineLevel="0" collapsed="false">
      <c r="A64" s="9" t="s">
        <v>12</v>
      </c>
      <c r="B64" s="9" t="s">
        <v>9</v>
      </c>
      <c r="C64" s="9" t="s">
        <v>9</v>
      </c>
      <c r="D64" s="9" t="s">
        <v>337</v>
      </c>
      <c r="E64" s="9" t="s">
        <v>10</v>
      </c>
      <c r="F64" s="9" t="s">
        <v>99</v>
      </c>
      <c r="G64" s="16" t="n">
        <v>0</v>
      </c>
      <c r="H64" s="16" t="n">
        <v>0</v>
      </c>
      <c r="I64" s="16" t="n">
        <v>45.5</v>
      </c>
      <c r="J64" s="16" t="n">
        <v>-45.5</v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6" t="n">
        <v>0</v>
      </c>
      <c r="Q64" s="16" t="n">
        <v>0</v>
      </c>
      <c r="R64" s="16" t="n">
        <v>0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0</v>
      </c>
      <c r="X64" s="16" t="n">
        <v>0</v>
      </c>
      <c r="Y64" s="16" t="n">
        <v>0</v>
      </c>
      <c r="Z64" s="16" t="n">
        <v>0</v>
      </c>
      <c r="AA64" s="16" t="n">
        <v>0</v>
      </c>
      <c r="AB64" s="16" t="n">
        <v>0</v>
      </c>
      <c r="AC64" s="16" t="n">
        <v>0</v>
      </c>
      <c r="AD64" s="16" t="n">
        <v>0</v>
      </c>
      <c r="AE64" s="16" t="n">
        <v>0</v>
      </c>
      <c r="AF64" s="16" t="n">
        <v>0</v>
      </c>
      <c r="AG64" s="16" t="n">
        <v>0</v>
      </c>
      <c r="AH64" s="16" t="n">
        <v>0</v>
      </c>
      <c r="AI64" s="16" t="n">
        <v>0</v>
      </c>
      <c r="AJ64" s="16" t="n">
        <v>0</v>
      </c>
      <c r="AK64" s="16" t="n">
        <v>0</v>
      </c>
      <c r="AL64" s="16" t="n">
        <v>0</v>
      </c>
      <c r="AM64" s="16" t="n">
        <v>0</v>
      </c>
      <c r="AN64" s="16" t="n">
        <v>0</v>
      </c>
      <c r="AO64" s="16" t="n">
        <v>0</v>
      </c>
      <c r="AP64" s="16" t="n">
        <v>0.5</v>
      </c>
      <c r="AQ64" s="16" t="n">
        <v>5.5</v>
      </c>
      <c r="AR64" s="16" t="n">
        <v>0</v>
      </c>
      <c r="AS64" s="16" t="n">
        <v>0</v>
      </c>
      <c r="AT64" s="16" t="n">
        <v>0</v>
      </c>
      <c r="AU64" s="16" t="n">
        <v>0</v>
      </c>
      <c r="AV64" s="16" t="n">
        <v>0</v>
      </c>
      <c r="AW64" s="16" t="n">
        <v>0</v>
      </c>
      <c r="AX64" s="16" t="n">
        <v>0</v>
      </c>
      <c r="AY64" s="16" t="n">
        <v>0</v>
      </c>
      <c r="AZ64" s="16" t="n">
        <v>0</v>
      </c>
      <c r="BA64" s="16" t="n">
        <v>0</v>
      </c>
      <c r="BB64" s="16" t="n">
        <v>0</v>
      </c>
      <c r="BC64" s="16" t="n">
        <v>0</v>
      </c>
      <c r="BD64" s="16" t="n">
        <v>0</v>
      </c>
      <c r="BE64" s="16" t="n">
        <v>0</v>
      </c>
      <c r="BF64" s="16" t="n">
        <v>0</v>
      </c>
      <c r="BG64" s="16" t="n">
        <v>0</v>
      </c>
      <c r="BH64" s="16" t="n">
        <v>0</v>
      </c>
      <c r="BI64" s="16" t="n">
        <v>0</v>
      </c>
      <c r="BJ64" s="16" t="n">
        <v>0</v>
      </c>
      <c r="BK64" s="16" t="n">
        <v>0</v>
      </c>
      <c r="BL64" s="16" t="n">
        <v>0</v>
      </c>
      <c r="BM64" s="16" t="n">
        <v>0</v>
      </c>
      <c r="BN64" s="16" t="n">
        <v>0</v>
      </c>
      <c r="BO64" s="16" t="n">
        <v>0</v>
      </c>
      <c r="BP64" s="16" t="n">
        <v>0</v>
      </c>
      <c r="BQ64" s="16" t="n">
        <v>0</v>
      </c>
      <c r="BR64" s="16" t="n">
        <v>0</v>
      </c>
      <c r="BS64" s="16" t="n">
        <v>0</v>
      </c>
      <c r="BT64" s="16" t="n">
        <v>0</v>
      </c>
      <c r="BU64" s="16" t="n">
        <v>0</v>
      </c>
      <c r="BV64" s="16" t="n">
        <v>0</v>
      </c>
      <c r="BW64" s="16" t="n">
        <v>0</v>
      </c>
      <c r="BX64" s="16" t="n">
        <v>0</v>
      </c>
      <c r="BY64" s="16" t="n">
        <v>0</v>
      </c>
      <c r="BZ64" s="16" t="n">
        <v>0</v>
      </c>
      <c r="CA64" s="16" t="n">
        <v>0</v>
      </c>
      <c r="CB64" s="16" t="n">
        <v>0</v>
      </c>
      <c r="CC64" s="16" t="n">
        <v>0</v>
      </c>
      <c r="CD64" s="16" t="n">
        <v>0</v>
      </c>
      <c r="CE64" s="16" t="n">
        <v>0</v>
      </c>
      <c r="CF64" s="16" t="n">
        <v>0</v>
      </c>
      <c r="CG64" s="16" t="n">
        <v>0</v>
      </c>
      <c r="CH64" s="16" t="n">
        <v>0</v>
      </c>
      <c r="CI64" s="16" t="n">
        <v>0</v>
      </c>
      <c r="CJ64" s="16" t="n">
        <v>0</v>
      </c>
      <c r="CK64" s="16" t="n">
        <v>0</v>
      </c>
      <c r="CL64" s="16" t="n">
        <v>0</v>
      </c>
      <c r="CM64" s="16" t="n">
        <v>0</v>
      </c>
      <c r="CN64" s="16" t="n">
        <v>0</v>
      </c>
      <c r="CO64" s="16" t="n">
        <v>0</v>
      </c>
      <c r="CP64" s="16" t="n">
        <v>0</v>
      </c>
      <c r="CQ64" s="16" t="n">
        <v>0</v>
      </c>
      <c r="CR64" s="16" t="n">
        <v>0</v>
      </c>
      <c r="CS64" s="16" t="n">
        <v>0</v>
      </c>
      <c r="CT64" s="16" t="n">
        <v>0</v>
      </c>
      <c r="CU64" s="16" t="n">
        <v>0</v>
      </c>
      <c r="CV64" s="16" t="n">
        <v>0</v>
      </c>
      <c r="CW64" s="16" t="n">
        <v>0</v>
      </c>
      <c r="CX64" s="16" t="n">
        <v>0</v>
      </c>
      <c r="CY64" s="16" t="n">
        <v>0</v>
      </c>
      <c r="CZ64" s="16" t="n">
        <v>0</v>
      </c>
      <c r="DA64" s="16" t="n">
        <v>0</v>
      </c>
      <c r="DB64" s="16" t="n">
        <v>3</v>
      </c>
      <c r="DC64" s="16" t="n">
        <v>1</v>
      </c>
      <c r="DD64" s="16" t="n">
        <v>2</v>
      </c>
      <c r="DE64" s="16" t="n">
        <v>0</v>
      </c>
      <c r="DF64" s="16" t="n">
        <v>0</v>
      </c>
      <c r="DG64" s="16" t="n">
        <v>0</v>
      </c>
      <c r="DH64" s="16" t="n">
        <v>0</v>
      </c>
      <c r="DI64" s="16" t="n">
        <v>0</v>
      </c>
      <c r="DJ64" s="16" t="n">
        <v>0</v>
      </c>
      <c r="DK64" s="16" t="n">
        <v>0</v>
      </c>
      <c r="DL64" s="16" t="n">
        <v>0</v>
      </c>
      <c r="DM64" s="16" t="n">
        <v>0</v>
      </c>
      <c r="DN64" s="16" t="n">
        <v>0</v>
      </c>
      <c r="DO64" s="16" t="n">
        <v>10</v>
      </c>
      <c r="DP64" s="16" t="n">
        <v>15</v>
      </c>
      <c r="DQ64" s="16" t="n">
        <v>8.5</v>
      </c>
      <c r="DR64" s="16" t="n">
        <v>0</v>
      </c>
      <c r="DS64" s="16" t="n">
        <v>0</v>
      </c>
      <c r="DT64" s="16" t="n">
        <v>0</v>
      </c>
      <c r="DU64" s="16" t="n">
        <v>0</v>
      </c>
      <c r="DV64" s="16" t="n">
        <v>0</v>
      </c>
      <c r="DW64" s="16" t="n">
        <v>0</v>
      </c>
      <c r="DX64" s="16" t="n">
        <v>0</v>
      </c>
      <c r="DY64" s="16" t="n">
        <v>0</v>
      </c>
      <c r="DZ64" s="16" t="n">
        <v>0</v>
      </c>
      <c r="EA64" s="16" t="n">
        <v>0</v>
      </c>
      <c r="EB64" s="16" t="n">
        <v>0</v>
      </c>
      <c r="EC64" s="16" t="n">
        <v>0</v>
      </c>
      <c r="ED64" s="16" t="n">
        <v>0</v>
      </c>
      <c r="EE64" s="16" t="n">
        <v>0</v>
      </c>
      <c r="EF64" s="16" t="n">
        <v>0</v>
      </c>
    </row>
    <row r="65" customFormat="false" ht="15" hidden="false" customHeight="true" outlineLevel="0" collapsed="false">
      <c r="A65" s="9" t="s">
        <v>12</v>
      </c>
      <c r="B65" s="9" t="s">
        <v>9</v>
      </c>
      <c r="C65" s="9" t="s">
        <v>9</v>
      </c>
      <c r="D65" s="9" t="s">
        <v>338</v>
      </c>
      <c r="E65" s="9" t="s">
        <v>10</v>
      </c>
      <c r="F65" s="9" t="s">
        <v>43</v>
      </c>
      <c r="G65" s="16" t="n">
        <v>4</v>
      </c>
      <c r="H65" s="16" t="n">
        <v>43</v>
      </c>
      <c r="I65" s="16" t="n">
        <v>0</v>
      </c>
      <c r="J65" s="16" t="n">
        <v>43</v>
      </c>
      <c r="K65" s="16" t="n">
        <v>0</v>
      </c>
      <c r="L65" s="16" t="n">
        <v>0</v>
      </c>
      <c r="M65" s="16" t="n">
        <v>0</v>
      </c>
      <c r="N65" s="16" t="n">
        <v>0</v>
      </c>
      <c r="O65" s="16" t="n">
        <v>0</v>
      </c>
      <c r="P65" s="16" t="n">
        <v>0</v>
      </c>
      <c r="Q65" s="16" t="n">
        <v>0</v>
      </c>
      <c r="R65" s="16" t="n">
        <v>0</v>
      </c>
      <c r="S65" s="16" t="n">
        <v>0</v>
      </c>
      <c r="T65" s="16" t="n">
        <v>0</v>
      </c>
      <c r="U65" s="16" t="n">
        <v>0</v>
      </c>
      <c r="V65" s="16" t="n">
        <v>0</v>
      </c>
      <c r="W65" s="16" t="n">
        <v>0</v>
      </c>
      <c r="X65" s="16" t="n">
        <v>0</v>
      </c>
      <c r="Y65" s="16" t="n">
        <v>0</v>
      </c>
      <c r="Z65" s="16" t="n">
        <v>0</v>
      </c>
      <c r="AA65" s="16" t="n">
        <v>0</v>
      </c>
      <c r="AB65" s="16" t="n">
        <v>0</v>
      </c>
      <c r="AC65" s="16" t="n">
        <v>0</v>
      </c>
      <c r="AD65" s="16" t="n">
        <v>0</v>
      </c>
      <c r="AE65" s="16" t="n">
        <v>0</v>
      </c>
      <c r="AF65" s="16" t="n">
        <v>0</v>
      </c>
      <c r="AG65" s="16" t="n">
        <v>0</v>
      </c>
      <c r="AH65" s="16" t="n">
        <v>0</v>
      </c>
      <c r="AI65" s="16" t="n">
        <v>0</v>
      </c>
      <c r="AJ65" s="16" t="n">
        <v>0</v>
      </c>
      <c r="AK65" s="16" t="n">
        <v>0</v>
      </c>
      <c r="AL65" s="16" t="n">
        <v>0</v>
      </c>
      <c r="AM65" s="16" t="n">
        <v>0</v>
      </c>
      <c r="AN65" s="16" t="n">
        <v>0</v>
      </c>
      <c r="AO65" s="16" t="n">
        <v>0</v>
      </c>
      <c r="AP65" s="16" t="n">
        <v>0</v>
      </c>
      <c r="AQ65" s="16" t="n">
        <v>0</v>
      </c>
      <c r="AR65" s="16" t="n">
        <v>0</v>
      </c>
      <c r="AS65" s="16" t="n">
        <v>0</v>
      </c>
      <c r="AT65" s="16" t="n">
        <v>0</v>
      </c>
      <c r="AU65" s="16" t="n">
        <v>0</v>
      </c>
      <c r="AV65" s="16" t="n">
        <v>0</v>
      </c>
      <c r="AW65" s="16" t="n">
        <v>0</v>
      </c>
      <c r="AX65" s="16" t="n">
        <v>0</v>
      </c>
      <c r="AY65" s="16" t="n">
        <v>0</v>
      </c>
      <c r="AZ65" s="16" t="n">
        <v>0</v>
      </c>
      <c r="BA65" s="16" t="n">
        <v>0</v>
      </c>
      <c r="BB65" s="16" t="n">
        <v>0</v>
      </c>
      <c r="BC65" s="16" t="n">
        <v>0</v>
      </c>
      <c r="BD65" s="16" t="n">
        <v>0</v>
      </c>
      <c r="BE65" s="16" t="n">
        <v>0</v>
      </c>
      <c r="BF65" s="16" t="n">
        <v>0</v>
      </c>
      <c r="BG65" s="16" t="n">
        <v>0</v>
      </c>
      <c r="BH65" s="16" t="n">
        <v>0</v>
      </c>
      <c r="BI65" s="16" t="n">
        <v>0</v>
      </c>
      <c r="BJ65" s="16" t="n">
        <v>0</v>
      </c>
      <c r="BK65" s="16" t="n">
        <v>0</v>
      </c>
      <c r="BL65" s="16" t="n">
        <v>0</v>
      </c>
      <c r="BM65" s="16" t="n">
        <v>0</v>
      </c>
      <c r="BN65" s="16" t="n">
        <v>0</v>
      </c>
      <c r="BO65" s="16" t="n">
        <v>0</v>
      </c>
      <c r="BP65" s="16" t="n">
        <v>0</v>
      </c>
      <c r="BQ65" s="16" t="n">
        <v>0</v>
      </c>
      <c r="BR65" s="16" t="n">
        <v>0</v>
      </c>
      <c r="BS65" s="16" t="n">
        <v>0</v>
      </c>
      <c r="BT65" s="16" t="n">
        <v>0</v>
      </c>
      <c r="BU65" s="16" t="n">
        <v>0</v>
      </c>
      <c r="BV65" s="16" t="n">
        <v>0</v>
      </c>
      <c r="BW65" s="16" t="n">
        <v>0</v>
      </c>
      <c r="BX65" s="16" t="n">
        <v>0</v>
      </c>
      <c r="BY65" s="16" t="n">
        <v>0</v>
      </c>
      <c r="BZ65" s="16" t="n">
        <v>0</v>
      </c>
      <c r="CA65" s="16" t="n">
        <v>0</v>
      </c>
      <c r="CB65" s="16" t="n">
        <v>0</v>
      </c>
      <c r="CC65" s="16" t="n">
        <v>0</v>
      </c>
      <c r="CD65" s="16" t="n">
        <v>0</v>
      </c>
      <c r="CE65" s="16" t="n">
        <v>0</v>
      </c>
      <c r="CF65" s="16" t="n">
        <v>0</v>
      </c>
      <c r="CG65" s="16" t="n">
        <v>0</v>
      </c>
      <c r="CH65" s="16" t="n">
        <v>0</v>
      </c>
      <c r="CI65" s="16" t="n">
        <v>0</v>
      </c>
      <c r="CJ65" s="16" t="n">
        <v>0</v>
      </c>
      <c r="CK65" s="16" t="n">
        <v>0</v>
      </c>
      <c r="CL65" s="16" t="n">
        <v>0</v>
      </c>
      <c r="CM65" s="16" t="n">
        <v>0</v>
      </c>
      <c r="CN65" s="16" t="n">
        <v>0</v>
      </c>
      <c r="CO65" s="16" t="n">
        <v>0</v>
      </c>
      <c r="CP65" s="16" t="n">
        <v>0</v>
      </c>
      <c r="CQ65" s="16" t="n">
        <v>0</v>
      </c>
      <c r="CR65" s="16" t="n">
        <v>0</v>
      </c>
      <c r="CS65" s="16" t="n">
        <v>0</v>
      </c>
      <c r="CT65" s="16" t="n">
        <v>0</v>
      </c>
      <c r="CU65" s="16" t="n">
        <v>0</v>
      </c>
      <c r="CV65" s="16" t="n">
        <v>0</v>
      </c>
      <c r="CW65" s="16" t="n">
        <v>0</v>
      </c>
      <c r="CX65" s="16" t="n">
        <v>0</v>
      </c>
      <c r="CY65" s="16" t="n">
        <v>0</v>
      </c>
      <c r="CZ65" s="16" t="n">
        <v>0</v>
      </c>
      <c r="DA65" s="16" t="n">
        <v>0</v>
      </c>
      <c r="DB65" s="16" t="n">
        <v>0</v>
      </c>
      <c r="DC65" s="16" t="n">
        <v>0</v>
      </c>
      <c r="DD65" s="16" t="n">
        <v>0</v>
      </c>
      <c r="DE65" s="16" t="n">
        <v>0</v>
      </c>
      <c r="DF65" s="16" t="n">
        <v>0</v>
      </c>
      <c r="DG65" s="16" t="n">
        <v>0</v>
      </c>
      <c r="DH65" s="16" t="n">
        <v>0</v>
      </c>
      <c r="DI65" s="16" t="n">
        <v>0</v>
      </c>
      <c r="DJ65" s="16" t="n">
        <v>0</v>
      </c>
      <c r="DK65" s="16" t="n">
        <v>0</v>
      </c>
      <c r="DL65" s="16" t="n">
        <v>0</v>
      </c>
      <c r="DM65" s="16" t="n">
        <v>0</v>
      </c>
      <c r="DN65" s="16" t="n">
        <v>0</v>
      </c>
      <c r="DO65" s="16" t="n">
        <v>0</v>
      </c>
      <c r="DP65" s="16" t="n">
        <v>0</v>
      </c>
      <c r="DQ65" s="16" t="n">
        <v>0</v>
      </c>
      <c r="DR65" s="16" t="n">
        <v>0</v>
      </c>
      <c r="DS65" s="16" t="n">
        <v>0</v>
      </c>
      <c r="DT65" s="16" t="n">
        <v>0</v>
      </c>
      <c r="DU65" s="16" t="n">
        <v>0</v>
      </c>
      <c r="DV65" s="16" t="n">
        <v>0</v>
      </c>
      <c r="DW65" s="16" t="n">
        <v>0</v>
      </c>
      <c r="DX65" s="16" t="n">
        <v>0</v>
      </c>
      <c r="DY65" s="16" t="n">
        <v>0</v>
      </c>
      <c r="DZ65" s="16" t="n">
        <v>0</v>
      </c>
      <c r="EA65" s="16" t="n">
        <v>0</v>
      </c>
      <c r="EB65" s="16" t="n">
        <v>0</v>
      </c>
      <c r="EC65" s="16" t="n">
        <v>0</v>
      </c>
      <c r="ED65" s="16" t="n">
        <v>0</v>
      </c>
      <c r="EE65" s="16" t="n">
        <v>0</v>
      </c>
      <c r="EF65" s="16" t="n">
        <v>0</v>
      </c>
    </row>
    <row r="66" customFormat="false" ht="15" hidden="false" customHeight="true" outlineLevel="0" collapsed="false">
      <c r="A66" s="9" t="s">
        <v>12</v>
      </c>
      <c r="B66" s="9" t="s">
        <v>9</v>
      </c>
      <c r="C66" s="9" t="s">
        <v>9</v>
      </c>
      <c r="D66" s="9" t="s">
        <v>337</v>
      </c>
      <c r="E66" s="9" t="s">
        <v>10</v>
      </c>
      <c r="F66" s="9" t="s">
        <v>43</v>
      </c>
      <c r="G66" s="16" t="n">
        <v>0</v>
      </c>
      <c r="H66" s="16" t="n">
        <v>0</v>
      </c>
      <c r="I66" s="16" t="n">
        <v>41</v>
      </c>
      <c r="J66" s="16" t="n">
        <v>-41</v>
      </c>
      <c r="K66" s="16" t="n">
        <v>0</v>
      </c>
      <c r="L66" s="16" t="n">
        <v>0</v>
      </c>
      <c r="M66" s="16" t="n">
        <v>0</v>
      </c>
      <c r="N66" s="16" t="n">
        <v>0</v>
      </c>
      <c r="O66" s="16" t="n">
        <v>0</v>
      </c>
      <c r="P66" s="16" t="n">
        <v>0</v>
      </c>
      <c r="Q66" s="16" t="n">
        <v>0</v>
      </c>
      <c r="R66" s="16" t="n">
        <v>0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0</v>
      </c>
      <c r="X66" s="16" t="n">
        <v>0</v>
      </c>
      <c r="Y66" s="16" t="n">
        <v>0</v>
      </c>
      <c r="Z66" s="16" t="n">
        <v>0</v>
      </c>
      <c r="AA66" s="16" t="n">
        <v>0</v>
      </c>
      <c r="AB66" s="16" t="n">
        <v>0</v>
      </c>
      <c r="AC66" s="16" t="n">
        <v>0</v>
      </c>
      <c r="AD66" s="16" t="n">
        <v>0</v>
      </c>
      <c r="AE66" s="16" t="n">
        <v>0</v>
      </c>
      <c r="AF66" s="16" t="n">
        <v>0</v>
      </c>
      <c r="AG66" s="16" t="n">
        <v>0</v>
      </c>
      <c r="AH66" s="16" t="n">
        <v>0</v>
      </c>
      <c r="AI66" s="16" t="n">
        <v>0</v>
      </c>
      <c r="AJ66" s="16" t="n">
        <v>0</v>
      </c>
      <c r="AK66" s="16" t="n">
        <v>0</v>
      </c>
      <c r="AL66" s="16" t="n">
        <v>0</v>
      </c>
      <c r="AM66" s="16" t="n">
        <v>0</v>
      </c>
      <c r="AN66" s="16" t="n">
        <v>0</v>
      </c>
      <c r="AO66" s="16" t="n">
        <v>0</v>
      </c>
      <c r="AP66" s="16" t="n">
        <v>2</v>
      </c>
      <c r="AQ66" s="16" t="n">
        <v>0</v>
      </c>
      <c r="AR66" s="16" t="n">
        <v>0</v>
      </c>
      <c r="AS66" s="16" t="n">
        <v>0</v>
      </c>
      <c r="AT66" s="16" t="n">
        <v>0</v>
      </c>
      <c r="AU66" s="16" t="n">
        <v>0</v>
      </c>
      <c r="AV66" s="16" t="n">
        <v>0</v>
      </c>
      <c r="AW66" s="16" t="n">
        <v>0</v>
      </c>
      <c r="AX66" s="16" t="n">
        <v>0</v>
      </c>
      <c r="AY66" s="16" t="n">
        <v>0</v>
      </c>
      <c r="AZ66" s="16" t="n">
        <v>0</v>
      </c>
      <c r="BA66" s="16" t="n">
        <v>0</v>
      </c>
      <c r="BB66" s="16" t="n">
        <v>0</v>
      </c>
      <c r="BC66" s="16" t="n">
        <v>0</v>
      </c>
      <c r="BD66" s="16" t="n">
        <v>0</v>
      </c>
      <c r="BE66" s="16" t="n">
        <v>0</v>
      </c>
      <c r="BF66" s="16" t="n">
        <v>0</v>
      </c>
      <c r="BG66" s="16" t="n">
        <v>0</v>
      </c>
      <c r="BH66" s="16" t="n">
        <v>0</v>
      </c>
      <c r="BI66" s="16" t="n">
        <v>0</v>
      </c>
      <c r="BJ66" s="16" t="n">
        <v>0</v>
      </c>
      <c r="BK66" s="16" t="n">
        <v>0</v>
      </c>
      <c r="BL66" s="16" t="n">
        <v>0</v>
      </c>
      <c r="BM66" s="16" t="n">
        <v>0</v>
      </c>
      <c r="BN66" s="16" t="n">
        <v>0</v>
      </c>
      <c r="BO66" s="16" t="n">
        <v>0</v>
      </c>
      <c r="BP66" s="16" t="n">
        <v>0</v>
      </c>
      <c r="BQ66" s="16" t="n">
        <v>0</v>
      </c>
      <c r="BR66" s="16" t="n">
        <v>0</v>
      </c>
      <c r="BS66" s="16" t="n">
        <v>0</v>
      </c>
      <c r="BT66" s="16" t="n">
        <v>0</v>
      </c>
      <c r="BU66" s="16" t="n">
        <v>0</v>
      </c>
      <c r="BV66" s="16" t="n">
        <v>0</v>
      </c>
      <c r="BW66" s="16" t="n">
        <v>0</v>
      </c>
      <c r="BX66" s="16" t="n">
        <v>0</v>
      </c>
      <c r="BY66" s="16" t="n">
        <v>0</v>
      </c>
      <c r="BZ66" s="16" t="n">
        <v>0</v>
      </c>
      <c r="CA66" s="16" t="n">
        <v>0</v>
      </c>
      <c r="CB66" s="16" t="n">
        <v>0</v>
      </c>
      <c r="CC66" s="16" t="n">
        <v>0</v>
      </c>
      <c r="CD66" s="16" t="n">
        <v>0</v>
      </c>
      <c r="CE66" s="16" t="n">
        <v>0</v>
      </c>
      <c r="CF66" s="16" t="n">
        <v>0</v>
      </c>
      <c r="CG66" s="16" t="n">
        <v>0</v>
      </c>
      <c r="CH66" s="16" t="n">
        <v>0</v>
      </c>
      <c r="CI66" s="16" t="n">
        <v>0</v>
      </c>
      <c r="CJ66" s="16" t="n">
        <v>0</v>
      </c>
      <c r="CK66" s="16" t="n">
        <v>0</v>
      </c>
      <c r="CL66" s="16" t="n">
        <v>0</v>
      </c>
      <c r="CM66" s="16" t="n">
        <v>0</v>
      </c>
      <c r="CN66" s="16" t="n">
        <v>0</v>
      </c>
      <c r="CO66" s="16" t="n">
        <v>0</v>
      </c>
      <c r="CP66" s="16" t="n">
        <v>0</v>
      </c>
      <c r="CQ66" s="16" t="n">
        <v>0</v>
      </c>
      <c r="CR66" s="16" t="n">
        <v>0</v>
      </c>
      <c r="CS66" s="16" t="n">
        <v>3.5</v>
      </c>
      <c r="CT66" s="16" t="n">
        <v>2.5</v>
      </c>
      <c r="CU66" s="16" t="n">
        <v>0</v>
      </c>
      <c r="CV66" s="16" t="n">
        <v>0</v>
      </c>
      <c r="CW66" s="16" t="n">
        <v>0</v>
      </c>
      <c r="CX66" s="16" t="n">
        <v>0</v>
      </c>
      <c r="CY66" s="16" t="n">
        <v>0</v>
      </c>
      <c r="CZ66" s="16" t="n">
        <v>0</v>
      </c>
      <c r="DA66" s="16" t="n">
        <v>0</v>
      </c>
      <c r="DB66" s="16" t="n">
        <v>0</v>
      </c>
      <c r="DC66" s="16" t="n">
        <v>3</v>
      </c>
      <c r="DD66" s="16" t="n">
        <v>1</v>
      </c>
      <c r="DE66" s="16" t="n">
        <v>3</v>
      </c>
      <c r="DF66" s="16" t="n">
        <v>0</v>
      </c>
      <c r="DG66" s="16" t="n">
        <v>0</v>
      </c>
      <c r="DH66" s="16" t="n">
        <v>0</v>
      </c>
      <c r="DI66" s="16" t="n">
        <v>0</v>
      </c>
      <c r="DJ66" s="16" t="n">
        <v>0</v>
      </c>
      <c r="DK66" s="16" t="n">
        <v>0</v>
      </c>
      <c r="DL66" s="16" t="n">
        <v>0</v>
      </c>
      <c r="DM66" s="16" t="n">
        <v>0</v>
      </c>
      <c r="DN66" s="16" t="n">
        <v>0</v>
      </c>
      <c r="DO66" s="16" t="n">
        <v>0</v>
      </c>
      <c r="DP66" s="16" t="n">
        <v>6</v>
      </c>
      <c r="DQ66" s="16" t="n">
        <v>8.5</v>
      </c>
      <c r="DR66" s="16" t="n">
        <v>11.5</v>
      </c>
      <c r="DS66" s="16" t="n">
        <v>0</v>
      </c>
      <c r="DT66" s="16" t="n">
        <v>0</v>
      </c>
      <c r="DU66" s="16" t="n">
        <v>0</v>
      </c>
      <c r="DV66" s="16" t="n">
        <v>0</v>
      </c>
      <c r="DW66" s="16" t="n">
        <v>0</v>
      </c>
      <c r="DX66" s="16" t="n">
        <v>0</v>
      </c>
      <c r="DY66" s="16" t="n">
        <v>0</v>
      </c>
      <c r="DZ66" s="16" t="n">
        <v>0</v>
      </c>
      <c r="EA66" s="16" t="n">
        <v>0</v>
      </c>
      <c r="EB66" s="16" t="n">
        <v>0</v>
      </c>
      <c r="EC66" s="16" t="n">
        <v>0</v>
      </c>
      <c r="ED66" s="16" t="n">
        <v>0</v>
      </c>
      <c r="EE66" s="16" t="n">
        <v>0</v>
      </c>
      <c r="EF66" s="16" t="n">
        <v>0</v>
      </c>
    </row>
    <row r="67" customFormat="false" ht="15" hidden="false" customHeight="true" outlineLevel="0" collapsed="false">
      <c r="A67" s="9" t="s">
        <v>12</v>
      </c>
      <c r="B67" s="9" t="s">
        <v>9</v>
      </c>
      <c r="C67" s="9" t="s">
        <v>9</v>
      </c>
      <c r="D67" s="9" t="s">
        <v>338</v>
      </c>
      <c r="E67" s="9" t="s">
        <v>10</v>
      </c>
      <c r="F67" s="9" t="s">
        <v>100</v>
      </c>
      <c r="G67" s="16" t="n">
        <v>13.5</v>
      </c>
      <c r="H67" s="16" t="n">
        <v>57</v>
      </c>
      <c r="I67" s="16" t="n">
        <v>2</v>
      </c>
      <c r="J67" s="16" t="n">
        <v>55</v>
      </c>
      <c r="K67" s="16" t="n">
        <v>0</v>
      </c>
      <c r="L67" s="16" t="n">
        <v>0</v>
      </c>
      <c r="M67" s="16" t="n">
        <v>0</v>
      </c>
      <c r="N67" s="16" t="n">
        <v>0</v>
      </c>
      <c r="O67" s="16" t="n">
        <v>0</v>
      </c>
      <c r="P67" s="16" t="n">
        <v>0</v>
      </c>
      <c r="Q67" s="16" t="n">
        <v>0</v>
      </c>
      <c r="R67" s="16" t="n">
        <v>0</v>
      </c>
      <c r="S67" s="16" t="n">
        <v>0</v>
      </c>
      <c r="T67" s="16" t="n">
        <v>0</v>
      </c>
      <c r="U67" s="16" t="n">
        <v>0</v>
      </c>
      <c r="V67" s="16" t="n">
        <v>0</v>
      </c>
      <c r="W67" s="16" t="n">
        <v>0</v>
      </c>
      <c r="X67" s="16" t="n">
        <v>0</v>
      </c>
      <c r="Y67" s="16" t="n">
        <v>0</v>
      </c>
      <c r="Z67" s="16" t="n">
        <v>0</v>
      </c>
      <c r="AA67" s="16" t="n">
        <v>0</v>
      </c>
      <c r="AB67" s="16" t="n">
        <v>0</v>
      </c>
      <c r="AC67" s="16" t="n">
        <v>2</v>
      </c>
      <c r="AD67" s="16" t="n">
        <v>0</v>
      </c>
      <c r="AE67" s="16" t="n">
        <v>0</v>
      </c>
      <c r="AF67" s="16" t="n">
        <v>0</v>
      </c>
      <c r="AG67" s="16" t="n">
        <v>0</v>
      </c>
      <c r="AH67" s="16" t="n">
        <v>0</v>
      </c>
      <c r="AI67" s="16" t="n">
        <v>0</v>
      </c>
      <c r="AJ67" s="16" t="n">
        <v>0</v>
      </c>
      <c r="AK67" s="16" t="n">
        <v>0</v>
      </c>
      <c r="AL67" s="16" t="n">
        <v>0</v>
      </c>
      <c r="AM67" s="16" t="n">
        <v>0</v>
      </c>
      <c r="AN67" s="16" t="n">
        <v>0</v>
      </c>
      <c r="AO67" s="16" t="n">
        <v>0</v>
      </c>
      <c r="AP67" s="16" t="n">
        <v>0</v>
      </c>
      <c r="AQ67" s="16" t="n">
        <v>0</v>
      </c>
      <c r="AR67" s="16" t="n">
        <v>0</v>
      </c>
      <c r="AS67" s="16" t="n">
        <v>0</v>
      </c>
      <c r="AT67" s="16" t="n">
        <v>0</v>
      </c>
      <c r="AU67" s="16" t="n">
        <v>0</v>
      </c>
      <c r="AV67" s="16" t="n">
        <v>0</v>
      </c>
      <c r="AW67" s="16" t="n">
        <v>0</v>
      </c>
      <c r="AX67" s="16" t="n">
        <v>0</v>
      </c>
      <c r="AY67" s="16" t="n">
        <v>0</v>
      </c>
      <c r="AZ67" s="16" t="n">
        <v>0</v>
      </c>
      <c r="BA67" s="16" t="n">
        <v>0</v>
      </c>
      <c r="BB67" s="16" t="n">
        <v>0</v>
      </c>
      <c r="BC67" s="16" t="n">
        <v>0</v>
      </c>
      <c r="BD67" s="16" t="n">
        <v>0</v>
      </c>
      <c r="BE67" s="16" t="n">
        <v>0</v>
      </c>
      <c r="BF67" s="16" t="n">
        <v>0</v>
      </c>
      <c r="BG67" s="16" t="n">
        <v>0</v>
      </c>
      <c r="BH67" s="16" t="n">
        <v>0</v>
      </c>
      <c r="BI67" s="16" t="n">
        <v>0</v>
      </c>
      <c r="BJ67" s="16" t="n">
        <v>0</v>
      </c>
      <c r="BK67" s="16" t="n">
        <v>0</v>
      </c>
      <c r="BL67" s="16" t="n">
        <v>0</v>
      </c>
      <c r="BM67" s="16" t="n">
        <v>0</v>
      </c>
      <c r="BN67" s="16" t="n">
        <v>0</v>
      </c>
      <c r="BO67" s="16" t="n">
        <v>0</v>
      </c>
      <c r="BP67" s="16" t="n">
        <v>0</v>
      </c>
      <c r="BQ67" s="16" t="n">
        <v>0</v>
      </c>
      <c r="BR67" s="16" t="n">
        <v>0</v>
      </c>
      <c r="BS67" s="16" t="n">
        <v>0</v>
      </c>
      <c r="BT67" s="16" t="n">
        <v>0</v>
      </c>
      <c r="BU67" s="16" t="n">
        <v>0</v>
      </c>
      <c r="BV67" s="16" t="n">
        <v>0</v>
      </c>
      <c r="BW67" s="16" t="n">
        <v>0</v>
      </c>
      <c r="BX67" s="16" t="n">
        <v>0</v>
      </c>
      <c r="BY67" s="16" t="n">
        <v>0</v>
      </c>
      <c r="BZ67" s="16" t="n">
        <v>0</v>
      </c>
      <c r="CA67" s="16" t="n">
        <v>0</v>
      </c>
      <c r="CB67" s="16" t="n">
        <v>0</v>
      </c>
      <c r="CC67" s="16" t="n">
        <v>0</v>
      </c>
      <c r="CD67" s="16" t="n">
        <v>0</v>
      </c>
      <c r="CE67" s="16" t="n">
        <v>0</v>
      </c>
      <c r="CF67" s="16" t="n">
        <v>0</v>
      </c>
      <c r="CG67" s="16" t="n">
        <v>0</v>
      </c>
      <c r="CH67" s="16" t="n">
        <v>0</v>
      </c>
      <c r="CI67" s="16" t="n">
        <v>0</v>
      </c>
      <c r="CJ67" s="16" t="n">
        <v>0</v>
      </c>
      <c r="CK67" s="16" t="n">
        <v>0</v>
      </c>
      <c r="CL67" s="16" t="n">
        <v>0</v>
      </c>
      <c r="CM67" s="16" t="n">
        <v>0</v>
      </c>
      <c r="CN67" s="16" t="n">
        <v>0</v>
      </c>
      <c r="CO67" s="16" t="n">
        <v>0</v>
      </c>
      <c r="CP67" s="16" t="n">
        <v>0</v>
      </c>
      <c r="CQ67" s="16" t="n">
        <v>0</v>
      </c>
      <c r="CR67" s="16" t="n">
        <v>0</v>
      </c>
      <c r="CS67" s="16" t="n">
        <v>0</v>
      </c>
      <c r="CT67" s="16" t="n">
        <v>0</v>
      </c>
      <c r="CU67" s="16" t="n">
        <v>0</v>
      </c>
      <c r="CV67" s="16" t="n">
        <v>0</v>
      </c>
      <c r="CW67" s="16" t="n">
        <v>0</v>
      </c>
      <c r="CX67" s="16" t="n">
        <v>0</v>
      </c>
      <c r="CY67" s="16" t="n">
        <v>0</v>
      </c>
      <c r="CZ67" s="16" t="n">
        <v>0</v>
      </c>
      <c r="DA67" s="16" t="n">
        <v>0</v>
      </c>
      <c r="DB67" s="16" t="n">
        <v>0</v>
      </c>
      <c r="DC67" s="16" t="n">
        <v>0</v>
      </c>
      <c r="DD67" s="16" t="n">
        <v>0</v>
      </c>
      <c r="DE67" s="16" t="n">
        <v>0</v>
      </c>
      <c r="DF67" s="16" t="n">
        <v>0</v>
      </c>
      <c r="DG67" s="16" t="n">
        <v>0</v>
      </c>
      <c r="DH67" s="16" t="n">
        <v>0</v>
      </c>
      <c r="DI67" s="16" t="n">
        <v>0</v>
      </c>
      <c r="DJ67" s="16" t="n">
        <v>0</v>
      </c>
      <c r="DK67" s="16" t="n">
        <v>0</v>
      </c>
      <c r="DL67" s="16" t="n">
        <v>0</v>
      </c>
      <c r="DM67" s="16" t="n">
        <v>0</v>
      </c>
      <c r="DN67" s="16" t="n">
        <v>0</v>
      </c>
      <c r="DO67" s="16" t="n">
        <v>0</v>
      </c>
      <c r="DP67" s="16" t="n">
        <v>0</v>
      </c>
      <c r="DQ67" s="16" t="n">
        <v>0</v>
      </c>
      <c r="DR67" s="16" t="n">
        <v>0</v>
      </c>
      <c r="DS67" s="16" t="n">
        <v>0</v>
      </c>
      <c r="DT67" s="16" t="n">
        <v>0</v>
      </c>
      <c r="DU67" s="16" t="n">
        <v>0</v>
      </c>
      <c r="DV67" s="16" t="n">
        <v>0</v>
      </c>
      <c r="DW67" s="16" t="n">
        <v>0</v>
      </c>
      <c r="DX67" s="16" t="n">
        <v>0</v>
      </c>
      <c r="DY67" s="16" t="n">
        <v>0</v>
      </c>
      <c r="DZ67" s="16" t="n">
        <v>0</v>
      </c>
      <c r="EA67" s="16" t="n">
        <v>0</v>
      </c>
      <c r="EB67" s="16" t="n">
        <v>0</v>
      </c>
      <c r="EC67" s="16" t="n">
        <v>0</v>
      </c>
      <c r="ED67" s="16" t="n">
        <v>0</v>
      </c>
      <c r="EE67" s="16" t="n">
        <v>0</v>
      </c>
      <c r="EF67" s="16" t="n">
        <v>0</v>
      </c>
    </row>
    <row r="68" customFormat="false" ht="15" hidden="false" customHeight="true" outlineLevel="0" collapsed="false">
      <c r="A68" s="9" t="s">
        <v>12</v>
      </c>
      <c r="B68" s="9" t="s">
        <v>9</v>
      </c>
      <c r="C68" s="9" t="s">
        <v>9</v>
      </c>
      <c r="D68" s="9" t="s">
        <v>337</v>
      </c>
      <c r="E68" s="9" t="s">
        <v>10</v>
      </c>
      <c r="F68" s="9" t="s">
        <v>100</v>
      </c>
      <c r="G68" s="16" t="n">
        <v>0</v>
      </c>
      <c r="H68" s="16" t="n">
        <v>0</v>
      </c>
      <c r="I68" s="16" t="n">
        <v>48.5</v>
      </c>
      <c r="J68" s="16" t="n">
        <v>-48.5</v>
      </c>
      <c r="K68" s="16" t="n">
        <v>0</v>
      </c>
      <c r="L68" s="16" t="n">
        <v>0</v>
      </c>
      <c r="M68" s="16" t="n">
        <v>0</v>
      </c>
      <c r="N68" s="16" t="n">
        <v>0</v>
      </c>
      <c r="O68" s="16" t="n">
        <v>0</v>
      </c>
      <c r="P68" s="16" t="n">
        <v>0</v>
      </c>
      <c r="Q68" s="16" t="n">
        <v>0</v>
      </c>
      <c r="R68" s="16" t="n">
        <v>0</v>
      </c>
      <c r="S68" s="16" t="n">
        <v>0</v>
      </c>
      <c r="T68" s="16" t="n">
        <v>0</v>
      </c>
      <c r="U68" s="16" t="n">
        <v>0</v>
      </c>
      <c r="V68" s="16" t="n">
        <v>0</v>
      </c>
      <c r="W68" s="16" t="n">
        <v>0</v>
      </c>
      <c r="X68" s="16" t="n">
        <v>0</v>
      </c>
      <c r="Y68" s="16" t="n">
        <v>0</v>
      </c>
      <c r="Z68" s="16" t="n">
        <v>0</v>
      </c>
      <c r="AA68" s="16" t="n">
        <v>0</v>
      </c>
      <c r="AB68" s="16" t="n">
        <v>0</v>
      </c>
      <c r="AC68" s="16" t="n">
        <v>0</v>
      </c>
      <c r="AD68" s="16" t="n">
        <v>0</v>
      </c>
      <c r="AE68" s="16" t="n">
        <v>0</v>
      </c>
      <c r="AF68" s="16" t="n">
        <v>0</v>
      </c>
      <c r="AG68" s="16" t="n">
        <v>0</v>
      </c>
      <c r="AH68" s="16" t="n">
        <v>0</v>
      </c>
      <c r="AI68" s="16" t="n">
        <v>0</v>
      </c>
      <c r="AJ68" s="16" t="n">
        <v>0</v>
      </c>
      <c r="AK68" s="16" t="n">
        <v>0</v>
      </c>
      <c r="AL68" s="16" t="n">
        <v>0</v>
      </c>
      <c r="AM68" s="16" t="n">
        <v>0</v>
      </c>
      <c r="AN68" s="16" t="n">
        <v>0</v>
      </c>
      <c r="AO68" s="16" t="n">
        <v>2</v>
      </c>
      <c r="AP68" s="16" t="n">
        <v>2</v>
      </c>
      <c r="AQ68" s="16" t="n">
        <v>0</v>
      </c>
      <c r="AR68" s="16" t="n">
        <v>1</v>
      </c>
      <c r="AS68" s="16" t="n">
        <v>0</v>
      </c>
      <c r="AT68" s="16" t="n">
        <v>0</v>
      </c>
      <c r="AU68" s="16" t="n">
        <v>0</v>
      </c>
      <c r="AV68" s="16" t="n">
        <v>0</v>
      </c>
      <c r="AW68" s="16" t="n">
        <v>0</v>
      </c>
      <c r="AX68" s="16" t="n">
        <v>0</v>
      </c>
      <c r="AY68" s="16" t="n">
        <v>0</v>
      </c>
      <c r="AZ68" s="16" t="n">
        <v>0</v>
      </c>
      <c r="BA68" s="16" t="n">
        <v>0</v>
      </c>
      <c r="BB68" s="16" t="n">
        <v>0</v>
      </c>
      <c r="BC68" s="16" t="n">
        <v>0</v>
      </c>
      <c r="BD68" s="16" t="n">
        <v>0</v>
      </c>
      <c r="BE68" s="16" t="n">
        <v>0</v>
      </c>
      <c r="BF68" s="16" t="n">
        <v>0</v>
      </c>
      <c r="BG68" s="16" t="n">
        <v>0</v>
      </c>
      <c r="BH68" s="16" t="n">
        <v>0</v>
      </c>
      <c r="BI68" s="16" t="n">
        <v>0</v>
      </c>
      <c r="BJ68" s="16" t="n">
        <v>0</v>
      </c>
      <c r="BK68" s="16" t="n">
        <v>0</v>
      </c>
      <c r="BL68" s="16" t="n">
        <v>0</v>
      </c>
      <c r="BM68" s="16" t="n">
        <v>0</v>
      </c>
      <c r="BN68" s="16" t="n">
        <v>0</v>
      </c>
      <c r="BO68" s="16" t="n">
        <v>0</v>
      </c>
      <c r="BP68" s="16" t="n">
        <v>0</v>
      </c>
      <c r="BQ68" s="16" t="n">
        <v>0</v>
      </c>
      <c r="BR68" s="16" t="n">
        <v>0</v>
      </c>
      <c r="BS68" s="16" t="n">
        <v>0</v>
      </c>
      <c r="BT68" s="16" t="n">
        <v>0</v>
      </c>
      <c r="BU68" s="16" t="n">
        <v>0</v>
      </c>
      <c r="BV68" s="16" t="n">
        <v>0</v>
      </c>
      <c r="BW68" s="16" t="n">
        <v>0</v>
      </c>
      <c r="BX68" s="16" t="n">
        <v>0</v>
      </c>
      <c r="BY68" s="16" t="n">
        <v>0</v>
      </c>
      <c r="BZ68" s="16" t="n">
        <v>0</v>
      </c>
      <c r="CA68" s="16" t="n">
        <v>0</v>
      </c>
      <c r="CB68" s="16" t="n">
        <v>0</v>
      </c>
      <c r="CC68" s="16" t="n">
        <v>0</v>
      </c>
      <c r="CD68" s="16" t="n">
        <v>0</v>
      </c>
      <c r="CE68" s="16" t="n">
        <v>0</v>
      </c>
      <c r="CF68" s="16" t="n">
        <v>0</v>
      </c>
      <c r="CG68" s="16" t="n">
        <v>0</v>
      </c>
      <c r="CH68" s="16" t="n">
        <v>0</v>
      </c>
      <c r="CI68" s="16" t="n">
        <v>0</v>
      </c>
      <c r="CJ68" s="16" t="n">
        <v>0</v>
      </c>
      <c r="CK68" s="16" t="n">
        <v>0</v>
      </c>
      <c r="CL68" s="16" t="n">
        <v>0</v>
      </c>
      <c r="CM68" s="16" t="n">
        <v>0</v>
      </c>
      <c r="CN68" s="16" t="n">
        <v>0</v>
      </c>
      <c r="CO68" s="16" t="n">
        <v>0</v>
      </c>
      <c r="CP68" s="16" t="n">
        <v>0</v>
      </c>
      <c r="CQ68" s="16" t="n">
        <v>0</v>
      </c>
      <c r="CR68" s="16" t="n">
        <v>0</v>
      </c>
      <c r="CS68" s="16" t="n">
        <v>3.5</v>
      </c>
      <c r="CT68" s="16" t="n">
        <v>0</v>
      </c>
      <c r="CU68" s="16" t="n">
        <v>0</v>
      </c>
      <c r="CV68" s="16" t="n">
        <v>0</v>
      </c>
      <c r="CW68" s="16" t="n">
        <v>0</v>
      </c>
      <c r="CX68" s="16" t="n">
        <v>0</v>
      </c>
      <c r="CY68" s="16" t="n">
        <v>0</v>
      </c>
      <c r="CZ68" s="16" t="n">
        <v>0</v>
      </c>
      <c r="DA68" s="16" t="n">
        <v>0</v>
      </c>
      <c r="DB68" s="16" t="n">
        <v>4.5</v>
      </c>
      <c r="DC68" s="16" t="n">
        <v>0.5</v>
      </c>
      <c r="DD68" s="16" t="n">
        <v>0.5</v>
      </c>
      <c r="DE68" s="16" t="n">
        <v>6</v>
      </c>
      <c r="DF68" s="16" t="n">
        <v>2.5</v>
      </c>
      <c r="DG68" s="16" t="n">
        <v>0</v>
      </c>
      <c r="DH68" s="16" t="n">
        <v>0</v>
      </c>
      <c r="DI68" s="16" t="n">
        <v>0</v>
      </c>
      <c r="DJ68" s="16" t="n">
        <v>0</v>
      </c>
      <c r="DK68" s="16" t="n">
        <v>0</v>
      </c>
      <c r="DL68" s="16" t="n">
        <v>0</v>
      </c>
      <c r="DM68" s="16" t="n">
        <v>0</v>
      </c>
      <c r="DN68" s="16" t="n">
        <v>0</v>
      </c>
      <c r="DO68" s="16" t="n">
        <v>6</v>
      </c>
      <c r="DP68" s="16" t="n">
        <v>19</v>
      </c>
      <c r="DQ68" s="16" t="n">
        <v>1</v>
      </c>
      <c r="DR68" s="16" t="n">
        <v>0</v>
      </c>
      <c r="DS68" s="16" t="n">
        <v>0</v>
      </c>
      <c r="DT68" s="16" t="n">
        <v>0</v>
      </c>
      <c r="DU68" s="16" t="n">
        <v>0</v>
      </c>
      <c r="DV68" s="16" t="n">
        <v>0</v>
      </c>
      <c r="DW68" s="16" t="n">
        <v>0</v>
      </c>
      <c r="DX68" s="16" t="n">
        <v>0</v>
      </c>
      <c r="DY68" s="16" t="n">
        <v>0</v>
      </c>
      <c r="DZ68" s="16" t="n">
        <v>0</v>
      </c>
      <c r="EA68" s="16" t="n">
        <v>0</v>
      </c>
      <c r="EB68" s="16" t="n">
        <v>0</v>
      </c>
      <c r="EC68" s="16" t="n">
        <v>0</v>
      </c>
      <c r="ED68" s="16" t="n">
        <v>0</v>
      </c>
      <c r="EE68" s="16" t="n">
        <v>0</v>
      </c>
      <c r="EF68" s="16" t="n">
        <v>0</v>
      </c>
    </row>
    <row r="69" customFormat="false" ht="15" hidden="false" customHeight="true" outlineLevel="0" collapsed="false">
      <c r="A69" s="9" t="s">
        <v>12</v>
      </c>
      <c r="B69" s="9" t="s">
        <v>9</v>
      </c>
      <c r="C69" s="9" t="s">
        <v>9</v>
      </c>
      <c r="D69" s="9" t="s">
        <v>338</v>
      </c>
      <c r="E69" s="9" t="s">
        <v>10</v>
      </c>
      <c r="F69" s="9" t="s">
        <v>87</v>
      </c>
      <c r="G69" s="16" t="n">
        <v>0</v>
      </c>
      <c r="H69" s="16" t="n">
        <v>0</v>
      </c>
      <c r="I69" s="16" t="n">
        <v>0</v>
      </c>
      <c r="J69" s="16" t="n">
        <v>0</v>
      </c>
      <c r="K69" s="16" t="n">
        <v>0</v>
      </c>
      <c r="L69" s="16" t="n">
        <v>0</v>
      </c>
      <c r="M69" s="16" t="n">
        <v>0</v>
      </c>
      <c r="N69" s="16" t="n">
        <v>0</v>
      </c>
      <c r="O69" s="16" t="n">
        <v>0</v>
      </c>
      <c r="P69" s="16" t="n">
        <v>0</v>
      </c>
      <c r="Q69" s="16" t="n">
        <v>0</v>
      </c>
      <c r="R69" s="16" t="n">
        <v>0</v>
      </c>
      <c r="S69" s="16" t="n">
        <v>0</v>
      </c>
      <c r="T69" s="16" t="n">
        <v>0</v>
      </c>
      <c r="U69" s="16" t="n">
        <v>0</v>
      </c>
      <c r="V69" s="16" t="n">
        <v>0</v>
      </c>
      <c r="W69" s="16" t="n">
        <v>0</v>
      </c>
      <c r="X69" s="16" t="n">
        <v>0</v>
      </c>
      <c r="Y69" s="16" t="n">
        <v>0</v>
      </c>
      <c r="Z69" s="16" t="n">
        <v>0</v>
      </c>
      <c r="AA69" s="16" t="n">
        <v>0</v>
      </c>
      <c r="AB69" s="16" t="n">
        <v>0</v>
      </c>
      <c r="AC69" s="16" t="n">
        <v>0</v>
      </c>
      <c r="AD69" s="16" t="n">
        <v>0</v>
      </c>
      <c r="AE69" s="16" t="n">
        <v>0</v>
      </c>
      <c r="AF69" s="16" t="n">
        <v>0</v>
      </c>
      <c r="AG69" s="16" t="n">
        <v>0</v>
      </c>
      <c r="AH69" s="16" t="n">
        <v>0</v>
      </c>
      <c r="AI69" s="16" t="n">
        <v>0</v>
      </c>
      <c r="AJ69" s="16" t="n">
        <v>0</v>
      </c>
      <c r="AK69" s="16" t="n">
        <v>0</v>
      </c>
      <c r="AL69" s="16" t="n">
        <v>0</v>
      </c>
      <c r="AM69" s="16" t="n">
        <v>0</v>
      </c>
      <c r="AN69" s="16" t="n">
        <v>0</v>
      </c>
      <c r="AO69" s="16" t="n">
        <v>0</v>
      </c>
      <c r="AP69" s="16" t="n">
        <v>0</v>
      </c>
      <c r="AQ69" s="16" t="n">
        <v>0</v>
      </c>
      <c r="AR69" s="16" t="n">
        <v>0</v>
      </c>
      <c r="AS69" s="16" t="n">
        <v>0</v>
      </c>
      <c r="AT69" s="16" t="n">
        <v>0</v>
      </c>
      <c r="AU69" s="16" t="n">
        <v>0</v>
      </c>
      <c r="AV69" s="16" t="n">
        <v>0</v>
      </c>
      <c r="AW69" s="16" t="n">
        <v>0</v>
      </c>
      <c r="AX69" s="16" t="n">
        <v>0</v>
      </c>
      <c r="AY69" s="16" t="n">
        <v>0</v>
      </c>
      <c r="AZ69" s="16" t="n">
        <v>0</v>
      </c>
      <c r="BA69" s="16" t="n">
        <v>0</v>
      </c>
      <c r="BB69" s="16" t="n">
        <v>0</v>
      </c>
      <c r="BC69" s="16" t="n">
        <v>0</v>
      </c>
      <c r="BD69" s="16" t="n">
        <v>0</v>
      </c>
      <c r="BE69" s="16" t="n">
        <v>0</v>
      </c>
      <c r="BF69" s="16" t="n">
        <v>0</v>
      </c>
      <c r="BG69" s="16" t="n">
        <v>0</v>
      </c>
      <c r="BH69" s="16" t="n">
        <v>0</v>
      </c>
      <c r="BI69" s="16" t="n">
        <v>0</v>
      </c>
      <c r="BJ69" s="16" t="n">
        <v>0</v>
      </c>
      <c r="BK69" s="16" t="n">
        <v>0</v>
      </c>
      <c r="BL69" s="16" t="n">
        <v>0</v>
      </c>
      <c r="BM69" s="16" t="n">
        <v>0</v>
      </c>
      <c r="BN69" s="16" t="n">
        <v>0</v>
      </c>
      <c r="BO69" s="16" t="n">
        <v>0</v>
      </c>
      <c r="BP69" s="16" t="n">
        <v>0</v>
      </c>
      <c r="BQ69" s="16" t="n">
        <v>0</v>
      </c>
      <c r="BR69" s="16" t="n">
        <v>0</v>
      </c>
      <c r="BS69" s="16" t="n">
        <v>0</v>
      </c>
      <c r="BT69" s="16" t="n">
        <v>0</v>
      </c>
      <c r="BU69" s="16" t="n">
        <v>0</v>
      </c>
      <c r="BV69" s="16" t="n">
        <v>0</v>
      </c>
      <c r="BW69" s="16" t="n">
        <v>0</v>
      </c>
      <c r="BX69" s="16" t="n">
        <v>0</v>
      </c>
      <c r="BY69" s="16" t="n">
        <v>0</v>
      </c>
      <c r="BZ69" s="16" t="n">
        <v>0</v>
      </c>
      <c r="CA69" s="16" t="n">
        <v>0</v>
      </c>
      <c r="CB69" s="16" t="n">
        <v>0</v>
      </c>
      <c r="CC69" s="16" t="n">
        <v>0</v>
      </c>
      <c r="CD69" s="16" t="n">
        <v>0</v>
      </c>
      <c r="CE69" s="16" t="n">
        <v>0</v>
      </c>
      <c r="CF69" s="16" t="n">
        <v>0</v>
      </c>
      <c r="CG69" s="16" t="n">
        <v>0</v>
      </c>
      <c r="CH69" s="16" t="n">
        <v>0</v>
      </c>
      <c r="CI69" s="16" t="n">
        <v>0</v>
      </c>
      <c r="CJ69" s="16" t="n">
        <v>0</v>
      </c>
      <c r="CK69" s="16" t="n">
        <v>0</v>
      </c>
      <c r="CL69" s="16" t="n">
        <v>0</v>
      </c>
      <c r="CM69" s="16" t="n">
        <v>0</v>
      </c>
      <c r="CN69" s="16" t="n">
        <v>0</v>
      </c>
      <c r="CO69" s="16" t="n">
        <v>0</v>
      </c>
      <c r="CP69" s="16" t="n">
        <v>0</v>
      </c>
      <c r="CQ69" s="16" t="n">
        <v>0</v>
      </c>
      <c r="CR69" s="16" t="n">
        <v>0</v>
      </c>
      <c r="CS69" s="16" t="n">
        <v>0</v>
      </c>
      <c r="CT69" s="16" t="n">
        <v>0</v>
      </c>
      <c r="CU69" s="16" t="n">
        <v>0</v>
      </c>
      <c r="CV69" s="16" t="n">
        <v>0</v>
      </c>
      <c r="CW69" s="16" t="n">
        <v>0</v>
      </c>
      <c r="CX69" s="16" t="n">
        <v>0</v>
      </c>
      <c r="CY69" s="16" t="n">
        <v>0</v>
      </c>
      <c r="CZ69" s="16" t="n">
        <v>0</v>
      </c>
      <c r="DA69" s="16" t="n">
        <v>0</v>
      </c>
      <c r="DB69" s="16" t="n">
        <v>0</v>
      </c>
      <c r="DC69" s="16" t="n">
        <v>0</v>
      </c>
      <c r="DD69" s="16" t="n">
        <v>0</v>
      </c>
      <c r="DE69" s="16" t="n">
        <v>0</v>
      </c>
      <c r="DF69" s="16" t="n">
        <v>0</v>
      </c>
      <c r="DG69" s="16" t="n">
        <v>0</v>
      </c>
      <c r="DH69" s="16" t="n">
        <v>0</v>
      </c>
      <c r="DI69" s="16" t="n">
        <v>0</v>
      </c>
      <c r="DJ69" s="16" t="n">
        <v>0</v>
      </c>
      <c r="DK69" s="16" t="n">
        <v>0</v>
      </c>
      <c r="DL69" s="16" t="n">
        <v>0</v>
      </c>
      <c r="DM69" s="16" t="n">
        <v>0</v>
      </c>
      <c r="DN69" s="16" t="n">
        <v>0</v>
      </c>
      <c r="DO69" s="16" t="n">
        <v>0</v>
      </c>
      <c r="DP69" s="16" t="n">
        <v>0</v>
      </c>
      <c r="DQ69" s="16" t="n">
        <v>0</v>
      </c>
      <c r="DR69" s="16" t="n">
        <v>0</v>
      </c>
      <c r="DS69" s="16" t="n">
        <v>0</v>
      </c>
      <c r="DT69" s="16" t="n">
        <v>0</v>
      </c>
      <c r="DU69" s="16" t="n">
        <v>0</v>
      </c>
      <c r="DV69" s="16" t="n">
        <v>0</v>
      </c>
      <c r="DW69" s="16" t="n">
        <v>0</v>
      </c>
      <c r="DX69" s="16" t="n">
        <v>0</v>
      </c>
      <c r="DY69" s="16" t="n">
        <v>0</v>
      </c>
      <c r="DZ69" s="16" t="n">
        <v>0</v>
      </c>
      <c r="EA69" s="16" t="n">
        <v>0</v>
      </c>
      <c r="EB69" s="16" t="n">
        <v>0</v>
      </c>
      <c r="EC69" s="16" t="n">
        <v>0</v>
      </c>
      <c r="ED69" s="16" t="n">
        <v>0</v>
      </c>
      <c r="EE69" s="16" t="n">
        <v>0</v>
      </c>
      <c r="EF69" s="16" t="n">
        <v>0</v>
      </c>
    </row>
    <row r="70" customFormat="false" ht="15" hidden="false" customHeight="true" outlineLevel="0" collapsed="false">
      <c r="A70" s="9" t="s">
        <v>12</v>
      </c>
      <c r="B70" s="9" t="s">
        <v>9</v>
      </c>
      <c r="C70" s="9" t="s">
        <v>9</v>
      </c>
      <c r="D70" s="9" t="s">
        <v>337</v>
      </c>
      <c r="E70" s="9" t="s">
        <v>10</v>
      </c>
      <c r="F70" s="9" t="s">
        <v>87</v>
      </c>
      <c r="G70" s="16" t="n">
        <v>0</v>
      </c>
      <c r="H70" s="16" t="n">
        <v>0</v>
      </c>
      <c r="I70" s="16" t="n">
        <v>26.8</v>
      </c>
      <c r="J70" s="16" t="n">
        <v>-26.8</v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6" t="n">
        <v>0</v>
      </c>
      <c r="Q70" s="16" t="n">
        <v>0</v>
      </c>
      <c r="R70" s="16" t="n">
        <v>0</v>
      </c>
      <c r="S70" s="16" t="n">
        <v>0</v>
      </c>
      <c r="T70" s="16" t="n">
        <v>0</v>
      </c>
      <c r="U70" s="16" t="n">
        <v>0</v>
      </c>
      <c r="V70" s="16" t="n">
        <v>0</v>
      </c>
      <c r="W70" s="16" t="n">
        <v>0</v>
      </c>
      <c r="X70" s="16" t="n">
        <v>0</v>
      </c>
      <c r="Y70" s="16" t="n">
        <v>0</v>
      </c>
      <c r="Z70" s="16" t="n">
        <v>0</v>
      </c>
      <c r="AA70" s="16" t="n">
        <v>0</v>
      </c>
      <c r="AB70" s="16" t="n">
        <v>0</v>
      </c>
      <c r="AC70" s="16" t="n">
        <v>0</v>
      </c>
      <c r="AD70" s="16" t="n">
        <v>0</v>
      </c>
      <c r="AE70" s="16" t="n">
        <v>0</v>
      </c>
      <c r="AF70" s="16" t="n">
        <v>0</v>
      </c>
      <c r="AG70" s="16" t="n">
        <v>0</v>
      </c>
      <c r="AH70" s="16" t="n">
        <v>0</v>
      </c>
      <c r="AI70" s="16" t="n">
        <v>0</v>
      </c>
      <c r="AJ70" s="16" t="n">
        <v>0</v>
      </c>
      <c r="AK70" s="16" t="n">
        <v>0</v>
      </c>
      <c r="AL70" s="16" t="n">
        <v>2</v>
      </c>
      <c r="AM70" s="16" t="n">
        <v>3</v>
      </c>
      <c r="AN70" s="16" t="n">
        <v>21.8</v>
      </c>
      <c r="AO70" s="16" t="n">
        <v>0</v>
      </c>
      <c r="AP70" s="16" t="n">
        <v>0</v>
      </c>
      <c r="AQ70" s="16" t="n">
        <v>0</v>
      </c>
      <c r="AR70" s="16" t="n">
        <v>0</v>
      </c>
      <c r="AS70" s="16" t="n">
        <v>0</v>
      </c>
      <c r="AT70" s="16" t="n">
        <v>0</v>
      </c>
      <c r="AU70" s="16" t="n">
        <v>0</v>
      </c>
      <c r="AV70" s="16" t="n">
        <v>0</v>
      </c>
      <c r="AW70" s="16" t="n">
        <v>0</v>
      </c>
      <c r="AX70" s="16" t="n">
        <v>0</v>
      </c>
      <c r="AY70" s="16" t="n">
        <v>0</v>
      </c>
      <c r="AZ70" s="16" t="n">
        <v>0</v>
      </c>
      <c r="BA70" s="16" t="n">
        <v>0</v>
      </c>
      <c r="BB70" s="16" t="n">
        <v>0</v>
      </c>
      <c r="BC70" s="16" t="n">
        <v>0</v>
      </c>
      <c r="BD70" s="16" t="n">
        <v>0</v>
      </c>
      <c r="BE70" s="16" t="n">
        <v>0</v>
      </c>
      <c r="BF70" s="16" t="n">
        <v>0</v>
      </c>
      <c r="BG70" s="16" t="n">
        <v>0</v>
      </c>
      <c r="BH70" s="16" t="n">
        <v>0</v>
      </c>
      <c r="BI70" s="16" t="n">
        <v>0</v>
      </c>
      <c r="BJ70" s="16" t="n">
        <v>0</v>
      </c>
      <c r="BK70" s="16" t="n">
        <v>0</v>
      </c>
      <c r="BL70" s="16" t="n">
        <v>0</v>
      </c>
      <c r="BM70" s="16" t="n">
        <v>0</v>
      </c>
      <c r="BN70" s="16" t="n">
        <v>0</v>
      </c>
      <c r="BO70" s="16" t="n">
        <v>0</v>
      </c>
      <c r="BP70" s="16" t="n">
        <v>0</v>
      </c>
      <c r="BQ70" s="16" t="n">
        <v>0</v>
      </c>
      <c r="BR70" s="16" t="n">
        <v>0</v>
      </c>
      <c r="BS70" s="16" t="n">
        <v>0</v>
      </c>
      <c r="BT70" s="16" t="n">
        <v>0</v>
      </c>
      <c r="BU70" s="16" t="n">
        <v>0</v>
      </c>
      <c r="BV70" s="16" t="n">
        <v>0</v>
      </c>
      <c r="BW70" s="16" t="n">
        <v>0</v>
      </c>
      <c r="BX70" s="16" t="n">
        <v>0</v>
      </c>
      <c r="BY70" s="16" t="n">
        <v>0</v>
      </c>
      <c r="BZ70" s="16" t="n">
        <v>0</v>
      </c>
      <c r="CA70" s="16" t="n">
        <v>0</v>
      </c>
      <c r="CB70" s="16" t="n">
        <v>0</v>
      </c>
      <c r="CC70" s="16" t="n">
        <v>0</v>
      </c>
      <c r="CD70" s="16" t="n">
        <v>0</v>
      </c>
      <c r="CE70" s="16" t="n">
        <v>0</v>
      </c>
      <c r="CF70" s="16" t="n">
        <v>0</v>
      </c>
      <c r="CG70" s="16" t="n">
        <v>0</v>
      </c>
      <c r="CH70" s="16" t="n">
        <v>0</v>
      </c>
      <c r="CI70" s="16" t="n">
        <v>0</v>
      </c>
      <c r="CJ70" s="16" t="n">
        <v>0</v>
      </c>
      <c r="CK70" s="16" t="n">
        <v>0</v>
      </c>
      <c r="CL70" s="16" t="n">
        <v>0</v>
      </c>
      <c r="CM70" s="16" t="n">
        <v>0</v>
      </c>
      <c r="CN70" s="16" t="n">
        <v>0</v>
      </c>
      <c r="CO70" s="16" t="n">
        <v>0</v>
      </c>
      <c r="CP70" s="16" t="n">
        <v>0</v>
      </c>
      <c r="CQ70" s="16" t="n">
        <v>0</v>
      </c>
      <c r="CR70" s="16" t="n">
        <v>0</v>
      </c>
      <c r="CS70" s="16" t="n">
        <v>0</v>
      </c>
      <c r="CT70" s="16" t="n">
        <v>0</v>
      </c>
      <c r="CU70" s="16" t="n">
        <v>0</v>
      </c>
      <c r="CV70" s="16" t="n">
        <v>0</v>
      </c>
      <c r="CW70" s="16" t="n">
        <v>0</v>
      </c>
      <c r="CX70" s="16" t="n">
        <v>0</v>
      </c>
      <c r="CY70" s="16" t="n">
        <v>0</v>
      </c>
      <c r="CZ70" s="16" t="n">
        <v>0</v>
      </c>
      <c r="DA70" s="16" t="n">
        <v>0</v>
      </c>
      <c r="DB70" s="16" t="n">
        <v>0</v>
      </c>
      <c r="DC70" s="16" t="n">
        <v>0</v>
      </c>
      <c r="DD70" s="16" t="n">
        <v>0</v>
      </c>
      <c r="DE70" s="16" t="n">
        <v>0</v>
      </c>
      <c r="DF70" s="16" t="n">
        <v>0</v>
      </c>
      <c r="DG70" s="16" t="n">
        <v>0</v>
      </c>
      <c r="DH70" s="16" t="n">
        <v>0</v>
      </c>
      <c r="DI70" s="16" t="n">
        <v>0</v>
      </c>
      <c r="DJ70" s="16" t="n">
        <v>0</v>
      </c>
      <c r="DK70" s="16" t="n">
        <v>0</v>
      </c>
      <c r="DL70" s="16" t="n">
        <v>0</v>
      </c>
      <c r="DM70" s="16" t="n">
        <v>0</v>
      </c>
      <c r="DN70" s="16" t="n">
        <v>0</v>
      </c>
      <c r="DO70" s="16" t="n">
        <v>0</v>
      </c>
      <c r="DP70" s="16" t="n">
        <v>0</v>
      </c>
      <c r="DQ70" s="16" t="n">
        <v>0</v>
      </c>
      <c r="DR70" s="16" t="n">
        <v>0</v>
      </c>
      <c r="DS70" s="16" t="n">
        <v>0</v>
      </c>
      <c r="DT70" s="16" t="n">
        <v>0</v>
      </c>
      <c r="DU70" s="16" t="n">
        <v>0</v>
      </c>
      <c r="DV70" s="16" t="n">
        <v>0</v>
      </c>
      <c r="DW70" s="16" t="n">
        <v>0</v>
      </c>
      <c r="DX70" s="16" t="n">
        <v>0</v>
      </c>
      <c r="DY70" s="16" t="n">
        <v>0</v>
      </c>
      <c r="DZ70" s="16" t="n">
        <v>0</v>
      </c>
      <c r="EA70" s="16" t="n">
        <v>0</v>
      </c>
      <c r="EB70" s="16" t="n">
        <v>0</v>
      </c>
      <c r="EC70" s="16" t="n">
        <v>0</v>
      </c>
      <c r="ED70" s="16" t="n">
        <v>0</v>
      </c>
      <c r="EE70" s="16" t="n">
        <v>0</v>
      </c>
      <c r="EF70" s="16" t="n">
        <v>0</v>
      </c>
    </row>
    <row r="71" customFormat="false" ht="15" hidden="false" customHeight="true" outlineLevel="0" collapsed="false">
      <c r="A71" s="9" t="s">
        <v>12</v>
      </c>
      <c r="B71" s="9" t="s">
        <v>26</v>
      </c>
      <c r="C71" s="9" t="s">
        <v>26</v>
      </c>
      <c r="D71" s="9" t="s">
        <v>336</v>
      </c>
      <c r="E71" s="9" t="s">
        <v>14</v>
      </c>
      <c r="F71" s="9" t="s">
        <v>80</v>
      </c>
      <c r="G71" s="16" t="n">
        <v>20</v>
      </c>
      <c r="H71" s="16" t="n">
        <v>62</v>
      </c>
      <c r="I71" s="16" t="n">
        <v>0</v>
      </c>
      <c r="J71" s="16" t="n">
        <v>62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  <c r="BH71" s="16" t="n">
        <v>0</v>
      </c>
      <c r="BI71" s="16" t="n">
        <v>0</v>
      </c>
      <c r="BJ71" s="16" t="n">
        <v>0</v>
      </c>
      <c r="BK71" s="16" t="n">
        <v>0</v>
      </c>
      <c r="BL71" s="16" t="n">
        <v>0</v>
      </c>
      <c r="BM71" s="16" t="n">
        <v>0</v>
      </c>
      <c r="BN71" s="16" t="n">
        <v>0</v>
      </c>
      <c r="BO71" s="16" t="n">
        <v>0</v>
      </c>
      <c r="BP71" s="16" t="n">
        <v>0</v>
      </c>
      <c r="BQ71" s="16" t="n">
        <v>0</v>
      </c>
      <c r="BR71" s="16" t="n">
        <v>0</v>
      </c>
      <c r="BS71" s="16" t="n">
        <v>0</v>
      </c>
      <c r="BT71" s="16" t="n">
        <v>0</v>
      </c>
      <c r="BU71" s="16" t="n">
        <v>0</v>
      </c>
      <c r="BV71" s="16" t="n">
        <v>0</v>
      </c>
      <c r="BW71" s="16" t="n">
        <v>0</v>
      </c>
      <c r="BX71" s="16" t="n">
        <v>0</v>
      </c>
      <c r="BY71" s="16" t="n">
        <v>0</v>
      </c>
      <c r="BZ71" s="16" t="n">
        <v>0</v>
      </c>
      <c r="CA71" s="16" t="n">
        <v>0</v>
      </c>
      <c r="CB71" s="16" t="n">
        <v>0</v>
      </c>
      <c r="CC71" s="16" t="n">
        <v>0</v>
      </c>
      <c r="CD71" s="16" t="n">
        <v>0</v>
      </c>
      <c r="CE71" s="16" t="n">
        <v>0</v>
      </c>
      <c r="CF71" s="16" t="n">
        <v>0</v>
      </c>
      <c r="CG71" s="16" t="n">
        <v>0</v>
      </c>
      <c r="CH71" s="16" t="n">
        <v>0</v>
      </c>
      <c r="CI71" s="16" t="n">
        <v>0</v>
      </c>
      <c r="CJ71" s="16" t="n">
        <v>0</v>
      </c>
      <c r="CK71" s="16" t="n">
        <v>0</v>
      </c>
      <c r="CL71" s="16" t="n">
        <v>0</v>
      </c>
      <c r="CM71" s="16" t="n">
        <v>0</v>
      </c>
      <c r="CN71" s="16" t="n">
        <v>0</v>
      </c>
      <c r="CO71" s="16" t="n">
        <v>0</v>
      </c>
      <c r="CP71" s="16" t="n">
        <v>0</v>
      </c>
      <c r="CQ71" s="16" t="n">
        <v>0</v>
      </c>
      <c r="CR71" s="16" t="n">
        <v>0</v>
      </c>
      <c r="CS71" s="16" t="n">
        <v>0</v>
      </c>
      <c r="CT71" s="16" t="n">
        <v>0</v>
      </c>
      <c r="CU71" s="16" t="n">
        <v>0</v>
      </c>
      <c r="CV71" s="16" t="n">
        <v>0</v>
      </c>
      <c r="CW71" s="16" t="n">
        <v>0</v>
      </c>
      <c r="CX71" s="16" t="n">
        <v>0</v>
      </c>
      <c r="CY71" s="16" t="n">
        <v>0</v>
      </c>
      <c r="CZ71" s="16" t="n">
        <v>0</v>
      </c>
      <c r="DA71" s="16" t="n">
        <v>0</v>
      </c>
      <c r="DB71" s="16" t="n">
        <v>0</v>
      </c>
      <c r="DC71" s="16" t="n">
        <v>0</v>
      </c>
      <c r="DD71" s="16" t="n">
        <v>0</v>
      </c>
      <c r="DE71" s="16" t="n">
        <v>0</v>
      </c>
      <c r="DF71" s="16" t="n">
        <v>0</v>
      </c>
      <c r="DG71" s="16" t="n">
        <v>0</v>
      </c>
      <c r="DH71" s="16" t="n">
        <v>0</v>
      </c>
      <c r="DI71" s="16" t="n">
        <v>0</v>
      </c>
      <c r="DJ71" s="16" t="n">
        <v>0</v>
      </c>
      <c r="DK71" s="16" t="n">
        <v>0</v>
      </c>
      <c r="DL71" s="16" t="n">
        <v>0</v>
      </c>
      <c r="DM71" s="16" t="n">
        <v>0</v>
      </c>
      <c r="DN71" s="16" t="n">
        <v>0</v>
      </c>
      <c r="DO71" s="16" t="n">
        <v>0</v>
      </c>
      <c r="DP71" s="16" t="n">
        <v>0</v>
      </c>
      <c r="DQ71" s="16" t="n">
        <v>0</v>
      </c>
      <c r="DR71" s="16" t="n">
        <v>0</v>
      </c>
      <c r="DS71" s="16" t="n">
        <v>0</v>
      </c>
      <c r="DT71" s="16" t="n">
        <v>0</v>
      </c>
      <c r="DU71" s="16" t="n">
        <v>0</v>
      </c>
      <c r="DV71" s="16" t="n">
        <v>0</v>
      </c>
      <c r="DW71" s="16" t="n">
        <v>0</v>
      </c>
      <c r="DX71" s="16" t="n">
        <v>0</v>
      </c>
      <c r="DY71" s="16" t="n">
        <v>0</v>
      </c>
      <c r="DZ71" s="16" t="n">
        <v>0</v>
      </c>
      <c r="EA71" s="16" t="n">
        <v>0</v>
      </c>
      <c r="EB71" s="16" t="n">
        <v>0</v>
      </c>
      <c r="EC71" s="16" t="n">
        <v>0</v>
      </c>
      <c r="ED71" s="16" t="n">
        <v>0</v>
      </c>
      <c r="EE71" s="16" t="n">
        <v>0</v>
      </c>
      <c r="EF71" s="16" t="n">
        <v>0</v>
      </c>
    </row>
    <row r="72" customFormat="false" ht="15" hidden="false" customHeight="true" outlineLevel="0" collapsed="false">
      <c r="A72" s="9" t="s">
        <v>12</v>
      </c>
      <c r="B72" s="9" t="s">
        <v>26</v>
      </c>
      <c r="C72" s="9" t="s">
        <v>26</v>
      </c>
      <c r="D72" s="9" t="s">
        <v>342</v>
      </c>
      <c r="E72" s="9" t="s">
        <v>14</v>
      </c>
      <c r="F72" s="9" t="s">
        <v>80</v>
      </c>
      <c r="G72" s="16" t="n">
        <v>0</v>
      </c>
      <c r="H72" s="16" t="n">
        <v>0</v>
      </c>
      <c r="I72" s="16" t="n">
        <v>42</v>
      </c>
      <c r="J72" s="16" t="n">
        <v>-42</v>
      </c>
      <c r="K72" s="16" t="n">
        <v>0</v>
      </c>
      <c r="L72" s="16" t="n">
        <v>0</v>
      </c>
      <c r="M72" s="16" t="n">
        <v>0</v>
      </c>
      <c r="N72" s="16" t="n">
        <v>0</v>
      </c>
      <c r="O72" s="16" t="n">
        <v>0</v>
      </c>
      <c r="P72" s="16" t="n">
        <v>0</v>
      </c>
      <c r="Q72" s="16" t="n">
        <v>0</v>
      </c>
      <c r="R72" s="16" t="n">
        <v>0</v>
      </c>
      <c r="S72" s="16" t="n">
        <v>0</v>
      </c>
      <c r="T72" s="16" t="n">
        <v>0</v>
      </c>
      <c r="U72" s="16" t="n">
        <v>0</v>
      </c>
      <c r="V72" s="16" t="n">
        <v>0</v>
      </c>
      <c r="W72" s="16" t="n">
        <v>0</v>
      </c>
      <c r="X72" s="16" t="n">
        <v>0</v>
      </c>
      <c r="Y72" s="16" t="n">
        <v>0</v>
      </c>
      <c r="Z72" s="16" t="n">
        <v>0</v>
      </c>
      <c r="AA72" s="16" t="n">
        <v>0</v>
      </c>
      <c r="AB72" s="16" t="n">
        <v>0</v>
      </c>
      <c r="AC72" s="16" t="n">
        <v>0</v>
      </c>
      <c r="AD72" s="16" t="n">
        <v>0</v>
      </c>
      <c r="AE72" s="16" t="n">
        <v>0</v>
      </c>
      <c r="AF72" s="16" t="n">
        <v>0</v>
      </c>
      <c r="AG72" s="16" t="n">
        <v>0</v>
      </c>
      <c r="AH72" s="16" t="n">
        <v>0</v>
      </c>
      <c r="AI72" s="16" t="n">
        <v>0</v>
      </c>
      <c r="AJ72" s="16" t="n">
        <v>0</v>
      </c>
      <c r="AK72" s="16" t="n">
        <v>0</v>
      </c>
      <c r="AL72" s="16" t="n">
        <v>0</v>
      </c>
      <c r="AM72" s="16" t="n">
        <v>0</v>
      </c>
      <c r="AN72" s="16" t="n">
        <v>0</v>
      </c>
      <c r="AO72" s="16" t="n">
        <v>0</v>
      </c>
      <c r="AP72" s="16" t="n">
        <v>0</v>
      </c>
      <c r="AQ72" s="16" t="n">
        <v>0</v>
      </c>
      <c r="AR72" s="16" t="n">
        <v>0</v>
      </c>
      <c r="AS72" s="16" t="n">
        <v>0</v>
      </c>
      <c r="AT72" s="16" t="n">
        <v>0</v>
      </c>
      <c r="AU72" s="16" t="n">
        <v>0</v>
      </c>
      <c r="AV72" s="16" t="n">
        <v>0</v>
      </c>
      <c r="AW72" s="16" t="n">
        <v>0</v>
      </c>
      <c r="AX72" s="16" t="n">
        <v>0</v>
      </c>
      <c r="AY72" s="16" t="n">
        <v>0</v>
      </c>
      <c r="AZ72" s="16" t="n">
        <v>0</v>
      </c>
      <c r="BA72" s="16" t="n">
        <v>0</v>
      </c>
      <c r="BB72" s="16" t="n">
        <v>0</v>
      </c>
      <c r="BC72" s="16" t="n">
        <v>0</v>
      </c>
      <c r="BD72" s="16" t="n">
        <v>0</v>
      </c>
      <c r="BE72" s="16" t="n">
        <v>0</v>
      </c>
      <c r="BF72" s="16" t="n">
        <v>0</v>
      </c>
      <c r="BG72" s="16" t="n">
        <v>0</v>
      </c>
      <c r="BH72" s="16" t="n">
        <v>0</v>
      </c>
      <c r="BI72" s="16" t="n">
        <v>0</v>
      </c>
      <c r="BJ72" s="16" t="n">
        <v>0</v>
      </c>
      <c r="BK72" s="16" t="n">
        <v>0</v>
      </c>
      <c r="BL72" s="16" t="n">
        <v>0</v>
      </c>
      <c r="BM72" s="16" t="n">
        <v>0</v>
      </c>
      <c r="BN72" s="16" t="n">
        <v>0</v>
      </c>
      <c r="BO72" s="16" t="n">
        <v>0</v>
      </c>
      <c r="BP72" s="16" t="n">
        <v>0</v>
      </c>
      <c r="BQ72" s="16" t="n">
        <v>0</v>
      </c>
      <c r="BR72" s="16" t="n">
        <v>0</v>
      </c>
      <c r="BS72" s="16" t="n">
        <v>0</v>
      </c>
      <c r="BT72" s="16" t="n">
        <v>0</v>
      </c>
      <c r="BU72" s="16" t="n">
        <v>0</v>
      </c>
      <c r="BV72" s="16" t="n">
        <v>0</v>
      </c>
      <c r="BW72" s="16" t="n">
        <v>0</v>
      </c>
      <c r="BX72" s="16" t="n">
        <v>0</v>
      </c>
      <c r="BY72" s="16" t="n">
        <v>0</v>
      </c>
      <c r="BZ72" s="16" t="n">
        <v>0</v>
      </c>
      <c r="CA72" s="16" t="n">
        <v>0</v>
      </c>
      <c r="CB72" s="16" t="n">
        <v>0</v>
      </c>
      <c r="CC72" s="16" t="n">
        <v>0</v>
      </c>
      <c r="CD72" s="16" t="n">
        <v>0</v>
      </c>
      <c r="CE72" s="16" t="n">
        <v>0</v>
      </c>
      <c r="CF72" s="16" t="n">
        <v>0</v>
      </c>
      <c r="CG72" s="16" t="n">
        <v>0</v>
      </c>
      <c r="CH72" s="16" t="n">
        <v>0</v>
      </c>
      <c r="CI72" s="16" t="n">
        <v>0</v>
      </c>
      <c r="CJ72" s="16" t="n">
        <v>0</v>
      </c>
      <c r="CK72" s="16" t="n">
        <v>0</v>
      </c>
      <c r="CL72" s="16" t="n">
        <v>0</v>
      </c>
      <c r="CM72" s="16" t="n">
        <v>0</v>
      </c>
      <c r="CN72" s="16" t="n">
        <v>0</v>
      </c>
      <c r="CO72" s="16" t="n">
        <v>0</v>
      </c>
      <c r="CP72" s="16" t="n">
        <v>0</v>
      </c>
      <c r="CQ72" s="16" t="n">
        <v>0</v>
      </c>
      <c r="CR72" s="16" t="n">
        <v>0</v>
      </c>
      <c r="CS72" s="16" t="n">
        <v>0</v>
      </c>
      <c r="CT72" s="16" t="n">
        <v>0</v>
      </c>
      <c r="CU72" s="16" t="n">
        <v>0</v>
      </c>
      <c r="CV72" s="16" t="n">
        <v>0</v>
      </c>
      <c r="CW72" s="16" t="n">
        <v>0</v>
      </c>
      <c r="CX72" s="16" t="n">
        <v>0</v>
      </c>
      <c r="CY72" s="16" t="n">
        <v>5</v>
      </c>
      <c r="CZ72" s="16" t="n">
        <v>8</v>
      </c>
      <c r="DA72" s="16" t="n">
        <v>2</v>
      </c>
      <c r="DB72" s="16" t="n">
        <v>0</v>
      </c>
      <c r="DC72" s="16" t="n">
        <v>0</v>
      </c>
      <c r="DD72" s="16" t="n">
        <v>0</v>
      </c>
      <c r="DE72" s="16" t="n">
        <v>0</v>
      </c>
      <c r="DF72" s="16" t="n">
        <v>0</v>
      </c>
      <c r="DG72" s="16" t="n">
        <v>5</v>
      </c>
      <c r="DH72" s="16" t="n">
        <v>6</v>
      </c>
      <c r="DI72" s="16" t="n">
        <v>0</v>
      </c>
      <c r="DJ72" s="16" t="n">
        <v>0</v>
      </c>
      <c r="DK72" s="16" t="n">
        <v>3</v>
      </c>
      <c r="DL72" s="16" t="n">
        <v>6</v>
      </c>
      <c r="DM72" s="16" t="n">
        <v>5</v>
      </c>
      <c r="DN72" s="16" t="n">
        <v>2</v>
      </c>
      <c r="DO72" s="16" t="n">
        <v>0</v>
      </c>
      <c r="DP72" s="16" t="n">
        <v>0</v>
      </c>
      <c r="DQ72" s="16" t="n">
        <v>0</v>
      </c>
      <c r="DR72" s="16" t="n">
        <v>0</v>
      </c>
      <c r="DS72" s="16" t="n">
        <v>0</v>
      </c>
      <c r="DT72" s="16" t="n">
        <v>0</v>
      </c>
      <c r="DU72" s="16" t="n">
        <v>0</v>
      </c>
      <c r="DV72" s="16" t="n">
        <v>0</v>
      </c>
      <c r="DW72" s="16" t="n">
        <v>0</v>
      </c>
      <c r="DX72" s="16" t="n">
        <v>0</v>
      </c>
      <c r="DY72" s="16" t="n">
        <v>0</v>
      </c>
      <c r="DZ72" s="16" t="n">
        <v>0</v>
      </c>
      <c r="EA72" s="16" t="n">
        <v>0</v>
      </c>
      <c r="EB72" s="16" t="n">
        <v>0</v>
      </c>
      <c r="EC72" s="16" t="n">
        <v>0</v>
      </c>
      <c r="ED72" s="16" t="n">
        <v>0</v>
      </c>
      <c r="EE72" s="16" t="n">
        <v>0</v>
      </c>
      <c r="EF72" s="16" t="n">
        <v>0</v>
      </c>
    </row>
    <row r="73" customFormat="false" ht="15" hidden="false" customHeight="true" outlineLevel="0" collapsed="false">
      <c r="A73" s="9" t="s">
        <v>12</v>
      </c>
      <c r="B73" s="9" t="s">
        <v>26</v>
      </c>
      <c r="C73" s="9" t="s">
        <v>26</v>
      </c>
      <c r="D73" s="9" t="s">
        <v>336</v>
      </c>
      <c r="E73" s="9" t="s">
        <v>14</v>
      </c>
      <c r="F73" s="9" t="s">
        <v>102</v>
      </c>
      <c r="G73" s="16" t="n">
        <v>15</v>
      </c>
      <c r="H73" s="16" t="n">
        <v>520</v>
      </c>
      <c r="I73" s="16" t="n">
        <v>0</v>
      </c>
      <c r="J73" s="16" t="n">
        <v>520</v>
      </c>
      <c r="K73" s="16" t="n">
        <v>0</v>
      </c>
      <c r="L73" s="16" t="n">
        <v>0</v>
      </c>
      <c r="M73" s="16" t="n">
        <v>0</v>
      </c>
      <c r="N73" s="16" t="n">
        <v>0</v>
      </c>
      <c r="O73" s="16" t="n">
        <v>0</v>
      </c>
      <c r="P73" s="16" t="n">
        <v>0</v>
      </c>
      <c r="Q73" s="16" t="n">
        <v>0</v>
      </c>
      <c r="R73" s="16" t="n">
        <v>0</v>
      </c>
      <c r="S73" s="16" t="n">
        <v>0</v>
      </c>
      <c r="T73" s="16" t="n">
        <v>0</v>
      </c>
      <c r="U73" s="16" t="n">
        <v>0</v>
      </c>
      <c r="V73" s="16" t="n">
        <v>0</v>
      </c>
      <c r="W73" s="16" t="n">
        <v>0</v>
      </c>
      <c r="X73" s="16" t="n">
        <v>0</v>
      </c>
      <c r="Y73" s="16" t="n">
        <v>0</v>
      </c>
      <c r="Z73" s="16" t="n">
        <v>0</v>
      </c>
      <c r="AA73" s="16" t="n">
        <v>0</v>
      </c>
      <c r="AB73" s="16" t="n">
        <v>0</v>
      </c>
      <c r="AC73" s="16" t="n">
        <v>0</v>
      </c>
      <c r="AD73" s="16" t="n">
        <v>0</v>
      </c>
      <c r="AE73" s="16" t="n">
        <v>0</v>
      </c>
      <c r="AF73" s="16" t="n">
        <v>0</v>
      </c>
      <c r="AG73" s="16" t="n">
        <v>0</v>
      </c>
      <c r="AH73" s="16" t="n">
        <v>0</v>
      </c>
      <c r="AI73" s="16" t="n">
        <v>0</v>
      </c>
      <c r="AJ73" s="16" t="n">
        <v>0</v>
      </c>
      <c r="AK73" s="16" t="n">
        <v>0</v>
      </c>
      <c r="AL73" s="16" t="n">
        <v>0</v>
      </c>
      <c r="AM73" s="16" t="n">
        <v>0</v>
      </c>
      <c r="AN73" s="16" t="n">
        <v>0</v>
      </c>
      <c r="AO73" s="16" t="n">
        <v>0</v>
      </c>
      <c r="AP73" s="16" t="n">
        <v>0</v>
      </c>
      <c r="AQ73" s="16" t="n">
        <v>0</v>
      </c>
      <c r="AR73" s="16" t="n">
        <v>0</v>
      </c>
      <c r="AS73" s="16" t="n">
        <v>0</v>
      </c>
      <c r="AT73" s="16" t="n">
        <v>0</v>
      </c>
      <c r="AU73" s="16" t="n">
        <v>0</v>
      </c>
      <c r="AV73" s="16" t="n">
        <v>0</v>
      </c>
      <c r="AW73" s="16" t="n">
        <v>0</v>
      </c>
      <c r="AX73" s="16" t="n">
        <v>0</v>
      </c>
      <c r="AY73" s="16" t="n">
        <v>0</v>
      </c>
      <c r="AZ73" s="16" t="n">
        <v>0</v>
      </c>
      <c r="BA73" s="16" t="n">
        <v>0</v>
      </c>
      <c r="BB73" s="16" t="n">
        <v>0</v>
      </c>
      <c r="BC73" s="16" t="n">
        <v>0</v>
      </c>
      <c r="BD73" s="16" t="n">
        <v>0</v>
      </c>
      <c r="BE73" s="16" t="n">
        <v>0</v>
      </c>
      <c r="BF73" s="16" t="n">
        <v>0</v>
      </c>
      <c r="BG73" s="16" t="n">
        <v>0</v>
      </c>
      <c r="BH73" s="16" t="n">
        <v>0</v>
      </c>
      <c r="BI73" s="16" t="n">
        <v>0</v>
      </c>
      <c r="BJ73" s="16" t="n">
        <v>0</v>
      </c>
      <c r="BK73" s="16" t="n">
        <v>0</v>
      </c>
      <c r="BL73" s="16" t="n">
        <v>0</v>
      </c>
      <c r="BM73" s="16" t="n">
        <v>0</v>
      </c>
      <c r="BN73" s="16" t="n">
        <v>0</v>
      </c>
      <c r="BO73" s="16" t="n">
        <v>0</v>
      </c>
      <c r="BP73" s="16" t="n">
        <v>0</v>
      </c>
      <c r="BQ73" s="16" t="n">
        <v>0</v>
      </c>
      <c r="BR73" s="16" t="n">
        <v>0</v>
      </c>
      <c r="BS73" s="16" t="n">
        <v>0</v>
      </c>
      <c r="BT73" s="16" t="n">
        <v>0</v>
      </c>
      <c r="BU73" s="16" t="n">
        <v>0</v>
      </c>
      <c r="BV73" s="16" t="n">
        <v>0</v>
      </c>
      <c r="BW73" s="16" t="n">
        <v>0</v>
      </c>
      <c r="BX73" s="16" t="n">
        <v>0</v>
      </c>
      <c r="BY73" s="16" t="n">
        <v>0</v>
      </c>
      <c r="BZ73" s="16" t="n">
        <v>0</v>
      </c>
      <c r="CA73" s="16" t="n">
        <v>0</v>
      </c>
      <c r="CB73" s="16" t="n">
        <v>0</v>
      </c>
      <c r="CC73" s="16" t="n">
        <v>0</v>
      </c>
      <c r="CD73" s="16" t="n">
        <v>0</v>
      </c>
      <c r="CE73" s="16" t="n">
        <v>0</v>
      </c>
      <c r="CF73" s="16" t="n">
        <v>0</v>
      </c>
      <c r="CG73" s="16" t="n">
        <v>0</v>
      </c>
      <c r="CH73" s="16" t="n">
        <v>0</v>
      </c>
      <c r="CI73" s="16" t="n">
        <v>0</v>
      </c>
      <c r="CJ73" s="16" t="n">
        <v>0</v>
      </c>
      <c r="CK73" s="16" t="n">
        <v>0</v>
      </c>
      <c r="CL73" s="16" t="n">
        <v>0</v>
      </c>
      <c r="CM73" s="16" t="n">
        <v>0</v>
      </c>
      <c r="CN73" s="16" t="n">
        <v>0</v>
      </c>
      <c r="CO73" s="16" t="n">
        <v>0</v>
      </c>
      <c r="CP73" s="16" t="n">
        <v>0</v>
      </c>
      <c r="CQ73" s="16" t="n">
        <v>0</v>
      </c>
      <c r="CR73" s="16" t="n">
        <v>0</v>
      </c>
      <c r="CS73" s="16" t="n">
        <v>0</v>
      </c>
      <c r="CT73" s="16" t="n">
        <v>0</v>
      </c>
      <c r="CU73" s="16" t="n">
        <v>0</v>
      </c>
      <c r="CV73" s="16" t="n">
        <v>0</v>
      </c>
      <c r="CW73" s="16" t="n">
        <v>0</v>
      </c>
      <c r="CX73" s="16" t="n">
        <v>0</v>
      </c>
      <c r="CY73" s="16" t="n">
        <v>0</v>
      </c>
      <c r="CZ73" s="16" t="n">
        <v>0</v>
      </c>
      <c r="DA73" s="16" t="n">
        <v>0</v>
      </c>
      <c r="DB73" s="16" t="n">
        <v>0</v>
      </c>
      <c r="DC73" s="16" t="n">
        <v>0</v>
      </c>
      <c r="DD73" s="16" t="n">
        <v>0</v>
      </c>
      <c r="DE73" s="16" t="n">
        <v>0</v>
      </c>
      <c r="DF73" s="16" t="n">
        <v>0</v>
      </c>
      <c r="DG73" s="16" t="n">
        <v>0</v>
      </c>
      <c r="DH73" s="16" t="n">
        <v>0</v>
      </c>
      <c r="DI73" s="16" t="n">
        <v>0</v>
      </c>
      <c r="DJ73" s="16" t="n">
        <v>0</v>
      </c>
      <c r="DK73" s="16" t="n">
        <v>0</v>
      </c>
      <c r="DL73" s="16" t="n">
        <v>0</v>
      </c>
      <c r="DM73" s="16" t="n">
        <v>0</v>
      </c>
      <c r="DN73" s="16" t="n">
        <v>0</v>
      </c>
      <c r="DO73" s="16" t="n">
        <v>0</v>
      </c>
      <c r="DP73" s="16" t="n">
        <v>0</v>
      </c>
      <c r="DQ73" s="16" t="n">
        <v>0</v>
      </c>
      <c r="DR73" s="16" t="n">
        <v>0</v>
      </c>
      <c r="DS73" s="16" t="n">
        <v>0</v>
      </c>
      <c r="DT73" s="16" t="n">
        <v>0</v>
      </c>
      <c r="DU73" s="16" t="n">
        <v>0</v>
      </c>
      <c r="DV73" s="16" t="n">
        <v>0</v>
      </c>
      <c r="DW73" s="16" t="n">
        <v>0</v>
      </c>
      <c r="DX73" s="16" t="n">
        <v>0</v>
      </c>
      <c r="DY73" s="16" t="n">
        <v>0</v>
      </c>
      <c r="DZ73" s="16" t="n">
        <v>0</v>
      </c>
      <c r="EA73" s="16" t="n">
        <v>0</v>
      </c>
      <c r="EB73" s="16" t="n">
        <v>0</v>
      </c>
      <c r="EC73" s="16" t="n">
        <v>0</v>
      </c>
      <c r="ED73" s="16" t="n">
        <v>0</v>
      </c>
      <c r="EE73" s="16" t="n">
        <v>0</v>
      </c>
      <c r="EF73" s="16" t="n">
        <v>0</v>
      </c>
    </row>
    <row r="74" customFormat="false" ht="15" hidden="false" customHeight="true" outlineLevel="0" collapsed="false">
      <c r="A74" s="9" t="s">
        <v>12</v>
      </c>
      <c r="B74" s="9" t="s">
        <v>26</v>
      </c>
      <c r="C74" s="9" t="s">
        <v>26</v>
      </c>
      <c r="D74" s="9" t="s">
        <v>342</v>
      </c>
      <c r="E74" s="9" t="s">
        <v>14</v>
      </c>
      <c r="F74" s="9" t="s">
        <v>102</v>
      </c>
      <c r="G74" s="16" t="n">
        <v>0</v>
      </c>
      <c r="H74" s="16" t="n">
        <v>0</v>
      </c>
      <c r="I74" s="16" t="n">
        <v>0</v>
      </c>
      <c r="J74" s="16" t="n">
        <v>0</v>
      </c>
      <c r="K74" s="16" t="n">
        <v>0</v>
      </c>
      <c r="L74" s="16" t="n">
        <v>0</v>
      </c>
      <c r="M74" s="16" t="n">
        <v>0</v>
      </c>
      <c r="N74" s="16" t="n">
        <v>0</v>
      </c>
      <c r="O74" s="16" t="n">
        <v>0</v>
      </c>
      <c r="P74" s="16" t="n">
        <v>0</v>
      </c>
      <c r="Q74" s="16" t="n">
        <v>0</v>
      </c>
      <c r="R74" s="16" t="n">
        <v>0</v>
      </c>
      <c r="S74" s="16" t="n">
        <v>0</v>
      </c>
      <c r="T74" s="16" t="n">
        <v>0</v>
      </c>
      <c r="U74" s="16" t="n">
        <v>0</v>
      </c>
      <c r="V74" s="16" t="n">
        <v>0</v>
      </c>
      <c r="W74" s="16" t="n">
        <v>0</v>
      </c>
      <c r="X74" s="16" t="n">
        <v>0</v>
      </c>
      <c r="Y74" s="16" t="n">
        <v>0</v>
      </c>
      <c r="Z74" s="16" t="n">
        <v>0</v>
      </c>
      <c r="AA74" s="16" t="n">
        <v>0</v>
      </c>
      <c r="AB74" s="16" t="n">
        <v>0</v>
      </c>
      <c r="AC74" s="16" t="n">
        <v>0</v>
      </c>
      <c r="AD74" s="16" t="n">
        <v>0</v>
      </c>
      <c r="AE74" s="16" t="n">
        <v>0</v>
      </c>
      <c r="AF74" s="16" t="n">
        <v>0</v>
      </c>
      <c r="AG74" s="16" t="n">
        <v>0</v>
      </c>
      <c r="AH74" s="16" t="n">
        <v>0</v>
      </c>
      <c r="AI74" s="16" t="n">
        <v>0</v>
      </c>
      <c r="AJ74" s="16" t="n">
        <v>0</v>
      </c>
      <c r="AK74" s="16" t="n">
        <v>0</v>
      </c>
      <c r="AL74" s="16" t="n">
        <v>0</v>
      </c>
      <c r="AM74" s="16" t="n">
        <v>0</v>
      </c>
      <c r="AN74" s="16" t="n">
        <v>0</v>
      </c>
      <c r="AO74" s="16" t="n">
        <v>0</v>
      </c>
      <c r="AP74" s="16" t="n">
        <v>0</v>
      </c>
      <c r="AQ74" s="16" t="n">
        <v>0</v>
      </c>
      <c r="AR74" s="16" t="n">
        <v>0</v>
      </c>
      <c r="AS74" s="16" t="n">
        <v>0</v>
      </c>
      <c r="AT74" s="16" t="n">
        <v>0</v>
      </c>
      <c r="AU74" s="16" t="n">
        <v>0</v>
      </c>
      <c r="AV74" s="16" t="n">
        <v>0</v>
      </c>
      <c r="AW74" s="16" t="n">
        <v>0</v>
      </c>
      <c r="AX74" s="16" t="n">
        <v>0</v>
      </c>
      <c r="AY74" s="16" t="n">
        <v>0</v>
      </c>
      <c r="AZ74" s="16" t="n">
        <v>0</v>
      </c>
      <c r="BA74" s="16" t="n">
        <v>0</v>
      </c>
      <c r="BB74" s="16" t="n">
        <v>0</v>
      </c>
      <c r="BC74" s="16" t="n">
        <v>0</v>
      </c>
      <c r="BD74" s="16" t="n">
        <v>0</v>
      </c>
      <c r="BE74" s="16" t="n">
        <v>0</v>
      </c>
      <c r="BF74" s="16" t="n">
        <v>0</v>
      </c>
      <c r="BG74" s="16" t="n">
        <v>0</v>
      </c>
      <c r="BH74" s="16" t="n">
        <v>0</v>
      </c>
      <c r="BI74" s="16" t="n">
        <v>0</v>
      </c>
      <c r="BJ74" s="16" t="n">
        <v>0</v>
      </c>
      <c r="BK74" s="16" t="n">
        <v>0</v>
      </c>
      <c r="BL74" s="16" t="n">
        <v>0</v>
      </c>
      <c r="BM74" s="16" t="n">
        <v>0</v>
      </c>
      <c r="BN74" s="16" t="n">
        <v>0</v>
      </c>
      <c r="BO74" s="16" t="n">
        <v>0</v>
      </c>
      <c r="BP74" s="16" t="n">
        <v>0</v>
      </c>
      <c r="BQ74" s="16" t="n">
        <v>0</v>
      </c>
      <c r="BR74" s="16" t="n">
        <v>0</v>
      </c>
      <c r="BS74" s="16" t="n">
        <v>0</v>
      </c>
      <c r="BT74" s="16" t="n">
        <v>0</v>
      </c>
      <c r="BU74" s="16" t="n">
        <v>0</v>
      </c>
      <c r="BV74" s="16" t="n">
        <v>0</v>
      </c>
      <c r="BW74" s="16" t="n">
        <v>0</v>
      </c>
      <c r="BX74" s="16" t="n">
        <v>0</v>
      </c>
      <c r="BY74" s="16" t="n">
        <v>0</v>
      </c>
      <c r="BZ74" s="16" t="n">
        <v>0</v>
      </c>
      <c r="CA74" s="16" t="n">
        <v>0</v>
      </c>
      <c r="CB74" s="16" t="n">
        <v>0</v>
      </c>
      <c r="CC74" s="16" t="n">
        <v>0</v>
      </c>
      <c r="CD74" s="16" t="n">
        <v>0</v>
      </c>
      <c r="CE74" s="16" t="n">
        <v>0</v>
      </c>
      <c r="CF74" s="16" t="n">
        <v>0</v>
      </c>
      <c r="CG74" s="16" t="n">
        <v>0</v>
      </c>
      <c r="CH74" s="16" t="n">
        <v>0</v>
      </c>
      <c r="CI74" s="16" t="n">
        <v>0</v>
      </c>
      <c r="CJ74" s="16" t="n">
        <v>0</v>
      </c>
      <c r="CK74" s="16" t="n">
        <v>0</v>
      </c>
      <c r="CL74" s="16" t="n">
        <v>0</v>
      </c>
      <c r="CM74" s="16" t="n">
        <v>0</v>
      </c>
      <c r="CN74" s="16" t="n">
        <v>0</v>
      </c>
      <c r="CO74" s="16" t="n">
        <v>0</v>
      </c>
      <c r="CP74" s="16" t="n">
        <v>0</v>
      </c>
      <c r="CQ74" s="16" t="n">
        <v>0</v>
      </c>
      <c r="CR74" s="16" t="n">
        <v>0</v>
      </c>
      <c r="CS74" s="16" t="n">
        <v>0</v>
      </c>
      <c r="CT74" s="16" t="n">
        <v>0</v>
      </c>
      <c r="CU74" s="16" t="n">
        <v>0</v>
      </c>
      <c r="CV74" s="16" t="n">
        <v>0</v>
      </c>
      <c r="CW74" s="16" t="n">
        <v>0</v>
      </c>
      <c r="CX74" s="16" t="n">
        <v>0</v>
      </c>
      <c r="CY74" s="16" t="n">
        <v>0</v>
      </c>
      <c r="CZ74" s="16" t="n">
        <v>0</v>
      </c>
      <c r="DA74" s="16" t="n">
        <v>0</v>
      </c>
      <c r="DB74" s="16" t="n">
        <v>0</v>
      </c>
      <c r="DC74" s="16" t="n">
        <v>0</v>
      </c>
      <c r="DD74" s="16" t="n">
        <v>0</v>
      </c>
      <c r="DE74" s="16" t="n">
        <v>0</v>
      </c>
      <c r="DF74" s="16" t="n">
        <v>0</v>
      </c>
      <c r="DG74" s="16" t="n">
        <v>0</v>
      </c>
      <c r="DH74" s="16" t="n">
        <v>0</v>
      </c>
      <c r="DI74" s="16" t="n">
        <v>0</v>
      </c>
      <c r="DJ74" s="16" t="n">
        <v>0</v>
      </c>
      <c r="DK74" s="16" t="n">
        <v>0</v>
      </c>
      <c r="DL74" s="16" t="n">
        <v>0</v>
      </c>
      <c r="DM74" s="16" t="n">
        <v>0</v>
      </c>
      <c r="DN74" s="16" t="n">
        <v>0</v>
      </c>
      <c r="DO74" s="16" t="n">
        <v>0</v>
      </c>
      <c r="DP74" s="16" t="n">
        <v>0</v>
      </c>
      <c r="DQ74" s="16" t="n">
        <v>0</v>
      </c>
      <c r="DR74" s="16" t="n">
        <v>0</v>
      </c>
      <c r="DS74" s="16" t="n">
        <v>0</v>
      </c>
      <c r="DT74" s="16" t="n">
        <v>0</v>
      </c>
      <c r="DU74" s="16" t="n">
        <v>0</v>
      </c>
      <c r="DV74" s="16" t="n">
        <v>0</v>
      </c>
      <c r="DW74" s="16" t="n">
        <v>0</v>
      </c>
      <c r="DX74" s="16" t="n">
        <v>0</v>
      </c>
      <c r="DY74" s="16" t="n">
        <v>0</v>
      </c>
      <c r="DZ74" s="16" t="n">
        <v>0</v>
      </c>
      <c r="EA74" s="16" t="n">
        <v>0</v>
      </c>
      <c r="EB74" s="16" t="n">
        <v>0</v>
      </c>
      <c r="EC74" s="16" t="n">
        <v>0</v>
      </c>
      <c r="ED74" s="16" t="n">
        <v>0</v>
      </c>
      <c r="EE74" s="16" t="n">
        <v>0</v>
      </c>
      <c r="EF74" s="16" t="n">
        <v>0</v>
      </c>
    </row>
    <row r="75" customFormat="false" ht="15" hidden="false" customHeight="true" outlineLevel="0" collapsed="false">
      <c r="A75" s="9" t="s">
        <v>12</v>
      </c>
      <c r="B75" s="9" t="s">
        <v>26</v>
      </c>
      <c r="C75" s="9" t="s">
        <v>26</v>
      </c>
      <c r="D75" s="9" t="s">
        <v>342</v>
      </c>
      <c r="E75" s="9" t="s">
        <v>14</v>
      </c>
      <c r="F75" s="9" t="s">
        <v>83</v>
      </c>
      <c r="G75" s="16" t="n">
        <v>0</v>
      </c>
      <c r="H75" s="16" t="n">
        <v>0</v>
      </c>
      <c r="I75" s="16" t="n">
        <v>32</v>
      </c>
      <c r="J75" s="16" t="n">
        <v>-32</v>
      </c>
      <c r="K75" s="16" t="n">
        <v>0</v>
      </c>
      <c r="L75" s="16" t="n">
        <v>0</v>
      </c>
      <c r="M75" s="16" t="n">
        <v>0</v>
      </c>
      <c r="N75" s="16" t="n">
        <v>0</v>
      </c>
      <c r="O75" s="16" t="n">
        <v>0</v>
      </c>
      <c r="P75" s="16" t="n">
        <v>0</v>
      </c>
      <c r="Q75" s="16" t="n">
        <v>0</v>
      </c>
      <c r="R75" s="16" t="n">
        <v>0</v>
      </c>
      <c r="S75" s="16" t="n">
        <v>0</v>
      </c>
      <c r="T75" s="16" t="n">
        <v>0</v>
      </c>
      <c r="U75" s="16" t="n">
        <v>0</v>
      </c>
      <c r="V75" s="16" t="n">
        <v>0</v>
      </c>
      <c r="W75" s="16" t="n">
        <v>0</v>
      </c>
      <c r="X75" s="16" t="n">
        <v>0</v>
      </c>
      <c r="Y75" s="16" t="n">
        <v>0</v>
      </c>
      <c r="Z75" s="16" t="n">
        <v>0</v>
      </c>
      <c r="AA75" s="16" t="n">
        <v>0</v>
      </c>
      <c r="AB75" s="16" t="n">
        <v>0</v>
      </c>
      <c r="AC75" s="16" t="n">
        <v>0</v>
      </c>
      <c r="AD75" s="16" t="n">
        <v>0</v>
      </c>
      <c r="AE75" s="16" t="n">
        <v>0</v>
      </c>
      <c r="AF75" s="16" t="n">
        <v>0</v>
      </c>
      <c r="AG75" s="16" t="n">
        <v>0</v>
      </c>
      <c r="AH75" s="16" t="n">
        <v>0</v>
      </c>
      <c r="AI75" s="16" t="n">
        <v>0</v>
      </c>
      <c r="AJ75" s="16" t="n">
        <v>0</v>
      </c>
      <c r="AK75" s="16" t="n">
        <v>0</v>
      </c>
      <c r="AL75" s="16" t="n">
        <v>0</v>
      </c>
      <c r="AM75" s="16" t="n">
        <v>0</v>
      </c>
      <c r="AN75" s="16" t="n">
        <v>26</v>
      </c>
      <c r="AO75" s="16" t="n">
        <v>6</v>
      </c>
      <c r="AP75" s="16" t="n">
        <v>0</v>
      </c>
      <c r="AQ75" s="16" t="n">
        <v>0</v>
      </c>
      <c r="AR75" s="16" t="n">
        <v>0</v>
      </c>
      <c r="AS75" s="16" t="n">
        <v>0</v>
      </c>
      <c r="AT75" s="16" t="n">
        <v>0</v>
      </c>
      <c r="AU75" s="16" t="n">
        <v>0</v>
      </c>
      <c r="AV75" s="16" t="n">
        <v>0</v>
      </c>
      <c r="AW75" s="16" t="n">
        <v>0</v>
      </c>
      <c r="AX75" s="16" t="n">
        <v>0</v>
      </c>
      <c r="AY75" s="16" t="n">
        <v>0</v>
      </c>
      <c r="AZ75" s="16" t="n">
        <v>0</v>
      </c>
      <c r="BA75" s="16" t="n">
        <v>0</v>
      </c>
      <c r="BB75" s="16" t="n">
        <v>0</v>
      </c>
      <c r="BC75" s="16" t="n">
        <v>0</v>
      </c>
      <c r="BD75" s="16" t="n">
        <v>0</v>
      </c>
      <c r="BE75" s="16" t="n">
        <v>0</v>
      </c>
      <c r="BF75" s="16" t="n">
        <v>0</v>
      </c>
      <c r="BG75" s="16" t="n">
        <v>0</v>
      </c>
      <c r="BH75" s="16" t="n">
        <v>0</v>
      </c>
      <c r="BI75" s="16" t="n">
        <v>0</v>
      </c>
      <c r="BJ75" s="16" t="n">
        <v>0</v>
      </c>
      <c r="BK75" s="16" t="n">
        <v>0</v>
      </c>
      <c r="BL75" s="16" t="n">
        <v>0</v>
      </c>
      <c r="BM75" s="16" t="n">
        <v>0</v>
      </c>
      <c r="BN75" s="16" t="n">
        <v>0</v>
      </c>
      <c r="BO75" s="16" t="n">
        <v>0</v>
      </c>
      <c r="BP75" s="16" t="n">
        <v>0</v>
      </c>
      <c r="BQ75" s="16" t="n">
        <v>0</v>
      </c>
      <c r="BR75" s="16" t="n">
        <v>0</v>
      </c>
      <c r="BS75" s="16" t="n">
        <v>0</v>
      </c>
      <c r="BT75" s="16" t="n">
        <v>0</v>
      </c>
      <c r="BU75" s="16" t="n">
        <v>0</v>
      </c>
      <c r="BV75" s="16" t="n">
        <v>0</v>
      </c>
      <c r="BW75" s="16" t="n">
        <v>0</v>
      </c>
      <c r="BX75" s="16" t="n">
        <v>0</v>
      </c>
      <c r="BY75" s="16" t="n">
        <v>0</v>
      </c>
      <c r="BZ75" s="16" t="n">
        <v>0</v>
      </c>
      <c r="CA75" s="16" t="n">
        <v>0</v>
      </c>
      <c r="CB75" s="16" t="n">
        <v>0</v>
      </c>
      <c r="CC75" s="16" t="n">
        <v>0</v>
      </c>
      <c r="CD75" s="16" t="n">
        <v>0</v>
      </c>
      <c r="CE75" s="16" t="n">
        <v>0</v>
      </c>
      <c r="CF75" s="16" t="n">
        <v>0</v>
      </c>
      <c r="CG75" s="16" t="n">
        <v>0</v>
      </c>
      <c r="CH75" s="16" t="n">
        <v>0</v>
      </c>
      <c r="CI75" s="16" t="n">
        <v>0</v>
      </c>
      <c r="CJ75" s="16" t="n">
        <v>0</v>
      </c>
      <c r="CK75" s="16" t="n">
        <v>0</v>
      </c>
      <c r="CL75" s="16" t="n">
        <v>0</v>
      </c>
      <c r="CM75" s="16" t="n">
        <v>0</v>
      </c>
      <c r="CN75" s="16" t="n">
        <v>0</v>
      </c>
      <c r="CO75" s="16" t="n">
        <v>0</v>
      </c>
      <c r="CP75" s="16" t="n">
        <v>0</v>
      </c>
      <c r="CQ75" s="16" t="n">
        <v>0</v>
      </c>
      <c r="CR75" s="16" t="n">
        <v>0</v>
      </c>
      <c r="CS75" s="16" t="n">
        <v>0</v>
      </c>
      <c r="CT75" s="16" t="n">
        <v>0</v>
      </c>
      <c r="CU75" s="16" t="n">
        <v>0</v>
      </c>
      <c r="CV75" s="16" t="n">
        <v>0</v>
      </c>
      <c r="CW75" s="16" t="n">
        <v>0</v>
      </c>
      <c r="CX75" s="16" t="n">
        <v>0</v>
      </c>
      <c r="CY75" s="16" t="n">
        <v>0</v>
      </c>
      <c r="CZ75" s="16" t="n">
        <v>0</v>
      </c>
      <c r="DA75" s="16" t="n">
        <v>0</v>
      </c>
      <c r="DB75" s="16" t="n">
        <v>0</v>
      </c>
      <c r="DC75" s="16" t="n">
        <v>0</v>
      </c>
      <c r="DD75" s="16" t="n">
        <v>0</v>
      </c>
      <c r="DE75" s="16" t="n">
        <v>0</v>
      </c>
      <c r="DF75" s="16" t="n">
        <v>0</v>
      </c>
      <c r="DG75" s="16" t="n">
        <v>0</v>
      </c>
      <c r="DH75" s="16" t="n">
        <v>0</v>
      </c>
      <c r="DI75" s="16" t="n">
        <v>0</v>
      </c>
      <c r="DJ75" s="16" t="n">
        <v>0</v>
      </c>
      <c r="DK75" s="16" t="n">
        <v>0</v>
      </c>
      <c r="DL75" s="16" t="n">
        <v>0</v>
      </c>
      <c r="DM75" s="16" t="n">
        <v>0</v>
      </c>
      <c r="DN75" s="16" t="n">
        <v>0</v>
      </c>
      <c r="DO75" s="16" t="n">
        <v>0</v>
      </c>
      <c r="DP75" s="16" t="n">
        <v>0</v>
      </c>
      <c r="DQ75" s="16" t="n">
        <v>0</v>
      </c>
      <c r="DR75" s="16" t="n">
        <v>0</v>
      </c>
      <c r="DS75" s="16" t="n">
        <v>0</v>
      </c>
      <c r="DT75" s="16" t="n">
        <v>0</v>
      </c>
      <c r="DU75" s="16" t="n">
        <v>0</v>
      </c>
      <c r="DV75" s="16" t="n">
        <v>0</v>
      </c>
      <c r="DW75" s="16" t="n">
        <v>0</v>
      </c>
      <c r="DX75" s="16" t="n">
        <v>0</v>
      </c>
      <c r="DY75" s="16" t="n">
        <v>0</v>
      </c>
      <c r="DZ75" s="16" t="n">
        <v>0</v>
      </c>
      <c r="EA75" s="16" t="n">
        <v>0</v>
      </c>
      <c r="EB75" s="16" t="n">
        <v>0</v>
      </c>
      <c r="EC75" s="16" t="n">
        <v>0</v>
      </c>
      <c r="ED75" s="16" t="n">
        <v>0</v>
      </c>
      <c r="EE75" s="16" t="n">
        <v>0</v>
      </c>
      <c r="EF75" s="16" t="n">
        <v>0</v>
      </c>
    </row>
    <row r="76" customFormat="false" ht="15" hidden="false" customHeight="true" outlineLevel="0" collapsed="false">
      <c r="A76" s="9" t="s">
        <v>12</v>
      </c>
      <c r="B76" s="9" t="s">
        <v>26</v>
      </c>
      <c r="C76" s="9" t="s">
        <v>26</v>
      </c>
      <c r="D76" s="9" t="s">
        <v>336</v>
      </c>
      <c r="E76" s="9" t="s">
        <v>14</v>
      </c>
      <c r="F76" s="9" t="s">
        <v>40</v>
      </c>
      <c r="G76" s="16" t="n">
        <v>0</v>
      </c>
      <c r="H76" s="16" t="n">
        <v>28</v>
      </c>
      <c r="I76" s="16" t="n">
        <v>0</v>
      </c>
      <c r="J76" s="16" t="n">
        <v>28</v>
      </c>
      <c r="K76" s="16" t="n">
        <v>0</v>
      </c>
      <c r="L76" s="16" t="n">
        <v>0</v>
      </c>
      <c r="M76" s="16" t="n">
        <v>0</v>
      </c>
      <c r="N76" s="16" t="n">
        <v>0</v>
      </c>
      <c r="O76" s="16" t="n">
        <v>0</v>
      </c>
      <c r="P76" s="16" t="n">
        <v>0</v>
      </c>
      <c r="Q76" s="16" t="n">
        <v>0</v>
      </c>
      <c r="R76" s="16" t="n">
        <v>0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0</v>
      </c>
      <c r="X76" s="16" t="n">
        <v>0</v>
      </c>
      <c r="Y76" s="16" t="n">
        <v>0</v>
      </c>
      <c r="Z76" s="16" t="n">
        <v>0</v>
      </c>
      <c r="AA76" s="16" t="n">
        <v>0</v>
      </c>
      <c r="AB76" s="16" t="n">
        <v>0</v>
      </c>
      <c r="AC76" s="16" t="n">
        <v>0</v>
      </c>
      <c r="AD76" s="16" t="n">
        <v>0</v>
      </c>
      <c r="AE76" s="16" t="n">
        <v>0</v>
      </c>
      <c r="AF76" s="16" t="n">
        <v>0</v>
      </c>
      <c r="AG76" s="16" t="n">
        <v>0</v>
      </c>
      <c r="AH76" s="16" t="n">
        <v>0</v>
      </c>
      <c r="AI76" s="16" t="n">
        <v>0</v>
      </c>
      <c r="AJ76" s="16" t="n">
        <v>0</v>
      </c>
      <c r="AK76" s="16" t="n">
        <v>0</v>
      </c>
      <c r="AL76" s="16" t="n">
        <v>0</v>
      </c>
      <c r="AM76" s="16" t="n">
        <v>0</v>
      </c>
      <c r="AN76" s="16" t="n">
        <v>0</v>
      </c>
      <c r="AO76" s="16" t="n">
        <v>0</v>
      </c>
      <c r="AP76" s="16" t="n">
        <v>0</v>
      </c>
      <c r="AQ76" s="16" t="n">
        <v>0</v>
      </c>
      <c r="AR76" s="16" t="n">
        <v>0</v>
      </c>
      <c r="AS76" s="16" t="n">
        <v>0</v>
      </c>
      <c r="AT76" s="16" t="n">
        <v>0</v>
      </c>
      <c r="AU76" s="16" t="n">
        <v>0</v>
      </c>
      <c r="AV76" s="16" t="n">
        <v>0</v>
      </c>
      <c r="AW76" s="16" t="n">
        <v>0</v>
      </c>
      <c r="AX76" s="16" t="n">
        <v>0</v>
      </c>
      <c r="AY76" s="16" t="n">
        <v>0</v>
      </c>
      <c r="AZ76" s="16" t="n">
        <v>0</v>
      </c>
      <c r="BA76" s="16" t="n">
        <v>0</v>
      </c>
      <c r="BB76" s="16" t="n">
        <v>0</v>
      </c>
      <c r="BC76" s="16" t="n">
        <v>0</v>
      </c>
      <c r="BD76" s="16" t="n">
        <v>0</v>
      </c>
      <c r="BE76" s="16" t="n">
        <v>0</v>
      </c>
      <c r="BF76" s="16" t="n">
        <v>0</v>
      </c>
      <c r="BG76" s="16" t="n">
        <v>0</v>
      </c>
      <c r="BH76" s="16" t="n">
        <v>0</v>
      </c>
      <c r="BI76" s="16" t="n">
        <v>0</v>
      </c>
      <c r="BJ76" s="16" t="n">
        <v>0</v>
      </c>
      <c r="BK76" s="16" t="n">
        <v>0</v>
      </c>
      <c r="BL76" s="16" t="n">
        <v>0</v>
      </c>
      <c r="BM76" s="16" t="n">
        <v>0</v>
      </c>
      <c r="BN76" s="16" t="n">
        <v>0</v>
      </c>
      <c r="BO76" s="16" t="n">
        <v>0</v>
      </c>
      <c r="BP76" s="16" t="n">
        <v>0</v>
      </c>
      <c r="BQ76" s="16" t="n">
        <v>0</v>
      </c>
      <c r="BR76" s="16" t="n">
        <v>0</v>
      </c>
      <c r="BS76" s="16" t="n">
        <v>0</v>
      </c>
      <c r="BT76" s="16" t="n">
        <v>0</v>
      </c>
      <c r="BU76" s="16" t="n">
        <v>0</v>
      </c>
      <c r="BV76" s="16" t="n">
        <v>0</v>
      </c>
      <c r="BW76" s="16" t="n">
        <v>0</v>
      </c>
      <c r="BX76" s="16" t="n">
        <v>0</v>
      </c>
      <c r="BY76" s="16" t="n">
        <v>0</v>
      </c>
      <c r="BZ76" s="16" t="n">
        <v>0</v>
      </c>
      <c r="CA76" s="16" t="n">
        <v>0</v>
      </c>
      <c r="CB76" s="16" t="n">
        <v>0</v>
      </c>
      <c r="CC76" s="16" t="n">
        <v>0</v>
      </c>
      <c r="CD76" s="16" t="n">
        <v>0</v>
      </c>
      <c r="CE76" s="16" t="n">
        <v>0</v>
      </c>
      <c r="CF76" s="16" t="n">
        <v>0</v>
      </c>
      <c r="CG76" s="16" t="n">
        <v>0</v>
      </c>
      <c r="CH76" s="16" t="n">
        <v>0</v>
      </c>
      <c r="CI76" s="16" t="n">
        <v>0</v>
      </c>
      <c r="CJ76" s="16" t="n">
        <v>0</v>
      </c>
      <c r="CK76" s="16" t="n">
        <v>0</v>
      </c>
      <c r="CL76" s="16" t="n">
        <v>0</v>
      </c>
      <c r="CM76" s="16" t="n">
        <v>0</v>
      </c>
      <c r="CN76" s="16" t="n">
        <v>0</v>
      </c>
      <c r="CO76" s="16" t="n">
        <v>0</v>
      </c>
      <c r="CP76" s="16" t="n">
        <v>0</v>
      </c>
      <c r="CQ76" s="16" t="n">
        <v>0</v>
      </c>
      <c r="CR76" s="16" t="n">
        <v>0</v>
      </c>
      <c r="CS76" s="16" t="n">
        <v>0</v>
      </c>
      <c r="CT76" s="16" t="n">
        <v>0</v>
      </c>
      <c r="CU76" s="16" t="n">
        <v>0</v>
      </c>
      <c r="CV76" s="16" t="n">
        <v>0</v>
      </c>
      <c r="CW76" s="16" t="n">
        <v>0</v>
      </c>
      <c r="CX76" s="16" t="n">
        <v>0</v>
      </c>
      <c r="CY76" s="16" t="n">
        <v>0</v>
      </c>
      <c r="CZ76" s="16" t="n">
        <v>0</v>
      </c>
      <c r="DA76" s="16" t="n">
        <v>0</v>
      </c>
      <c r="DB76" s="16" t="n">
        <v>0</v>
      </c>
      <c r="DC76" s="16" t="n">
        <v>0</v>
      </c>
      <c r="DD76" s="16" t="n">
        <v>0</v>
      </c>
      <c r="DE76" s="16" t="n">
        <v>0</v>
      </c>
      <c r="DF76" s="16" t="n">
        <v>0</v>
      </c>
      <c r="DG76" s="16" t="n">
        <v>0</v>
      </c>
      <c r="DH76" s="16" t="n">
        <v>0</v>
      </c>
      <c r="DI76" s="16" t="n">
        <v>0</v>
      </c>
      <c r="DJ76" s="16" t="n">
        <v>0</v>
      </c>
      <c r="DK76" s="16" t="n">
        <v>0</v>
      </c>
      <c r="DL76" s="16" t="n">
        <v>0</v>
      </c>
      <c r="DM76" s="16" t="n">
        <v>0</v>
      </c>
      <c r="DN76" s="16" t="n">
        <v>0</v>
      </c>
      <c r="DO76" s="16" t="n">
        <v>0</v>
      </c>
      <c r="DP76" s="16" t="n">
        <v>0</v>
      </c>
      <c r="DQ76" s="16" t="n">
        <v>0</v>
      </c>
      <c r="DR76" s="16" t="n">
        <v>0</v>
      </c>
      <c r="DS76" s="16" t="n">
        <v>0</v>
      </c>
      <c r="DT76" s="16" t="n">
        <v>0</v>
      </c>
      <c r="DU76" s="16" t="n">
        <v>0</v>
      </c>
      <c r="DV76" s="16" t="n">
        <v>0</v>
      </c>
      <c r="DW76" s="16" t="n">
        <v>0</v>
      </c>
      <c r="DX76" s="16" t="n">
        <v>0</v>
      </c>
      <c r="DY76" s="16" t="n">
        <v>0</v>
      </c>
      <c r="DZ76" s="16" t="n">
        <v>0</v>
      </c>
      <c r="EA76" s="16" t="n">
        <v>0</v>
      </c>
      <c r="EB76" s="16" t="n">
        <v>0</v>
      </c>
      <c r="EC76" s="16" t="n">
        <v>0</v>
      </c>
      <c r="ED76" s="16" t="n">
        <v>0</v>
      </c>
      <c r="EE76" s="16" t="n">
        <v>0</v>
      </c>
      <c r="EF76" s="16" t="n">
        <v>0</v>
      </c>
    </row>
    <row r="77" customFormat="false" ht="15" hidden="false" customHeight="true" outlineLevel="0" collapsed="false">
      <c r="A77" s="9" t="s">
        <v>12</v>
      </c>
      <c r="B77" s="9" t="s">
        <v>26</v>
      </c>
      <c r="C77" s="9" t="s">
        <v>26</v>
      </c>
      <c r="D77" s="9" t="s">
        <v>342</v>
      </c>
      <c r="E77" s="9" t="s">
        <v>14</v>
      </c>
      <c r="F77" s="9" t="s">
        <v>40</v>
      </c>
      <c r="G77" s="16" t="n">
        <v>0</v>
      </c>
      <c r="H77" s="16" t="n">
        <v>0</v>
      </c>
      <c r="I77" s="16" t="n">
        <v>28</v>
      </c>
      <c r="J77" s="16" t="n">
        <v>-28</v>
      </c>
      <c r="K77" s="16" t="n">
        <v>0</v>
      </c>
      <c r="L77" s="16" t="n">
        <v>0</v>
      </c>
      <c r="M77" s="16" t="n">
        <v>0</v>
      </c>
      <c r="N77" s="16" t="n">
        <v>0</v>
      </c>
      <c r="O77" s="16" t="n">
        <v>0</v>
      </c>
      <c r="P77" s="16" t="n">
        <v>0</v>
      </c>
      <c r="Q77" s="16" t="n">
        <v>0</v>
      </c>
      <c r="R77" s="16" t="n">
        <v>0</v>
      </c>
      <c r="S77" s="16" t="n">
        <v>0</v>
      </c>
      <c r="T77" s="16" t="n">
        <v>0</v>
      </c>
      <c r="U77" s="16" t="n">
        <v>0</v>
      </c>
      <c r="V77" s="16" t="n">
        <v>0</v>
      </c>
      <c r="W77" s="16" t="n">
        <v>0</v>
      </c>
      <c r="X77" s="16" t="n">
        <v>0</v>
      </c>
      <c r="Y77" s="16" t="n">
        <v>0</v>
      </c>
      <c r="Z77" s="16" t="n">
        <v>0</v>
      </c>
      <c r="AA77" s="16" t="n">
        <v>0</v>
      </c>
      <c r="AB77" s="16" t="n">
        <v>0</v>
      </c>
      <c r="AC77" s="16" t="n">
        <v>0</v>
      </c>
      <c r="AD77" s="16" t="n">
        <v>0</v>
      </c>
      <c r="AE77" s="16" t="n">
        <v>0</v>
      </c>
      <c r="AF77" s="16" t="n">
        <v>0</v>
      </c>
      <c r="AG77" s="16" t="n">
        <v>0</v>
      </c>
      <c r="AH77" s="16" t="n">
        <v>0</v>
      </c>
      <c r="AI77" s="16" t="n">
        <v>0</v>
      </c>
      <c r="AJ77" s="16" t="n">
        <v>0</v>
      </c>
      <c r="AK77" s="16" t="n">
        <v>0</v>
      </c>
      <c r="AL77" s="16" t="n">
        <v>0</v>
      </c>
      <c r="AM77" s="16" t="n">
        <v>0</v>
      </c>
      <c r="AN77" s="16" t="n">
        <v>0</v>
      </c>
      <c r="AO77" s="16" t="n">
        <v>0</v>
      </c>
      <c r="AP77" s="16" t="n">
        <v>0</v>
      </c>
      <c r="AQ77" s="16" t="n">
        <v>0</v>
      </c>
      <c r="AR77" s="16" t="n">
        <v>0</v>
      </c>
      <c r="AS77" s="16" t="n">
        <v>0</v>
      </c>
      <c r="AT77" s="16" t="n">
        <v>0</v>
      </c>
      <c r="AU77" s="16" t="n">
        <v>0</v>
      </c>
      <c r="AV77" s="16" t="n">
        <v>0</v>
      </c>
      <c r="AW77" s="16" t="n">
        <v>0</v>
      </c>
      <c r="AX77" s="16" t="n">
        <v>0</v>
      </c>
      <c r="AY77" s="16" t="n">
        <v>0</v>
      </c>
      <c r="AZ77" s="16" t="n">
        <v>0</v>
      </c>
      <c r="BA77" s="16" t="n">
        <v>0</v>
      </c>
      <c r="BB77" s="16" t="n">
        <v>0</v>
      </c>
      <c r="BC77" s="16" t="n">
        <v>0</v>
      </c>
      <c r="BD77" s="16" t="n">
        <v>0</v>
      </c>
      <c r="BE77" s="16" t="n">
        <v>0</v>
      </c>
      <c r="BF77" s="16" t="n">
        <v>0</v>
      </c>
      <c r="BG77" s="16" t="n">
        <v>0</v>
      </c>
      <c r="BH77" s="16" t="n">
        <v>0</v>
      </c>
      <c r="BI77" s="16" t="n">
        <v>0</v>
      </c>
      <c r="BJ77" s="16" t="n">
        <v>0</v>
      </c>
      <c r="BK77" s="16" t="n">
        <v>0</v>
      </c>
      <c r="BL77" s="16" t="n">
        <v>0</v>
      </c>
      <c r="BM77" s="16" t="n">
        <v>0</v>
      </c>
      <c r="BN77" s="16" t="n">
        <v>0</v>
      </c>
      <c r="BO77" s="16" t="n">
        <v>0</v>
      </c>
      <c r="BP77" s="16" t="n">
        <v>0</v>
      </c>
      <c r="BQ77" s="16" t="n">
        <v>0</v>
      </c>
      <c r="BR77" s="16" t="n">
        <v>0</v>
      </c>
      <c r="BS77" s="16" t="n">
        <v>0</v>
      </c>
      <c r="BT77" s="16" t="n">
        <v>0</v>
      </c>
      <c r="BU77" s="16" t="n">
        <v>0</v>
      </c>
      <c r="BV77" s="16" t="n">
        <v>0</v>
      </c>
      <c r="BW77" s="16" t="n">
        <v>0</v>
      </c>
      <c r="BX77" s="16" t="n">
        <v>0</v>
      </c>
      <c r="BY77" s="16" t="n">
        <v>0</v>
      </c>
      <c r="BZ77" s="16" t="n">
        <v>0</v>
      </c>
      <c r="CA77" s="16" t="n">
        <v>0</v>
      </c>
      <c r="CB77" s="16" t="n">
        <v>0</v>
      </c>
      <c r="CC77" s="16" t="n">
        <v>0</v>
      </c>
      <c r="CD77" s="16" t="n">
        <v>0</v>
      </c>
      <c r="CE77" s="16" t="n">
        <v>0</v>
      </c>
      <c r="CF77" s="16" t="n">
        <v>0</v>
      </c>
      <c r="CG77" s="16" t="n">
        <v>0</v>
      </c>
      <c r="CH77" s="16" t="n">
        <v>0</v>
      </c>
      <c r="CI77" s="16" t="n">
        <v>0</v>
      </c>
      <c r="CJ77" s="16" t="n">
        <v>0</v>
      </c>
      <c r="CK77" s="16" t="n">
        <v>0</v>
      </c>
      <c r="CL77" s="16" t="n">
        <v>0</v>
      </c>
      <c r="CM77" s="16" t="n">
        <v>0</v>
      </c>
      <c r="CN77" s="16" t="n">
        <v>0</v>
      </c>
      <c r="CO77" s="16" t="n">
        <v>0</v>
      </c>
      <c r="CP77" s="16" t="n">
        <v>0</v>
      </c>
      <c r="CQ77" s="16" t="n">
        <v>0</v>
      </c>
      <c r="CR77" s="16" t="n">
        <v>0</v>
      </c>
      <c r="CS77" s="16" t="n">
        <v>0</v>
      </c>
      <c r="CT77" s="16" t="n">
        <v>0</v>
      </c>
      <c r="CU77" s="16" t="n">
        <v>0</v>
      </c>
      <c r="CV77" s="16" t="n">
        <v>0</v>
      </c>
      <c r="CW77" s="16" t="n">
        <v>0</v>
      </c>
      <c r="CX77" s="16" t="n">
        <v>0</v>
      </c>
      <c r="CY77" s="16" t="n">
        <v>0</v>
      </c>
      <c r="CZ77" s="16" t="n">
        <v>0</v>
      </c>
      <c r="DA77" s="16" t="n">
        <v>0</v>
      </c>
      <c r="DB77" s="16" t="n">
        <v>0</v>
      </c>
      <c r="DC77" s="16" t="n">
        <v>0</v>
      </c>
      <c r="DD77" s="16" t="n">
        <v>0</v>
      </c>
      <c r="DE77" s="16" t="n">
        <v>0</v>
      </c>
      <c r="DF77" s="16" t="n">
        <v>0</v>
      </c>
      <c r="DG77" s="16" t="n">
        <v>0</v>
      </c>
      <c r="DH77" s="16" t="n">
        <v>0</v>
      </c>
      <c r="DI77" s="16" t="n">
        <v>0</v>
      </c>
      <c r="DJ77" s="16" t="n">
        <v>0</v>
      </c>
      <c r="DK77" s="16" t="n">
        <v>0</v>
      </c>
      <c r="DL77" s="16" t="n">
        <v>0</v>
      </c>
      <c r="DM77" s="16" t="n">
        <v>0</v>
      </c>
      <c r="DN77" s="16" t="n">
        <v>0</v>
      </c>
      <c r="DO77" s="16" t="n">
        <v>0</v>
      </c>
      <c r="DP77" s="16" t="n">
        <v>8</v>
      </c>
      <c r="DQ77" s="16" t="n">
        <v>10</v>
      </c>
      <c r="DR77" s="16" t="n">
        <v>10</v>
      </c>
      <c r="DS77" s="16" t="n">
        <v>0</v>
      </c>
      <c r="DT77" s="16" t="n">
        <v>0</v>
      </c>
      <c r="DU77" s="16" t="n">
        <v>0</v>
      </c>
      <c r="DV77" s="16" t="n">
        <v>0</v>
      </c>
      <c r="DW77" s="16" t="n">
        <v>0</v>
      </c>
      <c r="DX77" s="16" t="n">
        <v>0</v>
      </c>
      <c r="DY77" s="16" t="n">
        <v>0</v>
      </c>
      <c r="DZ77" s="16" t="n">
        <v>0</v>
      </c>
      <c r="EA77" s="16" t="n">
        <v>0</v>
      </c>
      <c r="EB77" s="16" t="n">
        <v>0</v>
      </c>
      <c r="EC77" s="16" t="n">
        <v>0</v>
      </c>
      <c r="ED77" s="16" t="n">
        <v>0</v>
      </c>
      <c r="EE77" s="16" t="n">
        <v>0</v>
      </c>
      <c r="EF77" s="16" t="n">
        <v>0</v>
      </c>
    </row>
    <row r="78" customFormat="false" ht="15" hidden="false" customHeight="true" outlineLevel="0" collapsed="false">
      <c r="A78" s="9" t="s">
        <v>12</v>
      </c>
      <c r="B78" s="9" t="s">
        <v>26</v>
      </c>
      <c r="C78" s="9" t="s">
        <v>26</v>
      </c>
      <c r="D78" s="9" t="s">
        <v>336</v>
      </c>
      <c r="E78" s="9" t="s">
        <v>14</v>
      </c>
      <c r="F78" s="9" t="s">
        <v>97</v>
      </c>
      <c r="G78" s="16" t="n">
        <v>135</v>
      </c>
      <c r="H78" s="16" t="n">
        <v>380</v>
      </c>
      <c r="I78" s="16" t="n">
        <v>97</v>
      </c>
      <c r="J78" s="16" t="n">
        <v>283</v>
      </c>
      <c r="K78" s="16" t="n">
        <v>0</v>
      </c>
      <c r="L78" s="16" t="n">
        <v>0</v>
      </c>
      <c r="M78" s="16" t="n">
        <v>0</v>
      </c>
      <c r="N78" s="16" t="n">
        <v>0</v>
      </c>
      <c r="O78" s="16" t="n">
        <v>0</v>
      </c>
      <c r="P78" s="16" t="n">
        <v>0</v>
      </c>
      <c r="Q78" s="16" t="n">
        <v>0</v>
      </c>
      <c r="R78" s="16" t="n">
        <v>0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0</v>
      </c>
      <c r="X78" s="16" t="n">
        <v>0</v>
      </c>
      <c r="Y78" s="16" t="n">
        <v>0</v>
      </c>
      <c r="Z78" s="16" t="n">
        <v>0</v>
      </c>
      <c r="AA78" s="16" t="n">
        <v>0</v>
      </c>
      <c r="AB78" s="16" t="n">
        <v>0</v>
      </c>
      <c r="AC78" s="16" t="n">
        <v>0</v>
      </c>
      <c r="AD78" s="16" t="n">
        <v>0</v>
      </c>
      <c r="AE78" s="16" t="n">
        <v>4</v>
      </c>
      <c r="AF78" s="16" t="n">
        <v>18</v>
      </c>
      <c r="AG78" s="16" t="n">
        <v>23</v>
      </c>
      <c r="AH78" s="16" t="n">
        <v>15</v>
      </c>
      <c r="AI78" s="16" t="n">
        <v>25</v>
      </c>
      <c r="AJ78" s="16" t="n">
        <v>12</v>
      </c>
      <c r="AK78" s="16" t="n">
        <v>0</v>
      </c>
      <c r="AL78" s="16" t="n">
        <v>0</v>
      </c>
      <c r="AM78" s="16" t="n">
        <v>0</v>
      </c>
      <c r="AN78" s="16" t="n">
        <v>0</v>
      </c>
      <c r="AO78" s="16" t="n">
        <v>0</v>
      </c>
      <c r="AP78" s="16" t="n">
        <v>0</v>
      </c>
      <c r="AQ78" s="16" t="n">
        <v>0</v>
      </c>
      <c r="AR78" s="16" t="n">
        <v>0</v>
      </c>
      <c r="AS78" s="16" t="n">
        <v>0</v>
      </c>
      <c r="AT78" s="16" t="n">
        <v>0</v>
      </c>
      <c r="AU78" s="16" t="n">
        <v>0</v>
      </c>
      <c r="AV78" s="16" t="n">
        <v>0</v>
      </c>
      <c r="AW78" s="16" t="n">
        <v>0</v>
      </c>
      <c r="AX78" s="16" t="n">
        <v>0</v>
      </c>
      <c r="AY78" s="16" t="n">
        <v>0</v>
      </c>
      <c r="AZ78" s="16" t="n">
        <v>0</v>
      </c>
      <c r="BA78" s="16" t="n">
        <v>0</v>
      </c>
      <c r="BB78" s="16" t="n">
        <v>0</v>
      </c>
      <c r="BC78" s="16" t="n">
        <v>0</v>
      </c>
      <c r="BD78" s="16" t="n">
        <v>0</v>
      </c>
      <c r="BE78" s="16" t="n">
        <v>0</v>
      </c>
      <c r="BF78" s="16" t="n">
        <v>0</v>
      </c>
      <c r="BG78" s="16" t="n">
        <v>0</v>
      </c>
      <c r="BH78" s="16" t="n">
        <v>0</v>
      </c>
      <c r="BI78" s="16" t="n">
        <v>0</v>
      </c>
      <c r="BJ78" s="16" t="n">
        <v>0</v>
      </c>
      <c r="BK78" s="16" t="n">
        <v>0</v>
      </c>
      <c r="BL78" s="16" t="n">
        <v>0</v>
      </c>
      <c r="BM78" s="16" t="n">
        <v>0</v>
      </c>
      <c r="BN78" s="16" t="n">
        <v>0</v>
      </c>
      <c r="BO78" s="16" t="n">
        <v>0</v>
      </c>
      <c r="BP78" s="16" t="n">
        <v>0</v>
      </c>
      <c r="BQ78" s="16" t="n">
        <v>0</v>
      </c>
      <c r="BR78" s="16" t="n">
        <v>0</v>
      </c>
      <c r="BS78" s="16" t="n">
        <v>0</v>
      </c>
      <c r="BT78" s="16" t="n">
        <v>0</v>
      </c>
      <c r="BU78" s="16" t="n">
        <v>0</v>
      </c>
      <c r="BV78" s="16" t="n">
        <v>0</v>
      </c>
      <c r="BW78" s="16" t="n">
        <v>0</v>
      </c>
      <c r="BX78" s="16" t="n">
        <v>0</v>
      </c>
      <c r="BY78" s="16" t="n">
        <v>0</v>
      </c>
      <c r="BZ78" s="16" t="n">
        <v>0</v>
      </c>
      <c r="CA78" s="16" t="n">
        <v>0</v>
      </c>
      <c r="CB78" s="16" t="n">
        <v>0</v>
      </c>
      <c r="CC78" s="16" t="n">
        <v>0</v>
      </c>
      <c r="CD78" s="16" t="n">
        <v>0</v>
      </c>
      <c r="CE78" s="16" t="n">
        <v>0</v>
      </c>
      <c r="CF78" s="16" t="n">
        <v>0</v>
      </c>
      <c r="CG78" s="16" t="n">
        <v>0</v>
      </c>
      <c r="CH78" s="16" t="n">
        <v>0</v>
      </c>
      <c r="CI78" s="16" t="n">
        <v>0</v>
      </c>
      <c r="CJ78" s="16" t="n">
        <v>0</v>
      </c>
      <c r="CK78" s="16" t="n">
        <v>0</v>
      </c>
      <c r="CL78" s="16" t="n">
        <v>0</v>
      </c>
      <c r="CM78" s="16" t="n">
        <v>0</v>
      </c>
      <c r="CN78" s="16" t="n">
        <v>0</v>
      </c>
      <c r="CO78" s="16" t="n">
        <v>0</v>
      </c>
      <c r="CP78" s="16" t="n">
        <v>0</v>
      </c>
      <c r="CQ78" s="16" t="n">
        <v>0</v>
      </c>
      <c r="CR78" s="16" t="n">
        <v>0</v>
      </c>
      <c r="CS78" s="16" t="n">
        <v>0</v>
      </c>
      <c r="CT78" s="16" t="n">
        <v>0</v>
      </c>
      <c r="CU78" s="16" t="n">
        <v>0</v>
      </c>
      <c r="CV78" s="16" t="n">
        <v>0</v>
      </c>
      <c r="CW78" s="16" t="n">
        <v>0</v>
      </c>
      <c r="CX78" s="16" t="n">
        <v>0</v>
      </c>
      <c r="CY78" s="16" t="n">
        <v>0</v>
      </c>
      <c r="CZ78" s="16" t="n">
        <v>0</v>
      </c>
      <c r="DA78" s="16" t="n">
        <v>0</v>
      </c>
      <c r="DB78" s="16" t="n">
        <v>0</v>
      </c>
      <c r="DC78" s="16" t="n">
        <v>0</v>
      </c>
      <c r="DD78" s="16" t="n">
        <v>0</v>
      </c>
      <c r="DE78" s="16" t="n">
        <v>0</v>
      </c>
      <c r="DF78" s="16" t="n">
        <v>0</v>
      </c>
      <c r="DG78" s="16" t="n">
        <v>0</v>
      </c>
      <c r="DH78" s="16" t="n">
        <v>0</v>
      </c>
      <c r="DI78" s="16" t="n">
        <v>0</v>
      </c>
      <c r="DJ78" s="16" t="n">
        <v>0</v>
      </c>
      <c r="DK78" s="16" t="n">
        <v>0</v>
      </c>
      <c r="DL78" s="16" t="n">
        <v>0</v>
      </c>
      <c r="DM78" s="16" t="n">
        <v>0</v>
      </c>
      <c r="DN78" s="16" t="n">
        <v>0</v>
      </c>
      <c r="DO78" s="16" t="n">
        <v>0</v>
      </c>
      <c r="DP78" s="16" t="n">
        <v>0</v>
      </c>
      <c r="DQ78" s="16" t="n">
        <v>0</v>
      </c>
      <c r="DR78" s="16" t="n">
        <v>0</v>
      </c>
      <c r="DS78" s="16" t="n">
        <v>0</v>
      </c>
      <c r="DT78" s="16" t="n">
        <v>0</v>
      </c>
      <c r="DU78" s="16" t="n">
        <v>0</v>
      </c>
      <c r="DV78" s="16" t="n">
        <v>0</v>
      </c>
      <c r="DW78" s="16" t="n">
        <v>0</v>
      </c>
      <c r="DX78" s="16" t="n">
        <v>0</v>
      </c>
      <c r="DY78" s="16" t="n">
        <v>0</v>
      </c>
      <c r="DZ78" s="16" t="n">
        <v>0</v>
      </c>
      <c r="EA78" s="16" t="n">
        <v>0</v>
      </c>
      <c r="EB78" s="16" t="n">
        <v>0</v>
      </c>
      <c r="EC78" s="16" t="n">
        <v>0</v>
      </c>
      <c r="ED78" s="16" t="n">
        <v>0</v>
      </c>
      <c r="EE78" s="16" t="n">
        <v>0</v>
      </c>
      <c r="EF78" s="16" t="n">
        <v>0</v>
      </c>
    </row>
    <row r="79" customFormat="false" ht="15" hidden="false" customHeight="true" outlineLevel="0" collapsed="false">
      <c r="A79" s="9" t="s">
        <v>12</v>
      </c>
      <c r="B79" s="9" t="s">
        <v>26</v>
      </c>
      <c r="C79" s="9" t="s">
        <v>26</v>
      </c>
      <c r="D79" s="9" t="s">
        <v>342</v>
      </c>
      <c r="E79" s="9" t="s">
        <v>14</v>
      </c>
      <c r="F79" s="9" t="s">
        <v>97</v>
      </c>
      <c r="G79" s="16" t="n">
        <v>0</v>
      </c>
      <c r="H79" s="16" t="n">
        <v>0</v>
      </c>
      <c r="I79" s="16" t="n">
        <v>374</v>
      </c>
      <c r="J79" s="16" t="n">
        <v>-374</v>
      </c>
      <c r="K79" s="16" t="n">
        <v>0</v>
      </c>
      <c r="L79" s="16" t="n">
        <v>0</v>
      </c>
      <c r="M79" s="16" t="n">
        <v>0</v>
      </c>
      <c r="N79" s="16" t="n">
        <v>0</v>
      </c>
      <c r="O79" s="16" t="n">
        <v>0</v>
      </c>
      <c r="P79" s="16" t="n">
        <v>0</v>
      </c>
      <c r="Q79" s="16" t="n">
        <v>0</v>
      </c>
      <c r="R79" s="16" t="n">
        <v>0</v>
      </c>
      <c r="S79" s="16" t="n">
        <v>0</v>
      </c>
      <c r="T79" s="16" t="n">
        <v>0</v>
      </c>
      <c r="U79" s="16" t="n">
        <v>0</v>
      </c>
      <c r="V79" s="16" t="n">
        <v>0</v>
      </c>
      <c r="W79" s="16" t="n">
        <v>0</v>
      </c>
      <c r="X79" s="16" t="n">
        <v>0</v>
      </c>
      <c r="Y79" s="16" t="n">
        <v>0</v>
      </c>
      <c r="Z79" s="16" t="n">
        <v>0</v>
      </c>
      <c r="AA79" s="16" t="n">
        <v>0</v>
      </c>
      <c r="AB79" s="16" t="n">
        <v>0</v>
      </c>
      <c r="AC79" s="16" t="n">
        <v>0</v>
      </c>
      <c r="AD79" s="16" t="n">
        <v>0</v>
      </c>
      <c r="AE79" s="16" t="n">
        <v>0</v>
      </c>
      <c r="AF79" s="16" t="n">
        <v>0</v>
      </c>
      <c r="AG79" s="16" t="n">
        <v>0</v>
      </c>
      <c r="AH79" s="16" t="n">
        <v>0</v>
      </c>
      <c r="AI79" s="16" t="n">
        <v>0</v>
      </c>
      <c r="AJ79" s="16" t="n">
        <v>13.5</v>
      </c>
      <c r="AK79" s="16" t="n">
        <v>21.5</v>
      </c>
      <c r="AL79" s="16" t="n">
        <v>37</v>
      </c>
      <c r="AM79" s="16" t="n">
        <v>15</v>
      </c>
      <c r="AN79" s="16" t="n">
        <v>0</v>
      </c>
      <c r="AO79" s="16" t="n">
        <v>13</v>
      </c>
      <c r="AP79" s="16" t="n">
        <v>17</v>
      </c>
      <c r="AQ79" s="16" t="n">
        <v>4</v>
      </c>
      <c r="AR79" s="16" t="n">
        <v>8</v>
      </c>
      <c r="AS79" s="16" t="n">
        <v>0.5</v>
      </c>
      <c r="AT79" s="16" t="n">
        <v>0</v>
      </c>
      <c r="AU79" s="16" t="n">
        <v>0</v>
      </c>
      <c r="AV79" s="16" t="n">
        <v>0</v>
      </c>
      <c r="AW79" s="16" t="n">
        <v>0</v>
      </c>
      <c r="AX79" s="16" t="n">
        <v>0</v>
      </c>
      <c r="AY79" s="16" t="n">
        <v>0</v>
      </c>
      <c r="AZ79" s="16" t="n">
        <v>0</v>
      </c>
      <c r="BA79" s="16" t="n">
        <v>0</v>
      </c>
      <c r="BB79" s="16" t="n">
        <v>0</v>
      </c>
      <c r="BC79" s="16" t="n">
        <v>0</v>
      </c>
      <c r="BD79" s="16" t="n">
        <v>0</v>
      </c>
      <c r="BE79" s="16" t="n">
        <v>0</v>
      </c>
      <c r="BF79" s="16" t="n">
        <v>0</v>
      </c>
      <c r="BG79" s="16" t="n">
        <v>0</v>
      </c>
      <c r="BH79" s="16" t="n">
        <v>0</v>
      </c>
      <c r="BI79" s="16" t="n">
        <v>0</v>
      </c>
      <c r="BJ79" s="16" t="n">
        <v>0</v>
      </c>
      <c r="BK79" s="16" t="n">
        <v>0</v>
      </c>
      <c r="BL79" s="16" t="n">
        <v>0</v>
      </c>
      <c r="BM79" s="16" t="n">
        <v>0</v>
      </c>
      <c r="BN79" s="16" t="n">
        <v>0</v>
      </c>
      <c r="BO79" s="16" t="n">
        <v>0</v>
      </c>
      <c r="BP79" s="16" t="n">
        <v>0</v>
      </c>
      <c r="BQ79" s="16" t="n">
        <v>0</v>
      </c>
      <c r="BR79" s="16" t="n">
        <v>0</v>
      </c>
      <c r="BS79" s="16" t="n">
        <v>0</v>
      </c>
      <c r="BT79" s="16" t="n">
        <v>0</v>
      </c>
      <c r="BU79" s="16" t="n">
        <v>0</v>
      </c>
      <c r="BV79" s="16" t="n">
        <v>0</v>
      </c>
      <c r="BW79" s="16" t="n">
        <v>0</v>
      </c>
      <c r="BX79" s="16" t="n">
        <v>0</v>
      </c>
      <c r="BY79" s="16" t="n">
        <v>0</v>
      </c>
      <c r="BZ79" s="16" t="n">
        <v>0</v>
      </c>
      <c r="CA79" s="16" t="n">
        <v>0</v>
      </c>
      <c r="CB79" s="16" t="n">
        <v>0</v>
      </c>
      <c r="CC79" s="16" t="n">
        <v>0</v>
      </c>
      <c r="CD79" s="16" t="n">
        <v>0</v>
      </c>
      <c r="CE79" s="16" t="n">
        <v>0</v>
      </c>
      <c r="CF79" s="16" t="n">
        <v>0</v>
      </c>
      <c r="CG79" s="16" t="n">
        <v>0</v>
      </c>
      <c r="CH79" s="16" t="n">
        <v>0</v>
      </c>
      <c r="CI79" s="16" t="n">
        <v>0</v>
      </c>
      <c r="CJ79" s="16" t="n">
        <v>0</v>
      </c>
      <c r="CK79" s="16" t="n">
        <v>0</v>
      </c>
      <c r="CL79" s="16" t="n">
        <v>0</v>
      </c>
      <c r="CM79" s="16" t="n">
        <v>0</v>
      </c>
      <c r="CN79" s="16" t="n">
        <v>0</v>
      </c>
      <c r="CO79" s="16" t="n">
        <v>0</v>
      </c>
      <c r="CP79" s="16" t="n">
        <v>0</v>
      </c>
      <c r="CQ79" s="16" t="n">
        <v>0</v>
      </c>
      <c r="CR79" s="16" t="n">
        <v>0</v>
      </c>
      <c r="CS79" s="16" t="n">
        <v>10</v>
      </c>
      <c r="CT79" s="16" t="n">
        <v>0</v>
      </c>
      <c r="CU79" s="16" t="n">
        <v>20</v>
      </c>
      <c r="CV79" s="16" t="n">
        <v>20</v>
      </c>
      <c r="CW79" s="16" t="n">
        <v>20</v>
      </c>
      <c r="CX79" s="16" t="n">
        <v>0</v>
      </c>
      <c r="CY79" s="16" t="n">
        <v>0</v>
      </c>
      <c r="CZ79" s="16" t="n">
        <v>5</v>
      </c>
      <c r="DA79" s="16" t="n">
        <v>5</v>
      </c>
      <c r="DB79" s="16" t="n">
        <v>20</v>
      </c>
      <c r="DC79" s="16" t="n">
        <v>20</v>
      </c>
      <c r="DD79" s="16" t="n">
        <v>20</v>
      </c>
      <c r="DE79" s="16" t="n">
        <v>0</v>
      </c>
      <c r="DF79" s="16" t="n">
        <v>15</v>
      </c>
      <c r="DG79" s="16" t="n">
        <v>15</v>
      </c>
      <c r="DH79" s="16" t="n">
        <v>15</v>
      </c>
      <c r="DI79" s="16" t="n">
        <v>0</v>
      </c>
      <c r="DJ79" s="16" t="n">
        <v>0</v>
      </c>
      <c r="DK79" s="16" t="n">
        <v>10</v>
      </c>
      <c r="DL79" s="16" t="n">
        <v>10</v>
      </c>
      <c r="DM79" s="16" t="n">
        <v>10</v>
      </c>
      <c r="DN79" s="16" t="n">
        <v>10</v>
      </c>
      <c r="DO79" s="16" t="n">
        <v>10</v>
      </c>
      <c r="DP79" s="16" t="n">
        <v>5</v>
      </c>
      <c r="DQ79" s="16" t="n">
        <v>5</v>
      </c>
      <c r="DR79" s="16" t="n">
        <v>0</v>
      </c>
      <c r="DS79" s="16" t="n">
        <v>0</v>
      </c>
      <c r="DT79" s="16" t="n">
        <v>0</v>
      </c>
      <c r="DU79" s="16" t="n">
        <v>0</v>
      </c>
      <c r="DV79" s="16" t="n">
        <v>0</v>
      </c>
      <c r="DW79" s="16" t="n">
        <v>0</v>
      </c>
      <c r="DX79" s="16" t="n">
        <v>0</v>
      </c>
      <c r="DY79" s="16" t="n">
        <v>0</v>
      </c>
      <c r="DZ79" s="16" t="n">
        <v>0</v>
      </c>
      <c r="EA79" s="16" t="n">
        <v>0</v>
      </c>
      <c r="EB79" s="16" t="n">
        <v>0</v>
      </c>
      <c r="EC79" s="16" t="n">
        <v>0</v>
      </c>
      <c r="ED79" s="16" t="n">
        <v>0</v>
      </c>
      <c r="EE79" s="16" t="n">
        <v>0</v>
      </c>
      <c r="EF79" s="16" t="n">
        <v>0</v>
      </c>
    </row>
    <row r="80" customFormat="false" ht="15" hidden="false" customHeight="true" outlineLevel="0" collapsed="false">
      <c r="A80" s="9" t="s">
        <v>12</v>
      </c>
      <c r="B80" s="9" t="s">
        <v>26</v>
      </c>
      <c r="C80" s="9" t="s">
        <v>26</v>
      </c>
      <c r="D80" s="9" t="s">
        <v>336</v>
      </c>
      <c r="E80" s="9" t="s">
        <v>14</v>
      </c>
      <c r="F80" s="9" t="s">
        <v>86</v>
      </c>
      <c r="G80" s="16" t="n">
        <v>0</v>
      </c>
      <c r="H80" s="16" t="n">
        <v>0</v>
      </c>
      <c r="I80" s="16" t="n">
        <v>3</v>
      </c>
      <c r="J80" s="16" t="n">
        <v>-3</v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0</v>
      </c>
      <c r="P80" s="16" t="n">
        <v>0</v>
      </c>
      <c r="Q80" s="16" t="n">
        <v>0</v>
      </c>
      <c r="R80" s="16" t="n">
        <v>0</v>
      </c>
      <c r="S80" s="16" t="n">
        <v>0</v>
      </c>
      <c r="T80" s="16" t="n">
        <v>0</v>
      </c>
      <c r="U80" s="16" t="n">
        <v>0</v>
      </c>
      <c r="V80" s="16" t="n">
        <v>0</v>
      </c>
      <c r="W80" s="16" t="n">
        <v>0</v>
      </c>
      <c r="X80" s="16" t="n">
        <v>0</v>
      </c>
      <c r="Y80" s="16" t="n">
        <v>3</v>
      </c>
      <c r="Z80" s="16" t="n">
        <v>0</v>
      </c>
      <c r="AA80" s="16" t="n">
        <v>0</v>
      </c>
      <c r="AB80" s="16" t="n">
        <v>0</v>
      </c>
      <c r="AC80" s="16" t="n">
        <v>0</v>
      </c>
      <c r="AD80" s="16" t="n">
        <v>0</v>
      </c>
      <c r="AE80" s="16" t="n">
        <v>0</v>
      </c>
      <c r="AF80" s="16" t="n">
        <v>0</v>
      </c>
      <c r="AG80" s="16" t="n">
        <v>0</v>
      </c>
      <c r="AH80" s="16" t="n">
        <v>0</v>
      </c>
      <c r="AI80" s="16" t="n">
        <v>0</v>
      </c>
      <c r="AJ80" s="16" t="n">
        <v>0</v>
      </c>
      <c r="AK80" s="16" t="n">
        <v>0</v>
      </c>
      <c r="AL80" s="16" t="n">
        <v>0</v>
      </c>
      <c r="AM80" s="16" t="n">
        <v>0</v>
      </c>
      <c r="AN80" s="16" t="n">
        <v>0</v>
      </c>
      <c r="AO80" s="16" t="n">
        <v>0</v>
      </c>
      <c r="AP80" s="16" t="n">
        <v>0</v>
      </c>
      <c r="AQ80" s="16" t="n">
        <v>0</v>
      </c>
      <c r="AR80" s="16" t="n">
        <v>0</v>
      </c>
      <c r="AS80" s="16" t="n">
        <v>0</v>
      </c>
      <c r="AT80" s="16" t="n">
        <v>0</v>
      </c>
      <c r="AU80" s="16" t="n">
        <v>0</v>
      </c>
      <c r="AV80" s="16" t="n">
        <v>0</v>
      </c>
      <c r="AW80" s="16" t="n">
        <v>0</v>
      </c>
      <c r="AX80" s="16" t="n">
        <v>0</v>
      </c>
      <c r="AY80" s="16" t="n">
        <v>0</v>
      </c>
      <c r="AZ80" s="16" t="n">
        <v>0</v>
      </c>
      <c r="BA80" s="16" t="n">
        <v>0</v>
      </c>
      <c r="BB80" s="16" t="n">
        <v>0</v>
      </c>
      <c r="BC80" s="16" t="n">
        <v>0</v>
      </c>
      <c r="BD80" s="16" t="n">
        <v>0</v>
      </c>
      <c r="BE80" s="16" t="n">
        <v>0</v>
      </c>
      <c r="BF80" s="16" t="n">
        <v>0</v>
      </c>
      <c r="BG80" s="16" t="n">
        <v>0</v>
      </c>
      <c r="BH80" s="16" t="n">
        <v>0</v>
      </c>
      <c r="BI80" s="16" t="n">
        <v>0</v>
      </c>
      <c r="BJ80" s="16" t="n">
        <v>0</v>
      </c>
      <c r="BK80" s="16" t="n">
        <v>0</v>
      </c>
      <c r="BL80" s="16" t="n">
        <v>0</v>
      </c>
      <c r="BM80" s="16" t="n">
        <v>0</v>
      </c>
      <c r="BN80" s="16" t="n">
        <v>0</v>
      </c>
      <c r="BO80" s="16" t="n">
        <v>0</v>
      </c>
      <c r="BP80" s="16" t="n">
        <v>0</v>
      </c>
      <c r="BQ80" s="16" t="n">
        <v>0</v>
      </c>
      <c r="BR80" s="16" t="n">
        <v>0</v>
      </c>
      <c r="BS80" s="16" t="n">
        <v>0</v>
      </c>
      <c r="BT80" s="16" t="n">
        <v>0</v>
      </c>
      <c r="BU80" s="16" t="n">
        <v>0</v>
      </c>
      <c r="BV80" s="16" t="n">
        <v>0</v>
      </c>
      <c r="BW80" s="16" t="n">
        <v>0</v>
      </c>
      <c r="BX80" s="16" t="n">
        <v>0</v>
      </c>
      <c r="BY80" s="16" t="n">
        <v>0</v>
      </c>
      <c r="BZ80" s="16" t="n">
        <v>0</v>
      </c>
      <c r="CA80" s="16" t="n">
        <v>0</v>
      </c>
      <c r="CB80" s="16" t="n">
        <v>0</v>
      </c>
      <c r="CC80" s="16" t="n">
        <v>0</v>
      </c>
      <c r="CD80" s="16" t="n">
        <v>0</v>
      </c>
      <c r="CE80" s="16" t="n">
        <v>0</v>
      </c>
      <c r="CF80" s="16" t="n">
        <v>0</v>
      </c>
      <c r="CG80" s="16" t="n">
        <v>0</v>
      </c>
      <c r="CH80" s="16" t="n">
        <v>0</v>
      </c>
      <c r="CI80" s="16" t="n">
        <v>0</v>
      </c>
      <c r="CJ80" s="16" t="n">
        <v>0</v>
      </c>
      <c r="CK80" s="16" t="n">
        <v>0</v>
      </c>
      <c r="CL80" s="16" t="n">
        <v>0</v>
      </c>
      <c r="CM80" s="16" t="n">
        <v>0</v>
      </c>
      <c r="CN80" s="16" t="n">
        <v>0</v>
      </c>
      <c r="CO80" s="16" t="n">
        <v>0</v>
      </c>
      <c r="CP80" s="16" t="n">
        <v>0</v>
      </c>
      <c r="CQ80" s="16" t="n">
        <v>0</v>
      </c>
      <c r="CR80" s="16" t="n">
        <v>0</v>
      </c>
      <c r="CS80" s="16" t="n">
        <v>0</v>
      </c>
      <c r="CT80" s="16" t="n">
        <v>0</v>
      </c>
      <c r="CU80" s="16" t="n">
        <v>0</v>
      </c>
      <c r="CV80" s="16" t="n">
        <v>0</v>
      </c>
      <c r="CW80" s="16" t="n">
        <v>0</v>
      </c>
      <c r="CX80" s="16" t="n">
        <v>0</v>
      </c>
      <c r="CY80" s="16" t="n">
        <v>0</v>
      </c>
      <c r="CZ80" s="16" t="n">
        <v>0</v>
      </c>
      <c r="DA80" s="16" t="n">
        <v>0</v>
      </c>
      <c r="DB80" s="16" t="n">
        <v>0</v>
      </c>
      <c r="DC80" s="16" t="n">
        <v>0</v>
      </c>
      <c r="DD80" s="16" t="n">
        <v>0</v>
      </c>
      <c r="DE80" s="16" t="n">
        <v>0</v>
      </c>
      <c r="DF80" s="16" t="n">
        <v>0</v>
      </c>
      <c r="DG80" s="16" t="n">
        <v>0</v>
      </c>
      <c r="DH80" s="16" t="n">
        <v>0</v>
      </c>
      <c r="DI80" s="16" t="n">
        <v>0</v>
      </c>
      <c r="DJ80" s="16" t="n">
        <v>0</v>
      </c>
      <c r="DK80" s="16" t="n">
        <v>0</v>
      </c>
      <c r="DL80" s="16" t="n">
        <v>0</v>
      </c>
      <c r="DM80" s="16" t="n">
        <v>0</v>
      </c>
      <c r="DN80" s="16" t="n">
        <v>0</v>
      </c>
      <c r="DO80" s="16" t="n">
        <v>0</v>
      </c>
      <c r="DP80" s="16" t="n">
        <v>0</v>
      </c>
      <c r="DQ80" s="16" t="n">
        <v>0</v>
      </c>
      <c r="DR80" s="16" t="n">
        <v>0</v>
      </c>
      <c r="DS80" s="16" t="n">
        <v>0</v>
      </c>
      <c r="DT80" s="16" t="n">
        <v>0</v>
      </c>
      <c r="DU80" s="16" t="n">
        <v>0</v>
      </c>
      <c r="DV80" s="16" t="n">
        <v>0</v>
      </c>
      <c r="DW80" s="16" t="n">
        <v>0</v>
      </c>
      <c r="DX80" s="16" t="n">
        <v>0</v>
      </c>
      <c r="DY80" s="16" t="n">
        <v>0</v>
      </c>
      <c r="DZ80" s="16" t="n">
        <v>0</v>
      </c>
      <c r="EA80" s="16" t="n">
        <v>0</v>
      </c>
      <c r="EB80" s="16" t="n">
        <v>0</v>
      </c>
      <c r="EC80" s="16" t="n">
        <v>0</v>
      </c>
      <c r="ED80" s="16" t="n">
        <v>0</v>
      </c>
      <c r="EE80" s="16" t="n">
        <v>0</v>
      </c>
      <c r="EF80" s="16" t="n">
        <v>0</v>
      </c>
    </row>
    <row r="81" customFormat="false" ht="15" hidden="false" customHeight="true" outlineLevel="0" collapsed="false">
      <c r="A81" s="9" t="s">
        <v>12</v>
      </c>
      <c r="B81" s="9" t="s">
        <v>26</v>
      </c>
      <c r="C81" s="9" t="s">
        <v>26</v>
      </c>
      <c r="D81" s="9" t="s">
        <v>336</v>
      </c>
      <c r="E81" s="9" t="s">
        <v>14</v>
      </c>
      <c r="F81" s="9" t="s">
        <v>98</v>
      </c>
      <c r="G81" s="16" t="n">
        <v>86</v>
      </c>
      <c r="H81" s="16" t="n">
        <v>274</v>
      </c>
      <c r="I81" s="16" t="n">
        <v>7</v>
      </c>
      <c r="J81" s="16" t="n">
        <v>267</v>
      </c>
      <c r="K81" s="16" t="n">
        <v>0</v>
      </c>
      <c r="L81" s="16" t="n">
        <v>0</v>
      </c>
      <c r="M81" s="16" t="n">
        <v>0</v>
      </c>
      <c r="N81" s="16" t="n">
        <v>0</v>
      </c>
      <c r="O81" s="16" t="n">
        <v>0</v>
      </c>
      <c r="P81" s="16" t="n">
        <v>0</v>
      </c>
      <c r="Q81" s="16" t="n">
        <v>0</v>
      </c>
      <c r="R81" s="16" t="n">
        <v>0</v>
      </c>
      <c r="S81" s="16" t="n">
        <v>0</v>
      </c>
      <c r="T81" s="16" t="n">
        <v>0</v>
      </c>
      <c r="U81" s="16" t="n">
        <v>0</v>
      </c>
      <c r="V81" s="16" t="n">
        <v>0</v>
      </c>
      <c r="W81" s="16" t="n">
        <v>0</v>
      </c>
      <c r="X81" s="16" t="n">
        <v>0</v>
      </c>
      <c r="Y81" s="16" t="n">
        <v>0</v>
      </c>
      <c r="Z81" s="16" t="n">
        <v>0</v>
      </c>
      <c r="AA81" s="16" t="n">
        <v>0</v>
      </c>
      <c r="AB81" s="16" t="n">
        <v>0</v>
      </c>
      <c r="AC81" s="16" t="n">
        <v>0</v>
      </c>
      <c r="AD81" s="16" t="n">
        <v>0</v>
      </c>
      <c r="AE81" s="16" t="n">
        <v>0</v>
      </c>
      <c r="AF81" s="16" t="n">
        <v>4</v>
      </c>
      <c r="AG81" s="16" t="n">
        <v>2</v>
      </c>
      <c r="AH81" s="16" t="n">
        <v>1</v>
      </c>
      <c r="AI81" s="16" t="n">
        <v>0</v>
      </c>
      <c r="AJ81" s="16" t="n">
        <v>0</v>
      </c>
      <c r="AK81" s="16" t="n">
        <v>0</v>
      </c>
      <c r="AL81" s="16" t="n">
        <v>0</v>
      </c>
      <c r="AM81" s="16" t="n">
        <v>0</v>
      </c>
      <c r="AN81" s="16" t="n">
        <v>0</v>
      </c>
      <c r="AO81" s="16" t="n">
        <v>0</v>
      </c>
      <c r="AP81" s="16" t="n">
        <v>0</v>
      </c>
      <c r="AQ81" s="16" t="n">
        <v>0</v>
      </c>
      <c r="AR81" s="16" t="n">
        <v>0</v>
      </c>
      <c r="AS81" s="16" t="n">
        <v>0</v>
      </c>
      <c r="AT81" s="16" t="n">
        <v>0</v>
      </c>
      <c r="AU81" s="16" t="n">
        <v>0</v>
      </c>
      <c r="AV81" s="16" t="n">
        <v>0</v>
      </c>
      <c r="AW81" s="16" t="n">
        <v>0</v>
      </c>
      <c r="AX81" s="16" t="n">
        <v>0</v>
      </c>
      <c r="AY81" s="16" t="n">
        <v>0</v>
      </c>
      <c r="AZ81" s="16" t="n">
        <v>0</v>
      </c>
      <c r="BA81" s="16" t="n">
        <v>0</v>
      </c>
      <c r="BB81" s="16" t="n">
        <v>0</v>
      </c>
      <c r="BC81" s="16" t="n">
        <v>0</v>
      </c>
      <c r="BD81" s="16" t="n">
        <v>0</v>
      </c>
      <c r="BE81" s="16" t="n">
        <v>0</v>
      </c>
      <c r="BF81" s="16" t="n">
        <v>0</v>
      </c>
      <c r="BG81" s="16" t="n">
        <v>0</v>
      </c>
      <c r="BH81" s="16" t="n">
        <v>0</v>
      </c>
      <c r="BI81" s="16" t="n">
        <v>0</v>
      </c>
      <c r="BJ81" s="16" t="n">
        <v>0</v>
      </c>
      <c r="BK81" s="16" t="n">
        <v>0</v>
      </c>
      <c r="BL81" s="16" t="n">
        <v>0</v>
      </c>
      <c r="BM81" s="16" t="n">
        <v>0</v>
      </c>
      <c r="BN81" s="16" t="n">
        <v>0</v>
      </c>
      <c r="BO81" s="16" t="n">
        <v>0</v>
      </c>
      <c r="BP81" s="16" t="n">
        <v>0</v>
      </c>
      <c r="BQ81" s="16" t="n">
        <v>0</v>
      </c>
      <c r="BR81" s="16" t="n">
        <v>0</v>
      </c>
      <c r="BS81" s="16" t="n">
        <v>0</v>
      </c>
      <c r="BT81" s="16" t="n">
        <v>0</v>
      </c>
      <c r="BU81" s="16" t="n">
        <v>0</v>
      </c>
      <c r="BV81" s="16" t="n">
        <v>0</v>
      </c>
      <c r="BW81" s="16" t="n">
        <v>0</v>
      </c>
      <c r="BX81" s="16" t="n">
        <v>0</v>
      </c>
      <c r="BY81" s="16" t="n">
        <v>0</v>
      </c>
      <c r="BZ81" s="16" t="n">
        <v>0</v>
      </c>
      <c r="CA81" s="16" t="n">
        <v>0</v>
      </c>
      <c r="CB81" s="16" t="n">
        <v>0</v>
      </c>
      <c r="CC81" s="16" t="n">
        <v>0</v>
      </c>
      <c r="CD81" s="16" t="n">
        <v>0</v>
      </c>
      <c r="CE81" s="16" t="n">
        <v>0</v>
      </c>
      <c r="CF81" s="16" t="n">
        <v>0</v>
      </c>
      <c r="CG81" s="16" t="n">
        <v>0</v>
      </c>
      <c r="CH81" s="16" t="n">
        <v>0</v>
      </c>
      <c r="CI81" s="16" t="n">
        <v>0</v>
      </c>
      <c r="CJ81" s="16" t="n">
        <v>0</v>
      </c>
      <c r="CK81" s="16" t="n">
        <v>0</v>
      </c>
      <c r="CL81" s="16" t="n">
        <v>0</v>
      </c>
      <c r="CM81" s="16" t="n">
        <v>0</v>
      </c>
      <c r="CN81" s="16" t="n">
        <v>0</v>
      </c>
      <c r="CO81" s="16" t="n">
        <v>0</v>
      </c>
      <c r="CP81" s="16" t="n">
        <v>0</v>
      </c>
      <c r="CQ81" s="16" t="n">
        <v>0</v>
      </c>
      <c r="CR81" s="16" t="n">
        <v>0</v>
      </c>
      <c r="CS81" s="16" t="n">
        <v>0</v>
      </c>
      <c r="CT81" s="16" t="n">
        <v>0</v>
      </c>
      <c r="CU81" s="16" t="n">
        <v>0</v>
      </c>
      <c r="CV81" s="16" t="n">
        <v>0</v>
      </c>
      <c r="CW81" s="16" t="n">
        <v>0</v>
      </c>
      <c r="CX81" s="16" t="n">
        <v>0</v>
      </c>
      <c r="CY81" s="16" t="n">
        <v>0</v>
      </c>
      <c r="CZ81" s="16" t="n">
        <v>0</v>
      </c>
      <c r="DA81" s="16" t="n">
        <v>0</v>
      </c>
      <c r="DB81" s="16" t="n">
        <v>0</v>
      </c>
      <c r="DC81" s="16" t="n">
        <v>0</v>
      </c>
      <c r="DD81" s="16" t="n">
        <v>0</v>
      </c>
      <c r="DE81" s="16" t="n">
        <v>0</v>
      </c>
      <c r="DF81" s="16" t="n">
        <v>0</v>
      </c>
      <c r="DG81" s="16" t="n">
        <v>0</v>
      </c>
      <c r="DH81" s="16" t="n">
        <v>0</v>
      </c>
      <c r="DI81" s="16" t="n">
        <v>0</v>
      </c>
      <c r="DJ81" s="16" t="n">
        <v>0</v>
      </c>
      <c r="DK81" s="16" t="n">
        <v>0</v>
      </c>
      <c r="DL81" s="16" t="n">
        <v>0</v>
      </c>
      <c r="DM81" s="16" t="n">
        <v>0</v>
      </c>
      <c r="DN81" s="16" t="n">
        <v>0</v>
      </c>
      <c r="DO81" s="16" t="n">
        <v>0</v>
      </c>
      <c r="DP81" s="16" t="n">
        <v>0</v>
      </c>
      <c r="DQ81" s="16" t="n">
        <v>0</v>
      </c>
      <c r="DR81" s="16" t="n">
        <v>0</v>
      </c>
      <c r="DS81" s="16" t="n">
        <v>0</v>
      </c>
      <c r="DT81" s="16" t="n">
        <v>0</v>
      </c>
      <c r="DU81" s="16" t="n">
        <v>0</v>
      </c>
      <c r="DV81" s="16" t="n">
        <v>0</v>
      </c>
      <c r="DW81" s="16" t="n">
        <v>0</v>
      </c>
      <c r="DX81" s="16" t="n">
        <v>0</v>
      </c>
      <c r="DY81" s="16" t="n">
        <v>0</v>
      </c>
      <c r="DZ81" s="16" t="n">
        <v>0</v>
      </c>
      <c r="EA81" s="16" t="n">
        <v>0</v>
      </c>
      <c r="EB81" s="16" t="n">
        <v>0</v>
      </c>
      <c r="EC81" s="16" t="n">
        <v>0</v>
      </c>
      <c r="ED81" s="16" t="n">
        <v>0</v>
      </c>
      <c r="EE81" s="16" t="n">
        <v>0</v>
      </c>
      <c r="EF81" s="16" t="n">
        <v>0</v>
      </c>
    </row>
    <row r="82" customFormat="false" ht="15" hidden="false" customHeight="true" outlineLevel="0" collapsed="false">
      <c r="A82" s="9" t="s">
        <v>12</v>
      </c>
      <c r="B82" s="9" t="s">
        <v>26</v>
      </c>
      <c r="C82" s="9" t="s">
        <v>26</v>
      </c>
      <c r="D82" s="9" t="s">
        <v>342</v>
      </c>
      <c r="E82" s="9" t="s">
        <v>14</v>
      </c>
      <c r="F82" s="9" t="s">
        <v>98</v>
      </c>
      <c r="G82" s="16" t="n">
        <v>0</v>
      </c>
      <c r="H82" s="16" t="n">
        <v>0</v>
      </c>
      <c r="I82" s="16" t="n">
        <v>119.5</v>
      </c>
      <c r="J82" s="16" t="n">
        <v>-119.5</v>
      </c>
      <c r="K82" s="16" t="n">
        <v>0</v>
      </c>
      <c r="L82" s="16" t="n">
        <v>0</v>
      </c>
      <c r="M82" s="16" t="n">
        <v>0</v>
      </c>
      <c r="N82" s="16" t="n">
        <v>0</v>
      </c>
      <c r="O82" s="16" t="n">
        <v>0</v>
      </c>
      <c r="P82" s="16" t="n">
        <v>0</v>
      </c>
      <c r="Q82" s="16" t="n">
        <v>0</v>
      </c>
      <c r="R82" s="16" t="n">
        <v>0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0</v>
      </c>
      <c r="X82" s="16" t="n">
        <v>0</v>
      </c>
      <c r="Y82" s="16" t="n">
        <v>0</v>
      </c>
      <c r="Z82" s="16" t="n">
        <v>0</v>
      </c>
      <c r="AA82" s="16" t="n">
        <v>0</v>
      </c>
      <c r="AB82" s="16" t="n">
        <v>0</v>
      </c>
      <c r="AC82" s="16" t="n">
        <v>0</v>
      </c>
      <c r="AD82" s="16" t="n">
        <v>0</v>
      </c>
      <c r="AE82" s="16" t="n">
        <v>0</v>
      </c>
      <c r="AF82" s="16" t="n">
        <v>0</v>
      </c>
      <c r="AG82" s="16" t="n">
        <v>0</v>
      </c>
      <c r="AH82" s="16" t="n">
        <v>0</v>
      </c>
      <c r="AI82" s="16" t="n">
        <v>0</v>
      </c>
      <c r="AJ82" s="16" t="n">
        <v>0</v>
      </c>
      <c r="AK82" s="16" t="n">
        <v>0</v>
      </c>
      <c r="AL82" s="16" t="n">
        <v>0</v>
      </c>
      <c r="AM82" s="16" t="n">
        <v>0</v>
      </c>
      <c r="AN82" s="16" t="n">
        <v>0</v>
      </c>
      <c r="AO82" s="16" t="n">
        <v>4</v>
      </c>
      <c r="AP82" s="16" t="n">
        <v>4</v>
      </c>
      <c r="AQ82" s="16" t="n">
        <v>0</v>
      </c>
      <c r="AR82" s="16" t="n">
        <v>0</v>
      </c>
      <c r="AS82" s="16" t="n">
        <v>0.5</v>
      </c>
      <c r="AT82" s="16" t="n">
        <v>0</v>
      </c>
      <c r="AU82" s="16" t="n">
        <v>0</v>
      </c>
      <c r="AV82" s="16" t="n">
        <v>0</v>
      </c>
      <c r="AW82" s="16" t="n">
        <v>0</v>
      </c>
      <c r="AX82" s="16" t="n">
        <v>0</v>
      </c>
      <c r="AY82" s="16" t="n">
        <v>0</v>
      </c>
      <c r="AZ82" s="16" t="n">
        <v>0</v>
      </c>
      <c r="BA82" s="16" t="n">
        <v>0</v>
      </c>
      <c r="BB82" s="16" t="n">
        <v>0</v>
      </c>
      <c r="BC82" s="16" t="n">
        <v>0</v>
      </c>
      <c r="BD82" s="16" t="n">
        <v>0</v>
      </c>
      <c r="BE82" s="16" t="n">
        <v>0</v>
      </c>
      <c r="BF82" s="16" t="n">
        <v>0</v>
      </c>
      <c r="BG82" s="16" t="n">
        <v>0</v>
      </c>
      <c r="BH82" s="16" t="n">
        <v>0</v>
      </c>
      <c r="BI82" s="16" t="n">
        <v>0</v>
      </c>
      <c r="BJ82" s="16" t="n">
        <v>0</v>
      </c>
      <c r="BK82" s="16" t="n">
        <v>0</v>
      </c>
      <c r="BL82" s="16" t="n">
        <v>0</v>
      </c>
      <c r="BM82" s="16" t="n">
        <v>0</v>
      </c>
      <c r="BN82" s="16" t="n">
        <v>0</v>
      </c>
      <c r="BO82" s="16" t="n">
        <v>0</v>
      </c>
      <c r="BP82" s="16" t="n">
        <v>0</v>
      </c>
      <c r="BQ82" s="16" t="n">
        <v>0</v>
      </c>
      <c r="BR82" s="16" t="n">
        <v>0</v>
      </c>
      <c r="BS82" s="16" t="n">
        <v>0</v>
      </c>
      <c r="BT82" s="16" t="n">
        <v>0</v>
      </c>
      <c r="BU82" s="16" t="n">
        <v>0</v>
      </c>
      <c r="BV82" s="16" t="n">
        <v>0</v>
      </c>
      <c r="BW82" s="16" t="n">
        <v>0</v>
      </c>
      <c r="BX82" s="16" t="n">
        <v>0</v>
      </c>
      <c r="BY82" s="16" t="n">
        <v>0</v>
      </c>
      <c r="BZ82" s="16" t="n">
        <v>0</v>
      </c>
      <c r="CA82" s="16" t="n">
        <v>0</v>
      </c>
      <c r="CB82" s="16" t="n">
        <v>0</v>
      </c>
      <c r="CC82" s="16" t="n">
        <v>0</v>
      </c>
      <c r="CD82" s="16" t="n">
        <v>0</v>
      </c>
      <c r="CE82" s="16" t="n">
        <v>0</v>
      </c>
      <c r="CF82" s="16" t="n">
        <v>0</v>
      </c>
      <c r="CG82" s="16" t="n">
        <v>0</v>
      </c>
      <c r="CH82" s="16" t="n">
        <v>0</v>
      </c>
      <c r="CI82" s="16" t="n">
        <v>0</v>
      </c>
      <c r="CJ82" s="16" t="n">
        <v>0</v>
      </c>
      <c r="CK82" s="16" t="n">
        <v>0</v>
      </c>
      <c r="CL82" s="16" t="n">
        <v>0</v>
      </c>
      <c r="CM82" s="16" t="n">
        <v>0</v>
      </c>
      <c r="CN82" s="16" t="n">
        <v>0</v>
      </c>
      <c r="CO82" s="16" t="n">
        <v>0</v>
      </c>
      <c r="CP82" s="16" t="n">
        <v>0</v>
      </c>
      <c r="CQ82" s="16" t="n">
        <v>0</v>
      </c>
      <c r="CR82" s="16" t="n">
        <v>0</v>
      </c>
      <c r="CS82" s="16" t="n">
        <v>0.5</v>
      </c>
      <c r="CT82" s="16" t="n">
        <v>0</v>
      </c>
      <c r="CU82" s="16" t="n">
        <v>0</v>
      </c>
      <c r="CV82" s="16" t="n">
        <v>0</v>
      </c>
      <c r="CW82" s="16" t="n">
        <v>0</v>
      </c>
      <c r="CX82" s="16" t="n">
        <v>0</v>
      </c>
      <c r="CY82" s="16" t="n">
        <v>0</v>
      </c>
      <c r="CZ82" s="16" t="n">
        <v>0</v>
      </c>
      <c r="DA82" s="16" t="n">
        <v>0</v>
      </c>
      <c r="DB82" s="16" t="n">
        <v>0</v>
      </c>
      <c r="DC82" s="16" t="n">
        <v>0</v>
      </c>
      <c r="DD82" s="16" t="n">
        <v>0</v>
      </c>
      <c r="DE82" s="16" t="n">
        <v>0</v>
      </c>
      <c r="DF82" s="16" t="n">
        <v>0</v>
      </c>
      <c r="DG82" s="16" t="n">
        <v>0</v>
      </c>
      <c r="DH82" s="16" t="n">
        <v>0</v>
      </c>
      <c r="DI82" s="16" t="n">
        <v>0</v>
      </c>
      <c r="DJ82" s="16" t="n">
        <v>0</v>
      </c>
      <c r="DK82" s="16" t="n">
        <v>15</v>
      </c>
      <c r="DL82" s="16" t="n">
        <v>15</v>
      </c>
      <c r="DM82" s="16" t="n">
        <v>15</v>
      </c>
      <c r="DN82" s="16" t="n">
        <v>15</v>
      </c>
      <c r="DO82" s="16" t="n">
        <v>15</v>
      </c>
      <c r="DP82" s="16" t="n">
        <v>16</v>
      </c>
      <c r="DQ82" s="16" t="n">
        <v>20</v>
      </c>
      <c r="DR82" s="16" t="n">
        <v>0</v>
      </c>
      <c r="DS82" s="16" t="n">
        <v>0</v>
      </c>
      <c r="DT82" s="16" t="n">
        <v>0</v>
      </c>
      <c r="DU82" s="16" t="n">
        <v>0</v>
      </c>
      <c r="DV82" s="16" t="n">
        <v>0</v>
      </c>
      <c r="DW82" s="16" t="n">
        <v>0</v>
      </c>
      <c r="DX82" s="16" t="n">
        <v>0</v>
      </c>
      <c r="DY82" s="16" t="n">
        <v>0</v>
      </c>
      <c r="DZ82" s="16" t="n">
        <v>0</v>
      </c>
      <c r="EA82" s="16" t="n">
        <v>0</v>
      </c>
      <c r="EB82" s="16" t="n">
        <v>0</v>
      </c>
      <c r="EC82" s="16" t="n">
        <v>0</v>
      </c>
      <c r="ED82" s="16" t="n">
        <v>0</v>
      </c>
      <c r="EE82" s="16" t="n">
        <v>0</v>
      </c>
      <c r="EF82" s="16" t="n">
        <v>0</v>
      </c>
    </row>
    <row r="83" customFormat="false" ht="15" hidden="false" customHeight="true" outlineLevel="0" collapsed="false">
      <c r="A83" s="9" t="s">
        <v>12</v>
      </c>
      <c r="B83" s="9" t="s">
        <v>26</v>
      </c>
      <c r="C83" s="9" t="s">
        <v>26</v>
      </c>
      <c r="D83" s="9" t="s">
        <v>336</v>
      </c>
      <c r="E83" s="9" t="s">
        <v>14</v>
      </c>
      <c r="F83" s="9" t="s">
        <v>106</v>
      </c>
      <c r="G83" s="16" t="n">
        <v>132.5</v>
      </c>
      <c r="H83" s="16" t="n">
        <v>263.5</v>
      </c>
      <c r="I83" s="16" t="n">
        <v>63</v>
      </c>
      <c r="J83" s="16" t="n">
        <v>200.5</v>
      </c>
      <c r="K83" s="16" t="n">
        <v>0</v>
      </c>
      <c r="L83" s="16" t="n">
        <v>0</v>
      </c>
      <c r="M83" s="16" t="n">
        <v>0</v>
      </c>
      <c r="N83" s="16" t="n">
        <v>0</v>
      </c>
      <c r="O83" s="16" t="n">
        <v>0</v>
      </c>
      <c r="P83" s="16" t="n">
        <v>0</v>
      </c>
      <c r="Q83" s="16" t="n">
        <v>0</v>
      </c>
      <c r="R83" s="16" t="n">
        <v>0</v>
      </c>
      <c r="S83" s="16" t="n">
        <v>0</v>
      </c>
      <c r="T83" s="16" t="n">
        <v>0</v>
      </c>
      <c r="U83" s="16" t="n">
        <v>0</v>
      </c>
      <c r="V83" s="16" t="n">
        <v>0</v>
      </c>
      <c r="W83" s="16" t="n">
        <v>0</v>
      </c>
      <c r="X83" s="16" t="n">
        <v>0</v>
      </c>
      <c r="Y83" s="16" t="n">
        <v>0</v>
      </c>
      <c r="Z83" s="16" t="n">
        <v>0</v>
      </c>
      <c r="AA83" s="16" t="n">
        <v>0</v>
      </c>
      <c r="AB83" s="16" t="n">
        <v>0</v>
      </c>
      <c r="AC83" s="16" t="n">
        <v>0</v>
      </c>
      <c r="AD83" s="16" t="n">
        <v>12</v>
      </c>
      <c r="AE83" s="16" t="n">
        <v>22</v>
      </c>
      <c r="AF83" s="16" t="n">
        <v>5</v>
      </c>
      <c r="AG83" s="16" t="n">
        <v>8</v>
      </c>
      <c r="AH83" s="16" t="n">
        <v>2</v>
      </c>
      <c r="AI83" s="16" t="n">
        <v>10</v>
      </c>
      <c r="AJ83" s="16" t="n">
        <v>4</v>
      </c>
      <c r="AK83" s="16" t="n">
        <v>0</v>
      </c>
      <c r="AL83" s="16" t="n">
        <v>0</v>
      </c>
      <c r="AM83" s="16" t="n">
        <v>0</v>
      </c>
      <c r="AN83" s="16" t="n">
        <v>0</v>
      </c>
      <c r="AO83" s="16" t="n">
        <v>0</v>
      </c>
      <c r="AP83" s="16" t="n">
        <v>0</v>
      </c>
      <c r="AQ83" s="16" t="n">
        <v>0</v>
      </c>
      <c r="AR83" s="16" t="n">
        <v>0</v>
      </c>
      <c r="AS83" s="16" t="n">
        <v>0</v>
      </c>
      <c r="AT83" s="16" t="n">
        <v>0</v>
      </c>
      <c r="AU83" s="16" t="n">
        <v>0</v>
      </c>
      <c r="AV83" s="16" t="n">
        <v>0</v>
      </c>
      <c r="AW83" s="16" t="n">
        <v>0</v>
      </c>
      <c r="AX83" s="16" t="n">
        <v>0</v>
      </c>
      <c r="AY83" s="16" t="n">
        <v>0</v>
      </c>
      <c r="AZ83" s="16" t="n">
        <v>0</v>
      </c>
      <c r="BA83" s="16" t="n">
        <v>0</v>
      </c>
      <c r="BB83" s="16" t="n">
        <v>0</v>
      </c>
      <c r="BC83" s="16" t="n">
        <v>0</v>
      </c>
      <c r="BD83" s="16" t="n">
        <v>0</v>
      </c>
      <c r="BE83" s="16" t="n">
        <v>0</v>
      </c>
      <c r="BF83" s="16" t="n">
        <v>0</v>
      </c>
      <c r="BG83" s="16" t="n">
        <v>0</v>
      </c>
      <c r="BH83" s="16" t="n">
        <v>0</v>
      </c>
      <c r="BI83" s="16" t="n">
        <v>0</v>
      </c>
      <c r="BJ83" s="16" t="n">
        <v>0</v>
      </c>
      <c r="BK83" s="16" t="n">
        <v>0</v>
      </c>
      <c r="BL83" s="16" t="n">
        <v>0</v>
      </c>
      <c r="BM83" s="16" t="n">
        <v>0</v>
      </c>
      <c r="BN83" s="16" t="n">
        <v>0</v>
      </c>
      <c r="BO83" s="16" t="n">
        <v>0</v>
      </c>
      <c r="BP83" s="16" t="n">
        <v>0</v>
      </c>
      <c r="BQ83" s="16" t="n">
        <v>0</v>
      </c>
      <c r="BR83" s="16" t="n">
        <v>0</v>
      </c>
      <c r="BS83" s="16" t="n">
        <v>0</v>
      </c>
      <c r="BT83" s="16" t="n">
        <v>0</v>
      </c>
      <c r="BU83" s="16" t="n">
        <v>0</v>
      </c>
      <c r="BV83" s="16" t="n">
        <v>0</v>
      </c>
      <c r="BW83" s="16" t="n">
        <v>0</v>
      </c>
      <c r="BX83" s="16" t="n">
        <v>0</v>
      </c>
      <c r="BY83" s="16" t="n">
        <v>0</v>
      </c>
      <c r="BZ83" s="16" t="n">
        <v>0</v>
      </c>
      <c r="CA83" s="16" t="n">
        <v>0</v>
      </c>
      <c r="CB83" s="16" t="n">
        <v>0</v>
      </c>
      <c r="CC83" s="16" t="n">
        <v>0</v>
      </c>
      <c r="CD83" s="16" t="n">
        <v>0</v>
      </c>
      <c r="CE83" s="16" t="n">
        <v>0</v>
      </c>
      <c r="CF83" s="16" t="n">
        <v>0</v>
      </c>
      <c r="CG83" s="16" t="n">
        <v>0</v>
      </c>
      <c r="CH83" s="16" t="n">
        <v>0</v>
      </c>
      <c r="CI83" s="16" t="n">
        <v>0</v>
      </c>
      <c r="CJ83" s="16" t="n">
        <v>0</v>
      </c>
      <c r="CK83" s="16" t="n">
        <v>0</v>
      </c>
      <c r="CL83" s="16" t="n">
        <v>0</v>
      </c>
      <c r="CM83" s="16" t="n">
        <v>0</v>
      </c>
      <c r="CN83" s="16" t="n">
        <v>0</v>
      </c>
      <c r="CO83" s="16" t="n">
        <v>0</v>
      </c>
      <c r="CP83" s="16" t="n">
        <v>0</v>
      </c>
      <c r="CQ83" s="16" t="n">
        <v>0</v>
      </c>
      <c r="CR83" s="16" t="n">
        <v>0</v>
      </c>
      <c r="CS83" s="16" t="n">
        <v>0</v>
      </c>
      <c r="CT83" s="16" t="n">
        <v>0</v>
      </c>
      <c r="CU83" s="16" t="n">
        <v>0</v>
      </c>
      <c r="CV83" s="16" t="n">
        <v>0</v>
      </c>
      <c r="CW83" s="16" t="n">
        <v>0</v>
      </c>
      <c r="CX83" s="16" t="n">
        <v>0</v>
      </c>
      <c r="CY83" s="16" t="n">
        <v>0</v>
      </c>
      <c r="CZ83" s="16" t="n">
        <v>0</v>
      </c>
      <c r="DA83" s="16" t="n">
        <v>0</v>
      </c>
      <c r="DB83" s="16" t="n">
        <v>0</v>
      </c>
      <c r="DC83" s="16" t="n">
        <v>0</v>
      </c>
      <c r="DD83" s="16" t="n">
        <v>0</v>
      </c>
      <c r="DE83" s="16" t="n">
        <v>0</v>
      </c>
      <c r="DF83" s="16" t="n">
        <v>0</v>
      </c>
      <c r="DG83" s="16" t="n">
        <v>0</v>
      </c>
      <c r="DH83" s="16" t="n">
        <v>0</v>
      </c>
      <c r="DI83" s="16" t="n">
        <v>0</v>
      </c>
      <c r="DJ83" s="16" t="n">
        <v>0</v>
      </c>
      <c r="DK83" s="16" t="n">
        <v>0</v>
      </c>
      <c r="DL83" s="16" t="n">
        <v>0</v>
      </c>
      <c r="DM83" s="16" t="n">
        <v>0</v>
      </c>
      <c r="DN83" s="16" t="n">
        <v>0</v>
      </c>
      <c r="DO83" s="16" t="n">
        <v>0</v>
      </c>
      <c r="DP83" s="16" t="n">
        <v>0</v>
      </c>
      <c r="DQ83" s="16" t="n">
        <v>0</v>
      </c>
      <c r="DR83" s="16" t="n">
        <v>0</v>
      </c>
      <c r="DS83" s="16" t="n">
        <v>0</v>
      </c>
      <c r="DT83" s="16" t="n">
        <v>0</v>
      </c>
      <c r="DU83" s="16" t="n">
        <v>0</v>
      </c>
      <c r="DV83" s="16" t="n">
        <v>0</v>
      </c>
      <c r="DW83" s="16" t="n">
        <v>0</v>
      </c>
      <c r="DX83" s="16" t="n">
        <v>0</v>
      </c>
      <c r="DY83" s="16" t="n">
        <v>0</v>
      </c>
      <c r="DZ83" s="16" t="n">
        <v>0</v>
      </c>
      <c r="EA83" s="16" t="n">
        <v>0</v>
      </c>
      <c r="EB83" s="16" t="n">
        <v>0</v>
      </c>
      <c r="EC83" s="16" t="n">
        <v>0</v>
      </c>
      <c r="ED83" s="16" t="n">
        <v>0</v>
      </c>
      <c r="EE83" s="16" t="n">
        <v>0</v>
      </c>
      <c r="EF83" s="16" t="n">
        <v>0</v>
      </c>
    </row>
    <row r="84" customFormat="false" ht="15" hidden="false" customHeight="true" outlineLevel="0" collapsed="false">
      <c r="A84" s="9" t="s">
        <v>12</v>
      </c>
      <c r="B84" s="9" t="s">
        <v>26</v>
      </c>
      <c r="C84" s="9" t="s">
        <v>26</v>
      </c>
      <c r="D84" s="9" t="s">
        <v>336</v>
      </c>
      <c r="E84" s="9" t="s">
        <v>14</v>
      </c>
      <c r="F84" s="9" t="s">
        <v>106</v>
      </c>
      <c r="G84" s="16" t="n">
        <v>0</v>
      </c>
      <c r="H84" s="16" t="n">
        <v>0</v>
      </c>
      <c r="I84" s="16" t="n">
        <v>4</v>
      </c>
      <c r="J84" s="16" t="n">
        <v>-4</v>
      </c>
      <c r="K84" s="16" t="n">
        <v>0</v>
      </c>
      <c r="L84" s="16" t="n">
        <v>0</v>
      </c>
      <c r="M84" s="16" t="n">
        <v>0</v>
      </c>
      <c r="N84" s="16" t="n">
        <v>0</v>
      </c>
      <c r="O84" s="16" t="n">
        <v>0</v>
      </c>
      <c r="P84" s="16" t="n">
        <v>0</v>
      </c>
      <c r="Q84" s="16" t="n">
        <v>0</v>
      </c>
      <c r="R84" s="16" t="n">
        <v>0</v>
      </c>
      <c r="S84" s="16" t="n">
        <v>0</v>
      </c>
      <c r="T84" s="16" t="n">
        <v>0</v>
      </c>
      <c r="U84" s="16" t="n">
        <v>0</v>
      </c>
      <c r="V84" s="16" t="n">
        <v>0</v>
      </c>
      <c r="W84" s="16" t="n">
        <v>0</v>
      </c>
      <c r="X84" s="16" t="n">
        <v>0</v>
      </c>
      <c r="Y84" s="16" t="n">
        <v>0</v>
      </c>
      <c r="Z84" s="16" t="n">
        <v>3</v>
      </c>
      <c r="AA84" s="16" t="n">
        <v>1</v>
      </c>
      <c r="AB84" s="16" t="n">
        <v>0</v>
      </c>
      <c r="AC84" s="16" t="n">
        <v>0</v>
      </c>
      <c r="AD84" s="16" t="n">
        <v>0</v>
      </c>
      <c r="AE84" s="16" t="n">
        <v>0</v>
      </c>
      <c r="AF84" s="16" t="n">
        <v>0</v>
      </c>
      <c r="AG84" s="16" t="n">
        <v>0</v>
      </c>
      <c r="AH84" s="16" t="n">
        <v>0</v>
      </c>
      <c r="AI84" s="16" t="n">
        <v>0</v>
      </c>
      <c r="AJ84" s="16" t="n">
        <v>0</v>
      </c>
      <c r="AK84" s="16" t="n">
        <v>0</v>
      </c>
      <c r="AL84" s="16" t="n">
        <v>0</v>
      </c>
      <c r="AM84" s="16" t="n">
        <v>0</v>
      </c>
      <c r="AN84" s="16" t="n">
        <v>0</v>
      </c>
      <c r="AO84" s="16" t="n">
        <v>0</v>
      </c>
      <c r="AP84" s="16" t="n">
        <v>0</v>
      </c>
      <c r="AQ84" s="16" t="n">
        <v>0</v>
      </c>
      <c r="AR84" s="16" t="n">
        <v>0</v>
      </c>
      <c r="AS84" s="16" t="n">
        <v>0</v>
      </c>
      <c r="AT84" s="16" t="n">
        <v>0</v>
      </c>
      <c r="AU84" s="16" t="n">
        <v>0</v>
      </c>
      <c r="AV84" s="16" t="n">
        <v>0</v>
      </c>
      <c r="AW84" s="16" t="n">
        <v>0</v>
      </c>
      <c r="AX84" s="16" t="n">
        <v>0</v>
      </c>
      <c r="AY84" s="16" t="n">
        <v>0</v>
      </c>
      <c r="AZ84" s="16" t="n">
        <v>0</v>
      </c>
      <c r="BA84" s="16" t="n">
        <v>0</v>
      </c>
      <c r="BB84" s="16" t="n">
        <v>0</v>
      </c>
      <c r="BC84" s="16" t="n">
        <v>0</v>
      </c>
      <c r="BD84" s="16" t="n">
        <v>0</v>
      </c>
      <c r="BE84" s="16" t="n">
        <v>0</v>
      </c>
      <c r="BF84" s="16" t="n">
        <v>0</v>
      </c>
      <c r="BG84" s="16" t="n">
        <v>0</v>
      </c>
      <c r="BH84" s="16" t="n">
        <v>0</v>
      </c>
      <c r="BI84" s="16" t="n">
        <v>0</v>
      </c>
      <c r="BJ84" s="16" t="n">
        <v>0</v>
      </c>
      <c r="BK84" s="16" t="n">
        <v>0</v>
      </c>
      <c r="BL84" s="16" t="n">
        <v>0</v>
      </c>
      <c r="BM84" s="16" t="n">
        <v>0</v>
      </c>
      <c r="BN84" s="16" t="n">
        <v>0</v>
      </c>
      <c r="BO84" s="16" t="n">
        <v>0</v>
      </c>
      <c r="BP84" s="16" t="n">
        <v>0</v>
      </c>
      <c r="BQ84" s="16" t="n">
        <v>0</v>
      </c>
      <c r="BR84" s="16" t="n">
        <v>0</v>
      </c>
      <c r="BS84" s="16" t="n">
        <v>0</v>
      </c>
      <c r="BT84" s="16" t="n">
        <v>0</v>
      </c>
      <c r="BU84" s="16" t="n">
        <v>0</v>
      </c>
      <c r="BV84" s="16" t="n">
        <v>0</v>
      </c>
      <c r="BW84" s="16" t="n">
        <v>0</v>
      </c>
      <c r="BX84" s="16" t="n">
        <v>0</v>
      </c>
      <c r="BY84" s="16" t="n">
        <v>0</v>
      </c>
      <c r="BZ84" s="16" t="n">
        <v>0</v>
      </c>
      <c r="CA84" s="16" t="n">
        <v>0</v>
      </c>
      <c r="CB84" s="16" t="n">
        <v>0</v>
      </c>
      <c r="CC84" s="16" t="n">
        <v>0</v>
      </c>
      <c r="CD84" s="16" t="n">
        <v>0</v>
      </c>
      <c r="CE84" s="16" t="n">
        <v>0</v>
      </c>
      <c r="CF84" s="16" t="n">
        <v>0</v>
      </c>
      <c r="CG84" s="16" t="n">
        <v>0</v>
      </c>
      <c r="CH84" s="16" t="n">
        <v>0</v>
      </c>
      <c r="CI84" s="16" t="n">
        <v>0</v>
      </c>
      <c r="CJ84" s="16" t="n">
        <v>0</v>
      </c>
      <c r="CK84" s="16" t="n">
        <v>0</v>
      </c>
      <c r="CL84" s="16" t="n">
        <v>0</v>
      </c>
      <c r="CM84" s="16" t="n">
        <v>0</v>
      </c>
      <c r="CN84" s="16" t="n">
        <v>0</v>
      </c>
      <c r="CO84" s="16" t="n">
        <v>0</v>
      </c>
      <c r="CP84" s="16" t="n">
        <v>0</v>
      </c>
      <c r="CQ84" s="16" t="n">
        <v>0</v>
      </c>
      <c r="CR84" s="16" t="n">
        <v>0</v>
      </c>
      <c r="CS84" s="16" t="n">
        <v>0</v>
      </c>
      <c r="CT84" s="16" t="n">
        <v>0</v>
      </c>
      <c r="CU84" s="16" t="n">
        <v>0</v>
      </c>
      <c r="CV84" s="16" t="n">
        <v>0</v>
      </c>
      <c r="CW84" s="16" t="n">
        <v>0</v>
      </c>
      <c r="CX84" s="16" t="n">
        <v>0</v>
      </c>
      <c r="CY84" s="16" t="n">
        <v>0</v>
      </c>
      <c r="CZ84" s="16" t="n">
        <v>0</v>
      </c>
      <c r="DA84" s="16" t="n">
        <v>0</v>
      </c>
      <c r="DB84" s="16" t="n">
        <v>0</v>
      </c>
      <c r="DC84" s="16" t="n">
        <v>0</v>
      </c>
      <c r="DD84" s="16" t="n">
        <v>0</v>
      </c>
      <c r="DE84" s="16" t="n">
        <v>0</v>
      </c>
      <c r="DF84" s="16" t="n">
        <v>0</v>
      </c>
      <c r="DG84" s="16" t="n">
        <v>0</v>
      </c>
      <c r="DH84" s="16" t="n">
        <v>0</v>
      </c>
      <c r="DI84" s="16" t="n">
        <v>0</v>
      </c>
      <c r="DJ84" s="16" t="n">
        <v>0</v>
      </c>
      <c r="DK84" s="16" t="n">
        <v>0</v>
      </c>
      <c r="DL84" s="16" t="n">
        <v>0</v>
      </c>
      <c r="DM84" s="16" t="n">
        <v>0</v>
      </c>
      <c r="DN84" s="16" t="n">
        <v>0</v>
      </c>
      <c r="DO84" s="16" t="n">
        <v>0</v>
      </c>
      <c r="DP84" s="16" t="n">
        <v>0</v>
      </c>
      <c r="DQ84" s="16" t="n">
        <v>0</v>
      </c>
      <c r="DR84" s="16" t="n">
        <v>0</v>
      </c>
      <c r="DS84" s="16" t="n">
        <v>0</v>
      </c>
      <c r="DT84" s="16" t="n">
        <v>0</v>
      </c>
      <c r="DU84" s="16" t="n">
        <v>0</v>
      </c>
      <c r="DV84" s="16" t="n">
        <v>0</v>
      </c>
      <c r="DW84" s="16" t="n">
        <v>0</v>
      </c>
      <c r="DX84" s="16" t="n">
        <v>0</v>
      </c>
      <c r="DY84" s="16" t="n">
        <v>0</v>
      </c>
      <c r="DZ84" s="16" t="n">
        <v>0</v>
      </c>
      <c r="EA84" s="16" t="n">
        <v>0</v>
      </c>
      <c r="EB84" s="16" t="n">
        <v>0</v>
      </c>
      <c r="EC84" s="16" t="n">
        <v>0</v>
      </c>
      <c r="ED84" s="16" t="n">
        <v>0</v>
      </c>
      <c r="EE84" s="16" t="n">
        <v>0</v>
      </c>
      <c r="EF84" s="16" t="n">
        <v>0</v>
      </c>
    </row>
    <row r="85" customFormat="false" ht="15" hidden="false" customHeight="true" outlineLevel="0" collapsed="false">
      <c r="A85" s="9" t="s">
        <v>12</v>
      </c>
      <c r="B85" s="9" t="s">
        <v>26</v>
      </c>
      <c r="C85" s="9" t="s">
        <v>26</v>
      </c>
      <c r="D85" s="9" t="s">
        <v>342</v>
      </c>
      <c r="E85" s="9" t="s">
        <v>14</v>
      </c>
      <c r="F85" s="9" t="s">
        <v>106</v>
      </c>
      <c r="G85" s="16" t="n">
        <v>0</v>
      </c>
      <c r="H85" s="16" t="n">
        <v>0</v>
      </c>
      <c r="I85" s="16" t="n">
        <v>207.5</v>
      </c>
      <c r="J85" s="16" t="n">
        <v>-207.5</v>
      </c>
      <c r="K85" s="16" t="n">
        <v>0</v>
      </c>
      <c r="L85" s="16" t="n">
        <v>0</v>
      </c>
      <c r="M85" s="16" t="n">
        <v>0</v>
      </c>
      <c r="N85" s="16" t="n">
        <v>0</v>
      </c>
      <c r="O85" s="16" t="n">
        <v>0</v>
      </c>
      <c r="P85" s="16" t="n">
        <v>0</v>
      </c>
      <c r="Q85" s="16" t="n">
        <v>0</v>
      </c>
      <c r="R85" s="16" t="n">
        <v>0</v>
      </c>
      <c r="S85" s="16" t="n">
        <v>0</v>
      </c>
      <c r="T85" s="16" t="n">
        <v>0</v>
      </c>
      <c r="U85" s="16" t="n">
        <v>0</v>
      </c>
      <c r="V85" s="16" t="n">
        <v>0</v>
      </c>
      <c r="W85" s="16" t="n">
        <v>0</v>
      </c>
      <c r="X85" s="16" t="n">
        <v>0</v>
      </c>
      <c r="Y85" s="16" t="n">
        <v>0</v>
      </c>
      <c r="Z85" s="16" t="n">
        <v>0</v>
      </c>
      <c r="AA85" s="16" t="n">
        <v>0</v>
      </c>
      <c r="AB85" s="16" t="n">
        <v>0</v>
      </c>
      <c r="AC85" s="16" t="n">
        <v>0</v>
      </c>
      <c r="AD85" s="16" t="n">
        <v>0</v>
      </c>
      <c r="AE85" s="16" t="n">
        <v>0</v>
      </c>
      <c r="AF85" s="16" t="n">
        <v>0</v>
      </c>
      <c r="AG85" s="16" t="n">
        <v>0</v>
      </c>
      <c r="AH85" s="16" t="n">
        <v>0</v>
      </c>
      <c r="AI85" s="16" t="n">
        <v>0</v>
      </c>
      <c r="AJ85" s="16" t="n">
        <v>8</v>
      </c>
      <c r="AK85" s="16" t="n">
        <v>4</v>
      </c>
      <c r="AL85" s="16" t="n">
        <v>3</v>
      </c>
      <c r="AM85" s="16" t="n">
        <v>2</v>
      </c>
      <c r="AN85" s="16" t="n">
        <v>0</v>
      </c>
      <c r="AO85" s="16" t="n">
        <v>3</v>
      </c>
      <c r="AP85" s="16" t="n">
        <v>6</v>
      </c>
      <c r="AQ85" s="16" t="n">
        <v>12</v>
      </c>
      <c r="AR85" s="16" t="n">
        <v>22.5</v>
      </c>
      <c r="AS85" s="16" t="n">
        <v>16</v>
      </c>
      <c r="AT85" s="16" t="n">
        <v>0</v>
      </c>
      <c r="AU85" s="16" t="n">
        <v>0</v>
      </c>
      <c r="AV85" s="16" t="n">
        <v>0</v>
      </c>
      <c r="AW85" s="16" t="n">
        <v>0</v>
      </c>
      <c r="AX85" s="16" t="n">
        <v>0</v>
      </c>
      <c r="AY85" s="16" t="n">
        <v>0</v>
      </c>
      <c r="AZ85" s="16" t="n">
        <v>0</v>
      </c>
      <c r="BA85" s="16" t="n">
        <v>0</v>
      </c>
      <c r="BB85" s="16" t="n">
        <v>0</v>
      </c>
      <c r="BC85" s="16" t="n">
        <v>0</v>
      </c>
      <c r="BD85" s="16" t="n">
        <v>0</v>
      </c>
      <c r="BE85" s="16" t="n">
        <v>0</v>
      </c>
      <c r="BF85" s="16" t="n">
        <v>0</v>
      </c>
      <c r="BG85" s="16" t="n">
        <v>0</v>
      </c>
      <c r="BH85" s="16" t="n">
        <v>0</v>
      </c>
      <c r="BI85" s="16" t="n">
        <v>0</v>
      </c>
      <c r="BJ85" s="16" t="n">
        <v>0</v>
      </c>
      <c r="BK85" s="16" t="n">
        <v>0</v>
      </c>
      <c r="BL85" s="16" t="n">
        <v>0</v>
      </c>
      <c r="BM85" s="16" t="n">
        <v>0</v>
      </c>
      <c r="BN85" s="16" t="n">
        <v>0</v>
      </c>
      <c r="BO85" s="16" t="n">
        <v>0</v>
      </c>
      <c r="BP85" s="16" t="n">
        <v>0</v>
      </c>
      <c r="BQ85" s="16" t="n">
        <v>0</v>
      </c>
      <c r="BR85" s="16" t="n">
        <v>0</v>
      </c>
      <c r="BS85" s="16" t="n">
        <v>0</v>
      </c>
      <c r="BT85" s="16" t="n">
        <v>0</v>
      </c>
      <c r="BU85" s="16" t="n">
        <v>0</v>
      </c>
      <c r="BV85" s="16" t="n">
        <v>0</v>
      </c>
      <c r="BW85" s="16" t="n">
        <v>0</v>
      </c>
      <c r="BX85" s="16" t="n">
        <v>0</v>
      </c>
      <c r="BY85" s="16" t="n">
        <v>0</v>
      </c>
      <c r="BZ85" s="16" t="n">
        <v>0</v>
      </c>
      <c r="CA85" s="16" t="n">
        <v>0</v>
      </c>
      <c r="CB85" s="16" t="n">
        <v>0</v>
      </c>
      <c r="CC85" s="16" t="n">
        <v>0</v>
      </c>
      <c r="CD85" s="16" t="n">
        <v>0</v>
      </c>
      <c r="CE85" s="16" t="n">
        <v>0</v>
      </c>
      <c r="CF85" s="16" t="n">
        <v>0</v>
      </c>
      <c r="CG85" s="16" t="n">
        <v>0</v>
      </c>
      <c r="CH85" s="16" t="n">
        <v>0</v>
      </c>
      <c r="CI85" s="16" t="n">
        <v>0</v>
      </c>
      <c r="CJ85" s="16" t="n">
        <v>0</v>
      </c>
      <c r="CK85" s="16" t="n">
        <v>0</v>
      </c>
      <c r="CL85" s="16" t="n">
        <v>0</v>
      </c>
      <c r="CM85" s="16" t="n">
        <v>0</v>
      </c>
      <c r="CN85" s="16" t="n">
        <v>0</v>
      </c>
      <c r="CO85" s="16" t="n">
        <v>0</v>
      </c>
      <c r="CP85" s="16" t="n">
        <v>0</v>
      </c>
      <c r="CQ85" s="16" t="n">
        <v>0</v>
      </c>
      <c r="CR85" s="16" t="n">
        <v>0</v>
      </c>
      <c r="CS85" s="16" t="n">
        <v>16</v>
      </c>
      <c r="CT85" s="16" t="n">
        <v>0</v>
      </c>
      <c r="CU85" s="16" t="n">
        <v>0</v>
      </c>
      <c r="CV85" s="16" t="n">
        <v>0</v>
      </c>
      <c r="CW85" s="16" t="n">
        <v>0</v>
      </c>
      <c r="CX85" s="16" t="n">
        <v>12</v>
      </c>
      <c r="CY85" s="16" t="n">
        <v>12</v>
      </c>
      <c r="CZ85" s="16" t="n">
        <v>15</v>
      </c>
      <c r="DA85" s="16" t="n">
        <v>12</v>
      </c>
      <c r="DB85" s="16" t="n">
        <v>6</v>
      </c>
      <c r="DC85" s="16" t="n">
        <v>10</v>
      </c>
      <c r="DD85" s="16" t="n">
        <v>12</v>
      </c>
      <c r="DE85" s="16" t="n">
        <v>0</v>
      </c>
      <c r="DF85" s="16" t="n">
        <v>10</v>
      </c>
      <c r="DG85" s="16" t="n">
        <v>12</v>
      </c>
      <c r="DH85" s="16" t="n">
        <v>14</v>
      </c>
      <c r="DI85" s="16" t="n">
        <v>0</v>
      </c>
      <c r="DJ85" s="16" t="n">
        <v>0</v>
      </c>
      <c r="DK85" s="16" t="n">
        <v>8</v>
      </c>
      <c r="DL85" s="16" t="n">
        <v>8</v>
      </c>
      <c r="DM85" s="16" t="n">
        <v>0</v>
      </c>
      <c r="DN85" s="16" t="n">
        <v>0</v>
      </c>
      <c r="DO85" s="16" t="n">
        <v>0</v>
      </c>
      <c r="DP85" s="16" t="n">
        <v>0</v>
      </c>
      <c r="DQ85" s="16" t="n">
        <v>0</v>
      </c>
      <c r="DR85" s="16" t="n">
        <v>0</v>
      </c>
      <c r="DS85" s="16" t="n">
        <v>0</v>
      </c>
      <c r="DT85" s="16" t="n">
        <v>0</v>
      </c>
      <c r="DU85" s="16" t="n">
        <v>0</v>
      </c>
      <c r="DV85" s="16" t="n">
        <v>0</v>
      </c>
      <c r="DW85" s="16" t="n">
        <v>0</v>
      </c>
      <c r="DX85" s="16" t="n">
        <v>0</v>
      </c>
      <c r="DY85" s="16" t="n">
        <v>0</v>
      </c>
      <c r="DZ85" s="16" t="n">
        <v>0</v>
      </c>
      <c r="EA85" s="16" t="n">
        <v>0</v>
      </c>
      <c r="EB85" s="16" t="n">
        <v>0</v>
      </c>
      <c r="EC85" s="16" t="n">
        <v>0</v>
      </c>
      <c r="ED85" s="16" t="n">
        <v>0</v>
      </c>
      <c r="EE85" s="16" t="n">
        <v>0</v>
      </c>
      <c r="EF85" s="16" t="n">
        <v>0</v>
      </c>
    </row>
    <row r="86" customFormat="false" ht="15" hidden="false" customHeight="true" outlineLevel="0" collapsed="false">
      <c r="A86" s="9" t="s">
        <v>12</v>
      </c>
      <c r="B86" s="9" t="s">
        <v>26</v>
      </c>
      <c r="C86" s="9" t="s">
        <v>26</v>
      </c>
      <c r="D86" s="9" t="s">
        <v>336</v>
      </c>
      <c r="E86" s="9" t="s">
        <v>14</v>
      </c>
      <c r="F86" s="9" t="s">
        <v>111</v>
      </c>
      <c r="G86" s="16" t="n">
        <v>58</v>
      </c>
      <c r="H86" s="16" t="n">
        <v>200</v>
      </c>
      <c r="I86" s="16" t="n">
        <v>11</v>
      </c>
      <c r="J86" s="16" t="n">
        <v>189</v>
      </c>
      <c r="K86" s="16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0</v>
      </c>
      <c r="Q86" s="16" t="n">
        <v>0</v>
      </c>
      <c r="R86" s="16" t="n">
        <v>0</v>
      </c>
      <c r="S86" s="16" t="n">
        <v>0</v>
      </c>
      <c r="T86" s="16" t="n">
        <v>0</v>
      </c>
      <c r="U86" s="16" t="n">
        <v>0</v>
      </c>
      <c r="V86" s="16" t="n">
        <v>0</v>
      </c>
      <c r="W86" s="16" t="n">
        <v>0</v>
      </c>
      <c r="X86" s="16" t="n">
        <v>0</v>
      </c>
      <c r="Y86" s="16" t="n">
        <v>0</v>
      </c>
      <c r="Z86" s="16" t="n">
        <v>0</v>
      </c>
      <c r="AA86" s="16" t="n">
        <v>0</v>
      </c>
      <c r="AB86" s="16" t="n">
        <v>0</v>
      </c>
      <c r="AC86" s="16" t="n">
        <v>0</v>
      </c>
      <c r="AD86" s="16" t="n">
        <v>0</v>
      </c>
      <c r="AE86" s="16" t="n">
        <v>0</v>
      </c>
      <c r="AF86" s="16" t="n">
        <v>8</v>
      </c>
      <c r="AG86" s="16" t="n">
        <v>0</v>
      </c>
      <c r="AH86" s="16" t="n">
        <v>3</v>
      </c>
      <c r="AI86" s="16" t="n">
        <v>0</v>
      </c>
      <c r="AJ86" s="16" t="n">
        <v>0</v>
      </c>
      <c r="AK86" s="16" t="n">
        <v>0</v>
      </c>
      <c r="AL86" s="16" t="n">
        <v>0</v>
      </c>
      <c r="AM86" s="16" t="n">
        <v>0</v>
      </c>
      <c r="AN86" s="16" t="n">
        <v>0</v>
      </c>
      <c r="AO86" s="16" t="n">
        <v>0</v>
      </c>
      <c r="AP86" s="16" t="n">
        <v>0</v>
      </c>
      <c r="AQ86" s="16" t="n">
        <v>0</v>
      </c>
      <c r="AR86" s="16" t="n">
        <v>0</v>
      </c>
      <c r="AS86" s="16" t="n">
        <v>0</v>
      </c>
      <c r="AT86" s="16" t="n">
        <v>0</v>
      </c>
      <c r="AU86" s="16" t="n">
        <v>0</v>
      </c>
      <c r="AV86" s="16" t="n">
        <v>0</v>
      </c>
      <c r="AW86" s="16" t="n">
        <v>0</v>
      </c>
      <c r="AX86" s="16" t="n">
        <v>0</v>
      </c>
      <c r="AY86" s="16" t="n">
        <v>0</v>
      </c>
      <c r="AZ86" s="16" t="n">
        <v>0</v>
      </c>
      <c r="BA86" s="16" t="n">
        <v>0</v>
      </c>
      <c r="BB86" s="16" t="n">
        <v>0</v>
      </c>
      <c r="BC86" s="16" t="n">
        <v>0</v>
      </c>
      <c r="BD86" s="16" t="n">
        <v>0</v>
      </c>
      <c r="BE86" s="16" t="n">
        <v>0</v>
      </c>
      <c r="BF86" s="16" t="n">
        <v>0</v>
      </c>
      <c r="BG86" s="16" t="n">
        <v>0</v>
      </c>
      <c r="BH86" s="16" t="n">
        <v>0</v>
      </c>
      <c r="BI86" s="16" t="n">
        <v>0</v>
      </c>
      <c r="BJ86" s="16" t="n">
        <v>0</v>
      </c>
      <c r="BK86" s="16" t="n">
        <v>0</v>
      </c>
      <c r="BL86" s="16" t="n">
        <v>0</v>
      </c>
      <c r="BM86" s="16" t="n">
        <v>0</v>
      </c>
      <c r="BN86" s="16" t="n">
        <v>0</v>
      </c>
      <c r="BO86" s="16" t="n">
        <v>0</v>
      </c>
      <c r="BP86" s="16" t="n">
        <v>0</v>
      </c>
      <c r="BQ86" s="16" t="n">
        <v>0</v>
      </c>
      <c r="BR86" s="16" t="n">
        <v>0</v>
      </c>
      <c r="BS86" s="16" t="n">
        <v>0</v>
      </c>
      <c r="BT86" s="16" t="n">
        <v>0</v>
      </c>
      <c r="BU86" s="16" t="n">
        <v>0</v>
      </c>
      <c r="BV86" s="16" t="n">
        <v>0</v>
      </c>
      <c r="BW86" s="16" t="n">
        <v>0</v>
      </c>
      <c r="BX86" s="16" t="n">
        <v>0</v>
      </c>
      <c r="BY86" s="16" t="n">
        <v>0</v>
      </c>
      <c r="BZ86" s="16" t="n">
        <v>0</v>
      </c>
      <c r="CA86" s="16" t="n">
        <v>0</v>
      </c>
      <c r="CB86" s="16" t="n">
        <v>0</v>
      </c>
      <c r="CC86" s="16" t="n">
        <v>0</v>
      </c>
      <c r="CD86" s="16" t="n">
        <v>0</v>
      </c>
      <c r="CE86" s="16" t="n">
        <v>0</v>
      </c>
      <c r="CF86" s="16" t="n">
        <v>0</v>
      </c>
      <c r="CG86" s="16" t="n">
        <v>0</v>
      </c>
      <c r="CH86" s="16" t="n">
        <v>0</v>
      </c>
      <c r="CI86" s="16" t="n">
        <v>0</v>
      </c>
      <c r="CJ86" s="16" t="n">
        <v>0</v>
      </c>
      <c r="CK86" s="16" t="n">
        <v>0</v>
      </c>
      <c r="CL86" s="16" t="n">
        <v>0</v>
      </c>
      <c r="CM86" s="16" t="n">
        <v>0</v>
      </c>
      <c r="CN86" s="16" t="n">
        <v>0</v>
      </c>
      <c r="CO86" s="16" t="n">
        <v>0</v>
      </c>
      <c r="CP86" s="16" t="n">
        <v>0</v>
      </c>
      <c r="CQ86" s="16" t="n">
        <v>0</v>
      </c>
      <c r="CR86" s="16" t="n">
        <v>0</v>
      </c>
      <c r="CS86" s="16" t="n">
        <v>0</v>
      </c>
      <c r="CT86" s="16" t="n">
        <v>0</v>
      </c>
      <c r="CU86" s="16" t="n">
        <v>0</v>
      </c>
      <c r="CV86" s="16" t="n">
        <v>0</v>
      </c>
      <c r="CW86" s="16" t="n">
        <v>0</v>
      </c>
      <c r="CX86" s="16" t="n">
        <v>0</v>
      </c>
      <c r="CY86" s="16" t="n">
        <v>0</v>
      </c>
      <c r="CZ86" s="16" t="n">
        <v>0</v>
      </c>
      <c r="DA86" s="16" t="n">
        <v>0</v>
      </c>
      <c r="DB86" s="16" t="n">
        <v>0</v>
      </c>
      <c r="DC86" s="16" t="n">
        <v>0</v>
      </c>
      <c r="DD86" s="16" t="n">
        <v>0</v>
      </c>
      <c r="DE86" s="16" t="n">
        <v>0</v>
      </c>
      <c r="DF86" s="16" t="n">
        <v>0</v>
      </c>
      <c r="DG86" s="16" t="n">
        <v>0</v>
      </c>
      <c r="DH86" s="16" t="n">
        <v>0</v>
      </c>
      <c r="DI86" s="16" t="n">
        <v>0</v>
      </c>
      <c r="DJ86" s="16" t="n">
        <v>0</v>
      </c>
      <c r="DK86" s="16" t="n">
        <v>0</v>
      </c>
      <c r="DL86" s="16" t="n">
        <v>0</v>
      </c>
      <c r="DM86" s="16" t="n">
        <v>0</v>
      </c>
      <c r="DN86" s="16" t="n">
        <v>0</v>
      </c>
      <c r="DO86" s="16" t="n">
        <v>0</v>
      </c>
      <c r="DP86" s="16" t="n">
        <v>0</v>
      </c>
      <c r="DQ86" s="16" t="n">
        <v>0</v>
      </c>
      <c r="DR86" s="16" t="n">
        <v>0</v>
      </c>
      <c r="DS86" s="16" t="n">
        <v>0</v>
      </c>
      <c r="DT86" s="16" t="n">
        <v>0</v>
      </c>
      <c r="DU86" s="16" t="n">
        <v>0</v>
      </c>
      <c r="DV86" s="16" t="n">
        <v>0</v>
      </c>
      <c r="DW86" s="16" t="n">
        <v>0</v>
      </c>
      <c r="DX86" s="16" t="n">
        <v>0</v>
      </c>
      <c r="DY86" s="16" t="n">
        <v>0</v>
      </c>
      <c r="DZ86" s="16" t="n">
        <v>0</v>
      </c>
      <c r="EA86" s="16" t="n">
        <v>0</v>
      </c>
      <c r="EB86" s="16" t="n">
        <v>0</v>
      </c>
      <c r="EC86" s="16" t="n">
        <v>0</v>
      </c>
      <c r="ED86" s="16" t="n">
        <v>0</v>
      </c>
      <c r="EE86" s="16" t="n">
        <v>0</v>
      </c>
      <c r="EF86" s="16" t="n">
        <v>0</v>
      </c>
    </row>
    <row r="87" customFormat="false" ht="15" hidden="false" customHeight="true" outlineLevel="0" collapsed="false">
      <c r="A87" s="9" t="s">
        <v>12</v>
      </c>
      <c r="B87" s="9" t="s">
        <v>26</v>
      </c>
      <c r="C87" s="9" t="s">
        <v>26</v>
      </c>
      <c r="D87" s="9" t="s">
        <v>342</v>
      </c>
      <c r="E87" s="9" t="s">
        <v>14</v>
      </c>
      <c r="F87" s="9" t="s">
        <v>111</v>
      </c>
      <c r="G87" s="16" t="n">
        <v>0</v>
      </c>
      <c r="H87" s="16" t="n">
        <v>0</v>
      </c>
      <c r="I87" s="16" t="n">
        <v>171</v>
      </c>
      <c r="J87" s="16" t="n">
        <v>-171</v>
      </c>
      <c r="K87" s="16" t="n">
        <v>0</v>
      </c>
      <c r="L87" s="16" t="n">
        <v>0</v>
      </c>
      <c r="M87" s="16" t="n">
        <v>0</v>
      </c>
      <c r="N87" s="16" t="n">
        <v>0</v>
      </c>
      <c r="O87" s="16" t="n">
        <v>0</v>
      </c>
      <c r="P87" s="16" t="n">
        <v>0</v>
      </c>
      <c r="Q87" s="16" t="n">
        <v>0</v>
      </c>
      <c r="R87" s="16" t="n">
        <v>0</v>
      </c>
      <c r="S87" s="16" t="n">
        <v>0</v>
      </c>
      <c r="T87" s="16" t="n">
        <v>0</v>
      </c>
      <c r="U87" s="16" t="n">
        <v>0</v>
      </c>
      <c r="V87" s="16" t="n">
        <v>0</v>
      </c>
      <c r="W87" s="16" t="n">
        <v>0</v>
      </c>
      <c r="X87" s="16" t="n">
        <v>0</v>
      </c>
      <c r="Y87" s="16" t="n">
        <v>0</v>
      </c>
      <c r="Z87" s="16" t="n">
        <v>0</v>
      </c>
      <c r="AA87" s="16" t="n">
        <v>0</v>
      </c>
      <c r="AB87" s="16" t="n">
        <v>0</v>
      </c>
      <c r="AC87" s="16" t="n">
        <v>0</v>
      </c>
      <c r="AD87" s="16" t="n">
        <v>0</v>
      </c>
      <c r="AE87" s="16" t="n">
        <v>0</v>
      </c>
      <c r="AF87" s="16" t="n">
        <v>0</v>
      </c>
      <c r="AG87" s="16" t="n">
        <v>0</v>
      </c>
      <c r="AH87" s="16" t="n">
        <v>0</v>
      </c>
      <c r="AI87" s="16" t="n">
        <v>0</v>
      </c>
      <c r="AJ87" s="16" t="n">
        <v>0</v>
      </c>
      <c r="AK87" s="16" t="n">
        <v>0</v>
      </c>
      <c r="AL87" s="16" t="n">
        <v>0</v>
      </c>
      <c r="AM87" s="16" t="n">
        <v>0</v>
      </c>
      <c r="AN87" s="16" t="n">
        <v>3</v>
      </c>
      <c r="AO87" s="16" t="n">
        <v>0</v>
      </c>
      <c r="AP87" s="16" t="n">
        <v>9</v>
      </c>
      <c r="AQ87" s="16" t="n">
        <v>7</v>
      </c>
      <c r="AR87" s="16" t="n">
        <v>10</v>
      </c>
      <c r="AS87" s="16" t="n">
        <v>2</v>
      </c>
      <c r="AT87" s="16" t="n">
        <v>0</v>
      </c>
      <c r="AU87" s="16" t="n">
        <v>0</v>
      </c>
      <c r="AV87" s="16" t="n">
        <v>0</v>
      </c>
      <c r="AW87" s="16" t="n">
        <v>0</v>
      </c>
      <c r="AX87" s="16" t="n">
        <v>0</v>
      </c>
      <c r="AY87" s="16" t="n">
        <v>0</v>
      </c>
      <c r="AZ87" s="16" t="n">
        <v>0</v>
      </c>
      <c r="BA87" s="16" t="n">
        <v>0</v>
      </c>
      <c r="BB87" s="16" t="n">
        <v>0</v>
      </c>
      <c r="BC87" s="16" t="n">
        <v>0</v>
      </c>
      <c r="BD87" s="16" t="n">
        <v>0</v>
      </c>
      <c r="BE87" s="16" t="n">
        <v>0</v>
      </c>
      <c r="BF87" s="16" t="n">
        <v>0</v>
      </c>
      <c r="BG87" s="16" t="n">
        <v>0</v>
      </c>
      <c r="BH87" s="16" t="n">
        <v>0</v>
      </c>
      <c r="BI87" s="16" t="n">
        <v>0</v>
      </c>
      <c r="BJ87" s="16" t="n">
        <v>0</v>
      </c>
      <c r="BK87" s="16" t="n">
        <v>0</v>
      </c>
      <c r="BL87" s="16" t="n">
        <v>0</v>
      </c>
      <c r="BM87" s="16" t="n">
        <v>0</v>
      </c>
      <c r="BN87" s="16" t="n">
        <v>0</v>
      </c>
      <c r="BO87" s="16" t="n">
        <v>0</v>
      </c>
      <c r="BP87" s="16" t="n">
        <v>0</v>
      </c>
      <c r="BQ87" s="16" t="n">
        <v>0</v>
      </c>
      <c r="BR87" s="16" t="n">
        <v>0</v>
      </c>
      <c r="BS87" s="16" t="n">
        <v>0</v>
      </c>
      <c r="BT87" s="16" t="n">
        <v>0</v>
      </c>
      <c r="BU87" s="16" t="n">
        <v>0</v>
      </c>
      <c r="BV87" s="16" t="n">
        <v>0</v>
      </c>
      <c r="BW87" s="16" t="n">
        <v>0</v>
      </c>
      <c r="BX87" s="16" t="n">
        <v>0</v>
      </c>
      <c r="BY87" s="16" t="n">
        <v>0</v>
      </c>
      <c r="BZ87" s="16" t="n">
        <v>0</v>
      </c>
      <c r="CA87" s="16" t="n">
        <v>0</v>
      </c>
      <c r="CB87" s="16" t="n">
        <v>0</v>
      </c>
      <c r="CC87" s="16" t="n">
        <v>0</v>
      </c>
      <c r="CD87" s="16" t="n">
        <v>0</v>
      </c>
      <c r="CE87" s="16" t="n">
        <v>0</v>
      </c>
      <c r="CF87" s="16" t="n">
        <v>0</v>
      </c>
      <c r="CG87" s="16" t="n">
        <v>0</v>
      </c>
      <c r="CH87" s="16" t="n">
        <v>0</v>
      </c>
      <c r="CI87" s="16" t="n">
        <v>0</v>
      </c>
      <c r="CJ87" s="16" t="n">
        <v>0</v>
      </c>
      <c r="CK87" s="16" t="n">
        <v>0</v>
      </c>
      <c r="CL87" s="16" t="n">
        <v>0</v>
      </c>
      <c r="CM87" s="16" t="n">
        <v>0</v>
      </c>
      <c r="CN87" s="16" t="n">
        <v>0</v>
      </c>
      <c r="CO87" s="16" t="n">
        <v>0</v>
      </c>
      <c r="CP87" s="16" t="n">
        <v>0</v>
      </c>
      <c r="CQ87" s="16" t="n">
        <v>0</v>
      </c>
      <c r="CR87" s="16" t="n">
        <v>0</v>
      </c>
      <c r="CS87" s="16" t="n">
        <v>8</v>
      </c>
      <c r="CT87" s="16" t="n">
        <v>4</v>
      </c>
      <c r="CU87" s="16" t="n">
        <v>8</v>
      </c>
      <c r="CV87" s="16" t="n">
        <v>8</v>
      </c>
      <c r="CW87" s="16" t="n">
        <v>8</v>
      </c>
      <c r="CX87" s="16" t="n">
        <v>0</v>
      </c>
      <c r="CY87" s="16" t="n">
        <v>0</v>
      </c>
      <c r="CZ87" s="16" t="n">
        <v>0</v>
      </c>
      <c r="DA87" s="16" t="n">
        <v>0</v>
      </c>
      <c r="DB87" s="16" t="n">
        <v>8</v>
      </c>
      <c r="DC87" s="16" t="n">
        <v>8</v>
      </c>
      <c r="DD87" s="16" t="n">
        <v>8</v>
      </c>
      <c r="DE87" s="16" t="n">
        <v>0</v>
      </c>
      <c r="DF87" s="16" t="n">
        <v>8</v>
      </c>
      <c r="DG87" s="16" t="n">
        <v>8</v>
      </c>
      <c r="DH87" s="16" t="n">
        <v>8</v>
      </c>
      <c r="DI87" s="16" t="n">
        <v>0</v>
      </c>
      <c r="DJ87" s="16" t="n">
        <v>0</v>
      </c>
      <c r="DK87" s="16" t="n">
        <v>0</v>
      </c>
      <c r="DL87" s="16" t="n">
        <v>8</v>
      </c>
      <c r="DM87" s="16" t="n">
        <v>20</v>
      </c>
      <c r="DN87" s="16" t="n">
        <v>20</v>
      </c>
      <c r="DO87" s="16" t="n">
        <v>10</v>
      </c>
      <c r="DP87" s="16" t="n">
        <v>0</v>
      </c>
      <c r="DQ87" s="16" t="n">
        <v>0</v>
      </c>
      <c r="DR87" s="16" t="n">
        <v>0</v>
      </c>
      <c r="DS87" s="16" t="n">
        <v>0</v>
      </c>
      <c r="DT87" s="16" t="n">
        <v>0</v>
      </c>
      <c r="DU87" s="16" t="n">
        <v>0</v>
      </c>
      <c r="DV87" s="16" t="n">
        <v>0</v>
      </c>
      <c r="DW87" s="16" t="n">
        <v>0</v>
      </c>
      <c r="DX87" s="16" t="n">
        <v>0</v>
      </c>
      <c r="DY87" s="16" t="n">
        <v>0</v>
      </c>
      <c r="DZ87" s="16" t="n">
        <v>0</v>
      </c>
      <c r="EA87" s="16" t="n">
        <v>0</v>
      </c>
      <c r="EB87" s="16" t="n">
        <v>0</v>
      </c>
      <c r="EC87" s="16" t="n">
        <v>0</v>
      </c>
      <c r="ED87" s="16" t="n">
        <v>0</v>
      </c>
      <c r="EE87" s="16" t="n">
        <v>0</v>
      </c>
      <c r="EF87" s="16" t="n">
        <v>0</v>
      </c>
    </row>
    <row r="88" customFormat="false" ht="15" hidden="false" customHeight="true" outlineLevel="0" collapsed="false">
      <c r="A88" s="9" t="s">
        <v>12</v>
      </c>
      <c r="B88" s="9" t="s">
        <v>26</v>
      </c>
      <c r="C88" s="9" t="s">
        <v>26</v>
      </c>
      <c r="D88" s="9" t="s">
        <v>336</v>
      </c>
      <c r="E88" s="9" t="s">
        <v>14</v>
      </c>
      <c r="F88" s="9" t="s">
        <v>112</v>
      </c>
      <c r="G88" s="16" t="n">
        <v>12</v>
      </c>
      <c r="H88" s="16" t="n">
        <v>108</v>
      </c>
      <c r="I88" s="16" t="n">
        <v>0</v>
      </c>
      <c r="J88" s="16" t="n">
        <v>108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  <c r="BY88" s="16" t="n">
        <v>0</v>
      </c>
      <c r="BZ88" s="16" t="n">
        <v>0</v>
      </c>
      <c r="CA88" s="16" t="n">
        <v>0</v>
      </c>
      <c r="CB88" s="16" t="n">
        <v>0</v>
      </c>
      <c r="CC88" s="16" t="n">
        <v>0</v>
      </c>
      <c r="CD88" s="16" t="n">
        <v>0</v>
      </c>
      <c r="CE88" s="16" t="n">
        <v>0</v>
      </c>
      <c r="CF88" s="16" t="n">
        <v>0</v>
      </c>
      <c r="CG88" s="16" t="n">
        <v>0</v>
      </c>
      <c r="CH88" s="16" t="n">
        <v>0</v>
      </c>
      <c r="CI88" s="16" t="n">
        <v>0</v>
      </c>
      <c r="CJ88" s="16" t="n">
        <v>0</v>
      </c>
      <c r="CK88" s="16" t="n">
        <v>0</v>
      </c>
      <c r="CL88" s="16" t="n">
        <v>0</v>
      </c>
      <c r="CM88" s="16" t="n">
        <v>0</v>
      </c>
      <c r="CN88" s="16" t="n">
        <v>0</v>
      </c>
      <c r="CO88" s="16" t="n">
        <v>0</v>
      </c>
      <c r="CP88" s="16" t="n">
        <v>0</v>
      </c>
      <c r="CQ88" s="16" t="n">
        <v>0</v>
      </c>
      <c r="CR88" s="16" t="n">
        <v>0</v>
      </c>
      <c r="CS88" s="16" t="n">
        <v>0</v>
      </c>
      <c r="CT88" s="16" t="n">
        <v>0</v>
      </c>
      <c r="CU88" s="16" t="n">
        <v>0</v>
      </c>
      <c r="CV88" s="16" t="n">
        <v>0</v>
      </c>
      <c r="CW88" s="16" t="n">
        <v>0</v>
      </c>
      <c r="CX88" s="16" t="n">
        <v>0</v>
      </c>
      <c r="CY88" s="16" t="n">
        <v>0</v>
      </c>
      <c r="CZ88" s="16" t="n">
        <v>0</v>
      </c>
      <c r="DA88" s="16" t="n">
        <v>0</v>
      </c>
      <c r="DB88" s="16" t="n">
        <v>0</v>
      </c>
      <c r="DC88" s="16" t="n">
        <v>0</v>
      </c>
      <c r="DD88" s="16" t="n">
        <v>0</v>
      </c>
      <c r="DE88" s="16" t="n">
        <v>0</v>
      </c>
      <c r="DF88" s="16" t="n">
        <v>0</v>
      </c>
      <c r="DG88" s="16" t="n">
        <v>0</v>
      </c>
      <c r="DH88" s="16" t="n">
        <v>0</v>
      </c>
      <c r="DI88" s="16" t="n">
        <v>0</v>
      </c>
      <c r="DJ88" s="16" t="n">
        <v>0</v>
      </c>
      <c r="DK88" s="16" t="n">
        <v>0</v>
      </c>
      <c r="DL88" s="16" t="n">
        <v>0</v>
      </c>
      <c r="DM88" s="16" t="n">
        <v>0</v>
      </c>
      <c r="DN88" s="16" t="n">
        <v>0</v>
      </c>
      <c r="DO88" s="16" t="n">
        <v>0</v>
      </c>
      <c r="DP88" s="16" t="n">
        <v>0</v>
      </c>
      <c r="DQ88" s="16" t="n">
        <v>0</v>
      </c>
      <c r="DR88" s="16" t="n">
        <v>0</v>
      </c>
      <c r="DS88" s="16" t="n">
        <v>0</v>
      </c>
      <c r="DT88" s="16" t="n">
        <v>0</v>
      </c>
      <c r="DU88" s="16" t="n">
        <v>0</v>
      </c>
      <c r="DV88" s="16" t="n">
        <v>0</v>
      </c>
      <c r="DW88" s="16" t="n">
        <v>0</v>
      </c>
      <c r="DX88" s="16" t="n">
        <v>0</v>
      </c>
      <c r="DY88" s="16" t="n">
        <v>0</v>
      </c>
      <c r="DZ88" s="16" t="n">
        <v>0</v>
      </c>
      <c r="EA88" s="16" t="n">
        <v>0</v>
      </c>
      <c r="EB88" s="16" t="n">
        <v>0</v>
      </c>
      <c r="EC88" s="16" t="n">
        <v>0</v>
      </c>
      <c r="ED88" s="16" t="n">
        <v>0</v>
      </c>
      <c r="EE88" s="16" t="n">
        <v>0</v>
      </c>
      <c r="EF88" s="16" t="n">
        <v>0</v>
      </c>
    </row>
    <row r="89" customFormat="false" ht="15" hidden="false" customHeight="true" outlineLevel="0" collapsed="false">
      <c r="A89" s="9" t="s">
        <v>12</v>
      </c>
      <c r="B89" s="9" t="s">
        <v>26</v>
      </c>
      <c r="C89" s="9" t="s">
        <v>26</v>
      </c>
      <c r="D89" s="9" t="s">
        <v>342</v>
      </c>
      <c r="E89" s="9" t="s">
        <v>14</v>
      </c>
      <c r="F89" s="9" t="s">
        <v>112</v>
      </c>
      <c r="G89" s="16" t="n">
        <v>0</v>
      </c>
      <c r="H89" s="16" t="n">
        <v>0</v>
      </c>
      <c r="I89" s="16" t="n">
        <v>96</v>
      </c>
      <c r="J89" s="16" t="n">
        <v>-96</v>
      </c>
      <c r="K89" s="16" t="n">
        <v>0</v>
      </c>
      <c r="L89" s="16" t="n">
        <v>0</v>
      </c>
      <c r="M89" s="16" t="n">
        <v>0</v>
      </c>
      <c r="N89" s="16" t="n">
        <v>0</v>
      </c>
      <c r="O89" s="16" t="n">
        <v>0</v>
      </c>
      <c r="P89" s="16" t="n">
        <v>0</v>
      </c>
      <c r="Q89" s="16" t="n">
        <v>0</v>
      </c>
      <c r="R89" s="16" t="n">
        <v>0</v>
      </c>
      <c r="S89" s="16" t="n">
        <v>0</v>
      </c>
      <c r="T89" s="16" t="n">
        <v>0</v>
      </c>
      <c r="U89" s="16" t="n">
        <v>0</v>
      </c>
      <c r="V89" s="16" t="n">
        <v>0</v>
      </c>
      <c r="W89" s="16" t="n">
        <v>0</v>
      </c>
      <c r="X89" s="16" t="n">
        <v>0</v>
      </c>
      <c r="Y89" s="16" t="n">
        <v>0</v>
      </c>
      <c r="Z89" s="16" t="n">
        <v>0</v>
      </c>
      <c r="AA89" s="16" t="n">
        <v>0</v>
      </c>
      <c r="AB89" s="16" t="n">
        <v>0</v>
      </c>
      <c r="AC89" s="16" t="n">
        <v>0</v>
      </c>
      <c r="AD89" s="16" t="n">
        <v>0</v>
      </c>
      <c r="AE89" s="16" t="n">
        <v>0</v>
      </c>
      <c r="AF89" s="16" t="n">
        <v>0</v>
      </c>
      <c r="AG89" s="16" t="n">
        <v>0</v>
      </c>
      <c r="AH89" s="16" t="n">
        <v>0</v>
      </c>
      <c r="AI89" s="16" t="n">
        <v>0</v>
      </c>
      <c r="AJ89" s="16" t="n">
        <v>0</v>
      </c>
      <c r="AK89" s="16" t="n">
        <v>0</v>
      </c>
      <c r="AL89" s="16" t="n">
        <v>0</v>
      </c>
      <c r="AM89" s="16" t="n">
        <v>0</v>
      </c>
      <c r="AN89" s="16" t="n">
        <v>0</v>
      </c>
      <c r="AO89" s="16" t="n">
        <v>0</v>
      </c>
      <c r="AP89" s="16" t="n">
        <v>0</v>
      </c>
      <c r="AQ89" s="16" t="n">
        <v>0</v>
      </c>
      <c r="AR89" s="16" t="n">
        <v>0</v>
      </c>
      <c r="AS89" s="16" t="n">
        <v>0</v>
      </c>
      <c r="AT89" s="16" t="n">
        <v>0</v>
      </c>
      <c r="AU89" s="16" t="n">
        <v>0</v>
      </c>
      <c r="AV89" s="16" t="n">
        <v>0</v>
      </c>
      <c r="AW89" s="16" t="n">
        <v>0</v>
      </c>
      <c r="AX89" s="16" t="n">
        <v>0</v>
      </c>
      <c r="AY89" s="16" t="n">
        <v>0</v>
      </c>
      <c r="AZ89" s="16" t="n">
        <v>0</v>
      </c>
      <c r="BA89" s="16" t="n">
        <v>0</v>
      </c>
      <c r="BB89" s="16" t="n">
        <v>0</v>
      </c>
      <c r="BC89" s="16" t="n">
        <v>0</v>
      </c>
      <c r="BD89" s="16" t="n">
        <v>0</v>
      </c>
      <c r="BE89" s="16" t="n">
        <v>0</v>
      </c>
      <c r="BF89" s="16" t="n">
        <v>0</v>
      </c>
      <c r="BG89" s="16" t="n">
        <v>0</v>
      </c>
      <c r="BH89" s="16" t="n">
        <v>0</v>
      </c>
      <c r="BI89" s="16" t="n">
        <v>0</v>
      </c>
      <c r="BJ89" s="16" t="n">
        <v>0</v>
      </c>
      <c r="BK89" s="16" t="n">
        <v>0</v>
      </c>
      <c r="BL89" s="16" t="n">
        <v>0</v>
      </c>
      <c r="BM89" s="16" t="n">
        <v>0</v>
      </c>
      <c r="BN89" s="16" t="n">
        <v>0</v>
      </c>
      <c r="BO89" s="16" t="n">
        <v>0</v>
      </c>
      <c r="BP89" s="16" t="n">
        <v>0</v>
      </c>
      <c r="BQ89" s="16" t="n">
        <v>0</v>
      </c>
      <c r="BR89" s="16" t="n">
        <v>0</v>
      </c>
      <c r="BS89" s="16" t="n">
        <v>0</v>
      </c>
      <c r="BT89" s="16" t="n">
        <v>0</v>
      </c>
      <c r="BU89" s="16" t="n">
        <v>0</v>
      </c>
      <c r="BV89" s="16" t="n">
        <v>0</v>
      </c>
      <c r="BW89" s="16" t="n">
        <v>0</v>
      </c>
      <c r="BX89" s="16" t="n">
        <v>0</v>
      </c>
      <c r="BY89" s="16" t="n">
        <v>0</v>
      </c>
      <c r="BZ89" s="16" t="n">
        <v>0</v>
      </c>
      <c r="CA89" s="16" t="n">
        <v>0</v>
      </c>
      <c r="CB89" s="16" t="n">
        <v>0</v>
      </c>
      <c r="CC89" s="16" t="n">
        <v>0</v>
      </c>
      <c r="CD89" s="16" t="n">
        <v>0</v>
      </c>
      <c r="CE89" s="16" t="n">
        <v>0</v>
      </c>
      <c r="CF89" s="16" t="n">
        <v>0</v>
      </c>
      <c r="CG89" s="16" t="n">
        <v>0</v>
      </c>
      <c r="CH89" s="16" t="n">
        <v>0</v>
      </c>
      <c r="CI89" s="16" t="n">
        <v>0</v>
      </c>
      <c r="CJ89" s="16" t="n">
        <v>0</v>
      </c>
      <c r="CK89" s="16" t="n">
        <v>0</v>
      </c>
      <c r="CL89" s="16" t="n">
        <v>0</v>
      </c>
      <c r="CM89" s="16" t="n">
        <v>0</v>
      </c>
      <c r="CN89" s="16" t="n">
        <v>0</v>
      </c>
      <c r="CO89" s="16" t="n">
        <v>0</v>
      </c>
      <c r="CP89" s="16" t="n">
        <v>0</v>
      </c>
      <c r="CQ89" s="16" t="n">
        <v>0</v>
      </c>
      <c r="CR89" s="16" t="n">
        <v>0</v>
      </c>
      <c r="CS89" s="16" t="n">
        <v>4</v>
      </c>
      <c r="CT89" s="16" t="n">
        <v>4</v>
      </c>
      <c r="CU89" s="16" t="n">
        <v>6</v>
      </c>
      <c r="CV89" s="16" t="n">
        <v>6</v>
      </c>
      <c r="CW89" s="16" t="n">
        <v>6</v>
      </c>
      <c r="CX89" s="16" t="n">
        <v>6</v>
      </c>
      <c r="CY89" s="16" t="n">
        <v>2</v>
      </c>
      <c r="CZ89" s="16" t="n">
        <v>0</v>
      </c>
      <c r="DA89" s="16" t="n">
        <v>0</v>
      </c>
      <c r="DB89" s="16" t="n">
        <v>0</v>
      </c>
      <c r="DC89" s="16" t="n">
        <v>0</v>
      </c>
      <c r="DD89" s="16" t="n">
        <v>0</v>
      </c>
      <c r="DE89" s="16" t="n">
        <v>0</v>
      </c>
      <c r="DF89" s="16" t="n">
        <v>0</v>
      </c>
      <c r="DG89" s="16" t="n">
        <v>0</v>
      </c>
      <c r="DH89" s="16" t="n">
        <v>0</v>
      </c>
      <c r="DI89" s="16" t="n">
        <v>0</v>
      </c>
      <c r="DJ89" s="16" t="n">
        <v>0</v>
      </c>
      <c r="DK89" s="16" t="n">
        <v>2</v>
      </c>
      <c r="DL89" s="16" t="n">
        <v>6</v>
      </c>
      <c r="DM89" s="16" t="n">
        <v>8</v>
      </c>
      <c r="DN89" s="16" t="n">
        <v>8</v>
      </c>
      <c r="DO89" s="16" t="n">
        <v>8</v>
      </c>
      <c r="DP89" s="16" t="n">
        <v>10</v>
      </c>
      <c r="DQ89" s="16" t="n">
        <v>10</v>
      </c>
      <c r="DR89" s="16" t="n">
        <v>10</v>
      </c>
      <c r="DS89" s="16" t="n">
        <v>0</v>
      </c>
      <c r="DT89" s="16" t="n">
        <v>0</v>
      </c>
      <c r="DU89" s="16" t="n">
        <v>0</v>
      </c>
      <c r="DV89" s="16" t="n">
        <v>0</v>
      </c>
      <c r="DW89" s="16" t="n">
        <v>0</v>
      </c>
      <c r="DX89" s="16" t="n">
        <v>0</v>
      </c>
      <c r="DY89" s="16" t="n">
        <v>0</v>
      </c>
      <c r="DZ89" s="16" t="n">
        <v>0</v>
      </c>
      <c r="EA89" s="16" t="n">
        <v>0</v>
      </c>
      <c r="EB89" s="16" t="n">
        <v>0</v>
      </c>
      <c r="EC89" s="16" t="n">
        <v>0</v>
      </c>
      <c r="ED89" s="16" t="n">
        <v>0</v>
      </c>
      <c r="EE89" s="16" t="n">
        <v>0</v>
      </c>
      <c r="EF89" s="16" t="n">
        <v>0</v>
      </c>
    </row>
    <row r="90" customFormat="false" ht="15" hidden="false" customHeight="true" outlineLevel="0" collapsed="false">
      <c r="A90" s="9" t="s">
        <v>12</v>
      </c>
      <c r="B90" s="9" t="s">
        <v>26</v>
      </c>
      <c r="C90" s="9" t="s">
        <v>26</v>
      </c>
      <c r="D90" s="9" t="s">
        <v>336</v>
      </c>
      <c r="E90" s="9" t="s">
        <v>14</v>
      </c>
      <c r="F90" s="9" t="s">
        <v>87</v>
      </c>
      <c r="G90" s="16" t="n">
        <v>0</v>
      </c>
      <c r="H90" s="16" t="n">
        <v>0</v>
      </c>
      <c r="I90" s="16" t="n">
        <v>0</v>
      </c>
      <c r="J90" s="16" t="n">
        <v>0</v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0</v>
      </c>
      <c r="P90" s="16" t="n">
        <v>0</v>
      </c>
      <c r="Q90" s="16" t="n">
        <v>0</v>
      </c>
      <c r="R90" s="16" t="n">
        <v>0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0</v>
      </c>
      <c r="X90" s="16" t="n">
        <v>0</v>
      </c>
      <c r="Y90" s="16" t="n">
        <v>0</v>
      </c>
      <c r="Z90" s="16" t="n">
        <v>0</v>
      </c>
      <c r="AA90" s="16" t="n">
        <v>0</v>
      </c>
      <c r="AB90" s="16" t="n">
        <v>0</v>
      </c>
      <c r="AC90" s="16" t="n">
        <v>0</v>
      </c>
      <c r="AD90" s="16" t="n">
        <v>0</v>
      </c>
      <c r="AE90" s="16" t="n">
        <v>0</v>
      </c>
      <c r="AF90" s="16" t="n">
        <v>0</v>
      </c>
      <c r="AG90" s="16" t="n">
        <v>0</v>
      </c>
      <c r="AH90" s="16" t="n">
        <v>0</v>
      </c>
      <c r="AI90" s="16" t="n">
        <v>0</v>
      </c>
      <c r="AJ90" s="16" t="n">
        <v>0</v>
      </c>
      <c r="AK90" s="16" t="n">
        <v>0</v>
      </c>
      <c r="AL90" s="16" t="n">
        <v>0</v>
      </c>
      <c r="AM90" s="16" t="n">
        <v>0</v>
      </c>
      <c r="AN90" s="16" t="n">
        <v>0</v>
      </c>
      <c r="AO90" s="16" t="n">
        <v>0</v>
      </c>
      <c r="AP90" s="16" t="n">
        <v>0</v>
      </c>
      <c r="AQ90" s="16" t="n">
        <v>0</v>
      </c>
      <c r="AR90" s="16" t="n">
        <v>0</v>
      </c>
      <c r="AS90" s="16" t="n">
        <v>0</v>
      </c>
      <c r="AT90" s="16" t="n">
        <v>0</v>
      </c>
      <c r="AU90" s="16" t="n">
        <v>0</v>
      </c>
      <c r="AV90" s="16" t="n">
        <v>0</v>
      </c>
      <c r="AW90" s="16" t="n">
        <v>0</v>
      </c>
      <c r="AX90" s="16" t="n">
        <v>0</v>
      </c>
      <c r="AY90" s="16" t="n">
        <v>0</v>
      </c>
      <c r="AZ90" s="16" t="n">
        <v>0</v>
      </c>
      <c r="BA90" s="16" t="n">
        <v>0</v>
      </c>
      <c r="BB90" s="16" t="n">
        <v>0</v>
      </c>
      <c r="BC90" s="16" t="n">
        <v>0</v>
      </c>
      <c r="BD90" s="16" t="n">
        <v>0</v>
      </c>
      <c r="BE90" s="16" t="n">
        <v>0</v>
      </c>
      <c r="BF90" s="16" t="n">
        <v>0</v>
      </c>
      <c r="BG90" s="16" t="n">
        <v>0</v>
      </c>
      <c r="BH90" s="16" t="n">
        <v>0</v>
      </c>
      <c r="BI90" s="16" t="n">
        <v>0</v>
      </c>
      <c r="BJ90" s="16" t="n">
        <v>0</v>
      </c>
      <c r="BK90" s="16" t="n">
        <v>0</v>
      </c>
      <c r="BL90" s="16" t="n">
        <v>0</v>
      </c>
      <c r="BM90" s="16" t="n">
        <v>0</v>
      </c>
      <c r="BN90" s="16" t="n">
        <v>0</v>
      </c>
      <c r="BO90" s="16" t="n">
        <v>0</v>
      </c>
      <c r="BP90" s="16" t="n">
        <v>0</v>
      </c>
      <c r="BQ90" s="16" t="n">
        <v>0</v>
      </c>
      <c r="BR90" s="16" t="n">
        <v>0</v>
      </c>
      <c r="BS90" s="16" t="n">
        <v>0</v>
      </c>
      <c r="BT90" s="16" t="n">
        <v>0</v>
      </c>
      <c r="BU90" s="16" t="n">
        <v>0</v>
      </c>
      <c r="BV90" s="16" t="n">
        <v>0</v>
      </c>
      <c r="BW90" s="16" t="n">
        <v>0</v>
      </c>
      <c r="BX90" s="16" t="n">
        <v>0</v>
      </c>
      <c r="BY90" s="16" t="n">
        <v>0</v>
      </c>
      <c r="BZ90" s="16" t="n">
        <v>0</v>
      </c>
      <c r="CA90" s="16" t="n">
        <v>0</v>
      </c>
      <c r="CB90" s="16" t="n">
        <v>0</v>
      </c>
      <c r="CC90" s="16" t="n">
        <v>0</v>
      </c>
      <c r="CD90" s="16" t="n">
        <v>0</v>
      </c>
      <c r="CE90" s="16" t="n">
        <v>0</v>
      </c>
      <c r="CF90" s="16" t="n">
        <v>0</v>
      </c>
      <c r="CG90" s="16" t="n">
        <v>0</v>
      </c>
      <c r="CH90" s="16" t="n">
        <v>0</v>
      </c>
      <c r="CI90" s="16" t="n">
        <v>0</v>
      </c>
      <c r="CJ90" s="16" t="n">
        <v>0</v>
      </c>
      <c r="CK90" s="16" t="n">
        <v>0</v>
      </c>
      <c r="CL90" s="16" t="n">
        <v>0</v>
      </c>
      <c r="CM90" s="16" t="n">
        <v>0</v>
      </c>
      <c r="CN90" s="16" t="n">
        <v>0</v>
      </c>
      <c r="CO90" s="16" t="n">
        <v>0</v>
      </c>
      <c r="CP90" s="16" t="n">
        <v>0</v>
      </c>
      <c r="CQ90" s="16" t="n">
        <v>0</v>
      </c>
      <c r="CR90" s="16" t="n">
        <v>0</v>
      </c>
      <c r="CS90" s="16" t="n">
        <v>0</v>
      </c>
      <c r="CT90" s="16" t="n">
        <v>0</v>
      </c>
      <c r="CU90" s="16" t="n">
        <v>0</v>
      </c>
      <c r="CV90" s="16" t="n">
        <v>0</v>
      </c>
      <c r="CW90" s="16" t="n">
        <v>0</v>
      </c>
      <c r="CX90" s="16" t="n">
        <v>0</v>
      </c>
      <c r="CY90" s="16" t="n">
        <v>0</v>
      </c>
      <c r="CZ90" s="16" t="n">
        <v>0</v>
      </c>
      <c r="DA90" s="16" t="n">
        <v>0</v>
      </c>
      <c r="DB90" s="16" t="n">
        <v>0</v>
      </c>
      <c r="DC90" s="16" t="n">
        <v>0</v>
      </c>
      <c r="DD90" s="16" t="n">
        <v>0</v>
      </c>
      <c r="DE90" s="16" t="n">
        <v>0</v>
      </c>
      <c r="DF90" s="16" t="n">
        <v>0</v>
      </c>
      <c r="DG90" s="16" t="n">
        <v>0</v>
      </c>
      <c r="DH90" s="16" t="n">
        <v>0</v>
      </c>
      <c r="DI90" s="16" t="n">
        <v>0</v>
      </c>
      <c r="DJ90" s="16" t="n">
        <v>0</v>
      </c>
      <c r="DK90" s="16" t="n">
        <v>0</v>
      </c>
      <c r="DL90" s="16" t="n">
        <v>0</v>
      </c>
      <c r="DM90" s="16" t="n">
        <v>0</v>
      </c>
      <c r="DN90" s="16" t="n">
        <v>0</v>
      </c>
      <c r="DO90" s="16" t="n">
        <v>0</v>
      </c>
      <c r="DP90" s="16" t="n">
        <v>0</v>
      </c>
      <c r="DQ90" s="16" t="n">
        <v>0</v>
      </c>
      <c r="DR90" s="16" t="n">
        <v>0</v>
      </c>
      <c r="DS90" s="16" t="n">
        <v>0</v>
      </c>
      <c r="DT90" s="16" t="n">
        <v>0</v>
      </c>
      <c r="DU90" s="16" t="n">
        <v>0</v>
      </c>
      <c r="DV90" s="16" t="n">
        <v>0</v>
      </c>
      <c r="DW90" s="16" t="n">
        <v>0</v>
      </c>
      <c r="DX90" s="16" t="n">
        <v>0</v>
      </c>
      <c r="DY90" s="16" t="n">
        <v>0</v>
      </c>
      <c r="DZ90" s="16" t="n">
        <v>0</v>
      </c>
      <c r="EA90" s="16" t="n">
        <v>0</v>
      </c>
      <c r="EB90" s="16" t="n">
        <v>0</v>
      </c>
      <c r="EC90" s="16" t="n">
        <v>0</v>
      </c>
      <c r="ED90" s="16" t="n">
        <v>0</v>
      </c>
      <c r="EE90" s="16" t="n">
        <v>0</v>
      </c>
      <c r="EF90" s="16" t="n">
        <v>0</v>
      </c>
    </row>
    <row r="91" customFormat="false" ht="15" hidden="false" customHeight="true" outlineLevel="0" collapsed="false">
      <c r="A91" s="9" t="s">
        <v>12</v>
      </c>
      <c r="B91" s="9" t="s">
        <v>26</v>
      </c>
      <c r="C91" s="9" t="s">
        <v>26</v>
      </c>
      <c r="D91" s="9" t="s">
        <v>342</v>
      </c>
      <c r="E91" s="9" t="s">
        <v>14</v>
      </c>
      <c r="F91" s="9" t="s">
        <v>87</v>
      </c>
      <c r="G91" s="16" t="n">
        <v>0</v>
      </c>
      <c r="H91" s="16" t="n">
        <v>0</v>
      </c>
      <c r="I91" s="16" t="n">
        <v>48</v>
      </c>
      <c r="J91" s="16" t="n">
        <v>-48</v>
      </c>
      <c r="K91" s="16" t="n">
        <v>0</v>
      </c>
      <c r="L91" s="16" t="n">
        <v>0</v>
      </c>
      <c r="M91" s="16" t="n">
        <v>0</v>
      </c>
      <c r="N91" s="16" t="n">
        <v>0</v>
      </c>
      <c r="O91" s="16" t="n">
        <v>0</v>
      </c>
      <c r="P91" s="16" t="n">
        <v>0</v>
      </c>
      <c r="Q91" s="16" t="n">
        <v>0</v>
      </c>
      <c r="R91" s="16" t="n">
        <v>0</v>
      </c>
      <c r="S91" s="16" t="n">
        <v>0</v>
      </c>
      <c r="T91" s="16" t="n">
        <v>0</v>
      </c>
      <c r="U91" s="16" t="n">
        <v>0</v>
      </c>
      <c r="V91" s="16" t="n">
        <v>0</v>
      </c>
      <c r="W91" s="16" t="n">
        <v>0</v>
      </c>
      <c r="X91" s="16" t="n">
        <v>0</v>
      </c>
      <c r="Y91" s="16" t="n">
        <v>0</v>
      </c>
      <c r="Z91" s="16" t="n">
        <v>0</v>
      </c>
      <c r="AA91" s="16" t="n">
        <v>0</v>
      </c>
      <c r="AB91" s="16" t="n">
        <v>0</v>
      </c>
      <c r="AC91" s="16" t="n">
        <v>0</v>
      </c>
      <c r="AD91" s="16" t="n">
        <v>0</v>
      </c>
      <c r="AE91" s="16" t="n">
        <v>0</v>
      </c>
      <c r="AF91" s="16" t="n">
        <v>0</v>
      </c>
      <c r="AG91" s="16" t="n">
        <v>0</v>
      </c>
      <c r="AH91" s="16" t="n">
        <v>0</v>
      </c>
      <c r="AI91" s="16" t="n">
        <v>0</v>
      </c>
      <c r="AJ91" s="16" t="n">
        <v>0</v>
      </c>
      <c r="AK91" s="16" t="n">
        <v>0</v>
      </c>
      <c r="AL91" s="16" t="n">
        <v>0</v>
      </c>
      <c r="AM91" s="16" t="n">
        <v>26</v>
      </c>
      <c r="AN91" s="16" t="n">
        <v>22</v>
      </c>
      <c r="AO91" s="16" t="n">
        <v>0</v>
      </c>
      <c r="AP91" s="16" t="n">
        <v>0</v>
      </c>
      <c r="AQ91" s="16" t="n">
        <v>0</v>
      </c>
      <c r="AR91" s="16" t="n">
        <v>0</v>
      </c>
      <c r="AS91" s="16" t="n">
        <v>0</v>
      </c>
      <c r="AT91" s="16" t="n">
        <v>0</v>
      </c>
      <c r="AU91" s="16" t="n">
        <v>0</v>
      </c>
      <c r="AV91" s="16" t="n">
        <v>0</v>
      </c>
      <c r="AW91" s="16" t="n">
        <v>0</v>
      </c>
      <c r="AX91" s="16" t="n">
        <v>0</v>
      </c>
      <c r="AY91" s="16" t="n">
        <v>0</v>
      </c>
      <c r="AZ91" s="16" t="n">
        <v>0</v>
      </c>
      <c r="BA91" s="16" t="n">
        <v>0</v>
      </c>
      <c r="BB91" s="16" t="n">
        <v>0</v>
      </c>
      <c r="BC91" s="16" t="n">
        <v>0</v>
      </c>
      <c r="BD91" s="16" t="n">
        <v>0</v>
      </c>
      <c r="BE91" s="16" t="n">
        <v>0</v>
      </c>
      <c r="BF91" s="16" t="n">
        <v>0</v>
      </c>
      <c r="BG91" s="16" t="n">
        <v>0</v>
      </c>
      <c r="BH91" s="16" t="n">
        <v>0</v>
      </c>
      <c r="BI91" s="16" t="n">
        <v>0</v>
      </c>
      <c r="BJ91" s="16" t="n">
        <v>0</v>
      </c>
      <c r="BK91" s="16" t="n">
        <v>0</v>
      </c>
      <c r="BL91" s="16" t="n">
        <v>0</v>
      </c>
      <c r="BM91" s="16" t="n">
        <v>0</v>
      </c>
      <c r="BN91" s="16" t="n">
        <v>0</v>
      </c>
      <c r="BO91" s="16" t="n">
        <v>0</v>
      </c>
      <c r="BP91" s="16" t="n">
        <v>0</v>
      </c>
      <c r="BQ91" s="16" t="n">
        <v>0</v>
      </c>
      <c r="BR91" s="16" t="n">
        <v>0</v>
      </c>
      <c r="BS91" s="16" t="n">
        <v>0</v>
      </c>
      <c r="BT91" s="16" t="n">
        <v>0</v>
      </c>
      <c r="BU91" s="16" t="n">
        <v>0</v>
      </c>
      <c r="BV91" s="16" t="n">
        <v>0</v>
      </c>
      <c r="BW91" s="16" t="n">
        <v>0</v>
      </c>
      <c r="BX91" s="16" t="n">
        <v>0</v>
      </c>
      <c r="BY91" s="16" t="n">
        <v>0</v>
      </c>
      <c r="BZ91" s="16" t="n">
        <v>0</v>
      </c>
      <c r="CA91" s="16" t="n">
        <v>0</v>
      </c>
      <c r="CB91" s="16" t="n">
        <v>0</v>
      </c>
      <c r="CC91" s="16" t="n">
        <v>0</v>
      </c>
      <c r="CD91" s="16" t="n">
        <v>0</v>
      </c>
      <c r="CE91" s="16" t="n">
        <v>0</v>
      </c>
      <c r="CF91" s="16" t="n">
        <v>0</v>
      </c>
      <c r="CG91" s="16" t="n">
        <v>0</v>
      </c>
      <c r="CH91" s="16" t="n">
        <v>0</v>
      </c>
      <c r="CI91" s="16" t="n">
        <v>0</v>
      </c>
      <c r="CJ91" s="16" t="n">
        <v>0</v>
      </c>
      <c r="CK91" s="16" t="n">
        <v>0</v>
      </c>
      <c r="CL91" s="16" t="n">
        <v>0</v>
      </c>
      <c r="CM91" s="16" t="n">
        <v>0</v>
      </c>
      <c r="CN91" s="16" t="n">
        <v>0</v>
      </c>
      <c r="CO91" s="16" t="n">
        <v>0</v>
      </c>
      <c r="CP91" s="16" t="n">
        <v>0</v>
      </c>
      <c r="CQ91" s="16" t="n">
        <v>0</v>
      </c>
      <c r="CR91" s="16" t="n">
        <v>0</v>
      </c>
      <c r="CS91" s="16" t="n">
        <v>0</v>
      </c>
      <c r="CT91" s="16" t="n">
        <v>0</v>
      </c>
      <c r="CU91" s="16" t="n">
        <v>0</v>
      </c>
      <c r="CV91" s="16" t="n">
        <v>0</v>
      </c>
      <c r="CW91" s="16" t="n">
        <v>0</v>
      </c>
      <c r="CX91" s="16" t="n">
        <v>0</v>
      </c>
      <c r="CY91" s="16" t="n">
        <v>0</v>
      </c>
      <c r="CZ91" s="16" t="n">
        <v>0</v>
      </c>
      <c r="DA91" s="16" t="n">
        <v>0</v>
      </c>
      <c r="DB91" s="16" t="n">
        <v>0</v>
      </c>
      <c r="DC91" s="16" t="n">
        <v>0</v>
      </c>
      <c r="DD91" s="16" t="n">
        <v>0</v>
      </c>
      <c r="DE91" s="16" t="n">
        <v>0</v>
      </c>
      <c r="DF91" s="16" t="n">
        <v>0</v>
      </c>
      <c r="DG91" s="16" t="n">
        <v>0</v>
      </c>
      <c r="DH91" s="16" t="n">
        <v>0</v>
      </c>
      <c r="DI91" s="16" t="n">
        <v>0</v>
      </c>
      <c r="DJ91" s="16" t="n">
        <v>0</v>
      </c>
      <c r="DK91" s="16" t="n">
        <v>0</v>
      </c>
      <c r="DL91" s="16" t="n">
        <v>0</v>
      </c>
      <c r="DM91" s="16" t="n">
        <v>0</v>
      </c>
      <c r="DN91" s="16" t="n">
        <v>0</v>
      </c>
      <c r="DO91" s="16" t="n">
        <v>0</v>
      </c>
      <c r="DP91" s="16" t="n">
        <v>0</v>
      </c>
      <c r="DQ91" s="16" t="n">
        <v>0</v>
      </c>
      <c r="DR91" s="16" t="n">
        <v>0</v>
      </c>
      <c r="DS91" s="16" t="n">
        <v>0</v>
      </c>
      <c r="DT91" s="16" t="n">
        <v>0</v>
      </c>
      <c r="DU91" s="16" t="n">
        <v>0</v>
      </c>
      <c r="DV91" s="16" t="n">
        <v>0</v>
      </c>
      <c r="DW91" s="16" t="n">
        <v>0</v>
      </c>
      <c r="DX91" s="16" t="n">
        <v>0</v>
      </c>
      <c r="DY91" s="16" t="n">
        <v>0</v>
      </c>
      <c r="DZ91" s="16" t="n">
        <v>0</v>
      </c>
      <c r="EA91" s="16" t="n">
        <v>0</v>
      </c>
      <c r="EB91" s="16" t="n">
        <v>0</v>
      </c>
      <c r="EC91" s="16" t="n">
        <v>0</v>
      </c>
      <c r="ED91" s="16" t="n">
        <v>0</v>
      </c>
      <c r="EE91" s="16" t="n">
        <v>0</v>
      </c>
      <c r="EF91" s="16" t="n">
        <v>0</v>
      </c>
    </row>
    <row r="92" customFormat="false" ht="15" hidden="false" customHeight="true" outlineLevel="0" collapsed="false">
      <c r="A92" s="9" t="s">
        <v>12</v>
      </c>
      <c r="B92" s="9" t="s">
        <v>26</v>
      </c>
      <c r="C92" s="9" t="s">
        <v>26</v>
      </c>
      <c r="D92" s="9" t="s">
        <v>336</v>
      </c>
      <c r="E92" s="9" t="s">
        <v>14</v>
      </c>
      <c r="F92" s="9" t="s">
        <v>107</v>
      </c>
      <c r="G92" s="16" t="n">
        <v>10.4</v>
      </c>
      <c r="H92" s="16" t="n">
        <v>164.4</v>
      </c>
      <c r="I92" s="16" t="n">
        <v>0</v>
      </c>
      <c r="J92" s="16" t="n">
        <v>164.4</v>
      </c>
      <c r="K92" s="16" t="n">
        <v>0</v>
      </c>
      <c r="L92" s="16" t="n">
        <v>0</v>
      </c>
      <c r="M92" s="16" t="n">
        <v>0</v>
      </c>
      <c r="N92" s="16" t="n">
        <v>0</v>
      </c>
      <c r="O92" s="16" t="n">
        <v>0</v>
      </c>
      <c r="P92" s="16" t="n">
        <v>0</v>
      </c>
      <c r="Q92" s="16" t="n">
        <v>0</v>
      </c>
      <c r="R92" s="16" t="n">
        <v>0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0</v>
      </c>
      <c r="X92" s="16" t="n">
        <v>0</v>
      </c>
      <c r="Y92" s="16" t="n">
        <v>0</v>
      </c>
      <c r="Z92" s="16" t="n">
        <v>0</v>
      </c>
      <c r="AA92" s="16" t="n">
        <v>0</v>
      </c>
      <c r="AB92" s="16" t="n">
        <v>0</v>
      </c>
      <c r="AC92" s="16" t="n">
        <v>0</v>
      </c>
      <c r="AD92" s="16" t="n">
        <v>0</v>
      </c>
      <c r="AE92" s="16" t="n">
        <v>0</v>
      </c>
      <c r="AF92" s="16" t="n">
        <v>0</v>
      </c>
      <c r="AG92" s="16" t="n">
        <v>0</v>
      </c>
      <c r="AH92" s="16" t="n">
        <v>0</v>
      </c>
      <c r="AI92" s="16" t="n">
        <v>0</v>
      </c>
      <c r="AJ92" s="16" t="n">
        <v>0</v>
      </c>
      <c r="AK92" s="16" t="n">
        <v>0</v>
      </c>
      <c r="AL92" s="16" t="n">
        <v>0</v>
      </c>
      <c r="AM92" s="16" t="n">
        <v>0</v>
      </c>
      <c r="AN92" s="16" t="n">
        <v>0</v>
      </c>
      <c r="AO92" s="16" t="n">
        <v>0</v>
      </c>
      <c r="AP92" s="16" t="n">
        <v>0</v>
      </c>
      <c r="AQ92" s="16" t="n">
        <v>0</v>
      </c>
      <c r="AR92" s="16" t="n">
        <v>0</v>
      </c>
      <c r="AS92" s="16" t="n">
        <v>0</v>
      </c>
      <c r="AT92" s="16" t="n">
        <v>0</v>
      </c>
      <c r="AU92" s="16" t="n">
        <v>0</v>
      </c>
      <c r="AV92" s="16" t="n">
        <v>0</v>
      </c>
      <c r="AW92" s="16" t="n">
        <v>0</v>
      </c>
      <c r="AX92" s="16" t="n">
        <v>0</v>
      </c>
      <c r="AY92" s="16" t="n">
        <v>0</v>
      </c>
      <c r="AZ92" s="16" t="n">
        <v>0</v>
      </c>
      <c r="BA92" s="16" t="n">
        <v>0</v>
      </c>
      <c r="BB92" s="16" t="n">
        <v>0</v>
      </c>
      <c r="BC92" s="16" t="n">
        <v>0</v>
      </c>
      <c r="BD92" s="16" t="n">
        <v>0</v>
      </c>
      <c r="BE92" s="16" t="n">
        <v>0</v>
      </c>
      <c r="BF92" s="16" t="n">
        <v>0</v>
      </c>
      <c r="BG92" s="16" t="n">
        <v>0</v>
      </c>
      <c r="BH92" s="16" t="n">
        <v>0</v>
      </c>
      <c r="BI92" s="16" t="n">
        <v>0</v>
      </c>
      <c r="BJ92" s="16" t="n">
        <v>0</v>
      </c>
      <c r="BK92" s="16" t="n">
        <v>0</v>
      </c>
      <c r="BL92" s="16" t="n">
        <v>0</v>
      </c>
      <c r="BM92" s="16" t="n">
        <v>0</v>
      </c>
      <c r="BN92" s="16" t="n">
        <v>0</v>
      </c>
      <c r="BO92" s="16" t="n">
        <v>0</v>
      </c>
      <c r="BP92" s="16" t="n">
        <v>0</v>
      </c>
      <c r="BQ92" s="16" t="n">
        <v>0</v>
      </c>
      <c r="BR92" s="16" t="n">
        <v>0</v>
      </c>
      <c r="BS92" s="16" t="n">
        <v>0</v>
      </c>
      <c r="BT92" s="16" t="n">
        <v>0</v>
      </c>
      <c r="BU92" s="16" t="n">
        <v>0</v>
      </c>
      <c r="BV92" s="16" t="n">
        <v>0</v>
      </c>
      <c r="BW92" s="16" t="n">
        <v>0</v>
      </c>
      <c r="BX92" s="16" t="n">
        <v>0</v>
      </c>
      <c r="BY92" s="16" t="n">
        <v>0</v>
      </c>
      <c r="BZ92" s="16" t="n">
        <v>0</v>
      </c>
      <c r="CA92" s="16" t="n">
        <v>0</v>
      </c>
      <c r="CB92" s="16" t="n">
        <v>0</v>
      </c>
      <c r="CC92" s="16" t="n">
        <v>0</v>
      </c>
      <c r="CD92" s="16" t="n">
        <v>0</v>
      </c>
      <c r="CE92" s="16" t="n">
        <v>0</v>
      </c>
      <c r="CF92" s="16" t="n">
        <v>0</v>
      </c>
      <c r="CG92" s="16" t="n">
        <v>0</v>
      </c>
      <c r="CH92" s="16" t="n">
        <v>0</v>
      </c>
      <c r="CI92" s="16" t="n">
        <v>0</v>
      </c>
      <c r="CJ92" s="16" t="n">
        <v>0</v>
      </c>
      <c r="CK92" s="16" t="n">
        <v>0</v>
      </c>
      <c r="CL92" s="16" t="n">
        <v>0</v>
      </c>
      <c r="CM92" s="16" t="n">
        <v>0</v>
      </c>
      <c r="CN92" s="16" t="n">
        <v>0</v>
      </c>
      <c r="CO92" s="16" t="n">
        <v>0</v>
      </c>
      <c r="CP92" s="16" t="n">
        <v>0</v>
      </c>
      <c r="CQ92" s="16" t="n">
        <v>0</v>
      </c>
      <c r="CR92" s="16" t="n">
        <v>0</v>
      </c>
      <c r="CS92" s="16" t="n">
        <v>0</v>
      </c>
      <c r="CT92" s="16" t="n">
        <v>0</v>
      </c>
      <c r="CU92" s="16" t="n">
        <v>0</v>
      </c>
      <c r="CV92" s="16" t="n">
        <v>0</v>
      </c>
      <c r="CW92" s="16" t="n">
        <v>0</v>
      </c>
      <c r="CX92" s="16" t="n">
        <v>0</v>
      </c>
      <c r="CY92" s="16" t="n">
        <v>0</v>
      </c>
      <c r="CZ92" s="16" t="n">
        <v>0</v>
      </c>
      <c r="DA92" s="16" t="n">
        <v>0</v>
      </c>
      <c r="DB92" s="16" t="n">
        <v>0</v>
      </c>
      <c r="DC92" s="16" t="n">
        <v>0</v>
      </c>
      <c r="DD92" s="16" t="n">
        <v>0</v>
      </c>
      <c r="DE92" s="16" t="n">
        <v>0</v>
      </c>
      <c r="DF92" s="16" t="n">
        <v>0</v>
      </c>
      <c r="DG92" s="16" t="n">
        <v>0</v>
      </c>
      <c r="DH92" s="16" t="n">
        <v>0</v>
      </c>
      <c r="DI92" s="16" t="n">
        <v>0</v>
      </c>
      <c r="DJ92" s="16" t="n">
        <v>0</v>
      </c>
      <c r="DK92" s="16" t="n">
        <v>0</v>
      </c>
      <c r="DL92" s="16" t="n">
        <v>0</v>
      </c>
      <c r="DM92" s="16" t="n">
        <v>0</v>
      </c>
      <c r="DN92" s="16" t="n">
        <v>0</v>
      </c>
      <c r="DO92" s="16" t="n">
        <v>0</v>
      </c>
      <c r="DP92" s="16" t="n">
        <v>0</v>
      </c>
      <c r="DQ92" s="16" t="n">
        <v>0</v>
      </c>
      <c r="DR92" s="16" t="n">
        <v>0</v>
      </c>
      <c r="DS92" s="16" t="n">
        <v>0</v>
      </c>
      <c r="DT92" s="16" t="n">
        <v>0</v>
      </c>
      <c r="DU92" s="16" t="n">
        <v>0</v>
      </c>
      <c r="DV92" s="16" t="n">
        <v>0</v>
      </c>
      <c r="DW92" s="16" t="n">
        <v>0</v>
      </c>
      <c r="DX92" s="16" t="n">
        <v>0</v>
      </c>
      <c r="DY92" s="16" t="n">
        <v>0</v>
      </c>
      <c r="DZ92" s="16" t="n">
        <v>0</v>
      </c>
      <c r="EA92" s="16" t="n">
        <v>0</v>
      </c>
      <c r="EB92" s="16" t="n">
        <v>0</v>
      </c>
      <c r="EC92" s="16" t="n">
        <v>0</v>
      </c>
      <c r="ED92" s="16" t="n">
        <v>0</v>
      </c>
      <c r="EE92" s="16" t="n">
        <v>0</v>
      </c>
      <c r="EF92" s="16" t="n">
        <v>0</v>
      </c>
    </row>
    <row r="93" customFormat="false" ht="15" hidden="false" customHeight="true" outlineLevel="0" collapsed="false">
      <c r="A93" s="9" t="s">
        <v>12</v>
      </c>
      <c r="B93" s="9" t="s">
        <v>26</v>
      </c>
      <c r="C93" s="9" t="s">
        <v>26</v>
      </c>
      <c r="D93" s="9" t="s">
        <v>342</v>
      </c>
      <c r="E93" s="9" t="s">
        <v>14</v>
      </c>
      <c r="F93" s="9" t="s">
        <v>107</v>
      </c>
      <c r="G93" s="16" t="n">
        <v>0</v>
      </c>
      <c r="H93" s="16" t="n">
        <v>0</v>
      </c>
      <c r="I93" s="16" t="n">
        <v>154</v>
      </c>
      <c r="J93" s="16" t="n">
        <v>-154</v>
      </c>
      <c r="K93" s="16" t="n">
        <v>0</v>
      </c>
      <c r="L93" s="16" t="n">
        <v>0</v>
      </c>
      <c r="M93" s="16" t="n">
        <v>0</v>
      </c>
      <c r="N93" s="16" t="n">
        <v>0</v>
      </c>
      <c r="O93" s="16" t="n">
        <v>0</v>
      </c>
      <c r="P93" s="16" t="n">
        <v>0</v>
      </c>
      <c r="Q93" s="16" t="n">
        <v>0</v>
      </c>
      <c r="R93" s="16" t="n">
        <v>0</v>
      </c>
      <c r="S93" s="16" t="n">
        <v>0</v>
      </c>
      <c r="T93" s="16" t="n">
        <v>0</v>
      </c>
      <c r="U93" s="16" t="n">
        <v>0</v>
      </c>
      <c r="V93" s="16" t="n">
        <v>0</v>
      </c>
      <c r="W93" s="16" t="n">
        <v>0</v>
      </c>
      <c r="X93" s="16" t="n">
        <v>0</v>
      </c>
      <c r="Y93" s="16" t="n">
        <v>0</v>
      </c>
      <c r="Z93" s="16" t="n">
        <v>0</v>
      </c>
      <c r="AA93" s="16" t="n">
        <v>0</v>
      </c>
      <c r="AB93" s="16" t="n">
        <v>0</v>
      </c>
      <c r="AC93" s="16" t="n">
        <v>0</v>
      </c>
      <c r="AD93" s="16" t="n">
        <v>0</v>
      </c>
      <c r="AE93" s="16" t="n">
        <v>0</v>
      </c>
      <c r="AF93" s="16" t="n">
        <v>0</v>
      </c>
      <c r="AG93" s="16" t="n">
        <v>0</v>
      </c>
      <c r="AH93" s="16" t="n">
        <v>0</v>
      </c>
      <c r="AI93" s="16" t="n">
        <v>0</v>
      </c>
      <c r="AJ93" s="16" t="n">
        <v>0</v>
      </c>
      <c r="AK93" s="16" t="n">
        <v>0</v>
      </c>
      <c r="AL93" s="16" t="n">
        <v>0</v>
      </c>
      <c r="AM93" s="16" t="n">
        <v>0</v>
      </c>
      <c r="AN93" s="16" t="n">
        <v>0</v>
      </c>
      <c r="AO93" s="16" t="n">
        <v>0</v>
      </c>
      <c r="AP93" s="16" t="n">
        <v>0</v>
      </c>
      <c r="AQ93" s="16" t="n">
        <v>0</v>
      </c>
      <c r="AR93" s="16" t="n">
        <v>0</v>
      </c>
      <c r="AS93" s="16" t="n">
        <v>0</v>
      </c>
      <c r="AT93" s="16" t="n">
        <v>0</v>
      </c>
      <c r="AU93" s="16" t="n">
        <v>0</v>
      </c>
      <c r="AV93" s="16" t="n">
        <v>0</v>
      </c>
      <c r="AW93" s="16" t="n">
        <v>0</v>
      </c>
      <c r="AX93" s="16" t="n">
        <v>0</v>
      </c>
      <c r="AY93" s="16" t="n">
        <v>0</v>
      </c>
      <c r="AZ93" s="16" t="n">
        <v>0</v>
      </c>
      <c r="BA93" s="16" t="n">
        <v>0</v>
      </c>
      <c r="BB93" s="16" t="n">
        <v>0</v>
      </c>
      <c r="BC93" s="16" t="n">
        <v>0</v>
      </c>
      <c r="BD93" s="16" t="n">
        <v>0</v>
      </c>
      <c r="BE93" s="16" t="n">
        <v>0</v>
      </c>
      <c r="BF93" s="16" t="n">
        <v>0</v>
      </c>
      <c r="BG93" s="16" t="n">
        <v>0</v>
      </c>
      <c r="BH93" s="16" t="n">
        <v>0</v>
      </c>
      <c r="BI93" s="16" t="n">
        <v>0</v>
      </c>
      <c r="BJ93" s="16" t="n">
        <v>0</v>
      </c>
      <c r="BK93" s="16" t="n">
        <v>0</v>
      </c>
      <c r="BL93" s="16" t="n">
        <v>0</v>
      </c>
      <c r="BM93" s="16" t="n">
        <v>0</v>
      </c>
      <c r="BN93" s="16" t="n">
        <v>0</v>
      </c>
      <c r="BO93" s="16" t="n">
        <v>0</v>
      </c>
      <c r="BP93" s="16" t="n">
        <v>0</v>
      </c>
      <c r="BQ93" s="16" t="n">
        <v>0</v>
      </c>
      <c r="BR93" s="16" t="n">
        <v>0</v>
      </c>
      <c r="BS93" s="16" t="n">
        <v>0</v>
      </c>
      <c r="BT93" s="16" t="n">
        <v>0</v>
      </c>
      <c r="BU93" s="16" t="n">
        <v>0</v>
      </c>
      <c r="BV93" s="16" t="n">
        <v>0</v>
      </c>
      <c r="BW93" s="16" t="n">
        <v>0</v>
      </c>
      <c r="BX93" s="16" t="n">
        <v>0</v>
      </c>
      <c r="BY93" s="16" t="n">
        <v>0</v>
      </c>
      <c r="BZ93" s="16" t="n">
        <v>0</v>
      </c>
      <c r="CA93" s="16" t="n">
        <v>0</v>
      </c>
      <c r="CB93" s="16" t="n">
        <v>0</v>
      </c>
      <c r="CC93" s="16" t="n">
        <v>0</v>
      </c>
      <c r="CD93" s="16" t="n">
        <v>0</v>
      </c>
      <c r="CE93" s="16" t="n">
        <v>0</v>
      </c>
      <c r="CF93" s="16" t="n">
        <v>0</v>
      </c>
      <c r="CG93" s="16" t="n">
        <v>0</v>
      </c>
      <c r="CH93" s="16" t="n">
        <v>0</v>
      </c>
      <c r="CI93" s="16" t="n">
        <v>0</v>
      </c>
      <c r="CJ93" s="16" t="n">
        <v>0</v>
      </c>
      <c r="CK93" s="16" t="n">
        <v>0</v>
      </c>
      <c r="CL93" s="16" t="n">
        <v>0</v>
      </c>
      <c r="CM93" s="16" t="n">
        <v>0</v>
      </c>
      <c r="CN93" s="16" t="n">
        <v>0</v>
      </c>
      <c r="CO93" s="16" t="n">
        <v>0</v>
      </c>
      <c r="CP93" s="16" t="n">
        <v>0</v>
      </c>
      <c r="CQ93" s="16" t="n">
        <v>0</v>
      </c>
      <c r="CR93" s="16" t="n">
        <v>0</v>
      </c>
      <c r="CS93" s="16" t="n">
        <v>8</v>
      </c>
      <c r="CT93" s="16" t="n">
        <v>8</v>
      </c>
      <c r="CU93" s="16" t="n">
        <v>5</v>
      </c>
      <c r="CV93" s="16" t="n">
        <v>1</v>
      </c>
      <c r="CW93" s="16" t="n">
        <v>1.1</v>
      </c>
      <c r="CX93" s="16" t="n">
        <v>2</v>
      </c>
      <c r="CY93" s="16" t="n">
        <v>0.3</v>
      </c>
      <c r="CZ93" s="16" t="n">
        <v>0.1</v>
      </c>
      <c r="DA93" s="16" t="n">
        <v>0.2</v>
      </c>
      <c r="DB93" s="16" t="n">
        <v>0.4</v>
      </c>
      <c r="DC93" s="16" t="n">
        <v>0</v>
      </c>
      <c r="DD93" s="16" t="n">
        <v>0</v>
      </c>
      <c r="DE93" s="16" t="n">
        <v>0</v>
      </c>
      <c r="DF93" s="16" t="n">
        <v>10</v>
      </c>
      <c r="DG93" s="16" t="n">
        <v>10</v>
      </c>
      <c r="DH93" s="16" t="n">
        <v>10</v>
      </c>
      <c r="DI93" s="16" t="n">
        <v>0</v>
      </c>
      <c r="DJ93" s="16" t="n">
        <v>0</v>
      </c>
      <c r="DK93" s="16" t="n">
        <v>11.7</v>
      </c>
      <c r="DL93" s="16" t="n">
        <v>0.2</v>
      </c>
      <c r="DM93" s="16" t="n">
        <v>0</v>
      </c>
      <c r="DN93" s="16" t="n">
        <v>0</v>
      </c>
      <c r="DO93" s="16" t="n">
        <v>0</v>
      </c>
      <c r="DP93" s="16" t="n">
        <v>0</v>
      </c>
      <c r="DQ93" s="16" t="n">
        <v>0</v>
      </c>
      <c r="DR93" s="16" t="n">
        <v>1.9</v>
      </c>
      <c r="DS93" s="16" t="n">
        <v>6.3</v>
      </c>
      <c r="DT93" s="16" t="n">
        <v>8.7</v>
      </c>
      <c r="DU93" s="16" t="n">
        <v>16</v>
      </c>
      <c r="DV93" s="16" t="n">
        <v>16</v>
      </c>
      <c r="DW93" s="16" t="n">
        <v>16</v>
      </c>
      <c r="DX93" s="16" t="n">
        <v>16</v>
      </c>
      <c r="DY93" s="16" t="n">
        <v>5.1</v>
      </c>
      <c r="DZ93" s="16" t="n">
        <v>0</v>
      </c>
      <c r="EA93" s="16" t="n">
        <v>0</v>
      </c>
      <c r="EB93" s="16" t="n">
        <v>0</v>
      </c>
      <c r="EC93" s="16" t="n">
        <v>0</v>
      </c>
      <c r="ED93" s="16" t="n">
        <v>0</v>
      </c>
      <c r="EE93" s="16" t="n">
        <v>0</v>
      </c>
      <c r="EF93" s="16" t="n">
        <v>0</v>
      </c>
    </row>
    <row r="94" customFormat="false" ht="15" hidden="false" customHeight="true" outlineLevel="0" collapsed="false">
      <c r="A94" s="9" t="s">
        <v>12</v>
      </c>
      <c r="B94" s="9" t="s">
        <v>36</v>
      </c>
      <c r="C94" s="9" t="s">
        <v>36</v>
      </c>
      <c r="D94" s="9" t="s">
        <v>337</v>
      </c>
      <c r="E94" s="9" t="s">
        <v>10</v>
      </c>
      <c r="F94" s="9" t="s">
        <v>108</v>
      </c>
      <c r="G94" s="16" t="n">
        <v>0</v>
      </c>
      <c r="H94" s="16" t="n">
        <v>0</v>
      </c>
      <c r="I94" s="16" t="n">
        <v>73.4</v>
      </c>
      <c r="J94" s="16" t="n">
        <v>-73.4</v>
      </c>
      <c r="K94" s="16" t="n">
        <v>0</v>
      </c>
      <c r="L94" s="16" t="n">
        <v>0</v>
      </c>
      <c r="M94" s="16" t="n">
        <v>0</v>
      </c>
      <c r="N94" s="16" t="n">
        <v>0</v>
      </c>
      <c r="O94" s="16" t="n">
        <v>0</v>
      </c>
      <c r="P94" s="16" t="n">
        <v>0</v>
      </c>
      <c r="Q94" s="16" t="n">
        <v>0</v>
      </c>
      <c r="R94" s="16" t="n">
        <v>0</v>
      </c>
      <c r="S94" s="16" t="n">
        <v>0</v>
      </c>
      <c r="T94" s="16" t="n">
        <v>0</v>
      </c>
      <c r="U94" s="16" t="n">
        <v>0</v>
      </c>
      <c r="V94" s="16" t="n">
        <v>0</v>
      </c>
      <c r="W94" s="16" t="n">
        <v>0</v>
      </c>
      <c r="X94" s="16" t="n">
        <v>0</v>
      </c>
      <c r="Y94" s="16" t="n">
        <v>0</v>
      </c>
      <c r="Z94" s="16" t="n">
        <v>0</v>
      </c>
      <c r="AA94" s="16" t="n">
        <v>0</v>
      </c>
      <c r="AB94" s="16" t="n">
        <v>0</v>
      </c>
      <c r="AC94" s="16" t="n">
        <v>0</v>
      </c>
      <c r="AD94" s="16" t="n">
        <v>0</v>
      </c>
      <c r="AE94" s="16" t="n">
        <v>0</v>
      </c>
      <c r="AF94" s="16" t="n">
        <v>0</v>
      </c>
      <c r="AG94" s="16" t="n">
        <v>0</v>
      </c>
      <c r="AH94" s="16" t="n">
        <v>0</v>
      </c>
      <c r="AI94" s="16" t="n">
        <v>0</v>
      </c>
      <c r="AJ94" s="16" t="n">
        <v>0</v>
      </c>
      <c r="AK94" s="16" t="n">
        <v>1</v>
      </c>
      <c r="AL94" s="16" t="n">
        <v>0</v>
      </c>
      <c r="AM94" s="16" t="n">
        <v>0</v>
      </c>
      <c r="AN94" s="16" t="n">
        <v>0</v>
      </c>
      <c r="AO94" s="16" t="n">
        <v>1</v>
      </c>
      <c r="AP94" s="16" t="n">
        <v>0</v>
      </c>
      <c r="AQ94" s="16" t="n">
        <v>0</v>
      </c>
      <c r="AR94" s="16" t="n">
        <v>0</v>
      </c>
      <c r="AS94" s="16" t="n">
        <v>0</v>
      </c>
      <c r="AT94" s="16" t="n">
        <v>0</v>
      </c>
      <c r="AU94" s="16" t="n">
        <v>0</v>
      </c>
      <c r="AV94" s="16" t="n">
        <v>0</v>
      </c>
      <c r="AW94" s="16" t="n">
        <v>0</v>
      </c>
      <c r="AX94" s="16" t="n">
        <v>0</v>
      </c>
      <c r="AY94" s="16" t="n">
        <v>0</v>
      </c>
      <c r="AZ94" s="16" t="n">
        <v>0</v>
      </c>
      <c r="BA94" s="16" t="n">
        <v>0</v>
      </c>
      <c r="BB94" s="16" t="n">
        <v>0</v>
      </c>
      <c r="BC94" s="16" t="n">
        <v>0</v>
      </c>
      <c r="BD94" s="16" t="n">
        <v>0</v>
      </c>
      <c r="BE94" s="16" t="n">
        <v>0</v>
      </c>
      <c r="BF94" s="16" t="n">
        <v>0</v>
      </c>
      <c r="BG94" s="16" t="n">
        <v>0</v>
      </c>
      <c r="BH94" s="16" t="n">
        <v>0</v>
      </c>
      <c r="BI94" s="16" t="n">
        <v>0</v>
      </c>
      <c r="BJ94" s="16" t="n">
        <v>0</v>
      </c>
      <c r="BK94" s="16" t="n">
        <v>0</v>
      </c>
      <c r="BL94" s="16" t="n">
        <v>0</v>
      </c>
      <c r="BM94" s="16" t="n">
        <v>0</v>
      </c>
      <c r="BN94" s="16" t="n">
        <v>0</v>
      </c>
      <c r="BO94" s="16" t="n">
        <v>0</v>
      </c>
      <c r="BP94" s="16" t="n">
        <v>0</v>
      </c>
      <c r="BQ94" s="16" t="n">
        <v>0</v>
      </c>
      <c r="BR94" s="16" t="n">
        <v>0</v>
      </c>
      <c r="BS94" s="16" t="n">
        <v>0</v>
      </c>
      <c r="BT94" s="16" t="n">
        <v>0</v>
      </c>
      <c r="BU94" s="16" t="n">
        <v>0</v>
      </c>
      <c r="BV94" s="16" t="n">
        <v>0</v>
      </c>
      <c r="BW94" s="16" t="n">
        <v>0</v>
      </c>
      <c r="BX94" s="16" t="n">
        <v>0</v>
      </c>
      <c r="BY94" s="16" t="n">
        <v>0</v>
      </c>
      <c r="BZ94" s="16" t="n">
        <v>0</v>
      </c>
      <c r="CA94" s="16" t="n">
        <v>0</v>
      </c>
      <c r="CB94" s="16" t="n">
        <v>0</v>
      </c>
      <c r="CC94" s="16" t="n">
        <v>0</v>
      </c>
      <c r="CD94" s="16" t="n">
        <v>0</v>
      </c>
      <c r="CE94" s="16" t="n">
        <v>0</v>
      </c>
      <c r="CF94" s="16" t="n">
        <v>0</v>
      </c>
      <c r="CG94" s="16" t="n">
        <v>0</v>
      </c>
      <c r="CH94" s="16" t="n">
        <v>0</v>
      </c>
      <c r="CI94" s="16" t="n">
        <v>0</v>
      </c>
      <c r="CJ94" s="16" t="n">
        <v>0</v>
      </c>
      <c r="CK94" s="16" t="n">
        <v>0</v>
      </c>
      <c r="CL94" s="16" t="n">
        <v>0</v>
      </c>
      <c r="CM94" s="16" t="n">
        <v>0</v>
      </c>
      <c r="CN94" s="16" t="n">
        <v>0</v>
      </c>
      <c r="CO94" s="16" t="n">
        <v>0</v>
      </c>
      <c r="CP94" s="16" t="n">
        <v>0</v>
      </c>
      <c r="CQ94" s="16" t="n">
        <v>0</v>
      </c>
      <c r="CR94" s="16" t="n">
        <v>0</v>
      </c>
      <c r="CS94" s="16" t="n">
        <v>4</v>
      </c>
      <c r="CT94" s="16" t="n">
        <v>0</v>
      </c>
      <c r="CU94" s="16" t="n">
        <v>0</v>
      </c>
      <c r="CV94" s="16" t="n">
        <v>0</v>
      </c>
      <c r="CW94" s="16" t="n">
        <v>0</v>
      </c>
      <c r="CX94" s="16" t="n">
        <v>0.4</v>
      </c>
      <c r="CY94" s="16" t="n">
        <v>0</v>
      </c>
      <c r="CZ94" s="16" t="n">
        <v>0</v>
      </c>
      <c r="DA94" s="16" t="n">
        <v>0</v>
      </c>
      <c r="DB94" s="16" t="n">
        <v>0</v>
      </c>
      <c r="DC94" s="16" t="n">
        <v>0</v>
      </c>
      <c r="DD94" s="16" t="n">
        <v>0</v>
      </c>
      <c r="DE94" s="16" t="n">
        <v>0</v>
      </c>
      <c r="DF94" s="16" t="n">
        <v>0</v>
      </c>
      <c r="DG94" s="16" t="n">
        <v>1</v>
      </c>
      <c r="DH94" s="16" t="n">
        <v>1</v>
      </c>
      <c r="DI94" s="16" t="n">
        <v>0</v>
      </c>
      <c r="DJ94" s="16" t="n">
        <v>0</v>
      </c>
      <c r="DK94" s="16" t="n">
        <v>0.5</v>
      </c>
      <c r="DL94" s="16" t="n">
        <v>11</v>
      </c>
      <c r="DM94" s="16" t="n">
        <v>0.5</v>
      </c>
      <c r="DN94" s="16" t="n">
        <v>5.5</v>
      </c>
      <c r="DO94" s="16" t="n">
        <v>21.5</v>
      </c>
      <c r="DP94" s="16" t="n">
        <v>14.5</v>
      </c>
      <c r="DQ94" s="16" t="n">
        <v>11.5</v>
      </c>
      <c r="DR94" s="16" t="n">
        <v>0</v>
      </c>
      <c r="DS94" s="16" t="n">
        <v>0</v>
      </c>
      <c r="DT94" s="16" t="n">
        <v>0</v>
      </c>
      <c r="DU94" s="16" t="n">
        <v>0</v>
      </c>
      <c r="DV94" s="16" t="n">
        <v>0</v>
      </c>
      <c r="DW94" s="16" t="n">
        <v>0</v>
      </c>
      <c r="DX94" s="16" t="n">
        <v>0</v>
      </c>
      <c r="DY94" s="16" t="n">
        <v>0</v>
      </c>
      <c r="DZ94" s="16" t="n">
        <v>0</v>
      </c>
      <c r="EA94" s="16" t="n">
        <v>0</v>
      </c>
      <c r="EB94" s="16" t="n">
        <v>0</v>
      </c>
      <c r="EC94" s="16" t="n">
        <v>0</v>
      </c>
      <c r="ED94" s="16" t="n">
        <v>0</v>
      </c>
      <c r="EE94" s="16" t="n">
        <v>0</v>
      </c>
      <c r="EF94" s="16" t="n">
        <v>0</v>
      </c>
    </row>
    <row r="95" customFormat="false" ht="15" hidden="false" customHeight="true" outlineLevel="0" collapsed="false">
      <c r="A95" s="9" t="s">
        <v>12</v>
      </c>
      <c r="B95" s="9" t="s">
        <v>36</v>
      </c>
      <c r="C95" s="9" t="s">
        <v>36</v>
      </c>
      <c r="D95" s="9" t="s">
        <v>336</v>
      </c>
      <c r="E95" s="9" t="s">
        <v>10</v>
      </c>
      <c r="F95" s="9" t="s">
        <v>108</v>
      </c>
      <c r="G95" s="16" t="n">
        <v>39.9</v>
      </c>
      <c r="H95" s="16" t="n">
        <v>135.9</v>
      </c>
      <c r="I95" s="16" t="n">
        <v>0</v>
      </c>
      <c r="J95" s="16" t="n">
        <v>135.9</v>
      </c>
      <c r="K95" s="16" t="n">
        <v>0</v>
      </c>
      <c r="L95" s="16" t="n">
        <v>0</v>
      </c>
      <c r="M95" s="16" t="n">
        <v>0</v>
      </c>
      <c r="N95" s="16" t="n">
        <v>0</v>
      </c>
      <c r="O95" s="16" t="n">
        <v>0</v>
      </c>
      <c r="P95" s="16" t="n">
        <v>0</v>
      </c>
      <c r="Q95" s="16" t="n">
        <v>0</v>
      </c>
      <c r="R95" s="16" t="n">
        <v>0</v>
      </c>
      <c r="S95" s="16" t="n">
        <v>0</v>
      </c>
      <c r="T95" s="16" t="n">
        <v>0</v>
      </c>
      <c r="U95" s="16" t="n">
        <v>0</v>
      </c>
      <c r="V95" s="16" t="n">
        <v>0</v>
      </c>
      <c r="W95" s="16" t="n">
        <v>0</v>
      </c>
      <c r="X95" s="16" t="n">
        <v>0</v>
      </c>
      <c r="Y95" s="16" t="n">
        <v>0</v>
      </c>
      <c r="Z95" s="16" t="n">
        <v>0</v>
      </c>
      <c r="AA95" s="16" t="n">
        <v>0</v>
      </c>
      <c r="AB95" s="16" t="n">
        <v>0</v>
      </c>
      <c r="AC95" s="16" t="n">
        <v>0</v>
      </c>
      <c r="AD95" s="16" t="n">
        <v>0</v>
      </c>
      <c r="AE95" s="16" t="n">
        <v>0</v>
      </c>
      <c r="AF95" s="16" t="n">
        <v>0</v>
      </c>
      <c r="AG95" s="16" t="n">
        <v>0</v>
      </c>
      <c r="AH95" s="16" t="n">
        <v>0</v>
      </c>
      <c r="AI95" s="16" t="n">
        <v>0</v>
      </c>
      <c r="AJ95" s="16" t="n">
        <v>0</v>
      </c>
      <c r="AK95" s="16" t="n">
        <v>0</v>
      </c>
      <c r="AL95" s="16" t="n">
        <v>0</v>
      </c>
      <c r="AM95" s="16" t="n">
        <v>0</v>
      </c>
      <c r="AN95" s="16" t="n">
        <v>0</v>
      </c>
      <c r="AO95" s="16" t="n">
        <v>0</v>
      </c>
      <c r="AP95" s="16" t="n">
        <v>0</v>
      </c>
      <c r="AQ95" s="16" t="n">
        <v>0</v>
      </c>
      <c r="AR95" s="16" t="n">
        <v>0</v>
      </c>
      <c r="AS95" s="16" t="n">
        <v>0</v>
      </c>
      <c r="AT95" s="16" t="n">
        <v>0</v>
      </c>
      <c r="AU95" s="16" t="n">
        <v>0</v>
      </c>
      <c r="AV95" s="16" t="n">
        <v>0</v>
      </c>
      <c r="AW95" s="16" t="n">
        <v>0</v>
      </c>
      <c r="AX95" s="16" t="n">
        <v>0</v>
      </c>
      <c r="AY95" s="16" t="n">
        <v>0</v>
      </c>
      <c r="AZ95" s="16" t="n">
        <v>0</v>
      </c>
      <c r="BA95" s="16" t="n">
        <v>0</v>
      </c>
      <c r="BB95" s="16" t="n">
        <v>0</v>
      </c>
      <c r="BC95" s="16" t="n">
        <v>0</v>
      </c>
      <c r="BD95" s="16" t="n">
        <v>0</v>
      </c>
      <c r="BE95" s="16" t="n">
        <v>0</v>
      </c>
      <c r="BF95" s="16" t="n">
        <v>0</v>
      </c>
      <c r="BG95" s="16" t="n">
        <v>0</v>
      </c>
      <c r="BH95" s="16" t="n">
        <v>0</v>
      </c>
      <c r="BI95" s="16" t="n">
        <v>0</v>
      </c>
      <c r="BJ95" s="16" t="n">
        <v>0</v>
      </c>
      <c r="BK95" s="16" t="n">
        <v>0</v>
      </c>
      <c r="BL95" s="16" t="n">
        <v>0</v>
      </c>
      <c r="BM95" s="16" t="n">
        <v>0</v>
      </c>
      <c r="BN95" s="16" t="n">
        <v>0</v>
      </c>
      <c r="BO95" s="16" t="n">
        <v>0</v>
      </c>
      <c r="BP95" s="16" t="n">
        <v>0</v>
      </c>
      <c r="BQ95" s="16" t="n">
        <v>0</v>
      </c>
      <c r="BR95" s="16" t="n">
        <v>0</v>
      </c>
      <c r="BS95" s="16" t="n">
        <v>0</v>
      </c>
      <c r="BT95" s="16" t="n">
        <v>0</v>
      </c>
      <c r="BU95" s="16" t="n">
        <v>0</v>
      </c>
      <c r="BV95" s="16" t="n">
        <v>0</v>
      </c>
      <c r="BW95" s="16" t="n">
        <v>0</v>
      </c>
      <c r="BX95" s="16" t="n">
        <v>0</v>
      </c>
      <c r="BY95" s="16" t="n">
        <v>0</v>
      </c>
      <c r="BZ95" s="16" t="n">
        <v>0</v>
      </c>
      <c r="CA95" s="16" t="n">
        <v>0</v>
      </c>
      <c r="CB95" s="16" t="n">
        <v>0</v>
      </c>
      <c r="CC95" s="16" t="n">
        <v>0</v>
      </c>
      <c r="CD95" s="16" t="n">
        <v>0</v>
      </c>
      <c r="CE95" s="16" t="n">
        <v>0</v>
      </c>
      <c r="CF95" s="16" t="n">
        <v>0</v>
      </c>
      <c r="CG95" s="16" t="n">
        <v>0</v>
      </c>
      <c r="CH95" s="16" t="n">
        <v>0</v>
      </c>
      <c r="CI95" s="16" t="n">
        <v>0</v>
      </c>
      <c r="CJ95" s="16" t="n">
        <v>0</v>
      </c>
      <c r="CK95" s="16" t="n">
        <v>0</v>
      </c>
      <c r="CL95" s="16" t="n">
        <v>0</v>
      </c>
      <c r="CM95" s="16" t="n">
        <v>0</v>
      </c>
      <c r="CN95" s="16" t="n">
        <v>0</v>
      </c>
      <c r="CO95" s="16" t="n">
        <v>0</v>
      </c>
      <c r="CP95" s="16" t="n">
        <v>0</v>
      </c>
      <c r="CQ95" s="16" t="n">
        <v>0</v>
      </c>
      <c r="CR95" s="16" t="n">
        <v>0</v>
      </c>
      <c r="CS95" s="16" t="n">
        <v>0</v>
      </c>
      <c r="CT95" s="16" t="n">
        <v>0</v>
      </c>
      <c r="CU95" s="16" t="n">
        <v>0</v>
      </c>
      <c r="CV95" s="16" t="n">
        <v>0</v>
      </c>
      <c r="CW95" s="16" t="n">
        <v>0</v>
      </c>
      <c r="CX95" s="16" t="n">
        <v>0</v>
      </c>
      <c r="CY95" s="16" t="n">
        <v>0</v>
      </c>
      <c r="CZ95" s="16" t="n">
        <v>0</v>
      </c>
      <c r="DA95" s="16" t="n">
        <v>0</v>
      </c>
      <c r="DB95" s="16" t="n">
        <v>0</v>
      </c>
      <c r="DC95" s="16" t="n">
        <v>0</v>
      </c>
      <c r="DD95" s="16" t="n">
        <v>0</v>
      </c>
      <c r="DE95" s="16" t="n">
        <v>0</v>
      </c>
      <c r="DF95" s="16" t="n">
        <v>0</v>
      </c>
      <c r="DG95" s="16" t="n">
        <v>0</v>
      </c>
      <c r="DH95" s="16" t="n">
        <v>0</v>
      </c>
      <c r="DI95" s="16" t="n">
        <v>0</v>
      </c>
      <c r="DJ95" s="16" t="n">
        <v>0</v>
      </c>
      <c r="DK95" s="16" t="n">
        <v>0</v>
      </c>
      <c r="DL95" s="16" t="n">
        <v>0</v>
      </c>
      <c r="DM95" s="16" t="n">
        <v>0</v>
      </c>
      <c r="DN95" s="16" t="n">
        <v>0</v>
      </c>
      <c r="DO95" s="16" t="n">
        <v>0</v>
      </c>
      <c r="DP95" s="16" t="n">
        <v>0</v>
      </c>
      <c r="DQ95" s="16" t="n">
        <v>0</v>
      </c>
      <c r="DR95" s="16" t="n">
        <v>0</v>
      </c>
      <c r="DS95" s="16" t="n">
        <v>0</v>
      </c>
      <c r="DT95" s="16" t="n">
        <v>0</v>
      </c>
      <c r="DU95" s="16" t="n">
        <v>0</v>
      </c>
      <c r="DV95" s="16" t="n">
        <v>0</v>
      </c>
      <c r="DW95" s="16" t="n">
        <v>0</v>
      </c>
      <c r="DX95" s="16" t="n">
        <v>0</v>
      </c>
      <c r="DY95" s="16" t="n">
        <v>0</v>
      </c>
      <c r="DZ95" s="16" t="n">
        <v>0</v>
      </c>
      <c r="EA95" s="16" t="n">
        <v>0</v>
      </c>
      <c r="EB95" s="16" t="n">
        <v>0</v>
      </c>
      <c r="EC95" s="16" t="n">
        <v>0</v>
      </c>
      <c r="ED95" s="16" t="n">
        <v>0</v>
      </c>
      <c r="EE95" s="16" t="n">
        <v>0</v>
      </c>
      <c r="EF95" s="16" t="n">
        <v>0</v>
      </c>
    </row>
    <row r="96" customFormat="false" ht="15" hidden="false" customHeight="true" outlineLevel="0" collapsed="false">
      <c r="A96" s="9" t="s">
        <v>12</v>
      </c>
      <c r="B96" s="9" t="s">
        <v>36</v>
      </c>
      <c r="C96" s="9" t="s">
        <v>36</v>
      </c>
      <c r="D96" s="9" t="s">
        <v>337</v>
      </c>
      <c r="E96" s="9" t="s">
        <v>10</v>
      </c>
      <c r="F96" s="9" t="s">
        <v>81</v>
      </c>
      <c r="G96" s="16" t="n">
        <v>0</v>
      </c>
      <c r="H96" s="16" t="n">
        <v>0</v>
      </c>
      <c r="I96" s="16" t="n">
        <v>0</v>
      </c>
      <c r="J96" s="16" t="n">
        <v>0</v>
      </c>
      <c r="K96" s="16" t="n">
        <v>0</v>
      </c>
      <c r="L96" s="16" t="n">
        <v>0</v>
      </c>
      <c r="M96" s="16" t="n">
        <v>0</v>
      </c>
      <c r="N96" s="16" t="n">
        <v>0</v>
      </c>
      <c r="O96" s="16" t="n">
        <v>0</v>
      </c>
      <c r="P96" s="16" t="n">
        <v>0</v>
      </c>
      <c r="Q96" s="16" t="n">
        <v>0</v>
      </c>
      <c r="R96" s="16" t="n">
        <v>0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0</v>
      </c>
      <c r="X96" s="16" t="n">
        <v>0</v>
      </c>
      <c r="Y96" s="16" t="n">
        <v>0</v>
      </c>
      <c r="Z96" s="16" t="n">
        <v>0</v>
      </c>
      <c r="AA96" s="16" t="n">
        <v>0</v>
      </c>
      <c r="AB96" s="16" t="n">
        <v>0</v>
      </c>
      <c r="AC96" s="16" t="n">
        <v>0</v>
      </c>
      <c r="AD96" s="16" t="n">
        <v>0</v>
      </c>
      <c r="AE96" s="16" t="n">
        <v>0</v>
      </c>
      <c r="AF96" s="16" t="n">
        <v>0</v>
      </c>
      <c r="AG96" s="16" t="n">
        <v>0</v>
      </c>
      <c r="AH96" s="16" t="n">
        <v>0</v>
      </c>
      <c r="AI96" s="16" t="n">
        <v>0</v>
      </c>
      <c r="AJ96" s="16" t="n">
        <v>0</v>
      </c>
      <c r="AK96" s="16" t="n">
        <v>0</v>
      </c>
      <c r="AL96" s="16" t="n">
        <v>0</v>
      </c>
      <c r="AM96" s="16" t="n">
        <v>0</v>
      </c>
      <c r="AN96" s="16" t="n">
        <v>0</v>
      </c>
      <c r="AO96" s="16" t="n">
        <v>0</v>
      </c>
      <c r="AP96" s="16" t="n">
        <v>0</v>
      </c>
      <c r="AQ96" s="16" t="n">
        <v>0</v>
      </c>
      <c r="AR96" s="16" t="n">
        <v>0</v>
      </c>
      <c r="AS96" s="16" t="n">
        <v>0</v>
      </c>
      <c r="AT96" s="16" t="n">
        <v>0</v>
      </c>
      <c r="AU96" s="16" t="n">
        <v>0</v>
      </c>
      <c r="AV96" s="16" t="n">
        <v>0</v>
      </c>
      <c r="AW96" s="16" t="n">
        <v>0</v>
      </c>
      <c r="AX96" s="16" t="n">
        <v>0</v>
      </c>
      <c r="AY96" s="16" t="n">
        <v>0</v>
      </c>
      <c r="AZ96" s="16" t="n">
        <v>0</v>
      </c>
      <c r="BA96" s="16" t="n">
        <v>0</v>
      </c>
      <c r="BB96" s="16" t="n">
        <v>0</v>
      </c>
      <c r="BC96" s="16" t="n">
        <v>0</v>
      </c>
      <c r="BD96" s="16" t="n">
        <v>0</v>
      </c>
      <c r="BE96" s="16" t="n">
        <v>0</v>
      </c>
      <c r="BF96" s="16" t="n">
        <v>0</v>
      </c>
      <c r="BG96" s="16" t="n">
        <v>0</v>
      </c>
      <c r="BH96" s="16" t="n">
        <v>0</v>
      </c>
      <c r="BI96" s="16" t="n">
        <v>0</v>
      </c>
      <c r="BJ96" s="16" t="n">
        <v>0</v>
      </c>
      <c r="BK96" s="16" t="n">
        <v>0</v>
      </c>
      <c r="BL96" s="16" t="n">
        <v>0</v>
      </c>
      <c r="BM96" s="16" t="n">
        <v>0</v>
      </c>
      <c r="BN96" s="16" t="n">
        <v>0</v>
      </c>
      <c r="BO96" s="16" t="n">
        <v>0</v>
      </c>
      <c r="BP96" s="16" t="n">
        <v>0</v>
      </c>
      <c r="BQ96" s="16" t="n">
        <v>0</v>
      </c>
      <c r="BR96" s="16" t="n">
        <v>0</v>
      </c>
      <c r="BS96" s="16" t="n">
        <v>0</v>
      </c>
      <c r="BT96" s="16" t="n">
        <v>0</v>
      </c>
      <c r="BU96" s="16" t="n">
        <v>0</v>
      </c>
      <c r="BV96" s="16" t="n">
        <v>0</v>
      </c>
      <c r="BW96" s="16" t="n">
        <v>0</v>
      </c>
      <c r="BX96" s="16" t="n">
        <v>0</v>
      </c>
      <c r="BY96" s="16" t="n">
        <v>0</v>
      </c>
      <c r="BZ96" s="16" t="n">
        <v>0</v>
      </c>
      <c r="CA96" s="16" t="n">
        <v>0</v>
      </c>
      <c r="CB96" s="16" t="n">
        <v>0</v>
      </c>
      <c r="CC96" s="16" t="n">
        <v>0</v>
      </c>
      <c r="CD96" s="16" t="n">
        <v>0</v>
      </c>
      <c r="CE96" s="16" t="n">
        <v>0</v>
      </c>
      <c r="CF96" s="16" t="n">
        <v>0</v>
      </c>
      <c r="CG96" s="16" t="n">
        <v>0</v>
      </c>
      <c r="CH96" s="16" t="n">
        <v>0</v>
      </c>
      <c r="CI96" s="16" t="n">
        <v>0</v>
      </c>
      <c r="CJ96" s="16" t="n">
        <v>0</v>
      </c>
      <c r="CK96" s="16" t="n">
        <v>0</v>
      </c>
      <c r="CL96" s="16" t="n">
        <v>0</v>
      </c>
      <c r="CM96" s="16" t="n">
        <v>0</v>
      </c>
      <c r="CN96" s="16" t="n">
        <v>0</v>
      </c>
      <c r="CO96" s="16" t="n">
        <v>0</v>
      </c>
      <c r="CP96" s="16" t="n">
        <v>0</v>
      </c>
      <c r="CQ96" s="16" t="n">
        <v>0</v>
      </c>
      <c r="CR96" s="16" t="n">
        <v>0</v>
      </c>
      <c r="CS96" s="16" t="n">
        <v>0</v>
      </c>
      <c r="CT96" s="16" t="n">
        <v>0</v>
      </c>
      <c r="CU96" s="16" t="n">
        <v>0</v>
      </c>
      <c r="CV96" s="16" t="n">
        <v>0</v>
      </c>
      <c r="CW96" s="16" t="n">
        <v>0</v>
      </c>
      <c r="CX96" s="16" t="n">
        <v>0</v>
      </c>
      <c r="CY96" s="16" t="n">
        <v>0</v>
      </c>
      <c r="CZ96" s="16" t="n">
        <v>0</v>
      </c>
      <c r="DA96" s="16" t="n">
        <v>0</v>
      </c>
      <c r="DB96" s="16" t="n">
        <v>0</v>
      </c>
      <c r="DC96" s="16" t="n">
        <v>0</v>
      </c>
      <c r="DD96" s="16" t="n">
        <v>0</v>
      </c>
      <c r="DE96" s="16" t="n">
        <v>0</v>
      </c>
      <c r="DF96" s="16" t="n">
        <v>0</v>
      </c>
      <c r="DG96" s="16" t="n">
        <v>0</v>
      </c>
      <c r="DH96" s="16" t="n">
        <v>0</v>
      </c>
      <c r="DI96" s="16" t="n">
        <v>0</v>
      </c>
      <c r="DJ96" s="16" t="n">
        <v>0</v>
      </c>
      <c r="DK96" s="16" t="n">
        <v>0</v>
      </c>
      <c r="DL96" s="16" t="n">
        <v>0</v>
      </c>
      <c r="DM96" s="16" t="n">
        <v>0</v>
      </c>
      <c r="DN96" s="16" t="n">
        <v>0</v>
      </c>
      <c r="DO96" s="16" t="n">
        <v>0</v>
      </c>
      <c r="DP96" s="16" t="n">
        <v>0</v>
      </c>
      <c r="DQ96" s="16" t="n">
        <v>0</v>
      </c>
      <c r="DR96" s="16" t="n">
        <v>0</v>
      </c>
      <c r="DS96" s="16" t="n">
        <v>0</v>
      </c>
      <c r="DT96" s="16" t="n">
        <v>0</v>
      </c>
      <c r="DU96" s="16" t="n">
        <v>0</v>
      </c>
      <c r="DV96" s="16" t="n">
        <v>0</v>
      </c>
      <c r="DW96" s="16" t="n">
        <v>0</v>
      </c>
      <c r="DX96" s="16" t="n">
        <v>0</v>
      </c>
      <c r="DY96" s="16" t="n">
        <v>0</v>
      </c>
      <c r="DZ96" s="16" t="n">
        <v>0</v>
      </c>
      <c r="EA96" s="16" t="n">
        <v>0</v>
      </c>
      <c r="EB96" s="16" t="n">
        <v>0</v>
      </c>
      <c r="EC96" s="16" t="n">
        <v>0</v>
      </c>
      <c r="ED96" s="16" t="n">
        <v>0</v>
      </c>
      <c r="EE96" s="16" t="n">
        <v>0</v>
      </c>
      <c r="EF96" s="16" t="n">
        <v>0</v>
      </c>
    </row>
    <row r="97" customFormat="false" ht="15" hidden="false" customHeight="true" outlineLevel="0" collapsed="false">
      <c r="A97" s="9" t="s">
        <v>12</v>
      </c>
      <c r="B97" s="9" t="s">
        <v>36</v>
      </c>
      <c r="C97" s="9" t="s">
        <v>36</v>
      </c>
      <c r="D97" s="9" t="s">
        <v>336</v>
      </c>
      <c r="E97" s="9" t="s">
        <v>10</v>
      </c>
      <c r="F97" s="9" t="s">
        <v>81</v>
      </c>
      <c r="G97" s="16" t="n">
        <v>0</v>
      </c>
      <c r="H97" s="16" t="n">
        <v>0</v>
      </c>
      <c r="I97" s="16" t="n">
        <v>0</v>
      </c>
      <c r="J97" s="16" t="n">
        <v>0</v>
      </c>
      <c r="K97" s="16" t="n">
        <v>0</v>
      </c>
      <c r="L97" s="16" t="n">
        <v>0</v>
      </c>
      <c r="M97" s="16" t="n">
        <v>0</v>
      </c>
      <c r="N97" s="16" t="n">
        <v>0</v>
      </c>
      <c r="O97" s="16" t="n">
        <v>0</v>
      </c>
      <c r="P97" s="16" t="n">
        <v>0</v>
      </c>
      <c r="Q97" s="16" t="n">
        <v>0</v>
      </c>
      <c r="R97" s="16" t="n">
        <v>0</v>
      </c>
      <c r="S97" s="16" t="n">
        <v>0</v>
      </c>
      <c r="T97" s="16" t="n">
        <v>0</v>
      </c>
      <c r="U97" s="16" t="n">
        <v>0</v>
      </c>
      <c r="V97" s="16" t="n">
        <v>0</v>
      </c>
      <c r="W97" s="16" t="n">
        <v>0</v>
      </c>
      <c r="X97" s="16" t="n">
        <v>0</v>
      </c>
      <c r="Y97" s="16" t="n">
        <v>0</v>
      </c>
      <c r="Z97" s="16" t="n">
        <v>0</v>
      </c>
      <c r="AA97" s="16" t="n">
        <v>0</v>
      </c>
      <c r="AB97" s="16" t="n">
        <v>0</v>
      </c>
      <c r="AC97" s="16" t="n">
        <v>0</v>
      </c>
      <c r="AD97" s="16" t="n">
        <v>0</v>
      </c>
      <c r="AE97" s="16" t="n">
        <v>0</v>
      </c>
      <c r="AF97" s="16" t="n">
        <v>0</v>
      </c>
      <c r="AG97" s="16" t="n">
        <v>0</v>
      </c>
      <c r="AH97" s="16" t="n">
        <v>0</v>
      </c>
      <c r="AI97" s="16" t="n">
        <v>0</v>
      </c>
      <c r="AJ97" s="16" t="n">
        <v>0</v>
      </c>
      <c r="AK97" s="16" t="n">
        <v>0</v>
      </c>
      <c r="AL97" s="16" t="n">
        <v>0</v>
      </c>
      <c r="AM97" s="16" t="n">
        <v>0</v>
      </c>
      <c r="AN97" s="16" t="n">
        <v>0</v>
      </c>
      <c r="AO97" s="16" t="n">
        <v>0</v>
      </c>
      <c r="AP97" s="16" t="n">
        <v>0</v>
      </c>
      <c r="AQ97" s="16" t="n">
        <v>0</v>
      </c>
      <c r="AR97" s="16" t="n">
        <v>0</v>
      </c>
      <c r="AS97" s="16" t="n">
        <v>0</v>
      </c>
      <c r="AT97" s="16" t="n">
        <v>0</v>
      </c>
      <c r="AU97" s="16" t="n">
        <v>0</v>
      </c>
      <c r="AV97" s="16" t="n">
        <v>0</v>
      </c>
      <c r="AW97" s="16" t="n">
        <v>0</v>
      </c>
      <c r="AX97" s="16" t="n">
        <v>0</v>
      </c>
      <c r="AY97" s="16" t="n">
        <v>0</v>
      </c>
      <c r="AZ97" s="16" t="n">
        <v>0</v>
      </c>
      <c r="BA97" s="16" t="n">
        <v>0</v>
      </c>
      <c r="BB97" s="16" t="n">
        <v>0</v>
      </c>
      <c r="BC97" s="16" t="n">
        <v>0</v>
      </c>
      <c r="BD97" s="16" t="n">
        <v>0</v>
      </c>
      <c r="BE97" s="16" t="n">
        <v>0</v>
      </c>
      <c r="BF97" s="16" t="n">
        <v>0</v>
      </c>
      <c r="BG97" s="16" t="n">
        <v>0</v>
      </c>
      <c r="BH97" s="16" t="n">
        <v>0</v>
      </c>
      <c r="BI97" s="16" t="n">
        <v>0</v>
      </c>
      <c r="BJ97" s="16" t="n">
        <v>0</v>
      </c>
      <c r="BK97" s="16" t="n">
        <v>0</v>
      </c>
      <c r="BL97" s="16" t="n">
        <v>0</v>
      </c>
      <c r="BM97" s="16" t="n">
        <v>0</v>
      </c>
      <c r="BN97" s="16" t="n">
        <v>0</v>
      </c>
      <c r="BO97" s="16" t="n">
        <v>0</v>
      </c>
      <c r="BP97" s="16" t="n">
        <v>0</v>
      </c>
      <c r="BQ97" s="16" t="n">
        <v>0</v>
      </c>
      <c r="BR97" s="16" t="n">
        <v>0</v>
      </c>
      <c r="BS97" s="16" t="n">
        <v>0</v>
      </c>
      <c r="BT97" s="16" t="n">
        <v>0</v>
      </c>
      <c r="BU97" s="16" t="n">
        <v>0</v>
      </c>
      <c r="BV97" s="16" t="n">
        <v>0</v>
      </c>
      <c r="BW97" s="16" t="n">
        <v>0</v>
      </c>
      <c r="BX97" s="16" t="n">
        <v>0</v>
      </c>
      <c r="BY97" s="16" t="n">
        <v>0</v>
      </c>
      <c r="BZ97" s="16" t="n">
        <v>0</v>
      </c>
      <c r="CA97" s="16" t="n">
        <v>0</v>
      </c>
      <c r="CB97" s="16" t="n">
        <v>0</v>
      </c>
      <c r="CC97" s="16" t="n">
        <v>0</v>
      </c>
      <c r="CD97" s="16" t="n">
        <v>0</v>
      </c>
      <c r="CE97" s="16" t="n">
        <v>0</v>
      </c>
      <c r="CF97" s="16" t="n">
        <v>0</v>
      </c>
      <c r="CG97" s="16" t="n">
        <v>0</v>
      </c>
      <c r="CH97" s="16" t="n">
        <v>0</v>
      </c>
      <c r="CI97" s="16" t="n">
        <v>0</v>
      </c>
      <c r="CJ97" s="16" t="n">
        <v>0</v>
      </c>
      <c r="CK97" s="16" t="n">
        <v>0</v>
      </c>
      <c r="CL97" s="16" t="n">
        <v>0</v>
      </c>
      <c r="CM97" s="16" t="n">
        <v>0</v>
      </c>
      <c r="CN97" s="16" t="n">
        <v>0</v>
      </c>
      <c r="CO97" s="16" t="n">
        <v>0</v>
      </c>
      <c r="CP97" s="16" t="n">
        <v>0</v>
      </c>
      <c r="CQ97" s="16" t="n">
        <v>0</v>
      </c>
      <c r="CR97" s="16" t="n">
        <v>0</v>
      </c>
      <c r="CS97" s="16" t="n">
        <v>0</v>
      </c>
      <c r="CT97" s="16" t="n">
        <v>0</v>
      </c>
      <c r="CU97" s="16" t="n">
        <v>0</v>
      </c>
      <c r="CV97" s="16" t="n">
        <v>0</v>
      </c>
      <c r="CW97" s="16" t="n">
        <v>0</v>
      </c>
      <c r="CX97" s="16" t="n">
        <v>0</v>
      </c>
      <c r="CY97" s="16" t="n">
        <v>0</v>
      </c>
      <c r="CZ97" s="16" t="n">
        <v>0</v>
      </c>
      <c r="DA97" s="16" t="n">
        <v>0</v>
      </c>
      <c r="DB97" s="16" t="n">
        <v>0</v>
      </c>
      <c r="DC97" s="16" t="n">
        <v>0</v>
      </c>
      <c r="DD97" s="16" t="n">
        <v>0</v>
      </c>
      <c r="DE97" s="16" t="n">
        <v>0</v>
      </c>
      <c r="DF97" s="16" t="n">
        <v>0</v>
      </c>
      <c r="DG97" s="16" t="n">
        <v>0</v>
      </c>
      <c r="DH97" s="16" t="n">
        <v>0</v>
      </c>
      <c r="DI97" s="16" t="n">
        <v>0</v>
      </c>
      <c r="DJ97" s="16" t="n">
        <v>0</v>
      </c>
      <c r="DK97" s="16" t="n">
        <v>0</v>
      </c>
      <c r="DL97" s="16" t="n">
        <v>0</v>
      </c>
      <c r="DM97" s="16" t="n">
        <v>0</v>
      </c>
      <c r="DN97" s="16" t="n">
        <v>0</v>
      </c>
      <c r="DO97" s="16" t="n">
        <v>0</v>
      </c>
      <c r="DP97" s="16" t="n">
        <v>0</v>
      </c>
      <c r="DQ97" s="16" t="n">
        <v>0</v>
      </c>
      <c r="DR97" s="16" t="n">
        <v>0</v>
      </c>
      <c r="DS97" s="16" t="n">
        <v>0</v>
      </c>
      <c r="DT97" s="16" t="n">
        <v>0</v>
      </c>
      <c r="DU97" s="16" t="n">
        <v>0</v>
      </c>
      <c r="DV97" s="16" t="n">
        <v>0</v>
      </c>
      <c r="DW97" s="16" t="n">
        <v>0</v>
      </c>
      <c r="DX97" s="16" t="n">
        <v>0</v>
      </c>
      <c r="DY97" s="16" t="n">
        <v>0</v>
      </c>
      <c r="DZ97" s="16" t="n">
        <v>0</v>
      </c>
      <c r="EA97" s="16" t="n">
        <v>0</v>
      </c>
      <c r="EB97" s="16" t="n">
        <v>0</v>
      </c>
      <c r="EC97" s="16" t="n">
        <v>0</v>
      </c>
      <c r="ED97" s="16" t="n">
        <v>0</v>
      </c>
      <c r="EE97" s="16" t="n">
        <v>0</v>
      </c>
      <c r="EF97" s="16" t="n">
        <v>0</v>
      </c>
    </row>
    <row r="98" customFormat="false" ht="15" hidden="false" customHeight="true" outlineLevel="0" collapsed="false">
      <c r="A98" s="9" t="s">
        <v>12</v>
      </c>
      <c r="B98" s="9" t="s">
        <v>36</v>
      </c>
      <c r="C98" s="9" t="s">
        <v>36</v>
      </c>
      <c r="D98" s="9" t="s">
        <v>337</v>
      </c>
      <c r="E98" s="9" t="s">
        <v>10</v>
      </c>
      <c r="F98" s="9" t="s">
        <v>109</v>
      </c>
      <c r="G98" s="16" t="n">
        <v>0</v>
      </c>
      <c r="H98" s="16" t="n">
        <v>0</v>
      </c>
      <c r="I98" s="16" t="n">
        <v>90</v>
      </c>
      <c r="J98" s="16" t="n">
        <v>-90</v>
      </c>
      <c r="K98" s="16" t="n">
        <v>0</v>
      </c>
      <c r="L98" s="16" t="n">
        <v>0</v>
      </c>
      <c r="M98" s="16" t="n">
        <v>0</v>
      </c>
      <c r="N98" s="16" t="n">
        <v>0</v>
      </c>
      <c r="O98" s="16" t="n">
        <v>0</v>
      </c>
      <c r="P98" s="16" t="n">
        <v>0</v>
      </c>
      <c r="Q98" s="16" t="n">
        <v>0</v>
      </c>
      <c r="R98" s="16" t="n">
        <v>0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0</v>
      </c>
      <c r="X98" s="16" t="n">
        <v>0</v>
      </c>
      <c r="Y98" s="16" t="n">
        <v>0</v>
      </c>
      <c r="Z98" s="16" t="n">
        <v>0</v>
      </c>
      <c r="AA98" s="16" t="n">
        <v>0</v>
      </c>
      <c r="AB98" s="16" t="n">
        <v>0</v>
      </c>
      <c r="AC98" s="16" t="n">
        <v>0</v>
      </c>
      <c r="AD98" s="16" t="n">
        <v>0</v>
      </c>
      <c r="AE98" s="16" t="n">
        <v>0</v>
      </c>
      <c r="AF98" s="16" t="n">
        <v>0</v>
      </c>
      <c r="AG98" s="16" t="n">
        <v>0</v>
      </c>
      <c r="AH98" s="16" t="n">
        <v>0</v>
      </c>
      <c r="AI98" s="16" t="n">
        <v>0</v>
      </c>
      <c r="AJ98" s="16" t="n">
        <v>7</v>
      </c>
      <c r="AK98" s="16" t="n">
        <v>0.5</v>
      </c>
      <c r="AL98" s="16" t="n">
        <v>0</v>
      </c>
      <c r="AM98" s="16" t="n">
        <v>0</v>
      </c>
      <c r="AN98" s="16" t="n">
        <v>0.5</v>
      </c>
      <c r="AO98" s="16" t="n">
        <v>0</v>
      </c>
      <c r="AP98" s="16" t="n">
        <v>0</v>
      </c>
      <c r="AQ98" s="16" t="n">
        <v>0</v>
      </c>
      <c r="AR98" s="16" t="n">
        <v>8</v>
      </c>
      <c r="AS98" s="16" t="n">
        <v>3</v>
      </c>
      <c r="AT98" s="16" t="n">
        <v>0</v>
      </c>
      <c r="AU98" s="16" t="n">
        <v>0</v>
      </c>
      <c r="AV98" s="16" t="n">
        <v>0</v>
      </c>
      <c r="AW98" s="16" t="n">
        <v>0</v>
      </c>
      <c r="AX98" s="16" t="n">
        <v>0</v>
      </c>
      <c r="AY98" s="16" t="n">
        <v>0</v>
      </c>
      <c r="AZ98" s="16" t="n">
        <v>0</v>
      </c>
      <c r="BA98" s="16" t="n">
        <v>0</v>
      </c>
      <c r="BB98" s="16" t="n">
        <v>0</v>
      </c>
      <c r="BC98" s="16" t="n">
        <v>0</v>
      </c>
      <c r="BD98" s="16" t="n">
        <v>0</v>
      </c>
      <c r="BE98" s="16" t="n">
        <v>0</v>
      </c>
      <c r="BF98" s="16" t="n">
        <v>0</v>
      </c>
      <c r="BG98" s="16" t="n">
        <v>0</v>
      </c>
      <c r="BH98" s="16" t="n">
        <v>0</v>
      </c>
      <c r="BI98" s="16" t="n">
        <v>0</v>
      </c>
      <c r="BJ98" s="16" t="n">
        <v>0</v>
      </c>
      <c r="BK98" s="16" t="n">
        <v>0</v>
      </c>
      <c r="BL98" s="16" t="n">
        <v>0</v>
      </c>
      <c r="BM98" s="16" t="n">
        <v>0</v>
      </c>
      <c r="BN98" s="16" t="n">
        <v>0</v>
      </c>
      <c r="BO98" s="16" t="n">
        <v>0</v>
      </c>
      <c r="BP98" s="16" t="n">
        <v>0</v>
      </c>
      <c r="BQ98" s="16" t="n">
        <v>0</v>
      </c>
      <c r="BR98" s="16" t="n">
        <v>0</v>
      </c>
      <c r="BS98" s="16" t="n">
        <v>0</v>
      </c>
      <c r="BT98" s="16" t="n">
        <v>0</v>
      </c>
      <c r="BU98" s="16" t="n">
        <v>0</v>
      </c>
      <c r="BV98" s="16" t="n">
        <v>0</v>
      </c>
      <c r="BW98" s="16" t="n">
        <v>0</v>
      </c>
      <c r="BX98" s="16" t="n">
        <v>0</v>
      </c>
      <c r="BY98" s="16" t="n">
        <v>0</v>
      </c>
      <c r="BZ98" s="16" t="n">
        <v>0</v>
      </c>
      <c r="CA98" s="16" t="n">
        <v>0</v>
      </c>
      <c r="CB98" s="16" t="n">
        <v>0</v>
      </c>
      <c r="CC98" s="16" t="n">
        <v>0</v>
      </c>
      <c r="CD98" s="16" t="n">
        <v>0</v>
      </c>
      <c r="CE98" s="16" t="n">
        <v>0</v>
      </c>
      <c r="CF98" s="16" t="n">
        <v>0</v>
      </c>
      <c r="CG98" s="16" t="n">
        <v>0</v>
      </c>
      <c r="CH98" s="16" t="n">
        <v>0</v>
      </c>
      <c r="CI98" s="16" t="n">
        <v>0</v>
      </c>
      <c r="CJ98" s="16" t="n">
        <v>0</v>
      </c>
      <c r="CK98" s="16" t="n">
        <v>0</v>
      </c>
      <c r="CL98" s="16" t="n">
        <v>0</v>
      </c>
      <c r="CM98" s="16" t="n">
        <v>0</v>
      </c>
      <c r="CN98" s="16" t="n">
        <v>0</v>
      </c>
      <c r="CO98" s="16" t="n">
        <v>0</v>
      </c>
      <c r="CP98" s="16" t="n">
        <v>0</v>
      </c>
      <c r="CQ98" s="16" t="n">
        <v>0</v>
      </c>
      <c r="CR98" s="16" t="n">
        <v>0</v>
      </c>
      <c r="CS98" s="16" t="n">
        <v>10</v>
      </c>
      <c r="CT98" s="16" t="n">
        <v>10</v>
      </c>
      <c r="CU98" s="16" t="n">
        <v>0</v>
      </c>
      <c r="CV98" s="16" t="n">
        <v>0</v>
      </c>
      <c r="CW98" s="16" t="n">
        <v>0</v>
      </c>
      <c r="CX98" s="16" t="n">
        <v>0</v>
      </c>
      <c r="CY98" s="16" t="n">
        <v>0</v>
      </c>
      <c r="CZ98" s="16" t="n">
        <v>0</v>
      </c>
      <c r="DA98" s="16" t="n">
        <v>0</v>
      </c>
      <c r="DB98" s="16" t="n">
        <v>0</v>
      </c>
      <c r="DC98" s="16" t="n">
        <v>10</v>
      </c>
      <c r="DD98" s="16" t="n">
        <v>10</v>
      </c>
      <c r="DE98" s="16" t="n">
        <v>0</v>
      </c>
      <c r="DF98" s="16" t="n">
        <v>0</v>
      </c>
      <c r="DG98" s="16" t="n">
        <v>0</v>
      </c>
      <c r="DH98" s="16" t="n">
        <v>0</v>
      </c>
      <c r="DI98" s="16" t="n">
        <v>0</v>
      </c>
      <c r="DJ98" s="16" t="n">
        <v>0</v>
      </c>
      <c r="DK98" s="16" t="n">
        <v>0</v>
      </c>
      <c r="DL98" s="16" t="n">
        <v>0</v>
      </c>
      <c r="DM98" s="16" t="n">
        <v>9</v>
      </c>
      <c r="DN98" s="16" t="n">
        <v>7</v>
      </c>
      <c r="DO98" s="16" t="n">
        <v>6</v>
      </c>
      <c r="DP98" s="16" t="n">
        <v>6</v>
      </c>
      <c r="DQ98" s="16" t="n">
        <v>6</v>
      </c>
      <c r="DR98" s="16" t="n">
        <v>0</v>
      </c>
      <c r="DS98" s="16" t="n">
        <v>0</v>
      </c>
      <c r="DT98" s="16" t="n">
        <v>0</v>
      </c>
      <c r="DU98" s="16" t="n">
        <v>0</v>
      </c>
      <c r="DV98" s="16" t="n">
        <v>0</v>
      </c>
      <c r="DW98" s="16" t="n">
        <v>0</v>
      </c>
      <c r="DX98" s="16" t="n">
        <v>0</v>
      </c>
      <c r="DY98" s="16" t="n">
        <v>0</v>
      </c>
      <c r="DZ98" s="16" t="n">
        <v>0</v>
      </c>
      <c r="EA98" s="16" t="n">
        <v>0</v>
      </c>
      <c r="EB98" s="16" t="n">
        <v>0</v>
      </c>
      <c r="EC98" s="16" t="n">
        <v>0</v>
      </c>
      <c r="ED98" s="16" t="n">
        <v>0</v>
      </c>
      <c r="EE98" s="16" t="n">
        <v>0</v>
      </c>
      <c r="EF98" s="16" t="n">
        <v>0</v>
      </c>
    </row>
    <row r="99" customFormat="false" ht="15" hidden="false" customHeight="true" outlineLevel="0" collapsed="false">
      <c r="A99" s="9" t="s">
        <v>12</v>
      </c>
      <c r="B99" s="9" t="s">
        <v>36</v>
      </c>
      <c r="C99" s="9" t="s">
        <v>36</v>
      </c>
      <c r="D99" s="9" t="s">
        <v>336</v>
      </c>
      <c r="E99" s="9" t="s">
        <v>10</v>
      </c>
      <c r="F99" s="9" t="s">
        <v>109</v>
      </c>
      <c r="G99" s="16" t="n">
        <v>59</v>
      </c>
      <c r="H99" s="16" t="n">
        <v>133</v>
      </c>
      <c r="I99" s="16" t="n">
        <v>43</v>
      </c>
      <c r="J99" s="16" t="n">
        <v>90</v>
      </c>
      <c r="K99" s="16" t="n">
        <v>0</v>
      </c>
      <c r="L99" s="16" t="n">
        <v>0</v>
      </c>
      <c r="M99" s="16" t="n">
        <v>0</v>
      </c>
      <c r="N99" s="16" t="n">
        <v>0</v>
      </c>
      <c r="O99" s="16" t="n">
        <v>0</v>
      </c>
      <c r="P99" s="16" t="n">
        <v>0</v>
      </c>
      <c r="Q99" s="16" t="n">
        <v>0</v>
      </c>
      <c r="R99" s="16" t="n">
        <v>0</v>
      </c>
      <c r="S99" s="16" t="n">
        <v>0</v>
      </c>
      <c r="T99" s="16" t="n">
        <v>0</v>
      </c>
      <c r="U99" s="16" t="n">
        <v>0</v>
      </c>
      <c r="V99" s="16" t="n">
        <v>0</v>
      </c>
      <c r="W99" s="16" t="n">
        <v>0</v>
      </c>
      <c r="X99" s="16" t="n">
        <v>0</v>
      </c>
      <c r="Y99" s="16" t="n">
        <v>0</v>
      </c>
      <c r="Z99" s="16" t="n">
        <v>0</v>
      </c>
      <c r="AA99" s="16" t="n">
        <v>0</v>
      </c>
      <c r="AB99" s="16" t="n">
        <v>2.5</v>
      </c>
      <c r="AC99" s="16" t="n">
        <v>3</v>
      </c>
      <c r="AD99" s="16" t="n">
        <v>18</v>
      </c>
      <c r="AE99" s="16" t="n">
        <v>11.5</v>
      </c>
      <c r="AF99" s="16" t="n">
        <v>2</v>
      </c>
      <c r="AG99" s="16" t="n">
        <v>3</v>
      </c>
      <c r="AH99" s="16" t="n">
        <v>0</v>
      </c>
      <c r="AI99" s="16" t="n">
        <v>1</v>
      </c>
      <c r="AJ99" s="16" t="n">
        <v>2</v>
      </c>
      <c r="AK99" s="16" t="n">
        <v>0</v>
      </c>
      <c r="AL99" s="16" t="n">
        <v>0</v>
      </c>
      <c r="AM99" s="16" t="n">
        <v>0</v>
      </c>
      <c r="AN99" s="16" t="n">
        <v>0</v>
      </c>
      <c r="AO99" s="16" t="n">
        <v>0</v>
      </c>
      <c r="AP99" s="16" t="n">
        <v>0</v>
      </c>
      <c r="AQ99" s="16" t="n">
        <v>0</v>
      </c>
      <c r="AR99" s="16" t="n">
        <v>0</v>
      </c>
      <c r="AS99" s="16" t="n">
        <v>0</v>
      </c>
      <c r="AT99" s="16" t="n">
        <v>0</v>
      </c>
      <c r="AU99" s="16" t="n">
        <v>0</v>
      </c>
      <c r="AV99" s="16" t="n">
        <v>0</v>
      </c>
      <c r="AW99" s="16" t="n">
        <v>0</v>
      </c>
      <c r="AX99" s="16" t="n">
        <v>0</v>
      </c>
      <c r="AY99" s="16" t="n">
        <v>0</v>
      </c>
      <c r="AZ99" s="16" t="n">
        <v>0</v>
      </c>
      <c r="BA99" s="16" t="n">
        <v>0</v>
      </c>
      <c r="BB99" s="16" t="n">
        <v>0</v>
      </c>
      <c r="BC99" s="16" t="n">
        <v>0</v>
      </c>
      <c r="BD99" s="16" t="n">
        <v>0</v>
      </c>
      <c r="BE99" s="16" t="n">
        <v>0</v>
      </c>
      <c r="BF99" s="16" t="n">
        <v>0</v>
      </c>
      <c r="BG99" s="16" t="n">
        <v>0</v>
      </c>
      <c r="BH99" s="16" t="n">
        <v>0</v>
      </c>
      <c r="BI99" s="16" t="n">
        <v>0</v>
      </c>
      <c r="BJ99" s="16" t="n">
        <v>0</v>
      </c>
      <c r="BK99" s="16" t="n">
        <v>0</v>
      </c>
      <c r="BL99" s="16" t="n">
        <v>0</v>
      </c>
      <c r="BM99" s="16" t="n">
        <v>0</v>
      </c>
      <c r="BN99" s="16" t="n">
        <v>0</v>
      </c>
      <c r="BO99" s="16" t="n">
        <v>0</v>
      </c>
      <c r="BP99" s="16" t="n">
        <v>0</v>
      </c>
      <c r="BQ99" s="16" t="n">
        <v>0</v>
      </c>
      <c r="BR99" s="16" t="n">
        <v>0</v>
      </c>
      <c r="BS99" s="16" t="n">
        <v>0</v>
      </c>
      <c r="BT99" s="16" t="n">
        <v>0</v>
      </c>
      <c r="BU99" s="16" t="n">
        <v>0</v>
      </c>
      <c r="BV99" s="16" t="n">
        <v>0</v>
      </c>
      <c r="BW99" s="16" t="n">
        <v>0</v>
      </c>
      <c r="BX99" s="16" t="n">
        <v>0</v>
      </c>
      <c r="BY99" s="16" t="n">
        <v>0</v>
      </c>
      <c r="BZ99" s="16" t="n">
        <v>0</v>
      </c>
      <c r="CA99" s="16" t="n">
        <v>0</v>
      </c>
      <c r="CB99" s="16" t="n">
        <v>0</v>
      </c>
      <c r="CC99" s="16" t="n">
        <v>0</v>
      </c>
      <c r="CD99" s="16" t="n">
        <v>0</v>
      </c>
      <c r="CE99" s="16" t="n">
        <v>0</v>
      </c>
      <c r="CF99" s="16" t="n">
        <v>0</v>
      </c>
      <c r="CG99" s="16" t="n">
        <v>0</v>
      </c>
      <c r="CH99" s="16" t="n">
        <v>0</v>
      </c>
      <c r="CI99" s="16" t="n">
        <v>0</v>
      </c>
      <c r="CJ99" s="16" t="n">
        <v>0</v>
      </c>
      <c r="CK99" s="16" t="n">
        <v>0</v>
      </c>
      <c r="CL99" s="16" t="n">
        <v>0</v>
      </c>
      <c r="CM99" s="16" t="n">
        <v>0</v>
      </c>
      <c r="CN99" s="16" t="n">
        <v>0</v>
      </c>
      <c r="CO99" s="16" t="n">
        <v>0</v>
      </c>
      <c r="CP99" s="16" t="n">
        <v>0</v>
      </c>
      <c r="CQ99" s="16" t="n">
        <v>0</v>
      </c>
      <c r="CR99" s="16" t="n">
        <v>0</v>
      </c>
      <c r="CS99" s="16" t="n">
        <v>0</v>
      </c>
      <c r="CT99" s="16" t="n">
        <v>0</v>
      </c>
      <c r="CU99" s="16" t="n">
        <v>0</v>
      </c>
      <c r="CV99" s="16" t="n">
        <v>0</v>
      </c>
      <c r="CW99" s="16" t="n">
        <v>0</v>
      </c>
      <c r="CX99" s="16" t="n">
        <v>0</v>
      </c>
      <c r="CY99" s="16" t="n">
        <v>0</v>
      </c>
      <c r="CZ99" s="16" t="n">
        <v>0</v>
      </c>
      <c r="DA99" s="16" t="n">
        <v>0</v>
      </c>
      <c r="DB99" s="16" t="n">
        <v>0</v>
      </c>
      <c r="DC99" s="16" t="n">
        <v>0</v>
      </c>
      <c r="DD99" s="16" t="n">
        <v>0</v>
      </c>
      <c r="DE99" s="16" t="n">
        <v>0</v>
      </c>
      <c r="DF99" s="16" t="n">
        <v>0</v>
      </c>
      <c r="DG99" s="16" t="n">
        <v>0</v>
      </c>
      <c r="DH99" s="16" t="n">
        <v>0</v>
      </c>
      <c r="DI99" s="16" t="n">
        <v>0</v>
      </c>
      <c r="DJ99" s="16" t="n">
        <v>0</v>
      </c>
      <c r="DK99" s="16" t="n">
        <v>0</v>
      </c>
      <c r="DL99" s="16" t="n">
        <v>0</v>
      </c>
      <c r="DM99" s="16" t="n">
        <v>0</v>
      </c>
      <c r="DN99" s="16" t="n">
        <v>0</v>
      </c>
      <c r="DO99" s="16" t="n">
        <v>0</v>
      </c>
      <c r="DP99" s="16" t="n">
        <v>0</v>
      </c>
      <c r="DQ99" s="16" t="n">
        <v>0</v>
      </c>
      <c r="DR99" s="16" t="n">
        <v>0</v>
      </c>
      <c r="DS99" s="16" t="n">
        <v>0</v>
      </c>
      <c r="DT99" s="16" t="n">
        <v>0</v>
      </c>
      <c r="DU99" s="16" t="n">
        <v>0</v>
      </c>
      <c r="DV99" s="16" t="n">
        <v>0</v>
      </c>
      <c r="DW99" s="16" t="n">
        <v>0</v>
      </c>
      <c r="DX99" s="16" t="n">
        <v>0</v>
      </c>
      <c r="DY99" s="16" t="n">
        <v>0</v>
      </c>
      <c r="DZ99" s="16" t="n">
        <v>0</v>
      </c>
      <c r="EA99" s="16" t="n">
        <v>0</v>
      </c>
      <c r="EB99" s="16" t="n">
        <v>0</v>
      </c>
      <c r="EC99" s="16" t="n">
        <v>0</v>
      </c>
      <c r="ED99" s="16" t="n">
        <v>0</v>
      </c>
      <c r="EE99" s="16" t="n">
        <v>0</v>
      </c>
      <c r="EF99" s="16" t="n">
        <v>0</v>
      </c>
    </row>
    <row r="100" customFormat="false" ht="15" hidden="false" customHeight="true" outlineLevel="0" collapsed="false">
      <c r="A100" s="9" t="s">
        <v>12</v>
      </c>
      <c r="B100" s="9" t="s">
        <v>36</v>
      </c>
      <c r="C100" s="9" t="s">
        <v>36</v>
      </c>
      <c r="D100" s="9" t="s">
        <v>337</v>
      </c>
      <c r="E100" s="9" t="s">
        <v>10</v>
      </c>
      <c r="F100" s="9" t="s">
        <v>110</v>
      </c>
      <c r="G100" s="16" t="n">
        <v>0</v>
      </c>
      <c r="H100" s="16" t="n">
        <v>0</v>
      </c>
      <c r="I100" s="16" t="n">
        <v>171</v>
      </c>
      <c r="J100" s="16" t="n">
        <v>-171</v>
      </c>
      <c r="K100" s="16" t="n">
        <v>0</v>
      </c>
      <c r="L100" s="16" t="n">
        <v>0</v>
      </c>
      <c r="M100" s="16" t="n">
        <v>0</v>
      </c>
      <c r="N100" s="16" t="n">
        <v>0</v>
      </c>
      <c r="O100" s="16" t="n">
        <v>0</v>
      </c>
      <c r="P100" s="16" t="n">
        <v>0</v>
      </c>
      <c r="Q100" s="16" t="n">
        <v>0</v>
      </c>
      <c r="R100" s="16" t="n">
        <v>0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0</v>
      </c>
      <c r="X100" s="16" t="n">
        <v>0</v>
      </c>
      <c r="Y100" s="16" t="n">
        <v>0</v>
      </c>
      <c r="Z100" s="16" t="n">
        <v>0</v>
      </c>
      <c r="AA100" s="16" t="n">
        <v>0</v>
      </c>
      <c r="AB100" s="16" t="n">
        <v>0</v>
      </c>
      <c r="AC100" s="16" t="n">
        <v>0</v>
      </c>
      <c r="AD100" s="16" t="n">
        <v>0</v>
      </c>
      <c r="AE100" s="16" t="n">
        <v>0</v>
      </c>
      <c r="AF100" s="16" t="n">
        <v>0</v>
      </c>
      <c r="AG100" s="16" t="n">
        <v>0</v>
      </c>
      <c r="AH100" s="16" t="n">
        <v>0</v>
      </c>
      <c r="AI100" s="16" t="n">
        <v>0</v>
      </c>
      <c r="AJ100" s="16" t="n">
        <v>0</v>
      </c>
      <c r="AK100" s="16" t="n">
        <v>2</v>
      </c>
      <c r="AL100" s="16" t="n">
        <v>0</v>
      </c>
      <c r="AM100" s="16" t="n">
        <v>1</v>
      </c>
      <c r="AN100" s="16" t="n">
        <v>1</v>
      </c>
      <c r="AO100" s="16" t="n">
        <v>4</v>
      </c>
      <c r="AP100" s="16" t="n">
        <v>0</v>
      </c>
      <c r="AQ100" s="16" t="n">
        <v>0</v>
      </c>
      <c r="AR100" s="16" t="n">
        <v>2</v>
      </c>
      <c r="AS100" s="16" t="n">
        <v>2</v>
      </c>
      <c r="AT100" s="16" t="n">
        <v>0</v>
      </c>
      <c r="AU100" s="16" t="n">
        <v>0</v>
      </c>
      <c r="AV100" s="16" t="n">
        <v>0</v>
      </c>
      <c r="AW100" s="16" t="n">
        <v>0</v>
      </c>
      <c r="AX100" s="16" t="n">
        <v>0</v>
      </c>
      <c r="AY100" s="16" t="n">
        <v>0</v>
      </c>
      <c r="AZ100" s="16" t="n">
        <v>0</v>
      </c>
      <c r="BA100" s="16" t="n">
        <v>0</v>
      </c>
      <c r="BB100" s="16" t="n">
        <v>0</v>
      </c>
      <c r="BC100" s="16" t="n">
        <v>0</v>
      </c>
      <c r="BD100" s="16" t="n">
        <v>0</v>
      </c>
      <c r="BE100" s="16" t="n">
        <v>0</v>
      </c>
      <c r="BF100" s="16" t="n">
        <v>0</v>
      </c>
      <c r="BG100" s="16" t="n">
        <v>0</v>
      </c>
      <c r="BH100" s="16" t="n">
        <v>0</v>
      </c>
      <c r="BI100" s="16" t="n">
        <v>0</v>
      </c>
      <c r="BJ100" s="16" t="n">
        <v>0</v>
      </c>
      <c r="BK100" s="16" t="n">
        <v>0</v>
      </c>
      <c r="BL100" s="16" t="n">
        <v>0</v>
      </c>
      <c r="BM100" s="16" t="n">
        <v>0</v>
      </c>
      <c r="BN100" s="16" t="n">
        <v>0</v>
      </c>
      <c r="BO100" s="16" t="n">
        <v>0</v>
      </c>
      <c r="BP100" s="16" t="n">
        <v>0</v>
      </c>
      <c r="BQ100" s="16" t="n">
        <v>0</v>
      </c>
      <c r="BR100" s="16" t="n">
        <v>0</v>
      </c>
      <c r="BS100" s="16" t="n">
        <v>0</v>
      </c>
      <c r="BT100" s="16" t="n">
        <v>0</v>
      </c>
      <c r="BU100" s="16" t="n">
        <v>0</v>
      </c>
      <c r="BV100" s="16" t="n">
        <v>0</v>
      </c>
      <c r="BW100" s="16" t="n">
        <v>0</v>
      </c>
      <c r="BX100" s="16" t="n">
        <v>0</v>
      </c>
      <c r="BY100" s="16" t="n">
        <v>0</v>
      </c>
      <c r="BZ100" s="16" t="n">
        <v>0</v>
      </c>
      <c r="CA100" s="16" t="n">
        <v>0</v>
      </c>
      <c r="CB100" s="16" t="n">
        <v>0</v>
      </c>
      <c r="CC100" s="16" t="n">
        <v>0</v>
      </c>
      <c r="CD100" s="16" t="n">
        <v>0</v>
      </c>
      <c r="CE100" s="16" t="n">
        <v>0</v>
      </c>
      <c r="CF100" s="16" t="n">
        <v>0</v>
      </c>
      <c r="CG100" s="16" t="n">
        <v>0</v>
      </c>
      <c r="CH100" s="16" t="n">
        <v>0</v>
      </c>
      <c r="CI100" s="16" t="n">
        <v>0</v>
      </c>
      <c r="CJ100" s="16" t="n">
        <v>0</v>
      </c>
      <c r="CK100" s="16" t="n">
        <v>0</v>
      </c>
      <c r="CL100" s="16" t="n">
        <v>0</v>
      </c>
      <c r="CM100" s="16" t="n">
        <v>0</v>
      </c>
      <c r="CN100" s="16" t="n">
        <v>0</v>
      </c>
      <c r="CO100" s="16" t="n">
        <v>0</v>
      </c>
      <c r="CP100" s="16" t="n">
        <v>0</v>
      </c>
      <c r="CQ100" s="16" t="n">
        <v>0</v>
      </c>
      <c r="CR100" s="16" t="n">
        <v>0</v>
      </c>
      <c r="CS100" s="16" t="n">
        <v>2</v>
      </c>
      <c r="CT100" s="16" t="n">
        <v>8</v>
      </c>
      <c r="CU100" s="16" t="n">
        <v>8</v>
      </c>
      <c r="CV100" s="16" t="n">
        <v>0</v>
      </c>
      <c r="CW100" s="16" t="n">
        <v>0</v>
      </c>
      <c r="CX100" s="16" t="n">
        <v>0</v>
      </c>
      <c r="CY100" s="16" t="n">
        <v>0</v>
      </c>
      <c r="CZ100" s="16" t="n">
        <v>10.5</v>
      </c>
      <c r="DA100" s="16" t="n">
        <v>10.5</v>
      </c>
      <c r="DB100" s="16" t="n">
        <v>8</v>
      </c>
      <c r="DC100" s="16" t="n">
        <v>8</v>
      </c>
      <c r="DD100" s="16" t="n">
        <v>0</v>
      </c>
      <c r="DE100" s="16" t="n">
        <v>0</v>
      </c>
      <c r="DF100" s="16" t="n">
        <v>0</v>
      </c>
      <c r="DG100" s="16" t="n">
        <v>6</v>
      </c>
      <c r="DH100" s="16" t="n">
        <v>6</v>
      </c>
      <c r="DI100" s="16" t="n">
        <v>0</v>
      </c>
      <c r="DJ100" s="16" t="n">
        <v>0</v>
      </c>
      <c r="DK100" s="16" t="n">
        <v>0</v>
      </c>
      <c r="DL100" s="16" t="n">
        <v>11</v>
      </c>
      <c r="DM100" s="16" t="n">
        <v>22.5</v>
      </c>
      <c r="DN100" s="16" t="n">
        <v>18.5</v>
      </c>
      <c r="DO100" s="16" t="n">
        <v>9</v>
      </c>
      <c r="DP100" s="16" t="n">
        <v>10</v>
      </c>
      <c r="DQ100" s="16" t="n">
        <v>10</v>
      </c>
      <c r="DR100" s="16" t="n">
        <v>13</v>
      </c>
      <c r="DS100" s="16" t="n">
        <v>0</v>
      </c>
      <c r="DT100" s="16" t="n">
        <v>0</v>
      </c>
      <c r="DU100" s="16" t="n">
        <v>0</v>
      </c>
      <c r="DV100" s="16" t="n">
        <v>0</v>
      </c>
      <c r="DW100" s="16" t="n">
        <v>0</v>
      </c>
      <c r="DX100" s="16" t="n">
        <v>0</v>
      </c>
      <c r="DY100" s="16" t="n">
        <v>0</v>
      </c>
      <c r="DZ100" s="16" t="n">
        <v>0</v>
      </c>
      <c r="EA100" s="16" t="n">
        <v>0</v>
      </c>
      <c r="EB100" s="16" t="n">
        <v>0</v>
      </c>
      <c r="EC100" s="16" t="n">
        <v>0</v>
      </c>
      <c r="ED100" s="16" t="n">
        <v>0</v>
      </c>
      <c r="EE100" s="16" t="n">
        <v>0</v>
      </c>
      <c r="EF100" s="16" t="n">
        <v>0</v>
      </c>
    </row>
    <row r="101" customFormat="false" ht="15" hidden="false" customHeight="true" outlineLevel="0" collapsed="false">
      <c r="A101" s="9" t="s">
        <v>12</v>
      </c>
      <c r="B101" s="9" t="s">
        <v>36</v>
      </c>
      <c r="C101" s="9" t="s">
        <v>36</v>
      </c>
      <c r="D101" s="9" t="s">
        <v>336</v>
      </c>
      <c r="E101" s="9" t="s">
        <v>10</v>
      </c>
      <c r="F101" s="9" t="s">
        <v>110</v>
      </c>
      <c r="G101" s="16" t="n">
        <v>52.6</v>
      </c>
      <c r="H101" s="16" t="n">
        <v>204.8</v>
      </c>
      <c r="I101" s="16" t="n">
        <v>9.5</v>
      </c>
      <c r="J101" s="16" t="n">
        <v>195.3</v>
      </c>
      <c r="K101" s="16" t="n">
        <v>0</v>
      </c>
      <c r="L101" s="16" t="n">
        <v>0</v>
      </c>
      <c r="M101" s="16" t="n">
        <v>0</v>
      </c>
      <c r="N101" s="16" t="n">
        <v>0</v>
      </c>
      <c r="O101" s="16" t="n">
        <v>0</v>
      </c>
      <c r="P101" s="16" t="n">
        <v>0</v>
      </c>
      <c r="Q101" s="16" t="n">
        <v>0</v>
      </c>
      <c r="R101" s="16" t="n">
        <v>0</v>
      </c>
      <c r="S101" s="16" t="n">
        <v>0</v>
      </c>
      <c r="T101" s="16" t="n">
        <v>0</v>
      </c>
      <c r="U101" s="16" t="n">
        <v>0</v>
      </c>
      <c r="V101" s="16" t="n">
        <v>0</v>
      </c>
      <c r="W101" s="16" t="n">
        <v>0</v>
      </c>
      <c r="X101" s="16" t="n">
        <v>0</v>
      </c>
      <c r="Y101" s="16" t="n">
        <v>0</v>
      </c>
      <c r="Z101" s="16" t="n">
        <v>0</v>
      </c>
      <c r="AA101" s="16" t="n">
        <v>0</v>
      </c>
      <c r="AB101" s="16" t="n">
        <v>2</v>
      </c>
      <c r="AC101" s="16" t="n">
        <v>1</v>
      </c>
      <c r="AD101" s="16" t="n">
        <v>0</v>
      </c>
      <c r="AE101" s="16" t="n">
        <v>0</v>
      </c>
      <c r="AF101" s="16" t="n">
        <v>1</v>
      </c>
      <c r="AG101" s="16" t="n">
        <v>1.5</v>
      </c>
      <c r="AH101" s="16" t="n">
        <v>0</v>
      </c>
      <c r="AI101" s="16" t="n">
        <v>4</v>
      </c>
      <c r="AJ101" s="16" t="n">
        <v>0</v>
      </c>
      <c r="AK101" s="16" t="n">
        <v>0</v>
      </c>
      <c r="AL101" s="16" t="n">
        <v>0</v>
      </c>
      <c r="AM101" s="16" t="n">
        <v>0</v>
      </c>
      <c r="AN101" s="16" t="n">
        <v>0</v>
      </c>
      <c r="AO101" s="16" t="n">
        <v>0</v>
      </c>
      <c r="AP101" s="16" t="n">
        <v>0</v>
      </c>
      <c r="AQ101" s="16" t="n">
        <v>0</v>
      </c>
      <c r="AR101" s="16" t="n">
        <v>0</v>
      </c>
      <c r="AS101" s="16" t="n">
        <v>0</v>
      </c>
      <c r="AT101" s="16" t="n">
        <v>0</v>
      </c>
      <c r="AU101" s="16" t="n">
        <v>0</v>
      </c>
      <c r="AV101" s="16" t="n">
        <v>0</v>
      </c>
      <c r="AW101" s="16" t="n">
        <v>0</v>
      </c>
      <c r="AX101" s="16" t="n">
        <v>0</v>
      </c>
      <c r="AY101" s="16" t="n">
        <v>0</v>
      </c>
      <c r="AZ101" s="16" t="n">
        <v>0</v>
      </c>
      <c r="BA101" s="16" t="n">
        <v>0</v>
      </c>
      <c r="BB101" s="16" t="n">
        <v>0</v>
      </c>
      <c r="BC101" s="16" t="n">
        <v>0</v>
      </c>
      <c r="BD101" s="16" t="n">
        <v>0</v>
      </c>
      <c r="BE101" s="16" t="n">
        <v>0</v>
      </c>
      <c r="BF101" s="16" t="n">
        <v>0</v>
      </c>
      <c r="BG101" s="16" t="n">
        <v>0</v>
      </c>
      <c r="BH101" s="16" t="n">
        <v>0</v>
      </c>
      <c r="BI101" s="16" t="n">
        <v>0</v>
      </c>
      <c r="BJ101" s="16" t="n">
        <v>0</v>
      </c>
      <c r="BK101" s="16" t="n">
        <v>0</v>
      </c>
      <c r="BL101" s="16" t="n">
        <v>0</v>
      </c>
      <c r="BM101" s="16" t="n">
        <v>0</v>
      </c>
      <c r="BN101" s="16" t="n">
        <v>0</v>
      </c>
      <c r="BO101" s="16" t="n">
        <v>0</v>
      </c>
      <c r="BP101" s="16" t="n">
        <v>0</v>
      </c>
      <c r="BQ101" s="16" t="n">
        <v>0</v>
      </c>
      <c r="BR101" s="16" t="n">
        <v>0</v>
      </c>
      <c r="BS101" s="16" t="n">
        <v>0</v>
      </c>
      <c r="BT101" s="16" t="n">
        <v>0</v>
      </c>
      <c r="BU101" s="16" t="n">
        <v>0</v>
      </c>
      <c r="BV101" s="16" t="n">
        <v>0</v>
      </c>
      <c r="BW101" s="16" t="n">
        <v>0</v>
      </c>
      <c r="BX101" s="16" t="n">
        <v>0</v>
      </c>
      <c r="BY101" s="16" t="n">
        <v>0</v>
      </c>
      <c r="BZ101" s="16" t="n">
        <v>0</v>
      </c>
      <c r="CA101" s="16" t="n">
        <v>0</v>
      </c>
      <c r="CB101" s="16" t="n">
        <v>0</v>
      </c>
      <c r="CC101" s="16" t="n">
        <v>0</v>
      </c>
      <c r="CD101" s="16" t="n">
        <v>0</v>
      </c>
      <c r="CE101" s="16" t="n">
        <v>0</v>
      </c>
      <c r="CF101" s="16" t="n">
        <v>0</v>
      </c>
      <c r="CG101" s="16" t="n">
        <v>0</v>
      </c>
      <c r="CH101" s="16" t="n">
        <v>0</v>
      </c>
      <c r="CI101" s="16" t="n">
        <v>0</v>
      </c>
      <c r="CJ101" s="16" t="n">
        <v>0</v>
      </c>
      <c r="CK101" s="16" t="n">
        <v>0</v>
      </c>
      <c r="CL101" s="16" t="n">
        <v>0</v>
      </c>
      <c r="CM101" s="16" t="n">
        <v>0</v>
      </c>
      <c r="CN101" s="16" t="n">
        <v>0</v>
      </c>
      <c r="CO101" s="16" t="n">
        <v>0</v>
      </c>
      <c r="CP101" s="16" t="n">
        <v>0</v>
      </c>
      <c r="CQ101" s="16" t="n">
        <v>0</v>
      </c>
      <c r="CR101" s="16" t="n">
        <v>0</v>
      </c>
      <c r="CS101" s="16" t="n">
        <v>0</v>
      </c>
      <c r="CT101" s="16" t="n">
        <v>0</v>
      </c>
      <c r="CU101" s="16" t="n">
        <v>0</v>
      </c>
      <c r="CV101" s="16" t="n">
        <v>0</v>
      </c>
      <c r="CW101" s="16" t="n">
        <v>0</v>
      </c>
      <c r="CX101" s="16" t="n">
        <v>0</v>
      </c>
      <c r="CY101" s="16" t="n">
        <v>0</v>
      </c>
      <c r="CZ101" s="16" t="n">
        <v>0</v>
      </c>
      <c r="DA101" s="16" t="n">
        <v>0</v>
      </c>
      <c r="DB101" s="16" t="n">
        <v>0</v>
      </c>
      <c r="DC101" s="16" t="n">
        <v>0</v>
      </c>
      <c r="DD101" s="16" t="n">
        <v>0</v>
      </c>
      <c r="DE101" s="16" t="n">
        <v>0</v>
      </c>
      <c r="DF101" s="16" t="n">
        <v>0</v>
      </c>
      <c r="DG101" s="16" t="n">
        <v>0</v>
      </c>
      <c r="DH101" s="16" t="n">
        <v>0</v>
      </c>
      <c r="DI101" s="16" t="n">
        <v>0</v>
      </c>
      <c r="DJ101" s="16" t="n">
        <v>0</v>
      </c>
      <c r="DK101" s="16" t="n">
        <v>0</v>
      </c>
      <c r="DL101" s="16" t="n">
        <v>0</v>
      </c>
      <c r="DM101" s="16" t="n">
        <v>0</v>
      </c>
      <c r="DN101" s="16" t="n">
        <v>0</v>
      </c>
      <c r="DO101" s="16" t="n">
        <v>0</v>
      </c>
      <c r="DP101" s="16" t="n">
        <v>0</v>
      </c>
      <c r="DQ101" s="16" t="n">
        <v>0</v>
      </c>
      <c r="DR101" s="16" t="n">
        <v>0</v>
      </c>
      <c r="DS101" s="16" t="n">
        <v>0</v>
      </c>
      <c r="DT101" s="16" t="n">
        <v>0</v>
      </c>
      <c r="DU101" s="16" t="n">
        <v>0</v>
      </c>
      <c r="DV101" s="16" t="n">
        <v>0</v>
      </c>
      <c r="DW101" s="16" t="n">
        <v>0</v>
      </c>
      <c r="DX101" s="16" t="n">
        <v>0</v>
      </c>
      <c r="DY101" s="16" t="n">
        <v>0</v>
      </c>
      <c r="DZ101" s="16" t="n">
        <v>0</v>
      </c>
      <c r="EA101" s="16" t="n">
        <v>0</v>
      </c>
      <c r="EB101" s="16" t="n">
        <v>0</v>
      </c>
      <c r="EC101" s="16" t="n">
        <v>0</v>
      </c>
      <c r="ED101" s="16" t="n">
        <v>0</v>
      </c>
      <c r="EE101" s="16" t="n">
        <v>0</v>
      </c>
      <c r="EF101" s="16" t="n">
        <v>0</v>
      </c>
    </row>
    <row r="102" customFormat="false" ht="15" hidden="false" customHeight="true" outlineLevel="0" collapsed="false">
      <c r="A102" s="9" t="s">
        <v>12</v>
      </c>
      <c r="B102" s="9" t="s">
        <v>36</v>
      </c>
      <c r="C102" s="9" t="s">
        <v>36</v>
      </c>
      <c r="D102" s="9" t="s">
        <v>337</v>
      </c>
      <c r="E102" s="9" t="s">
        <v>10</v>
      </c>
      <c r="F102" s="9" t="s">
        <v>82</v>
      </c>
      <c r="G102" s="16" t="n">
        <v>0</v>
      </c>
      <c r="H102" s="16" t="n">
        <v>0</v>
      </c>
      <c r="I102" s="16" t="n">
        <v>0</v>
      </c>
      <c r="J102" s="16" t="n">
        <v>0</v>
      </c>
      <c r="K102" s="16" t="n">
        <v>0</v>
      </c>
      <c r="L102" s="16" t="n">
        <v>0</v>
      </c>
      <c r="M102" s="16" t="n">
        <v>0</v>
      </c>
      <c r="N102" s="16" t="n">
        <v>0</v>
      </c>
      <c r="O102" s="16" t="n">
        <v>0</v>
      </c>
      <c r="P102" s="16" t="n">
        <v>0</v>
      </c>
      <c r="Q102" s="16" t="n">
        <v>0</v>
      </c>
      <c r="R102" s="16" t="n">
        <v>0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0</v>
      </c>
      <c r="X102" s="16" t="n">
        <v>0</v>
      </c>
      <c r="Y102" s="16" t="n">
        <v>0</v>
      </c>
      <c r="Z102" s="16" t="n">
        <v>0</v>
      </c>
      <c r="AA102" s="16" t="n">
        <v>0</v>
      </c>
      <c r="AB102" s="16" t="n">
        <v>0</v>
      </c>
      <c r="AC102" s="16" t="n">
        <v>0</v>
      </c>
      <c r="AD102" s="16" t="n">
        <v>0</v>
      </c>
      <c r="AE102" s="16" t="n">
        <v>0</v>
      </c>
      <c r="AF102" s="16" t="n">
        <v>0</v>
      </c>
      <c r="AG102" s="16" t="n">
        <v>0</v>
      </c>
      <c r="AH102" s="16" t="n">
        <v>0</v>
      </c>
      <c r="AI102" s="16" t="n">
        <v>0</v>
      </c>
      <c r="AJ102" s="16" t="n">
        <v>0</v>
      </c>
      <c r="AK102" s="16" t="n">
        <v>0</v>
      </c>
      <c r="AL102" s="16" t="n">
        <v>0</v>
      </c>
      <c r="AM102" s="16" t="n">
        <v>0</v>
      </c>
      <c r="AN102" s="16" t="n">
        <v>0</v>
      </c>
      <c r="AO102" s="16" t="n">
        <v>0</v>
      </c>
      <c r="AP102" s="16" t="n">
        <v>0</v>
      </c>
      <c r="AQ102" s="16" t="n">
        <v>0</v>
      </c>
      <c r="AR102" s="16" t="n">
        <v>0</v>
      </c>
      <c r="AS102" s="16" t="n">
        <v>0</v>
      </c>
      <c r="AT102" s="16" t="n">
        <v>0</v>
      </c>
      <c r="AU102" s="16" t="n">
        <v>0</v>
      </c>
      <c r="AV102" s="16" t="n">
        <v>0</v>
      </c>
      <c r="AW102" s="16" t="n">
        <v>0</v>
      </c>
      <c r="AX102" s="16" t="n">
        <v>0</v>
      </c>
      <c r="AY102" s="16" t="n">
        <v>0</v>
      </c>
      <c r="AZ102" s="16" t="n">
        <v>0</v>
      </c>
      <c r="BA102" s="16" t="n">
        <v>0</v>
      </c>
      <c r="BB102" s="16" t="n">
        <v>0</v>
      </c>
      <c r="BC102" s="16" t="n">
        <v>0</v>
      </c>
      <c r="BD102" s="16" t="n">
        <v>0</v>
      </c>
      <c r="BE102" s="16" t="n">
        <v>0</v>
      </c>
      <c r="BF102" s="16" t="n">
        <v>0</v>
      </c>
      <c r="BG102" s="16" t="n">
        <v>0</v>
      </c>
      <c r="BH102" s="16" t="n">
        <v>0</v>
      </c>
      <c r="BI102" s="16" t="n">
        <v>0</v>
      </c>
      <c r="BJ102" s="16" t="n">
        <v>0</v>
      </c>
      <c r="BK102" s="16" t="n">
        <v>0</v>
      </c>
      <c r="BL102" s="16" t="n">
        <v>0</v>
      </c>
      <c r="BM102" s="16" t="n">
        <v>0</v>
      </c>
      <c r="BN102" s="16" t="n">
        <v>0</v>
      </c>
      <c r="BO102" s="16" t="n">
        <v>0</v>
      </c>
      <c r="BP102" s="16" t="n">
        <v>0</v>
      </c>
      <c r="BQ102" s="16" t="n">
        <v>0</v>
      </c>
      <c r="BR102" s="16" t="n">
        <v>0</v>
      </c>
      <c r="BS102" s="16" t="n">
        <v>0</v>
      </c>
      <c r="BT102" s="16" t="n">
        <v>0</v>
      </c>
      <c r="BU102" s="16" t="n">
        <v>0</v>
      </c>
      <c r="BV102" s="16" t="n">
        <v>0</v>
      </c>
      <c r="BW102" s="16" t="n">
        <v>0</v>
      </c>
      <c r="BX102" s="16" t="n">
        <v>0</v>
      </c>
      <c r="BY102" s="16" t="n">
        <v>0</v>
      </c>
      <c r="BZ102" s="16" t="n">
        <v>0</v>
      </c>
      <c r="CA102" s="16" t="n">
        <v>0</v>
      </c>
      <c r="CB102" s="16" t="n">
        <v>0</v>
      </c>
      <c r="CC102" s="16" t="n">
        <v>0</v>
      </c>
      <c r="CD102" s="16" t="n">
        <v>0</v>
      </c>
      <c r="CE102" s="16" t="n">
        <v>0</v>
      </c>
      <c r="CF102" s="16" t="n">
        <v>0</v>
      </c>
      <c r="CG102" s="16" t="n">
        <v>0</v>
      </c>
      <c r="CH102" s="16" t="n">
        <v>0</v>
      </c>
      <c r="CI102" s="16" t="n">
        <v>0</v>
      </c>
      <c r="CJ102" s="16" t="n">
        <v>0</v>
      </c>
      <c r="CK102" s="16" t="n">
        <v>0</v>
      </c>
      <c r="CL102" s="16" t="n">
        <v>0</v>
      </c>
      <c r="CM102" s="16" t="n">
        <v>0</v>
      </c>
      <c r="CN102" s="16" t="n">
        <v>0</v>
      </c>
      <c r="CO102" s="16" t="n">
        <v>0</v>
      </c>
      <c r="CP102" s="16" t="n">
        <v>0</v>
      </c>
      <c r="CQ102" s="16" t="n">
        <v>0</v>
      </c>
      <c r="CR102" s="16" t="n">
        <v>0</v>
      </c>
      <c r="CS102" s="16" t="n">
        <v>0</v>
      </c>
      <c r="CT102" s="16" t="n">
        <v>0</v>
      </c>
      <c r="CU102" s="16" t="n">
        <v>0</v>
      </c>
      <c r="CV102" s="16" t="n">
        <v>0</v>
      </c>
      <c r="CW102" s="16" t="n">
        <v>0</v>
      </c>
      <c r="CX102" s="16" t="n">
        <v>0</v>
      </c>
      <c r="CY102" s="16" t="n">
        <v>0</v>
      </c>
      <c r="CZ102" s="16" t="n">
        <v>0</v>
      </c>
      <c r="DA102" s="16" t="n">
        <v>0</v>
      </c>
      <c r="DB102" s="16" t="n">
        <v>0</v>
      </c>
      <c r="DC102" s="16" t="n">
        <v>0</v>
      </c>
      <c r="DD102" s="16" t="n">
        <v>0</v>
      </c>
      <c r="DE102" s="16" t="n">
        <v>0</v>
      </c>
      <c r="DF102" s="16" t="n">
        <v>0</v>
      </c>
      <c r="DG102" s="16" t="n">
        <v>0</v>
      </c>
      <c r="DH102" s="16" t="n">
        <v>0</v>
      </c>
      <c r="DI102" s="16" t="n">
        <v>0</v>
      </c>
      <c r="DJ102" s="16" t="n">
        <v>0</v>
      </c>
      <c r="DK102" s="16" t="n">
        <v>0</v>
      </c>
      <c r="DL102" s="16" t="n">
        <v>0</v>
      </c>
      <c r="DM102" s="16" t="n">
        <v>0</v>
      </c>
      <c r="DN102" s="16" t="n">
        <v>0</v>
      </c>
      <c r="DO102" s="16" t="n">
        <v>0</v>
      </c>
      <c r="DP102" s="16" t="n">
        <v>0</v>
      </c>
      <c r="DQ102" s="16" t="n">
        <v>0</v>
      </c>
      <c r="DR102" s="16" t="n">
        <v>0</v>
      </c>
      <c r="DS102" s="16" t="n">
        <v>0</v>
      </c>
      <c r="DT102" s="16" t="n">
        <v>0</v>
      </c>
      <c r="DU102" s="16" t="n">
        <v>0</v>
      </c>
      <c r="DV102" s="16" t="n">
        <v>0</v>
      </c>
      <c r="DW102" s="16" t="n">
        <v>0</v>
      </c>
      <c r="DX102" s="16" t="n">
        <v>0</v>
      </c>
      <c r="DY102" s="16" t="n">
        <v>0</v>
      </c>
      <c r="DZ102" s="16" t="n">
        <v>0</v>
      </c>
      <c r="EA102" s="16" t="n">
        <v>0</v>
      </c>
      <c r="EB102" s="16" t="n">
        <v>0</v>
      </c>
      <c r="EC102" s="16" t="n">
        <v>0</v>
      </c>
      <c r="ED102" s="16" t="n">
        <v>0</v>
      </c>
      <c r="EE102" s="16" t="n">
        <v>0</v>
      </c>
      <c r="EF102" s="16" t="n">
        <v>0</v>
      </c>
    </row>
    <row r="103" customFormat="false" ht="15" hidden="false" customHeight="true" outlineLevel="0" collapsed="false">
      <c r="A103" s="9" t="s">
        <v>12</v>
      </c>
      <c r="B103" s="9" t="s">
        <v>36</v>
      </c>
      <c r="C103" s="9" t="s">
        <v>36</v>
      </c>
      <c r="D103" s="9" t="s">
        <v>336</v>
      </c>
      <c r="E103" s="9" t="s">
        <v>10</v>
      </c>
      <c r="F103" s="9" t="s">
        <v>82</v>
      </c>
      <c r="G103" s="16" t="n">
        <v>1</v>
      </c>
      <c r="H103" s="16" t="n">
        <v>1</v>
      </c>
      <c r="I103" s="16" t="n">
        <v>1</v>
      </c>
      <c r="J103" s="16" t="n">
        <v>0</v>
      </c>
      <c r="K103" s="16" t="n">
        <v>0</v>
      </c>
      <c r="L103" s="16" t="n">
        <v>0</v>
      </c>
      <c r="M103" s="16" t="n">
        <v>0</v>
      </c>
      <c r="N103" s="16" t="n">
        <v>0</v>
      </c>
      <c r="O103" s="16" t="n">
        <v>0</v>
      </c>
      <c r="P103" s="16" t="n">
        <v>0</v>
      </c>
      <c r="Q103" s="16" t="n">
        <v>0</v>
      </c>
      <c r="R103" s="16" t="n">
        <v>0</v>
      </c>
      <c r="S103" s="16" t="n">
        <v>0</v>
      </c>
      <c r="T103" s="16" t="n">
        <v>0</v>
      </c>
      <c r="U103" s="16" t="n">
        <v>0</v>
      </c>
      <c r="V103" s="16" t="n">
        <v>0</v>
      </c>
      <c r="W103" s="16" t="n">
        <v>0</v>
      </c>
      <c r="X103" s="16" t="n">
        <v>0</v>
      </c>
      <c r="Y103" s="16" t="n">
        <v>0</v>
      </c>
      <c r="Z103" s="16" t="n">
        <v>0</v>
      </c>
      <c r="AA103" s="16" t="n">
        <v>0</v>
      </c>
      <c r="AB103" s="16" t="n">
        <v>1</v>
      </c>
      <c r="AC103" s="16" t="n">
        <v>0</v>
      </c>
      <c r="AD103" s="16" t="n">
        <v>0</v>
      </c>
      <c r="AE103" s="16" t="n">
        <v>0</v>
      </c>
      <c r="AF103" s="16" t="n">
        <v>0</v>
      </c>
      <c r="AG103" s="16" t="n">
        <v>0</v>
      </c>
      <c r="AH103" s="16" t="n">
        <v>0</v>
      </c>
      <c r="AI103" s="16" t="n">
        <v>0</v>
      </c>
      <c r="AJ103" s="16" t="n">
        <v>0</v>
      </c>
      <c r="AK103" s="16" t="n">
        <v>0</v>
      </c>
      <c r="AL103" s="16" t="n">
        <v>0</v>
      </c>
      <c r="AM103" s="16" t="n">
        <v>0</v>
      </c>
      <c r="AN103" s="16" t="n">
        <v>0</v>
      </c>
      <c r="AO103" s="16" t="n">
        <v>0</v>
      </c>
      <c r="AP103" s="16" t="n">
        <v>0</v>
      </c>
      <c r="AQ103" s="16" t="n">
        <v>0</v>
      </c>
      <c r="AR103" s="16" t="n">
        <v>0</v>
      </c>
      <c r="AS103" s="16" t="n">
        <v>0</v>
      </c>
      <c r="AT103" s="16" t="n">
        <v>0</v>
      </c>
      <c r="AU103" s="16" t="n">
        <v>0</v>
      </c>
      <c r="AV103" s="16" t="n">
        <v>0</v>
      </c>
      <c r="AW103" s="16" t="n">
        <v>0</v>
      </c>
      <c r="AX103" s="16" t="n">
        <v>0</v>
      </c>
      <c r="AY103" s="16" t="n">
        <v>0</v>
      </c>
      <c r="AZ103" s="16" t="n">
        <v>0</v>
      </c>
      <c r="BA103" s="16" t="n">
        <v>0</v>
      </c>
      <c r="BB103" s="16" t="n">
        <v>0</v>
      </c>
      <c r="BC103" s="16" t="n">
        <v>0</v>
      </c>
      <c r="BD103" s="16" t="n">
        <v>0</v>
      </c>
      <c r="BE103" s="16" t="n">
        <v>0</v>
      </c>
      <c r="BF103" s="16" t="n">
        <v>0</v>
      </c>
      <c r="BG103" s="16" t="n">
        <v>0</v>
      </c>
      <c r="BH103" s="16" t="n">
        <v>0</v>
      </c>
      <c r="BI103" s="16" t="n">
        <v>0</v>
      </c>
      <c r="BJ103" s="16" t="n">
        <v>0</v>
      </c>
      <c r="BK103" s="16" t="n">
        <v>0</v>
      </c>
      <c r="BL103" s="16" t="n">
        <v>0</v>
      </c>
      <c r="BM103" s="16" t="n">
        <v>0</v>
      </c>
      <c r="BN103" s="16" t="n">
        <v>0</v>
      </c>
      <c r="BO103" s="16" t="n">
        <v>0</v>
      </c>
      <c r="BP103" s="16" t="n">
        <v>0</v>
      </c>
      <c r="BQ103" s="16" t="n">
        <v>0</v>
      </c>
      <c r="BR103" s="16" t="n">
        <v>0</v>
      </c>
      <c r="BS103" s="16" t="n">
        <v>0</v>
      </c>
      <c r="BT103" s="16" t="n">
        <v>0</v>
      </c>
      <c r="BU103" s="16" t="n">
        <v>0</v>
      </c>
      <c r="BV103" s="16" t="n">
        <v>0</v>
      </c>
      <c r="BW103" s="16" t="n">
        <v>0</v>
      </c>
      <c r="BX103" s="16" t="n">
        <v>0</v>
      </c>
      <c r="BY103" s="16" t="n">
        <v>0</v>
      </c>
      <c r="BZ103" s="16" t="n">
        <v>0</v>
      </c>
      <c r="CA103" s="16" t="n">
        <v>0</v>
      </c>
      <c r="CB103" s="16" t="n">
        <v>0</v>
      </c>
      <c r="CC103" s="16" t="n">
        <v>0</v>
      </c>
      <c r="CD103" s="16" t="n">
        <v>0</v>
      </c>
      <c r="CE103" s="16" t="n">
        <v>0</v>
      </c>
      <c r="CF103" s="16" t="n">
        <v>0</v>
      </c>
      <c r="CG103" s="16" t="n">
        <v>0</v>
      </c>
      <c r="CH103" s="16" t="n">
        <v>0</v>
      </c>
      <c r="CI103" s="16" t="n">
        <v>0</v>
      </c>
      <c r="CJ103" s="16" t="n">
        <v>0</v>
      </c>
      <c r="CK103" s="16" t="n">
        <v>0</v>
      </c>
      <c r="CL103" s="16" t="n">
        <v>0</v>
      </c>
      <c r="CM103" s="16" t="n">
        <v>0</v>
      </c>
      <c r="CN103" s="16" t="n">
        <v>0</v>
      </c>
      <c r="CO103" s="16" t="n">
        <v>0</v>
      </c>
      <c r="CP103" s="16" t="n">
        <v>0</v>
      </c>
      <c r="CQ103" s="16" t="n">
        <v>0</v>
      </c>
      <c r="CR103" s="16" t="n">
        <v>0</v>
      </c>
      <c r="CS103" s="16" t="n">
        <v>0</v>
      </c>
      <c r="CT103" s="16" t="n">
        <v>0</v>
      </c>
      <c r="CU103" s="16" t="n">
        <v>0</v>
      </c>
      <c r="CV103" s="16" t="n">
        <v>0</v>
      </c>
      <c r="CW103" s="16" t="n">
        <v>0</v>
      </c>
      <c r="CX103" s="16" t="n">
        <v>0</v>
      </c>
      <c r="CY103" s="16" t="n">
        <v>0</v>
      </c>
      <c r="CZ103" s="16" t="n">
        <v>0</v>
      </c>
      <c r="DA103" s="16" t="n">
        <v>0</v>
      </c>
      <c r="DB103" s="16" t="n">
        <v>0</v>
      </c>
      <c r="DC103" s="16" t="n">
        <v>0</v>
      </c>
      <c r="DD103" s="16" t="n">
        <v>0</v>
      </c>
      <c r="DE103" s="16" t="n">
        <v>0</v>
      </c>
      <c r="DF103" s="16" t="n">
        <v>0</v>
      </c>
      <c r="DG103" s="16" t="n">
        <v>0</v>
      </c>
      <c r="DH103" s="16" t="n">
        <v>0</v>
      </c>
      <c r="DI103" s="16" t="n">
        <v>0</v>
      </c>
      <c r="DJ103" s="16" t="n">
        <v>0</v>
      </c>
      <c r="DK103" s="16" t="n">
        <v>0</v>
      </c>
      <c r="DL103" s="16" t="n">
        <v>0</v>
      </c>
      <c r="DM103" s="16" t="n">
        <v>0</v>
      </c>
      <c r="DN103" s="16" t="n">
        <v>0</v>
      </c>
      <c r="DO103" s="16" t="n">
        <v>0</v>
      </c>
      <c r="DP103" s="16" t="n">
        <v>0</v>
      </c>
      <c r="DQ103" s="16" t="n">
        <v>0</v>
      </c>
      <c r="DR103" s="16" t="n">
        <v>0</v>
      </c>
      <c r="DS103" s="16" t="n">
        <v>0</v>
      </c>
      <c r="DT103" s="16" t="n">
        <v>0</v>
      </c>
      <c r="DU103" s="16" t="n">
        <v>0</v>
      </c>
      <c r="DV103" s="16" t="n">
        <v>0</v>
      </c>
      <c r="DW103" s="16" t="n">
        <v>0</v>
      </c>
      <c r="DX103" s="16" t="n">
        <v>0</v>
      </c>
      <c r="DY103" s="16" t="n">
        <v>0</v>
      </c>
      <c r="DZ103" s="16" t="n">
        <v>0</v>
      </c>
      <c r="EA103" s="16" t="n">
        <v>0</v>
      </c>
      <c r="EB103" s="16" t="n">
        <v>0</v>
      </c>
      <c r="EC103" s="16" t="n">
        <v>0</v>
      </c>
      <c r="ED103" s="16" t="n">
        <v>0</v>
      </c>
      <c r="EE103" s="16" t="n">
        <v>0</v>
      </c>
      <c r="EF103" s="16" t="n">
        <v>0</v>
      </c>
    </row>
    <row r="104" customFormat="false" ht="15" hidden="false" customHeight="true" outlineLevel="0" collapsed="false">
      <c r="A104" s="9" t="s">
        <v>12</v>
      </c>
      <c r="B104" s="9" t="s">
        <v>36</v>
      </c>
      <c r="C104" s="9" t="s">
        <v>36</v>
      </c>
      <c r="D104" s="9" t="s">
        <v>336</v>
      </c>
      <c r="E104" s="9" t="s">
        <v>10</v>
      </c>
      <c r="F104" s="9" t="s">
        <v>82</v>
      </c>
      <c r="G104" s="16" t="n">
        <v>0</v>
      </c>
      <c r="H104" s="16" t="n">
        <v>0</v>
      </c>
      <c r="I104" s="16" t="n">
        <v>18</v>
      </c>
      <c r="J104" s="16" t="n">
        <v>-18</v>
      </c>
      <c r="K104" s="16" t="n">
        <v>0</v>
      </c>
      <c r="L104" s="16" t="n">
        <v>0</v>
      </c>
      <c r="M104" s="16" t="n">
        <v>0</v>
      </c>
      <c r="N104" s="16" t="n">
        <v>0</v>
      </c>
      <c r="O104" s="16" t="n">
        <v>0</v>
      </c>
      <c r="P104" s="16" t="n">
        <v>0</v>
      </c>
      <c r="Q104" s="16" t="n">
        <v>0</v>
      </c>
      <c r="R104" s="16" t="n">
        <v>0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0</v>
      </c>
      <c r="X104" s="16" t="n">
        <v>0</v>
      </c>
      <c r="Y104" s="16" t="n">
        <v>0</v>
      </c>
      <c r="Z104" s="16" t="n">
        <v>2</v>
      </c>
      <c r="AA104" s="16" t="n">
        <v>16</v>
      </c>
      <c r="AB104" s="16" t="n">
        <v>0</v>
      </c>
      <c r="AC104" s="16" t="n">
        <v>0</v>
      </c>
      <c r="AD104" s="16" t="n">
        <v>0</v>
      </c>
      <c r="AE104" s="16" t="n">
        <v>0</v>
      </c>
      <c r="AF104" s="16" t="n">
        <v>0</v>
      </c>
      <c r="AG104" s="16" t="n">
        <v>0</v>
      </c>
      <c r="AH104" s="16" t="n">
        <v>0</v>
      </c>
      <c r="AI104" s="16" t="n">
        <v>0</v>
      </c>
      <c r="AJ104" s="16" t="n">
        <v>0</v>
      </c>
      <c r="AK104" s="16" t="n">
        <v>0</v>
      </c>
      <c r="AL104" s="16" t="n">
        <v>0</v>
      </c>
      <c r="AM104" s="16" t="n">
        <v>0</v>
      </c>
      <c r="AN104" s="16" t="n">
        <v>0</v>
      </c>
      <c r="AO104" s="16" t="n">
        <v>0</v>
      </c>
      <c r="AP104" s="16" t="n">
        <v>0</v>
      </c>
      <c r="AQ104" s="16" t="n">
        <v>0</v>
      </c>
      <c r="AR104" s="16" t="n">
        <v>0</v>
      </c>
      <c r="AS104" s="16" t="n">
        <v>0</v>
      </c>
      <c r="AT104" s="16" t="n">
        <v>0</v>
      </c>
      <c r="AU104" s="16" t="n">
        <v>0</v>
      </c>
      <c r="AV104" s="16" t="n">
        <v>0</v>
      </c>
      <c r="AW104" s="16" t="n">
        <v>0</v>
      </c>
      <c r="AX104" s="16" t="n">
        <v>0</v>
      </c>
      <c r="AY104" s="16" t="n">
        <v>0</v>
      </c>
      <c r="AZ104" s="16" t="n">
        <v>0</v>
      </c>
      <c r="BA104" s="16" t="n">
        <v>0</v>
      </c>
      <c r="BB104" s="16" t="n">
        <v>0</v>
      </c>
      <c r="BC104" s="16" t="n">
        <v>0</v>
      </c>
      <c r="BD104" s="16" t="n">
        <v>0</v>
      </c>
      <c r="BE104" s="16" t="n">
        <v>0</v>
      </c>
      <c r="BF104" s="16" t="n">
        <v>0</v>
      </c>
      <c r="BG104" s="16" t="n">
        <v>0</v>
      </c>
      <c r="BH104" s="16" t="n">
        <v>0</v>
      </c>
      <c r="BI104" s="16" t="n">
        <v>0</v>
      </c>
      <c r="BJ104" s="16" t="n">
        <v>0</v>
      </c>
      <c r="BK104" s="16" t="n">
        <v>0</v>
      </c>
      <c r="BL104" s="16" t="n">
        <v>0</v>
      </c>
      <c r="BM104" s="16" t="n">
        <v>0</v>
      </c>
      <c r="BN104" s="16" t="n">
        <v>0</v>
      </c>
      <c r="BO104" s="16" t="n">
        <v>0</v>
      </c>
      <c r="BP104" s="16" t="n">
        <v>0</v>
      </c>
      <c r="BQ104" s="16" t="n">
        <v>0</v>
      </c>
      <c r="BR104" s="16" t="n">
        <v>0</v>
      </c>
      <c r="BS104" s="16" t="n">
        <v>0</v>
      </c>
      <c r="BT104" s="16" t="n">
        <v>0</v>
      </c>
      <c r="BU104" s="16" t="n">
        <v>0</v>
      </c>
      <c r="BV104" s="16" t="n">
        <v>0</v>
      </c>
      <c r="BW104" s="16" t="n">
        <v>0</v>
      </c>
      <c r="BX104" s="16" t="n">
        <v>0</v>
      </c>
      <c r="BY104" s="16" t="n">
        <v>0</v>
      </c>
      <c r="BZ104" s="16" t="n">
        <v>0</v>
      </c>
      <c r="CA104" s="16" t="n">
        <v>0</v>
      </c>
      <c r="CB104" s="16" t="n">
        <v>0</v>
      </c>
      <c r="CC104" s="16" t="n">
        <v>0</v>
      </c>
      <c r="CD104" s="16" t="n">
        <v>0</v>
      </c>
      <c r="CE104" s="16" t="n">
        <v>0</v>
      </c>
      <c r="CF104" s="16" t="n">
        <v>0</v>
      </c>
      <c r="CG104" s="16" t="n">
        <v>0</v>
      </c>
      <c r="CH104" s="16" t="n">
        <v>0</v>
      </c>
      <c r="CI104" s="16" t="n">
        <v>0</v>
      </c>
      <c r="CJ104" s="16" t="n">
        <v>0</v>
      </c>
      <c r="CK104" s="16" t="n">
        <v>0</v>
      </c>
      <c r="CL104" s="16" t="n">
        <v>0</v>
      </c>
      <c r="CM104" s="16" t="n">
        <v>0</v>
      </c>
      <c r="CN104" s="16" t="n">
        <v>0</v>
      </c>
      <c r="CO104" s="16" t="n">
        <v>0</v>
      </c>
      <c r="CP104" s="16" t="n">
        <v>0</v>
      </c>
      <c r="CQ104" s="16" t="n">
        <v>0</v>
      </c>
      <c r="CR104" s="16" t="n">
        <v>0</v>
      </c>
      <c r="CS104" s="16" t="n">
        <v>0</v>
      </c>
      <c r="CT104" s="16" t="n">
        <v>0</v>
      </c>
      <c r="CU104" s="16" t="n">
        <v>0</v>
      </c>
      <c r="CV104" s="16" t="n">
        <v>0</v>
      </c>
      <c r="CW104" s="16" t="n">
        <v>0</v>
      </c>
      <c r="CX104" s="16" t="n">
        <v>0</v>
      </c>
      <c r="CY104" s="16" t="n">
        <v>0</v>
      </c>
      <c r="CZ104" s="16" t="n">
        <v>0</v>
      </c>
      <c r="DA104" s="16" t="n">
        <v>0</v>
      </c>
      <c r="DB104" s="16" t="n">
        <v>0</v>
      </c>
      <c r="DC104" s="16" t="n">
        <v>0</v>
      </c>
      <c r="DD104" s="16" t="n">
        <v>0</v>
      </c>
      <c r="DE104" s="16" t="n">
        <v>0</v>
      </c>
      <c r="DF104" s="16" t="n">
        <v>0</v>
      </c>
      <c r="DG104" s="16" t="n">
        <v>0</v>
      </c>
      <c r="DH104" s="16" t="n">
        <v>0</v>
      </c>
      <c r="DI104" s="16" t="n">
        <v>0</v>
      </c>
      <c r="DJ104" s="16" t="n">
        <v>0</v>
      </c>
      <c r="DK104" s="16" t="n">
        <v>0</v>
      </c>
      <c r="DL104" s="16" t="n">
        <v>0</v>
      </c>
      <c r="DM104" s="16" t="n">
        <v>0</v>
      </c>
      <c r="DN104" s="16" t="n">
        <v>0</v>
      </c>
      <c r="DO104" s="16" t="n">
        <v>0</v>
      </c>
      <c r="DP104" s="16" t="n">
        <v>0</v>
      </c>
      <c r="DQ104" s="16" t="n">
        <v>0</v>
      </c>
      <c r="DR104" s="16" t="n">
        <v>0</v>
      </c>
      <c r="DS104" s="16" t="n">
        <v>0</v>
      </c>
      <c r="DT104" s="16" t="n">
        <v>0</v>
      </c>
      <c r="DU104" s="16" t="n">
        <v>0</v>
      </c>
      <c r="DV104" s="16" t="n">
        <v>0</v>
      </c>
      <c r="DW104" s="16" t="n">
        <v>0</v>
      </c>
      <c r="DX104" s="16" t="n">
        <v>0</v>
      </c>
      <c r="DY104" s="16" t="n">
        <v>0</v>
      </c>
      <c r="DZ104" s="16" t="n">
        <v>0</v>
      </c>
      <c r="EA104" s="16" t="n">
        <v>0</v>
      </c>
      <c r="EB104" s="16" t="n">
        <v>0</v>
      </c>
      <c r="EC104" s="16" t="n">
        <v>0</v>
      </c>
      <c r="ED104" s="16" t="n">
        <v>0</v>
      </c>
      <c r="EE104" s="16" t="n">
        <v>0</v>
      </c>
      <c r="EF104" s="16" t="n">
        <v>0</v>
      </c>
    </row>
    <row r="105" customFormat="false" ht="15" hidden="false" customHeight="true" outlineLevel="0" collapsed="false">
      <c r="A105" s="9" t="s">
        <v>12</v>
      </c>
      <c r="B105" s="9" t="s">
        <v>36</v>
      </c>
      <c r="C105" s="9" t="s">
        <v>36</v>
      </c>
      <c r="D105" s="9" t="s">
        <v>337</v>
      </c>
      <c r="E105" s="9" t="s">
        <v>10</v>
      </c>
      <c r="F105" s="9" t="s">
        <v>83</v>
      </c>
      <c r="G105" s="16" t="n">
        <v>0</v>
      </c>
      <c r="H105" s="16" t="n">
        <v>0</v>
      </c>
      <c r="I105" s="16" t="n">
        <v>35</v>
      </c>
      <c r="J105" s="16" t="n">
        <v>-35</v>
      </c>
      <c r="K105" s="16" t="n">
        <v>0</v>
      </c>
      <c r="L105" s="16" t="n">
        <v>0</v>
      </c>
      <c r="M105" s="16" t="n">
        <v>0</v>
      </c>
      <c r="N105" s="16" t="n">
        <v>0</v>
      </c>
      <c r="O105" s="16" t="n">
        <v>0</v>
      </c>
      <c r="P105" s="16" t="n">
        <v>0</v>
      </c>
      <c r="Q105" s="16" t="n">
        <v>0</v>
      </c>
      <c r="R105" s="16" t="n">
        <v>0</v>
      </c>
      <c r="S105" s="16" t="n">
        <v>0</v>
      </c>
      <c r="T105" s="16" t="n">
        <v>0</v>
      </c>
      <c r="U105" s="16" t="n">
        <v>0</v>
      </c>
      <c r="V105" s="16" t="n">
        <v>0</v>
      </c>
      <c r="W105" s="16" t="n">
        <v>0</v>
      </c>
      <c r="X105" s="16" t="n">
        <v>0</v>
      </c>
      <c r="Y105" s="16" t="n">
        <v>0</v>
      </c>
      <c r="Z105" s="16" t="n">
        <v>0</v>
      </c>
      <c r="AA105" s="16" t="n">
        <v>0</v>
      </c>
      <c r="AB105" s="16" t="n">
        <v>0</v>
      </c>
      <c r="AC105" s="16" t="n">
        <v>0</v>
      </c>
      <c r="AD105" s="16" t="n">
        <v>0</v>
      </c>
      <c r="AE105" s="16" t="n">
        <v>0</v>
      </c>
      <c r="AF105" s="16" t="n">
        <v>0</v>
      </c>
      <c r="AG105" s="16" t="n">
        <v>0</v>
      </c>
      <c r="AH105" s="16" t="n">
        <v>0</v>
      </c>
      <c r="AI105" s="16" t="n">
        <v>0</v>
      </c>
      <c r="AJ105" s="16" t="n">
        <v>0</v>
      </c>
      <c r="AK105" s="16" t="n">
        <v>0</v>
      </c>
      <c r="AL105" s="16" t="n">
        <v>0</v>
      </c>
      <c r="AM105" s="16" t="n">
        <v>2</v>
      </c>
      <c r="AN105" s="16" t="n">
        <v>7</v>
      </c>
      <c r="AO105" s="16" t="n">
        <v>26</v>
      </c>
      <c r="AP105" s="16" t="n">
        <v>0</v>
      </c>
      <c r="AQ105" s="16" t="n">
        <v>0</v>
      </c>
      <c r="AR105" s="16" t="n">
        <v>0</v>
      </c>
      <c r="AS105" s="16" t="n">
        <v>0</v>
      </c>
      <c r="AT105" s="16" t="n">
        <v>0</v>
      </c>
      <c r="AU105" s="16" t="n">
        <v>0</v>
      </c>
      <c r="AV105" s="16" t="n">
        <v>0</v>
      </c>
      <c r="AW105" s="16" t="n">
        <v>0</v>
      </c>
      <c r="AX105" s="16" t="n">
        <v>0</v>
      </c>
      <c r="AY105" s="16" t="n">
        <v>0</v>
      </c>
      <c r="AZ105" s="16" t="n">
        <v>0</v>
      </c>
      <c r="BA105" s="16" t="n">
        <v>0</v>
      </c>
      <c r="BB105" s="16" t="n">
        <v>0</v>
      </c>
      <c r="BC105" s="16" t="n">
        <v>0</v>
      </c>
      <c r="BD105" s="16" t="n">
        <v>0</v>
      </c>
      <c r="BE105" s="16" t="n">
        <v>0</v>
      </c>
      <c r="BF105" s="16" t="n">
        <v>0</v>
      </c>
      <c r="BG105" s="16" t="n">
        <v>0</v>
      </c>
      <c r="BH105" s="16" t="n">
        <v>0</v>
      </c>
      <c r="BI105" s="16" t="n">
        <v>0</v>
      </c>
      <c r="BJ105" s="16" t="n">
        <v>0</v>
      </c>
      <c r="BK105" s="16" t="n">
        <v>0</v>
      </c>
      <c r="BL105" s="16" t="n">
        <v>0</v>
      </c>
      <c r="BM105" s="16" t="n">
        <v>0</v>
      </c>
      <c r="BN105" s="16" t="n">
        <v>0</v>
      </c>
      <c r="BO105" s="16" t="n">
        <v>0</v>
      </c>
      <c r="BP105" s="16" t="n">
        <v>0</v>
      </c>
      <c r="BQ105" s="16" t="n">
        <v>0</v>
      </c>
      <c r="BR105" s="16" t="n">
        <v>0</v>
      </c>
      <c r="BS105" s="16" t="n">
        <v>0</v>
      </c>
      <c r="BT105" s="16" t="n">
        <v>0</v>
      </c>
      <c r="BU105" s="16" t="n">
        <v>0</v>
      </c>
      <c r="BV105" s="16" t="n">
        <v>0</v>
      </c>
      <c r="BW105" s="16" t="n">
        <v>0</v>
      </c>
      <c r="BX105" s="16" t="n">
        <v>0</v>
      </c>
      <c r="BY105" s="16" t="n">
        <v>0</v>
      </c>
      <c r="BZ105" s="16" t="n">
        <v>0</v>
      </c>
      <c r="CA105" s="16" t="n">
        <v>0</v>
      </c>
      <c r="CB105" s="16" t="n">
        <v>0</v>
      </c>
      <c r="CC105" s="16" t="n">
        <v>0</v>
      </c>
      <c r="CD105" s="16" t="n">
        <v>0</v>
      </c>
      <c r="CE105" s="16" t="n">
        <v>0</v>
      </c>
      <c r="CF105" s="16" t="n">
        <v>0</v>
      </c>
      <c r="CG105" s="16" t="n">
        <v>0</v>
      </c>
      <c r="CH105" s="16" t="n">
        <v>0</v>
      </c>
      <c r="CI105" s="16" t="n">
        <v>0</v>
      </c>
      <c r="CJ105" s="16" t="n">
        <v>0</v>
      </c>
      <c r="CK105" s="16" t="n">
        <v>0</v>
      </c>
      <c r="CL105" s="16" t="n">
        <v>0</v>
      </c>
      <c r="CM105" s="16" t="n">
        <v>0</v>
      </c>
      <c r="CN105" s="16" t="n">
        <v>0</v>
      </c>
      <c r="CO105" s="16" t="n">
        <v>0</v>
      </c>
      <c r="CP105" s="16" t="n">
        <v>0</v>
      </c>
      <c r="CQ105" s="16" t="n">
        <v>0</v>
      </c>
      <c r="CR105" s="16" t="n">
        <v>0</v>
      </c>
      <c r="CS105" s="16" t="n">
        <v>0</v>
      </c>
      <c r="CT105" s="16" t="n">
        <v>0</v>
      </c>
      <c r="CU105" s="16" t="n">
        <v>0</v>
      </c>
      <c r="CV105" s="16" t="n">
        <v>0</v>
      </c>
      <c r="CW105" s="16" t="n">
        <v>0</v>
      </c>
      <c r="CX105" s="16" t="n">
        <v>0</v>
      </c>
      <c r="CY105" s="16" t="n">
        <v>0</v>
      </c>
      <c r="CZ105" s="16" t="n">
        <v>0</v>
      </c>
      <c r="DA105" s="16" t="n">
        <v>0</v>
      </c>
      <c r="DB105" s="16" t="n">
        <v>0</v>
      </c>
      <c r="DC105" s="16" t="n">
        <v>0</v>
      </c>
      <c r="DD105" s="16" t="n">
        <v>0</v>
      </c>
      <c r="DE105" s="16" t="n">
        <v>0</v>
      </c>
      <c r="DF105" s="16" t="n">
        <v>0</v>
      </c>
      <c r="DG105" s="16" t="n">
        <v>0</v>
      </c>
      <c r="DH105" s="16" t="n">
        <v>0</v>
      </c>
      <c r="DI105" s="16" t="n">
        <v>0</v>
      </c>
      <c r="DJ105" s="16" t="n">
        <v>0</v>
      </c>
      <c r="DK105" s="16" t="n">
        <v>0</v>
      </c>
      <c r="DL105" s="16" t="n">
        <v>0</v>
      </c>
      <c r="DM105" s="16" t="n">
        <v>0</v>
      </c>
      <c r="DN105" s="16" t="n">
        <v>0</v>
      </c>
      <c r="DO105" s="16" t="n">
        <v>0</v>
      </c>
      <c r="DP105" s="16" t="n">
        <v>0</v>
      </c>
      <c r="DQ105" s="16" t="n">
        <v>0</v>
      </c>
      <c r="DR105" s="16" t="n">
        <v>0</v>
      </c>
      <c r="DS105" s="16" t="n">
        <v>0</v>
      </c>
      <c r="DT105" s="16" t="n">
        <v>0</v>
      </c>
      <c r="DU105" s="16" t="n">
        <v>0</v>
      </c>
      <c r="DV105" s="16" t="n">
        <v>0</v>
      </c>
      <c r="DW105" s="16" t="n">
        <v>0</v>
      </c>
      <c r="DX105" s="16" t="n">
        <v>0</v>
      </c>
      <c r="DY105" s="16" t="n">
        <v>0</v>
      </c>
      <c r="DZ105" s="16" t="n">
        <v>0</v>
      </c>
      <c r="EA105" s="16" t="n">
        <v>0</v>
      </c>
      <c r="EB105" s="16" t="n">
        <v>0</v>
      </c>
      <c r="EC105" s="16" t="n">
        <v>0</v>
      </c>
      <c r="ED105" s="16" t="n">
        <v>0</v>
      </c>
      <c r="EE105" s="16" t="n">
        <v>0</v>
      </c>
      <c r="EF105" s="16" t="n">
        <v>0</v>
      </c>
    </row>
    <row r="106" customFormat="false" ht="15" hidden="false" customHeight="true" outlineLevel="0" collapsed="false">
      <c r="A106" s="9" t="s">
        <v>12</v>
      </c>
      <c r="B106" s="9" t="s">
        <v>36</v>
      </c>
      <c r="C106" s="9" t="s">
        <v>36</v>
      </c>
      <c r="D106" s="9" t="s">
        <v>336</v>
      </c>
      <c r="E106" s="9" t="s">
        <v>10</v>
      </c>
      <c r="F106" s="9" t="s">
        <v>83</v>
      </c>
      <c r="G106" s="16" t="n">
        <v>15</v>
      </c>
      <c r="H106" s="16" t="n">
        <v>15</v>
      </c>
      <c r="I106" s="16" t="n">
        <v>0</v>
      </c>
      <c r="J106" s="16" t="n">
        <v>15</v>
      </c>
      <c r="K106" s="16" t="n">
        <v>0</v>
      </c>
      <c r="L106" s="16" t="n">
        <v>0</v>
      </c>
      <c r="M106" s="16" t="n">
        <v>0</v>
      </c>
      <c r="N106" s="16" t="n">
        <v>0</v>
      </c>
      <c r="O106" s="16" t="n">
        <v>0</v>
      </c>
      <c r="P106" s="16" t="n">
        <v>0</v>
      </c>
      <c r="Q106" s="16" t="n">
        <v>0</v>
      </c>
      <c r="R106" s="16" t="n">
        <v>0</v>
      </c>
      <c r="S106" s="16" t="n">
        <v>0</v>
      </c>
      <c r="T106" s="16" t="n">
        <v>0</v>
      </c>
      <c r="U106" s="16" t="n">
        <v>0</v>
      </c>
      <c r="V106" s="16" t="n">
        <v>0</v>
      </c>
      <c r="W106" s="16" t="n">
        <v>0</v>
      </c>
      <c r="X106" s="16" t="n">
        <v>0</v>
      </c>
      <c r="Y106" s="16" t="n">
        <v>0</v>
      </c>
      <c r="Z106" s="16" t="n">
        <v>0</v>
      </c>
      <c r="AA106" s="16" t="n">
        <v>0</v>
      </c>
      <c r="AB106" s="16" t="n">
        <v>0</v>
      </c>
      <c r="AC106" s="16" t="n">
        <v>0</v>
      </c>
      <c r="AD106" s="16" t="n">
        <v>0</v>
      </c>
      <c r="AE106" s="16" t="n">
        <v>0</v>
      </c>
      <c r="AF106" s="16" t="n">
        <v>0</v>
      </c>
      <c r="AG106" s="16" t="n">
        <v>0</v>
      </c>
      <c r="AH106" s="16" t="n">
        <v>0</v>
      </c>
      <c r="AI106" s="16" t="n">
        <v>0</v>
      </c>
      <c r="AJ106" s="16" t="n">
        <v>0</v>
      </c>
      <c r="AK106" s="16" t="n">
        <v>0</v>
      </c>
      <c r="AL106" s="16" t="n">
        <v>0</v>
      </c>
      <c r="AM106" s="16" t="n">
        <v>0</v>
      </c>
      <c r="AN106" s="16" t="n">
        <v>0</v>
      </c>
      <c r="AO106" s="16" t="n">
        <v>0</v>
      </c>
      <c r="AP106" s="16" t="n">
        <v>0</v>
      </c>
      <c r="AQ106" s="16" t="n">
        <v>0</v>
      </c>
      <c r="AR106" s="16" t="n">
        <v>0</v>
      </c>
      <c r="AS106" s="16" t="n">
        <v>0</v>
      </c>
      <c r="AT106" s="16" t="n">
        <v>0</v>
      </c>
      <c r="AU106" s="16" t="n">
        <v>0</v>
      </c>
      <c r="AV106" s="16" t="n">
        <v>0</v>
      </c>
      <c r="AW106" s="16" t="n">
        <v>0</v>
      </c>
      <c r="AX106" s="16" t="n">
        <v>0</v>
      </c>
      <c r="AY106" s="16" t="n">
        <v>0</v>
      </c>
      <c r="AZ106" s="16" t="n">
        <v>0</v>
      </c>
      <c r="BA106" s="16" t="n">
        <v>0</v>
      </c>
      <c r="BB106" s="16" t="n">
        <v>0</v>
      </c>
      <c r="BC106" s="16" t="n">
        <v>0</v>
      </c>
      <c r="BD106" s="16" t="n">
        <v>0</v>
      </c>
      <c r="BE106" s="16" t="n">
        <v>0</v>
      </c>
      <c r="BF106" s="16" t="n">
        <v>0</v>
      </c>
      <c r="BG106" s="16" t="n">
        <v>0</v>
      </c>
      <c r="BH106" s="16" t="n">
        <v>0</v>
      </c>
      <c r="BI106" s="16" t="n">
        <v>0</v>
      </c>
      <c r="BJ106" s="16" t="n">
        <v>0</v>
      </c>
      <c r="BK106" s="16" t="n">
        <v>0</v>
      </c>
      <c r="BL106" s="16" t="n">
        <v>0</v>
      </c>
      <c r="BM106" s="16" t="n">
        <v>0</v>
      </c>
      <c r="BN106" s="16" t="n">
        <v>0</v>
      </c>
      <c r="BO106" s="16" t="n">
        <v>0</v>
      </c>
      <c r="BP106" s="16" t="n">
        <v>0</v>
      </c>
      <c r="BQ106" s="16" t="n">
        <v>0</v>
      </c>
      <c r="BR106" s="16" t="n">
        <v>0</v>
      </c>
      <c r="BS106" s="16" t="n">
        <v>0</v>
      </c>
      <c r="BT106" s="16" t="n">
        <v>0</v>
      </c>
      <c r="BU106" s="16" t="n">
        <v>0</v>
      </c>
      <c r="BV106" s="16" t="n">
        <v>0</v>
      </c>
      <c r="BW106" s="16" t="n">
        <v>0</v>
      </c>
      <c r="BX106" s="16" t="n">
        <v>0</v>
      </c>
      <c r="BY106" s="16" t="n">
        <v>0</v>
      </c>
      <c r="BZ106" s="16" t="n">
        <v>0</v>
      </c>
      <c r="CA106" s="16" t="n">
        <v>0</v>
      </c>
      <c r="CB106" s="16" t="n">
        <v>0</v>
      </c>
      <c r="CC106" s="16" t="n">
        <v>0</v>
      </c>
      <c r="CD106" s="16" t="n">
        <v>0</v>
      </c>
      <c r="CE106" s="16" t="n">
        <v>0</v>
      </c>
      <c r="CF106" s="16" t="n">
        <v>0</v>
      </c>
      <c r="CG106" s="16" t="n">
        <v>0</v>
      </c>
      <c r="CH106" s="16" t="n">
        <v>0</v>
      </c>
      <c r="CI106" s="16" t="n">
        <v>0</v>
      </c>
      <c r="CJ106" s="16" t="n">
        <v>0</v>
      </c>
      <c r="CK106" s="16" t="n">
        <v>0</v>
      </c>
      <c r="CL106" s="16" t="n">
        <v>0</v>
      </c>
      <c r="CM106" s="16" t="n">
        <v>0</v>
      </c>
      <c r="CN106" s="16" t="n">
        <v>0</v>
      </c>
      <c r="CO106" s="16" t="n">
        <v>0</v>
      </c>
      <c r="CP106" s="16" t="n">
        <v>0</v>
      </c>
      <c r="CQ106" s="16" t="n">
        <v>0</v>
      </c>
      <c r="CR106" s="16" t="n">
        <v>0</v>
      </c>
      <c r="CS106" s="16" t="n">
        <v>0</v>
      </c>
      <c r="CT106" s="16" t="n">
        <v>0</v>
      </c>
      <c r="CU106" s="16" t="n">
        <v>0</v>
      </c>
      <c r="CV106" s="16" t="n">
        <v>0</v>
      </c>
      <c r="CW106" s="16" t="n">
        <v>0</v>
      </c>
      <c r="CX106" s="16" t="n">
        <v>0</v>
      </c>
      <c r="CY106" s="16" t="n">
        <v>0</v>
      </c>
      <c r="CZ106" s="16" t="n">
        <v>0</v>
      </c>
      <c r="DA106" s="16" t="n">
        <v>0</v>
      </c>
      <c r="DB106" s="16" t="n">
        <v>0</v>
      </c>
      <c r="DC106" s="16" t="n">
        <v>0</v>
      </c>
      <c r="DD106" s="16" t="n">
        <v>0</v>
      </c>
      <c r="DE106" s="16" t="n">
        <v>0</v>
      </c>
      <c r="DF106" s="16" t="n">
        <v>0</v>
      </c>
      <c r="DG106" s="16" t="n">
        <v>0</v>
      </c>
      <c r="DH106" s="16" t="n">
        <v>0</v>
      </c>
      <c r="DI106" s="16" t="n">
        <v>0</v>
      </c>
      <c r="DJ106" s="16" t="n">
        <v>0</v>
      </c>
      <c r="DK106" s="16" t="n">
        <v>0</v>
      </c>
      <c r="DL106" s="16" t="n">
        <v>0</v>
      </c>
      <c r="DM106" s="16" t="n">
        <v>0</v>
      </c>
      <c r="DN106" s="16" t="n">
        <v>0</v>
      </c>
      <c r="DO106" s="16" t="n">
        <v>0</v>
      </c>
      <c r="DP106" s="16" t="n">
        <v>0</v>
      </c>
      <c r="DQ106" s="16" t="n">
        <v>0</v>
      </c>
      <c r="DR106" s="16" t="n">
        <v>0</v>
      </c>
      <c r="DS106" s="16" t="n">
        <v>0</v>
      </c>
      <c r="DT106" s="16" t="n">
        <v>0</v>
      </c>
      <c r="DU106" s="16" t="n">
        <v>0</v>
      </c>
      <c r="DV106" s="16" t="n">
        <v>0</v>
      </c>
      <c r="DW106" s="16" t="n">
        <v>0</v>
      </c>
      <c r="DX106" s="16" t="n">
        <v>0</v>
      </c>
      <c r="DY106" s="16" t="n">
        <v>0</v>
      </c>
      <c r="DZ106" s="16" t="n">
        <v>0</v>
      </c>
      <c r="EA106" s="16" t="n">
        <v>0</v>
      </c>
      <c r="EB106" s="16" t="n">
        <v>0</v>
      </c>
      <c r="EC106" s="16" t="n">
        <v>0</v>
      </c>
      <c r="ED106" s="16" t="n">
        <v>0</v>
      </c>
      <c r="EE106" s="16" t="n">
        <v>0</v>
      </c>
      <c r="EF106" s="16" t="n">
        <v>0</v>
      </c>
    </row>
    <row r="107" customFormat="false" ht="15" hidden="false" customHeight="true" outlineLevel="0" collapsed="false">
      <c r="A107" s="9" t="s">
        <v>12</v>
      </c>
      <c r="B107" s="9" t="s">
        <v>36</v>
      </c>
      <c r="C107" s="9" t="s">
        <v>36</v>
      </c>
      <c r="D107" s="9" t="s">
        <v>337</v>
      </c>
      <c r="E107" s="9" t="s">
        <v>10</v>
      </c>
      <c r="F107" s="9" t="s">
        <v>84</v>
      </c>
      <c r="G107" s="16" t="n">
        <v>0</v>
      </c>
      <c r="H107" s="16" t="n">
        <v>0</v>
      </c>
      <c r="I107" s="16" t="n">
        <v>15</v>
      </c>
      <c r="J107" s="16" t="n">
        <v>-15</v>
      </c>
      <c r="K107" s="16" t="n">
        <v>0</v>
      </c>
      <c r="L107" s="16" t="n">
        <v>0</v>
      </c>
      <c r="M107" s="16" t="n">
        <v>0</v>
      </c>
      <c r="N107" s="16" t="n">
        <v>0</v>
      </c>
      <c r="O107" s="16" t="n">
        <v>0</v>
      </c>
      <c r="P107" s="16" t="n">
        <v>0</v>
      </c>
      <c r="Q107" s="16" t="n">
        <v>0</v>
      </c>
      <c r="R107" s="16" t="n">
        <v>0</v>
      </c>
      <c r="S107" s="16" t="n">
        <v>0</v>
      </c>
      <c r="T107" s="16" t="n">
        <v>0</v>
      </c>
      <c r="U107" s="16" t="n">
        <v>0</v>
      </c>
      <c r="V107" s="16" t="n">
        <v>0</v>
      </c>
      <c r="W107" s="16" t="n">
        <v>0</v>
      </c>
      <c r="X107" s="16" t="n">
        <v>0</v>
      </c>
      <c r="Y107" s="16" t="n">
        <v>0</v>
      </c>
      <c r="Z107" s="16" t="n">
        <v>0</v>
      </c>
      <c r="AA107" s="16" t="n">
        <v>0</v>
      </c>
      <c r="AB107" s="16" t="n">
        <v>0</v>
      </c>
      <c r="AC107" s="16" t="n">
        <v>0</v>
      </c>
      <c r="AD107" s="16" t="n">
        <v>0</v>
      </c>
      <c r="AE107" s="16" t="n">
        <v>0</v>
      </c>
      <c r="AF107" s="16" t="n">
        <v>0</v>
      </c>
      <c r="AG107" s="16" t="n">
        <v>0</v>
      </c>
      <c r="AH107" s="16" t="n">
        <v>0</v>
      </c>
      <c r="AI107" s="16" t="n">
        <v>0</v>
      </c>
      <c r="AJ107" s="16" t="n">
        <v>0</v>
      </c>
      <c r="AK107" s="16" t="n">
        <v>0</v>
      </c>
      <c r="AL107" s="16" t="n">
        <v>0</v>
      </c>
      <c r="AM107" s="16" t="n">
        <v>0</v>
      </c>
      <c r="AN107" s="16" t="n">
        <v>0</v>
      </c>
      <c r="AO107" s="16" t="n">
        <v>0</v>
      </c>
      <c r="AP107" s="16" t="n">
        <v>0</v>
      </c>
      <c r="AQ107" s="16" t="n">
        <v>0</v>
      </c>
      <c r="AR107" s="16" t="n">
        <v>0</v>
      </c>
      <c r="AS107" s="16" t="n">
        <v>0</v>
      </c>
      <c r="AT107" s="16" t="n">
        <v>0</v>
      </c>
      <c r="AU107" s="16" t="n">
        <v>0</v>
      </c>
      <c r="AV107" s="16" t="n">
        <v>0</v>
      </c>
      <c r="AW107" s="16" t="n">
        <v>0</v>
      </c>
      <c r="AX107" s="16" t="n">
        <v>0</v>
      </c>
      <c r="AY107" s="16" t="n">
        <v>0</v>
      </c>
      <c r="AZ107" s="16" t="n">
        <v>0</v>
      </c>
      <c r="BA107" s="16" t="n">
        <v>0</v>
      </c>
      <c r="BB107" s="16" t="n">
        <v>0</v>
      </c>
      <c r="BC107" s="16" t="n">
        <v>0</v>
      </c>
      <c r="BD107" s="16" t="n">
        <v>0</v>
      </c>
      <c r="BE107" s="16" t="n">
        <v>0</v>
      </c>
      <c r="BF107" s="16" t="n">
        <v>0</v>
      </c>
      <c r="BG107" s="16" t="n">
        <v>0</v>
      </c>
      <c r="BH107" s="16" t="n">
        <v>0</v>
      </c>
      <c r="BI107" s="16" t="n">
        <v>0</v>
      </c>
      <c r="BJ107" s="16" t="n">
        <v>0</v>
      </c>
      <c r="BK107" s="16" t="n">
        <v>0</v>
      </c>
      <c r="BL107" s="16" t="n">
        <v>0</v>
      </c>
      <c r="BM107" s="16" t="n">
        <v>0</v>
      </c>
      <c r="BN107" s="16" t="n">
        <v>0</v>
      </c>
      <c r="BO107" s="16" t="n">
        <v>0</v>
      </c>
      <c r="BP107" s="16" t="n">
        <v>0</v>
      </c>
      <c r="BQ107" s="16" t="n">
        <v>0</v>
      </c>
      <c r="BR107" s="16" t="n">
        <v>0</v>
      </c>
      <c r="BS107" s="16" t="n">
        <v>0</v>
      </c>
      <c r="BT107" s="16" t="n">
        <v>0</v>
      </c>
      <c r="BU107" s="16" t="n">
        <v>0</v>
      </c>
      <c r="BV107" s="16" t="n">
        <v>0</v>
      </c>
      <c r="BW107" s="16" t="n">
        <v>0</v>
      </c>
      <c r="BX107" s="16" t="n">
        <v>0</v>
      </c>
      <c r="BY107" s="16" t="n">
        <v>0</v>
      </c>
      <c r="BZ107" s="16" t="n">
        <v>0</v>
      </c>
      <c r="CA107" s="16" t="n">
        <v>0</v>
      </c>
      <c r="CB107" s="16" t="n">
        <v>0</v>
      </c>
      <c r="CC107" s="16" t="n">
        <v>0</v>
      </c>
      <c r="CD107" s="16" t="n">
        <v>0</v>
      </c>
      <c r="CE107" s="16" t="n">
        <v>0</v>
      </c>
      <c r="CF107" s="16" t="n">
        <v>0</v>
      </c>
      <c r="CG107" s="16" t="n">
        <v>0</v>
      </c>
      <c r="CH107" s="16" t="n">
        <v>0</v>
      </c>
      <c r="CI107" s="16" t="n">
        <v>0</v>
      </c>
      <c r="CJ107" s="16" t="n">
        <v>0</v>
      </c>
      <c r="CK107" s="16" t="n">
        <v>0</v>
      </c>
      <c r="CL107" s="16" t="n">
        <v>0</v>
      </c>
      <c r="CM107" s="16" t="n">
        <v>0</v>
      </c>
      <c r="CN107" s="16" t="n">
        <v>0</v>
      </c>
      <c r="CO107" s="16" t="n">
        <v>0</v>
      </c>
      <c r="CP107" s="16" t="n">
        <v>0</v>
      </c>
      <c r="CQ107" s="16" t="n">
        <v>0</v>
      </c>
      <c r="CR107" s="16" t="n">
        <v>0</v>
      </c>
      <c r="CS107" s="16" t="n">
        <v>0</v>
      </c>
      <c r="CT107" s="16" t="n">
        <v>0</v>
      </c>
      <c r="CU107" s="16" t="n">
        <v>0</v>
      </c>
      <c r="CV107" s="16" t="n">
        <v>0</v>
      </c>
      <c r="CW107" s="16" t="n">
        <v>0</v>
      </c>
      <c r="CX107" s="16" t="n">
        <v>0</v>
      </c>
      <c r="CY107" s="16" t="n">
        <v>0</v>
      </c>
      <c r="CZ107" s="16" t="n">
        <v>10</v>
      </c>
      <c r="DA107" s="16" t="n">
        <v>5</v>
      </c>
      <c r="DB107" s="16" t="n">
        <v>0</v>
      </c>
      <c r="DC107" s="16" t="n">
        <v>0</v>
      </c>
      <c r="DD107" s="16" t="n">
        <v>0</v>
      </c>
      <c r="DE107" s="16" t="n">
        <v>0</v>
      </c>
      <c r="DF107" s="16" t="n">
        <v>0</v>
      </c>
      <c r="DG107" s="16" t="n">
        <v>0</v>
      </c>
      <c r="DH107" s="16" t="n">
        <v>0</v>
      </c>
      <c r="DI107" s="16" t="n">
        <v>0</v>
      </c>
      <c r="DJ107" s="16" t="n">
        <v>0</v>
      </c>
      <c r="DK107" s="16" t="n">
        <v>0</v>
      </c>
      <c r="DL107" s="16" t="n">
        <v>0</v>
      </c>
      <c r="DM107" s="16" t="n">
        <v>0</v>
      </c>
      <c r="DN107" s="16" t="n">
        <v>0</v>
      </c>
      <c r="DO107" s="16" t="n">
        <v>0</v>
      </c>
      <c r="DP107" s="16" t="n">
        <v>0</v>
      </c>
      <c r="DQ107" s="16" t="n">
        <v>0</v>
      </c>
      <c r="DR107" s="16" t="n">
        <v>0</v>
      </c>
      <c r="DS107" s="16" t="n">
        <v>0</v>
      </c>
      <c r="DT107" s="16" t="n">
        <v>0</v>
      </c>
      <c r="DU107" s="16" t="n">
        <v>0</v>
      </c>
      <c r="DV107" s="16" t="n">
        <v>0</v>
      </c>
      <c r="DW107" s="16" t="n">
        <v>0</v>
      </c>
      <c r="DX107" s="16" t="n">
        <v>0</v>
      </c>
      <c r="DY107" s="16" t="n">
        <v>0</v>
      </c>
      <c r="DZ107" s="16" t="n">
        <v>0</v>
      </c>
      <c r="EA107" s="16" t="n">
        <v>0</v>
      </c>
      <c r="EB107" s="16" t="n">
        <v>0</v>
      </c>
      <c r="EC107" s="16" t="n">
        <v>0</v>
      </c>
      <c r="ED107" s="16" t="n">
        <v>0</v>
      </c>
      <c r="EE107" s="16" t="n">
        <v>0</v>
      </c>
      <c r="EF107" s="16" t="n">
        <v>0</v>
      </c>
    </row>
    <row r="108" customFormat="false" ht="15" hidden="false" customHeight="true" outlineLevel="0" collapsed="false">
      <c r="A108" s="9" t="s">
        <v>12</v>
      </c>
      <c r="B108" s="9" t="s">
        <v>36</v>
      </c>
      <c r="C108" s="9" t="s">
        <v>36</v>
      </c>
      <c r="D108" s="9" t="s">
        <v>336</v>
      </c>
      <c r="E108" s="9" t="s">
        <v>10</v>
      </c>
      <c r="F108" s="9" t="s">
        <v>84</v>
      </c>
      <c r="G108" s="16" t="n">
        <v>0</v>
      </c>
      <c r="H108" s="16" t="n">
        <v>15</v>
      </c>
      <c r="I108" s="16" t="n">
        <v>0</v>
      </c>
      <c r="J108" s="16" t="n">
        <v>15</v>
      </c>
      <c r="K108" s="16" t="n">
        <v>0</v>
      </c>
      <c r="L108" s="16" t="n">
        <v>0</v>
      </c>
      <c r="M108" s="16" t="n">
        <v>0</v>
      </c>
      <c r="N108" s="16" t="n">
        <v>0</v>
      </c>
      <c r="O108" s="16" t="n">
        <v>0</v>
      </c>
      <c r="P108" s="16" t="n">
        <v>0</v>
      </c>
      <c r="Q108" s="16" t="n">
        <v>0</v>
      </c>
      <c r="R108" s="16" t="n">
        <v>0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0</v>
      </c>
      <c r="X108" s="16" t="n">
        <v>0</v>
      </c>
      <c r="Y108" s="16" t="n">
        <v>0</v>
      </c>
      <c r="Z108" s="16" t="n">
        <v>0</v>
      </c>
      <c r="AA108" s="16" t="n">
        <v>0</v>
      </c>
      <c r="AB108" s="16" t="n">
        <v>0</v>
      </c>
      <c r="AC108" s="16" t="n">
        <v>0</v>
      </c>
      <c r="AD108" s="16" t="n">
        <v>0</v>
      </c>
      <c r="AE108" s="16" t="n">
        <v>0</v>
      </c>
      <c r="AF108" s="16" t="n">
        <v>0</v>
      </c>
      <c r="AG108" s="16" t="n">
        <v>0</v>
      </c>
      <c r="AH108" s="16" t="n">
        <v>0</v>
      </c>
      <c r="AI108" s="16" t="n">
        <v>0</v>
      </c>
      <c r="AJ108" s="16" t="n">
        <v>0</v>
      </c>
      <c r="AK108" s="16" t="n">
        <v>0</v>
      </c>
      <c r="AL108" s="16" t="n">
        <v>0</v>
      </c>
      <c r="AM108" s="16" t="n">
        <v>0</v>
      </c>
      <c r="AN108" s="16" t="n">
        <v>0</v>
      </c>
      <c r="AO108" s="16" t="n">
        <v>0</v>
      </c>
      <c r="AP108" s="16" t="n">
        <v>0</v>
      </c>
      <c r="AQ108" s="16" t="n">
        <v>0</v>
      </c>
      <c r="AR108" s="16" t="n">
        <v>0</v>
      </c>
      <c r="AS108" s="16" t="n">
        <v>0</v>
      </c>
      <c r="AT108" s="16" t="n">
        <v>0</v>
      </c>
      <c r="AU108" s="16" t="n">
        <v>0</v>
      </c>
      <c r="AV108" s="16" t="n">
        <v>0</v>
      </c>
      <c r="AW108" s="16" t="n">
        <v>0</v>
      </c>
      <c r="AX108" s="16" t="n">
        <v>0</v>
      </c>
      <c r="AY108" s="16" t="n">
        <v>0</v>
      </c>
      <c r="AZ108" s="16" t="n">
        <v>0</v>
      </c>
      <c r="BA108" s="16" t="n">
        <v>0</v>
      </c>
      <c r="BB108" s="16" t="n">
        <v>0</v>
      </c>
      <c r="BC108" s="16" t="n">
        <v>0</v>
      </c>
      <c r="BD108" s="16" t="n">
        <v>0</v>
      </c>
      <c r="BE108" s="16" t="n">
        <v>0</v>
      </c>
      <c r="BF108" s="16" t="n">
        <v>0</v>
      </c>
      <c r="BG108" s="16" t="n">
        <v>0</v>
      </c>
      <c r="BH108" s="16" t="n">
        <v>0</v>
      </c>
      <c r="BI108" s="16" t="n">
        <v>0</v>
      </c>
      <c r="BJ108" s="16" t="n">
        <v>0</v>
      </c>
      <c r="BK108" s="16" t="n">
        <v>0</v>
      </c>
      <c r="BL108" s="16" t="n">
        <v>0</v>
      </c>
      <c r="BM108" s="16" t="n">
        <v>0</v>
      </c>
      <c r="BN108" s="16" t="n">
        <v>0</v>
      </c>
      <c r="BO108" s="16" t="n">
        <v>0</v>
      </c>
      <c r="BP108" s="16" t="n">
        <v>0</v>
      </c>
      <c r="BQ108" s="16" t="n">
        <v>0</v>
      </c>
      <c r="BR108" s="16" t="n">
        <v>0</v>
      </c>
      <c r="BS108" s="16" t="n">
        <v>0</v>
      </c>
      <c r="BT108" s="16" t="n">
        <v>0</v>
      </c>
      <c r="BU108" s="16" t="n">
        <v>0</v>
      </c>
      <c r="BV108" s="16" t="n">
        <v>0</v>
      </c>
      <c r="BW108" s="16" t="n">
        <v>0</v>
      </c>
      <c r="BX108" s="16" t="n">
        <v>0</v>
      </c>
      <c r="BY108" s="16" t="n">
        <v>0</v>
      </c>
      <c r="BZ108" s="16" t="n">
        <v>0</v>
      </c>
      <c r="CA108" s="16" t="n">
        <v>0</v>
      </c>
      <c r="CB108" s="16" t="n">
        <v>0</v>
      </c>
      <c r="CC108" s="16" t="n">
        <v>0</v>
      </c>
      <c r="CD108" s="16" t="n">
        <v>0</v>
      </c>
      <c r="CE108" s="16" t="n">
        <v>0</v>
      </c>
      <c r="CF108" s="16" t="n">
        <v>0</v>
      </c>
      <c r="CG108" s="16" t="n">
        <v>0</v>
      </c>
      <c r="CH108" s="16" t="n">
        <v>0</v>
      </c>
      <c r="CI108" s="16" t="n">
        <v>0</v>
      </c>
      <c r="CJ108" s="16" t="n">
        <v>0</v>
      </c>
      <c r="CK108" s="16" t="n">
        <v>0</v>
      </c>
      <c r="CL108" s="16" t="n">
        <v>0</v>
      </c>
      <c r="CM108" s="16" t="n">
        <v>0</v>
      </c>
      <c r="CN108" s="16" t="n">
        <v>0</v>
      </c>
      <c r="CO108" s="16" t="n">
        <v>0</v>
      </c>
      <c r="CP108" s="16" t="n">
        <v>0</v>
      </c>
      <c r="CQ108" s="16" t="n">
        <v>0</v>
      </c>
      <c r="CR108" s="16" t="n">
        <v>0</v>
      </c>
      <c r="CS108" s="16" t="n">
        <v>0</v>
      </c>
      <c r="CT108" s="16" t="n">
        <v>0</v>
      </c>
      <c r="CU108" s="16" t="n">
        <v>0</v>
      </c>
      <c r="CV108" s="16" t="n">
        <v>0</v>
      </c>
      <c r="CW108" s="16" t="n">
        <v>0</v>
      </c>
      <c r="CX108" s="16" t="n">
        <v>0</v>
      </c>
      <c r="CY108" s="16" t="n">
        <v>0</v>
      </c>
      <c r="CZ108" s="16" t="n">
        <v>0</v>
      </c>
      <c r="DA108" s="16" t="n">
        <v>0</v>
      </c>
      <c r="DB108" s="16" t="n">
        <v>0</v>
      </c>
      <c r="DC108" s="16" t="n">
        <v>0</v>
      </c>
      <c r="DD108" s="16" t="n">
        <v>0</v>
      </c>
      <c r="DE108" s="16" t="n">
        <v>0</v>
      </c>
      <c r="DF108" s="16" t="n">
        <v>0</v>
      </c>
      <c r="DG108" s="16" t="n">
        <v>0</v>
      </c>
      <c r="DH108" s="16" t="n">
        <v>0</v>
      </c>
      <c r="DI108" s="16" t="n">
        <v>0</v>
      </c>
      <c r="DJ108" s="16" t="n">
        <v>0</v>
      </c>
      <c r="DK108" s="16" t="n">
        <v>0</v>
      </c>
      <c r="DL108" s="16" t="n">
        <v>0</v>
      </c>
      <c r="DM108" s="16" t="n">
        <v>0</v>
      </c>
      <c r="DN108" s="16" t="n">
        <v>0</v>
      </c>
      <c r="DO108" s="16" t="n">
        <v>0</v>
      </c>
      <c r="DP108" s="16" t="n">
        <v>0</v>
      </c>
      <c r="DQ108" s="16" t="n">
        <v>0</v>
      </c>
      <c r="DR108" s="16" t="n">
        <v>0</v>
      </c>
      <c r="DS108" s="16" t="n">
        <v>0</v>
      </c>
      <c r="DT108" s="16" t="n">
        <v>0</v>
      </c>
      <c r="DU108" s="16" t="n">
        <v>0</v>
      </c>
      <c r="DV108" s="16" t="n">
        <v>0</v>
      </c>
      <c r="DW108" s="16" t="n">
        <v>0</v>
      </c>
      <c r="DX108" s="16" t="n">
        <v>0</v>
      </c>
      <c r="DY108" s="16" t="n">
        <v>0</v>
      </c>
      <c r="DZ108" s="16" t="n">
        <v>0</v>
      </c>
      <c r="EA108" s="16" t="n">
        <v>0</v>
      </c>
      <c r="EB108" s="16" t="n">
        <v>0</v>
      </c>
      <c r="EC108" s="16" t="n">
        <v>0</v>
      </c>
      <c r="ED108" s="16" t="n">
        <v>0</v>
      </c>
      <c r="EE108" s="16" t="n">
        <v>0</v>
      </c>
      <c r="EF108" s="16" t="n">
        <v>0</v>
      </c>
    </row>
    <row r="109" customFormat="false" ht="15" hidden="false" customHeight="true" outlineLevel="0" collapsed="false">
      <c r="A109" s="9" t="s">
        <v>12</v>
      </c>
      <c r="B109" s="9" t="s">
        <v>36</v>
      </c>
      <c r="C109" s="9" t="s">
        <v>36</v>
      </c>
      <c r="D109" s="9" t="s">
        <v>337</v>
      </c>
      <c r="E109" s="9" t="s">
        <v>10</v>
      </c>
      <c r="F109" s="9" t="s">
        <v>40</v>
      </c>
      <c r="G109" s="16" t="n">
        <v>0</v>
      </c>
      <c r="H109" s="16" t="n">
        <v>0</v>
      </c>
      <c r="I109" s="16" t="n">
        <v>0</v>
      </c>
      <c r="J109" s="16" t="n">
        <v>0</v>
      </c>
      <c r="K109" s="16" t="n">
        <v>0</v>
      </c>
      <c r="L109" s="16" t="n">
        <v>0</v>
      </c>
      <c r="M109" s="16" t="n">
        <v>0</v>
      </c>
      <c r="N109" s="16" t="n">
        <v>0</v>
      </c>
      <c r="O109" s="16" t="n">
        <v>0</v>
      </c>
      <c r="P109" s="16" t="n">
        <v>0</v>
      </c>
      <c r="Q109" s="16" t="n">
        <v>0</v>
      </c>
      <c r="R109" s="16" t="n">
        <v>0</v>
      </c>
      <c r="S109" s="16" t="n">
        <v>0</v>
      </c>
      <c r="T109" s="16" t="n">
        <v>0</v>
      </c>
      <c r="U109" s="16" t="n">
        <v>0</v>
      </c>
      <c r="V109" s="16" t="n">
        <v>0</v>
      </c>
      <c r="W109" s="16" t="n">
        <v>0</v>
      </c>
      <c r="X109" s="16" t="n">
        <v>0</v>
      </c>
      <c r="Y109" s="16" t="n">
        <v>0</v>
      </c>
      <c r="Z109" s="16" t="n">
        <v>0</v>
      </c>
      <c r="AA109" s="16" t="n">
        <v>0</v>
      </c>
      <c r="AB109" s="16" t="n">
        <v>0</v>
      </c>
      <c r="AC109" s="16" t="n">
        <v>0</v>
      </c>
      <c r="AD109" s="16" t="n">
        <v>0</v>
      </c>
      <c r="AE109" s="16" t="n">
        <v>0</v>
      </c>
      <c r="AF109" s="16" t="n">
        <v>0</v>
      </c>
      <c r="AG109" s="16" t="n">
        <v>0</v>
      </c>
      <c r="AH109" s="16" t="n">
        <v>0</v>
      </c>
      <c r="AI109" s="16" t="n">
        <v>0</v>
      </c>
      <c r="AJ109" s="16" t="n">
        <v>0</v>
      </c>
      <c r="AK109" s="16" t="n">
        <v>0</v>
      </c>
      <c r="AL109" s="16" t="n">
        <v>0</v>
      </c>
      <c r="AM109" s="16" t="n">
        <v>0</v>
      </c>
      <c r="AN109" s="16" t="n">
        <v>0</v>
      </c>
      <c r="AO109" s="16" t="n">
        <v>0</v>
      </c>
      <c r="AP109" s="16" t="n">
        <v>0</v>
      </c>
      <c r="AQ109" s="16" t="n">
        <v>0</v>
      </c>
      <c r="AR109" s="16" t="n">
        <v>0</v>
      </c>
      <c r="AS109" s="16" t="n">
        <v>0</v>
      </c>
      <c r="AT109" s="16" t="n">
        <v>0</v>
      </c>
      <c r="AU109" s="16" t="n">
        <v>0</v>
      </c>
      <c r="AV109" s="16" t="n">
        <v>0</v>
      </c>
      <c r="AW109" s="16" t="n">
        <v>0</v>
      </c>
      <c r="AX109" s="16" t="n">
        <v>0</v>
      </c>
      <c r="AY109" s="16" t="n">
        <v>0</v>
      </c>
      <c r="AZ109" s="16" t="n">
        <v>0</v>
      </c>
      <c r="BA109" s="16" t="n">
        <v>0</v>
      </c>
      <c r="BB109" s="16" t="n">
        <v>0</v>
      </c>
      <c r="BC109" s="16" t="n">
        <v>0</v>
      </c>
      <c r="BD109" s="16" t="n">
        <v>0</v>
      </c>
      <c r="BE109" s="16" t="n">
        <v>0</v>
      </c>
      <c r="BF109" s="16" t="n">
        <v>0</v>
      </c>
      <c r="BG109" s="16" t="n">
        <v>0</v>
      </c>
      <c r="BH109" s="16" t="n">
        <v>0</v>
      </c>
      <c r="BI109" s="16" t="n">
        <v>0</v>
      </c>
      <c r="BJ109" s="16" t="n">
        <v>0</v>
      </c>
      <c r="BK109" s="16" t="n">
        <v>0</v>
      </c>
      <c r="BL109" s="16" t="n">
        <v>0</v>
      </c>
      <c r="BM109" s="16" t="n">
        <v>0</v>
      </c>
      <c r="BN109" s="16" t="n">
        <v>0</v>
      </c>
      <c r="BO109" s="16" t="n">
        <v>0</v>
      </c>
      <c r="BP109" s="16" t="n">
        <v>0</v>
      </c>
      <c r="BQ109" s="16" t="n">
        <v>0</v>
      </c>
      <c r="BR109" s="16" t="n">
        <v>0</v>
      </c>
      <c r="BS109" s="16" t="n">
        <v>0</v>
      </c>
      <c r="BT109" s="16" t="n">
        <v>0</v>
      </c>
      <c r="BU109" s="16" t="n">
        <v>0</v>
      </c>
      <c r="BV109" s="16" t="n">
        <v>0</v>
      </c>
      <c r="BW109" s="16" t="n">
        <v>0</v>
      </c>
      <c r="BX109" s="16" t="n">
        <v>0</v>
      </c>
      <c r="BY109" s="16" t="n">
        <v>0</v>
      </c>
      <c r="BZ109" s="16" t="n">
        <v>0</v>
      </c>
      <c r="CA109" s="16" t="n">
        <v>0</v>
      </c>
      <c r="CB109" s="16" t="n">
        <v>0</v>
      </c>
      <c r="CC109" s="16" t="n">
        <v>0</v>
      </c>
      <c r="CD109" s="16" t="n">
        <v>0</v>
      </c>
      <c r="CE109" s="16" t="n">
        <v>0</v>
      </c>
      <c r="CF109" s="16" t="n">
        <v>0</v>
      </c>
      <c r="CG109" s="16" t="n">
        <v>0</v>
      </c>
      <c r="CH109" s="16" t="n">
        <v>0</v>
      </c>
      <c r="CI109" s="16" t="n">
        <v>0</v>
      </c>
      <c r="CJ109" s="16" t="n">
        <v>0</v>
      </c>
      <c r="CK109" s="16" t="n">
        <v>0</v>
      </c>
      <c r="CL109" s="16" t="n">
        <v>0</v>
      </c>
      <c r="CM109" s="16" t="n">
        <v>0</v>
      </c>
      <c r="CN109" s="16" t="n">
        <v>0</v>
      </c>
      <c r="CO109" s="16" t="n">
        <v>0</v>
      </c>
      <c r="CP109" s="16" t="n">
        <v>0</v>
      </c>
      <c r="CQ109" s="16" t="n">
        <v>0</v>
      </c>
      <c r="CR109" s="16" t="n">
        <v>0</v>
      </c>
      <c r="CS109" s="16" t="n">
        <v>0</v>
      </c>
      <c r="CT109" s="16" t="n">
        <v>0</v>
      </c>
      <c r="CU109" s="16" t="n">
        <v>0</v>
      </c>
      <c r="CV109" s="16" t="n">
        <v>0</v>
      </c>
      <c r="CW109" s="16" t="n">
        <v>0</v>
      </c>
      <c r="CX109" s="16" t="n">
        <v>0</v>
      </c>
      <c r="CY109" s="16" t="n">
        <v>0</v>
      </c>
      <c r="CZ109" s="16" t="n">
        <v>0</v>
      </c>
      <c r="DA109" s="16" t="n">
        <v>0</v>
      </c>
      <c r="DB109" s="16" t="n">
        <v>0</v>
      </c>
      <c r="DC109" s="16" t="n">
        <v>0</v>
      </c>
      <c r="DD109" s="16" t="n">
        <v>0</v>
      </c>
      <c r="DE109" s="16" t="n">
        <v>0</v>
      </c>
      <c r="DF109" s="16" t="n">
        <v>0</v>
      </c>
      <c r="DG109" s="16" t="n">
        <v>0</v>
      </c>
      <c r="DH109" s="16" t="n">
        <v>0</v>
      </c>
      <c r="DI109" s="16" t="n">
        <v>0</v>
      </c>
      <c r="DJ109" s="16" t="n">
        <v>0</v>
      </c>
      <c r="DK109" s="16" t="n">
        <v>0</v>
      </c>
      <c r="DL109" s="16" t="n">
        <v>0</v>
      </c>
      <c r="DM109" s="16" t="n">
        <v>0</v>
      </c>
      <c r="DN109" s="16" t="n">
        <v>0</v>
      </c>
      <c r="DO109" s="16" t="n">
        <v>0</v>
      </c>
      <c r="DP109" s="16" t="n">
        <v>0</v>
      </c>
      <c r="DQ109" s="16" t="n">
        <v>0</v>
      </c>
      <c r="DR109" s="16" t="n">
        <v>0</v>
      </c>
      <c r="DS109" s="16" t="n">
        <v>0</v>
      </c>
      <c r="DT109" s="16" t="n">
        <v>0</v>
      </c>
      <c r="DU109" s="16" t="n">
        <v>0</v>
      </c>
      <c r="DV109" s="16" t="n">
        <v>0</v>
      </c>
      <c r="DW109" s="16" t="n">
        <v>0</v>
      </c>
      <c r="DX109" s="16" t="n">
        <v>0</v>
      </c>
      <c r="DY109" s="16" t="n">
        <v>0</v>
      </c>
      <c r="DZ109" s="16" t="n">
        <v>0</v>
      </c>
      <c r="EA109" s="16" t="n">
        <v>0</v>
      </c>
      <c r="EB109" s="16" t="n">
        <v>0</v>
      </c>
      <c r="EC109" s="16" t="n">
        <v>0</v>
      </c>
      <c r="ED109" s="16" t="n">
        <v>0</v>
      </c>
      <c r="EE109" s="16" t="n">
        <v>0</v>
      </c>
      <c r="EF109" s="16" t="n">
        <v>0</v>
      </c>
    </row>
    <row r="110" customFormat="false" ht="15" hidden="false" customHeight="true" outlineLevel="0" collapsed="false">
      <c r="A110" s="9" t="s">
        <v>12</v>
      </c>
      <c r="B110" s="9" t="s">
        <v>36</v>
      </c>
      <c r="C110" s="9" t="s">
        <v>36</v>
      </c>
      <c r="D110" s="9" t="s">
        <v>336</v>
      </c>
      <c r="E110" s="9" t="s">
        <v>10</v>
      </c>
      <c r="F110" s="9" t="s">
        <v>40</v>
      </c>
      <c r="G110" s="16" t="n">
        <v>0</v>
      </c>
      <c r="H110" s="16" t="n">
        <v>28</v>
      </c>
      <c r="I110" s="16" t="n">
        <v>0</v>
      </c>
      <c r="J110" s="16" t="n">
        <v>28</v>
      </c>
      <c r="K110" s="16" t="n">
        <v>0</v>
      </c>
      <c r="L110" s="16" t="n">
        <v>0</v>
      </c>
      <c r="M110" s="16" t="n">
        <v>0</v>
      </c>
      <c r="N110" s="16" t="n">
        <v>0</v>
      </c>
      <c r="O110" s="16" t="n">
        <v>0</v>
      </c>
      <c r="P110" s="16" t="n">
        <v>0</v>
      </c>
      <c r="Q110" s="16" t="n">
        <v>0</v>
      </c>
      <c r="R110" s="16" t="n">
        <v>0</v>
      </c>
      <c r="S110" s="16" t="n">
        <v>0</v>
      </c>
      <c r="T110" s="16" t="n">
        <v>0</v>
      </c>
      <c r="U110" s="16" t="n">
        <v>0</v>
      </c>
      <c r="V110" s="16" t="n">
        <v>0</v>
      </c>
      <c r="W110" s="16" t="n">
        <v>0</v>
      </c>
      <c r="X110" s="16" t="n">
        <v>0</v>
      </c>
      <c r="Y110" s="16" t="n">
        <v>0</v>
      </c>
      <c r="Z110" s="16" t="n">
        <v>0</v>
      </c>
      <c r="AA110" s="16" t="n">
        <v>0</v>
      </c>
      <c r="AB110" s="16" t="n">
        <v>0</v>
      </c>
      <c r="AC110" s="16" t="n">
        <v>0</v>
      </c>
      <c r="AD110" s="16" t="n">
        <v>0</v>
      </c>
      <c r="AE110" s="16" t="n">
        <v>0</v>
      </c>
      <c r="AF110" s="16" t="n">
        <v>0</v>
      </c>
      <c r="AG110" s="16" t="n">
        <v>0</v>
      </c>
      <c r="AH110" s="16" t="n">
        <v>0</v>
      </c>
      <c r="AI110" s="16" t="n">
        <v>0</v>
      </c>
      <c r="AJ110" s="16" t="n">
        <v>0</v>
      </c>
      <c r="AK110" s="16" t="n">
        <v>0</v>
      </c>
      <c r="AL110" s="16" t="n">
        <v>0</v>
      </c>
      <c r="AM110" s="16" t="n">
        <v>0</v>
      </c>
      <c r="AN110" s="16" t="n">
        <v>0</v>
      </c>
      <c r="AO110" s="16" t="n">
        <v>0</v>
      </c>
      <c r="AP110" s="16" t="n">
        <v>0</v>
      </c>
      <c r="AQ110" s="16" t="n">
        <v>0</v>
      </c>
      <c r="AR110" s="16" t="n">
        <v>0</v>
      </c>
      <c r="AS110" s="16" t="n">
        <v>0</v>
      </c>
      <c r="AT110" s="16" t="n">
        <v>0</v>
      </c>
      <c r="AU110" s="16" t="n">
        <v>0</v>
      </c>
      <c r="AV110" s="16" t="n">
        <v>0</v>
      </c>
      <c r="AW110" s="16" t="n">
        <v>0</v>
      </c>
      <c r="AX110" s="16" t="n">
        <v>0</v>
      </c>
      <c r="AY110" s="16" t="n">
        <v>0</v>
      </c>
      <c r="AZ110" s="16" t="n">
        <v>0</v>
      </c>
      <c r="BA110" s="16" t="n">
        <v>0</v>
      </c>
      <c r="BB110" s="16" t="n">
        <v>0</v>
      </c>
      <c r="BC110" s="16" t="n">
        <v>0</v>
      </c>
      <c r="BD110" s="16" t="n">
        <v>0</v>
      </c>
      <c r="BE110" s="16" t="n">
        <v>0</v>
      </c>
      <c r="BF110" s="16" t="n">
        <v>0</v>
      </c>
      <c r="BG110" s="16" t="n">
        <v>0</v>
      </c>
      <c r="BH110" s="16" t="n">
        <v>0</v>
      </c>
      <c r="BI110" s="16" t="n">
        <v>0</v>
      </c>
      <c r="BJ110" s="16" t="n">
        <v>0</v>
      </c>
      <c r="BK110" s="16" t="n">
        <v>0</v>
      </c>
      <c r="BL110" s="16" t="n">
        <v>0</v>
      </c>
      <c r="BM110" s="16" t="n">
        <v>0</v>
      </c>
      <c r="BN110" s="16" t="n">
        <v>0</v>
      </c>
      <c r="BO110" s="16" t="n">
        <v>0</v>
      </c>
      <c r="BP110" s="16" t="n">
        <v>0</v>
      </c>
      <c r="BQ110" s="16" t="n">
        <v>0</v>
      </c>
      <c r="BR110" s="16" t="n">
        <v>0</v>
      </c>
      <c r="BS110" s="16" t="n">
        <v>0</v>
      </c>
      <c r="BT110" s="16" t="n">
        <v>0</v>
      </c>
      <c r="BU110" s="16" t="n">
        <v>0</v>
      </c>
      <c r="BV110" s="16" t="n">
        <v>0</v>
      </c>
      <c r="BW110" s="16" t="n">
        <v>0</v>
      </c>
      <c r="BX110" s="16" t="n">
        <v>0</v>
      </c>
      <c r="BY110" s="16" t="n">
        <v>0</v>
      </c>
      <c r="BZ110" s="16" t="n">
        <v>0</v>
      </c>
      <c r="CA110" s="16" t="n">
        <v>0</v>
      </c>
      <c r="CB110" s="16" t="n">
        <v>0</v>
      </c>
      <c r="CC110" s="16" t="n">
        <v>0</v>
      </c>
      <c r="CD110" s="16" t="n">
        <v>0</v>
      </c>
      <c r="CE110" s="16" t="n">
        <v>0</v>
      </c>
      <c r="CF110" s="16" t="n">
        <v>0</v>
      </c>
      <c r="CG110" s="16" t="n">
        <v>0</v>
      </c>
      <c r="CH110" s="16" t="n">
        <v>0</v>
      </c>
      <c r="CI110" s="16" t="n">
        <v>0</v>
      </c>
      <c r="CJ110" s="16" t="n">
        <v>0</v>
      </c>
      <c r="CK110" s="16" t="n">
        <v>0</v>
      </c>
      <c r="CL110" s="16" t="n">
        <v>0</v>
      </c>
      <c r="CM110" s="16" t="n">
        <v>0</v>
      </c>
      <c r="CN110" s="16" t="n">
        <v>0</v>
      </c>
      <c r="CO110" s="16" t="n">
        <v>0</v>
      </c>
      <c r="CP110" s="16" t="n">
        <v>0</v>
      </c>
      <c r="CQ110" s="16" t="n">
        <v>0</v>
      </c>
      <c r="CR110" s="16" t="n">
        <v>0</v>
      </c>
      <c r="CS110" s="16" t="n">
        <v>0</v>
      </c>
      <c r="CT110" s="16" t="n">
        <v>0</v>
      </c>
      <c r="CU110" s="16" t="n">
        <v>0</v>
      </c>
      <c r="CV110" s="16" t="n">
        <v>0</v>
      </c>
      <c r="CW110" s="16" t="n">
        <v>0</v>
      </c>
      <c r="CX110" s="16" t="n">
        <v>0</v>
      </c>
      <c r="CY110" s="16" t="n">
        <v>0</v>
      </c>
      <c r="CZ110" s="16" t="n">
        <v>0</v>
      </c>
      <c r="DA110" s="16" t="n">
        <v>0</v>
      </c>
      <c r="DB110" s="16" t="n">
        <v>0</v>
      </c>
      <c r="DC110" s="16" t="n">
        <v>0</v>
      </c>
      <c r="DD110" s="16" t="n">
        <v>0</v>
      </c>
      <c r="DE110" s="16" t="n">
        <v>0</v>
      </c>
      <c r="DF110" s="16" t="n">
        <v>0</v>
      </c>
      <c r="DG110" s="16" t="n">
        <v>0</v>
      </c>
      <c r="DH110" s="16" t="n">
        <v>0</v>
      </c>
      <c r="DI110" s="16" t="n">
        <v>0</v>
      </c>
      <c r="DJ110" s="16" t="n">
        <v>0</v>
      </c>
      <c r="DK110" s="16" t="n">
        <v>0</v>
      </c>
      <c r="DL110" s="16" t="n">
        <v>0</v>
      </c>
      <c r="DM110" s="16" t="n">
        <v>0</v>
      </c>
      <c r="DN110" s="16" t="n">
        <v>0</v>
      </c>
      <c r="DO110" s="16" t="n">
        <v>0</v>
      </c>
      <c r="DP110" s="16" t="n">
        <v>0</v>
      </c>
      <c r="DQ110" s="16" t="n">
        <v>0</v>
      </c>
      <c r="DR110" s="16" t="n">
        <v>0</v>
      </c>
      <c r="DS110" s="16" t="n">
        <v>0</v>
      </c>
      <c r="DT110" s="16" t="n">
        <v>0</v>
      </c>
      <c r="DU110" s="16" t="n">
        <v>0</v>
      </c>
      <c r="DV110" s="16" t="n">
        <v>0</v>
      </c>
      <c r="DW110" s="16" t="n">
        <v>0</v>
      </c>
      <c r="DX110" s="16" t="n">
        <v>0</v>
      </c>
      <c r="DY110" s="16" t="n">
        <v>0</v>
      </c>
      <c r="DZ110" s="16" t="n">
        <v>0</v>
      </c>
      <c r="EA110" s="16" t="n">
        <v>0</v>
      </c>
      <c r="EB110" s="16" t="n">
        <v>0</v>
      </c>
      <c r="EC110" s="16" t="n">
        <v>0</v>
      </c>
      <c r="ED110" s="16" t="n">
        <v>0</v>
      </c>
      <c r="EE110" s="16" t="n">
        <v>0</v>
      </c>
      <c r="EF110" s="16" t="n">
        <v>0</v>
      </c>
    </row>
    <row r="111" customFormat="false" ht="15" hidden="false" customHeight="true" outlineLevel="0" collapsed="false">
      <c r="A111" s="9" t="s">
        <v>12</v>
      </c>
      <c r="B111" s="9" t="s">
        <v>36</v>
      </c>
      <c r="C111" s="9" t="s">
        <v>36</v>
      </c>
      <c r="D111" s="9" t="s">
        <v>337</v>
      </c>
      <c r="E111" s="9" t="s">
        <v>10</v>
      </c>
      <c r="F111" s="9" t="s">
        <v>97</v>
      </c>
      <c r="G111" s="16" t="n">
        <v>0</v>
      </c>
      <c r="H111" s="16" t="n">
        <v>0</v>
      </c>
      <c r="I111" s="16" t="n">
        <v>187</v>
      </c>
      <c r="J111" s="16" t="n">
        <v>-187</v>
      </c>
      <c r="K111" s="16" t="n">
        <v>0</v>
      </c>
      <c r="L111" s="16" t="n">
        <v>0</v>
      </c>
      <c r="M111" s="16" t="n">
        <v>0</v>
      </c>
      <c r="N111" s="16" t="n">
        <v>0</v>
      </c>
      <c r="O111" s="16" t="n">
        <v>0</v>
      </c>
      <c r="P111" s="16" t="n">
        <v>0</v>
      </c>
      <c r="Q111" s="16" t="n">
        <v>0</v>
      </c>
      <c r="R111" s="16" t="n">
        <v>0</v>
      </c>
      <c r="S111" s="16" t="n">
        <v>0</v>
      </c>
      <c r="T111" s="16" t="n">
        <v>0</v>
      </c>
      <c r="U111" s="16" t="n">
        <v>0</v>
      </c>
      <c r="V111" s="16" t="n">
        <v>0</v>
      </c>
      <c r="W111" s="16" t="n">
        <v>0</v>
      </c>
      <c r="X111" s="16" t="n">
        <v>0</v>
      </c>
      <c r="Y111" s="16" t="n">
        <v>0</v>
      </c>
      <c r="Z111" s="16" t="n">
        <v>0</v>
      </c>
      <c r="AA111" s="16" t="n">
        <v>0</v>
      </c>
      <c r="AB111" s="16" t="n">
        <v>0</v>
      </c>
      <c r="AC111" s="16" t="n">
        <v>0</v>
      </c>
      <c r="AD111" s="16" t="n">
        <v>0</v>
      </c>
      <c r="AE111" s="16" t="n">
        <v>0</v>
      </c>
      <c r="AF111" s="16" t="n">
        <v>0</v>
      </c>
      <c r="AG111" s="16" t="n">
        <v>0</v>
      </c>
      <c r="AH111" s="16" t="n">
        <v>0</v>
      </c>
      <c r="AI111" s="16" t="n">
        <v>0</v>
      </c>
      <c r="AJ111" s="16" t="n">
        <v>6</v>
      </c>
      <c r="AK111" s="16" t="n">
        <v>9.5</v>
      </c>
      <c r="AL111" s="16" t="n">
        <v>18.5</v>
      </c>
      <c r="AM111" s="16" t="n">
        <v>17</v>
      </c>
      <c r="AN111" s="16" t="n">
        <v>2</v>
      </c>
      <c r="AO111" s="16" t="n">
        <v>6.5</v>
      </c>
      <c r="AP111" s="16" t="n">
        <v>0</v>
      </c>
      <c r="AQ111" s="16" t="n">
        <v>0</v>
      </c>
      <c r="AR111" s="16" t="n">
        <v>13.5</v>
      </c>
      <c r="AS111" s="16" t="n">
        <v>4</v>
      </c>
      <c r="AT111" s="16" t="n">
        <v>0</v>
      </c>
      <c r="AU111" s="16" t="n">
        <v>0</v>
      </c>
      <c r="AV111" s="16" t="n">
        <v>0</v>
      </c>
      <c r="AW111" s="16" t="n">
        <v>0</v>
      </c>
      <c r="AX111" s="16" t="n">
        <v>0</v>
      </c>
      <c r="AY111" s="16" t="n">
        <v>0</v>
      </c>
      <c r="AZ111" s="16" t="n">
        <v>0</v>
      </c>
      <c r="BA111" s="16" t="n">
        <v>0</v>
      </c>
      <c r="BB111" s="16" t="n">
        <v>0</v>
      </c>
      <c r="BC111" s="16" t="n">
        <v>0</v>
      </c>
      <c r="BD111" s="16" t="n">
        <v>0</v>
      </c>
      <c r="BE111" s="16" t="n">
        <v>0</v>
      </c>
      <c r="BF111" s="16" t="n">
        <v>0</v>
      </c>
      <c r="BG111" s="16" t="n">
        <v>0</v>
      </c>
      <c r="BH111" s="16" t="n">
        <v>0</v>
      </c>
      <c r="BI111" s="16" t="n">
        <v>0</v>
      </c>
      <c r="BJ111" s="16" t="n">
        <v>0</v>
      </c>
      <c r="BK111" s="16" t="n">
        <v>0</v>
      </c>
      <c r="BL111" s="16" t="n">
        <v>0</v>
      </c>
      <c r="BM111" s="16" t="n">
        <v>0</v>
      </c>
      <c r="BN111" s="16" t="n">
        <v>0</v>
      </c>
      <c r="BO111" s="16" t="n">
        <v>0</v>
      </c>
      <c r="BP111" s="16" t="n">
        <v>0</v>
      </c>
      <c r="BQ111" s="16" t="n">
        <v>0</v>
      </c>
      <c r="BR111" s="16" t="n">
        <v>0</v>
      </c>
      <c r="BS111" s="16" t="n">
        <v>0</v>
      </c>
      <c r="BT111" s="16" t="n">
        <v>0</v>
      </c>
      <c r="BU111" s="16" t="n">
        <v>0</v>
      </c>
      <c r="BV111" s="16" t="n">
        <v>0</v>
      </c>
      <c r="BW111" s="16" t="n">
        <v>0</v>
      </c>
      <c r="BX111" s="16" t="n">
        <v>0</v>
      </c>
      <c r="BY111" s="16" t="n">
        <v>0</v>
      </c>
      <c r="BZ111" s="16" t="n">
        <v>0</v>
      </c>
      <c r="CA111" s="16" t="n">
        <v>0</v>
      </c>
      <c r="CB111" s="16" t="n">
        <v>0</v>
      </c>
      <c r="CC111" s="16" t="n">
        <v>0</v>
      </c>
      <c r="CD111" s="16" t="n">
        <v>0</v>
      </c>
      <c r="CE111" s="16" t="n">
        <v>0</v>
      </c>
      <c r="CF111" s="16" t="n">
        <v>0</v>
      </c>
      <c r="CG111" s="16" t="n">
        <v>0</v>
      </c>
      <c r="CH111" s="16" t="n">
        <v>0</v>
      </c>
      <c r="CI111" s="16" t="n">
        <v>0</v>
      </c>
      <c r="CJ111" s="16" t="n">
        <v>0</v>
      </c>
      <c r="CK111" s="16" t="n">
        <v>0</v>
      </c>
      <c r="CL111" s="16" t="n">
        <v>0</v>
      </c>
      <c r="CM111" s="16" t="n">
        <v>0</v>
      </c>
      <c r="CN111" s="16" t="n">
        <v>0</v>
      </c>
      <c r="CO111" s="16" t="n">
        <v>0</v>
      </c>
      <c r="CP111" s="16" t="n">
        <v>0</v>
      </c>
      <c r="CQ111" s="16" t="n">
        <v>0</v>
      </c>
      <c r="CR111" s="16" t="n">
        <v>0</v>
      </c>
      <c r="CS111" s="16" t="n">
        <v>4</v>
      </c>
      <c r="CT111" s="16" t="n">
        <v>0</v>
      </c>
      <c r="CU111" s="16" t="n">
        <v>0</v>
      </c>
      <c r="CV111" s="16" t="n">
        <v>0</v>
      </c>
      <c r="CW111" s="16" t="n">
        <v>0</v>
      </c>
      <c r="CX111" s="16" t="n">
        <v>0</v>
      </c>
      <c r="CY111" s="16" t="n">
        <v>0</v>
      </c>
      <c r="CZ111" s="16" t="n">
        <v>10</v>
      </c>
      <c r="DA111" s="16" t="n">
        <v>10</v>
      </c>
      <c r="DB111" s="16" t="n">
        <v>10</v>
      </c>
      <c r="DC111" s="16" t="n">
        <v>10</v>
      </c>
      <c r="DD111" s="16" t="n">
        <v>15</v>
      </c>
      <c r="DE111" s="16" t="n">
        <v>0</v>
      </c>
      <c r="DF111" s="16" t="n">
        <v>5</v>
      </c>
      <c r="DG111" s="16" t="n">
        <v>5</v>
      </c>
      <c r="DH111" s="16" t="n">
        <v>5</v>
      </c>
      <c r="DI111" s="16" t="n">
        <v>0</v>
      </c>
      <c r="DJ111" s="16" t="n">
        <v>0</v>
      </c>
      <c r="DK111" s="16" t="n">
        <v>5</v>
      </c>
      <c r="DL111" s="16" t="n">
        <v>5</v>
      </c>
      <c r="DM111" s="16" t="n">
        <v>5</v>
      </c>
      <c r="DN111" s="16" t="n">
        <v>5</v>
      </c>
      <c r="DO111" s="16" t="n">
        <v>5</v>
      </c>
      <c r="DP111" s="16" t="n">
        <v>5</v>
      </c>
      <c r="DQ111" s="16" t="n">
        <v>5</v>
      </c>
      <c r="DR111" s="16" t="n">
        <v>5</v>
      </c>
      <c r="DS111" s="16" t="n">
        <v>0</v>
      </c>
      <c r="DT111" s="16" t="n">
        <v>0</v>
      </c>
      <c r="DU111" s="16" t="n">
        <v>0</v>
      </c>
      <c r="DV111" s="16" t="n">
        <v>0</v>
      </c>
      <c r="DW111" s="16" t="n">
        <v>0</v>
      </c>
      <c r="DX111" s="16" t="n">
        <v>0</v>
      </c>
      <c r="DY111" s="16" t="n">
        <v>0</v>
      </c>
      <c r="DZ111" s="16" t="n">
        <v>0</v>
      </c>
      <c r="EA111" s="16" t="n">
        <v>0</v>
      </c>
      <c r="EB111" s="16" t="n">
        <v>0</v>
      </c>
      <c r="EC111" s="16" t="n">
        <v>0</v>
      </c>
      <c r="ED111" s="16" t="n">
        <v>0</v>
      </c>
      <c r="EE111" s="16" t="n">
        <v>0</v>
      </c>
      <c r="EF111" s="16" t="n">
        <v>0</v>
      </c>
    </row>
    <row r="112" customFormat="false" ht="15" hidden="false" customHeight="true" outlineLevel="0" collapsed="false">
      <c r="A112" s="9" t="s">
        <v>12</v>
      </c>
      <c r="B112" s="9" t="s">
        <v>36</v>
      </c>
      <c r="C112" s="9" t="s">
        <v>36</v>
      </c>
      <c r="D112" s="9" t="s">
        <v>336</v>
      </c>
      <c r="E112" s="9" t="s">
        <v>10</v>
      </c>
      <c r="F112" s="9" t="s">
        <v>97</v>
      </c>
      <c r="G112" s="16" t="n">
        <v>85</v>
      </c>
      <c r="H112" s="16" t="n">
        <v>195</v>
      </c>
      <c r="I112" s="16" t="n">
        <v>90.5</v>
      </c>
      <c r="J112" s="16" t="n">
        <v>104.5</v>
      </c>
      <c r="K112" s="16" t="n">
        <v>0</v>
      </c>
      <c r="L112" s="16" t="n">
        <v>0</v>
      </c>
      <c r="M112" s="16" t="n">
        <v>0</v>
      </c>
      <c r="N112" s="16" t="n">
        <v>0</v>
      </c>
      <c r="O112" s="16" t="n">
        <v>0</v>
      </c>
      <c r="P112" s="16" t="n">
        <v>0</v>
      </c>
      <c r="Q112" s="16" t="n">
        <v>0</v>
      </c>
      <c r="R112" s="16" t="n">
        <v>0</v>
      </c>
      <c r="S112" s="16" t="n">
        <v>0</v>
      </c>
      <c r="T112" s="16" t="n">
        <v>0</v>
      </c>
      <c r="U112" s="16" t="n">
        <v>0</v>
      </c>
      <c r="V112" s="16" t="n">
        <v>0</v>
      </c>
      <c r="W112" s="16" t="n">
        <v>0</v>
      </c>
      <c r="X112" s="16" t="n">
        <v>0</v>
      </c>
      <c r="Y112" s="16" t="n">
        <v>0</v>
      </c>
      <c r="Z112" s="16" t="n">
        <v>0</v>
      </c>
      <c r="AA112" s="16" t="n">
        <v>0</v>
      </c>
      <c r="AB112" s="16" t="n">
        <v>0</v>
      </c>
      <c r="AC112" s="16" t="n">
        <v>0</v>
      </c>
      <c r="AD112" s="16" t="n">
        <v>0</v>
      </c>
      <c r="AE112" s="16" t="n">
        <v>4</v>
      </c>
      <c r="AF112" s="16" t="n">
        <v>32</v>
      </c>
      <c r="AG112" s="16" t="n">
        <v>17</v>
      </c>
      <c r="AH112" s="16" t="n">
        <v>11.5</v>
      </c>
      <c r="AI112" s="16" t="n">
        <v>18</v>
      </c>
      <c r="AJ112" s="16" t="n">
        <v>8</v>
      </c>
      <c r="AK112" s="16" t="n">
        <v>0</v>
      </c>
      <c r="AL112" s="16" t="n">
        <v>0</v>
      </c>
      <c r="AM112" s="16" t="n">
        <v>0</v>
      </c>
      <c r="AN112" s="16" t="n">
        <v>0</v>
      </c>
      <c r="AO112" s="16" t="n">
        <v>0</v>
      </c>
      <c r="AP112" s="16" t="n">
        <v>0</v>
      </c>
      <c r="AQ112" s="16" t="n">
        <v>0</v>
      </c>
      <c r="AR112" s="16" t="n">
        <v>0</v>
      </c>
      <c r="AS112" s="16" t="n">
        <v>0</v>
      </c>
      <c r="AT112" s="16" t="n">
        <v>0</v>
      </c>
      <c r="AU112" s="16" t="n">
        <v>0</v>
      </c>
      <c r="AV112" s="16" t="n">
        <v>0</v>
      </c>
      <c r="AW112" s="16" t="n">
        <v>0</v>
      </c>
      <c r="AX112" s="16" t="n">
        <v>0</v>
      </c>
      <c r="AY112" s="16" t="n">
        <v>0</v>
      </c>
      <c r="AZ112" s="16" t="n">
        <v>0</v>
      </c>
      <c r="BA112" s="16" t="n">
        <v>0</v>
      </c>
      <c r="BB112" s="16" t="n">
        <v>0</v>
      </c>
      <c r="BC112" s="16" t="n">
        <v>0</v>
      </c>
      <c r="BD112" s="16" t="n">
        <v>0</v>
      </c>
      <c r="BE112" s="16" t="n">
        <v>0</v>
      </c>
      <c r="BF112" s="16" t="n">
        <v>0</v>
      </c>
      <c r="BG112" s="16" t="n">
        <v>0</v>
      </c>
      <c r="BH112" s="16" t="n">
        <v>0</v>
      </c>
      <c r="BI112" s="16" t="n">
        <v>0</v>
      </c>
      <c r="BJ112" s="16" t="n">
        <v>0</v>
      </c>
      <c r="BK112" s="16" t="n">
        <v>0</v>
      </c>
      <c r="BL112" s="16" t="n">
        <v>0</v>
      </c>
      <c r="BM112" s="16" t="n">
        <v>0</v>
      </c>
      <c r="BN112" s="16" t="n">
        <v>0</v>
      </c>
      <c r="BO112" s="16" t="n">
        <v>0</v>
      </c>
      <c r="BP112" s="16" t="n">
        <v>0</v>
      </c>
      <c r="BQ112" s="16" t="n">
        <v>0</v>
      </c>
      <c r="BR112" s="16" t="n">
        <v>0</v>
      </c>
      <c r="BS112" s="16" t="n">
        <v>0</v>
      </c>
      <c r="BT112" s="16" t="n">
        <v>0</v>
      </c>
      <c r="BU112" s="16" t="n">
        <v>0</v>
      </c>
      <c r="BV112" s="16" t="n">
        <v>0</v>
      </c>
      <c r="BW112" s="16" t="n">
        <v>0</v>
      </c>
      <c r="BX112" s="16" t="n">
        <v>0</v>
      </c>
      <c r="BY112" s="16" t="n">
        <v>0</v>
      </c>
      <c r="BZ112" s="16" t="n">
        <v>0</v>
      </c>
      <c r="CA112" s="16" t="n">
        <v>0</v>
      </c>
      <c r="CB112" s="16" t="n">
        <v>0</v>
      </c>
      <c r="CC112" s="16" t="n">
        <v>0</v>
      </c>
      <c r="CD112" s="16" t="n">
        <v>0</v>
      </c>
      <c r="CE112" s="16" t="n">
        <v>0</v>
      </c>
      <c r="CF112" s="16" t="n">
        <v>0</v>
      </c>
      <c r="CG112" s="16" t="n">
        <v>0</v>
      </c>
      <c r="CH112" s="16" t="n">
        <v>0</v>
      </c>
      <c r="CI112" s="16" t="n">
        <v>0</v>
      </c>
      <c r="CJ112" s="16" t="n">
        <v>0</v>
      </c>
      <c r="CK112" s="16" t="n">
        <v>0</v>
      </c>
      <c r="CL112" s="16" t="n">
        <v>0</v>
      </c>
      <c r="CM112" s="16" t="n">
        <v>0</v>
      </c>
      <c r="CN112" s="16" t="n">
        <v>0</v>
      </c>
      <c r="CO112" s="16" t="n">
        <v>0</v>
      </c>
      <c r="CP112" s="16" t="n">
        <v>0</v>
      </c>
      <c r="CQ112" s="16" t="n">
        <v>0</v>
      </c>
      <c r="CR112" s="16" t="n">
        <v>0</v>
      </c>
      <c r="CS112" s="16" t="n">
        <v>0</v>
      </c>
      <c r="CT112" s="16" t="n">
        <v>0</v>
      </c>
      <c r="CU112" s="16" t="n">
        <v>0</v>
      </c>
      <c r="CV112" s="16" t="n">
        <v>0</v>
      </c>
      <c r="CW112" s="16" t="n">
        <v>0</v>
      </c>
      <c r="CX112" s="16" t="n">
        <v>0</v>
      </c>
      <c r="CY112" s="16" t="n">
        <v>0</v>
      </c>
      <c r="CZ112" s="16" t="n">
        <v>0</v>
      </c>
      <c r="DA112" s="16" t="n">
        <v>0</v>
      </c>
      <c r="DB112" s="16" t="n">
        <v>0</v>
      </c>
      <c r="DC112" s="16" t="n">
        <v>0</v>
      </c>
      <c r="DD112" s="16" t="n">
        <v>0</v>
      </c>
      <c r="DE112" s="16" t="n">
        <v>0</v>
      </c>
      <c r="DF112" s="16" t="n">
        <v>0</v>
      </c>
      <c r="DG112" s="16" t="n">
        <v>0</v>
      </c>
      <c r="DH112" s="16" t="n">
        <v>0</v>
      </c>
      <c r="DI112" s="16" t="n">
        <v>0</v>
      </c>
      <c r="DJ112" s="16" t="n">
        <v>0</v>
      </c>
      <c r="DK112" s="16" t="n">
        <v>0</v>
      </c>
      <c r="DL112" s="16" t="n">
        <v>0</v>
      </c>
      <c r="DM112" s="16" t="n">
        <v>0</v>
      </c>
      <c r="DN112" s="16" t="n">
        <v>0</v>
      </c>
      <c r="DO112" s="16" t="n">
        <v>0</v>
      </c>
      <c r="DP112" s="16" t="n">
        <v>0</v>
      </c>
      <c r="DQ112" s="16" t="n">
        <v>0</v>
      </c>
      <c r="DR112" s="16" t="n">
        <v>0</v>
      </c>
      <c r="DS112" s="16" t="n">
        <v>0</v>
      </c>
      <c r="DT112" s="16" t="n">
        <v>0</v>
      </c>
      <c r="DU112" s="16" t="n">
        <v>0</v>
      </c>
      <c r="DV112" s="16" t="n">
        <v>0</v>
      </c>
      <c r="DW112" s="16" t="n">
        <v>0</v>
      </c>
      <c r="DX112" s="16" t="n">
        <v>0</v>
      </c>
      <c r="DY112" s="16" t="n">
        <v>0</v>
      </c>
      <c r="DZ112" s="16" t="n">
        <v>0</v>
      </c>
      <c r="EA112" s="16" t="n">
        <v>0</v>
      </c>
      <c r="EB112" s="16" t="n">
        <v>0</v>
      </c>
      <c r="EC112" s="16" t="n">
        <v>0</v>
      </c>
      <c r="ED112" s="16" t="n">
        <v>0</v>
      </c>
      <c r="EE112" s="16" t="n">
        <v>0</v>
      </c>
      <c r="EF112" s="16" t="n">
        <v>0</v>
      </c>
    </row>
    <row r="113" customFormat="false" ht="15" hidden="false" customHeight="true" outlineLevel="0" collapsed="false">
      <c r="A113" s="9" t="s">
        <v>12</v>
      </c>
      <c r="B113" s="9" t="s">
        <v>36</v>
      </c>
      <c r="C113" s="9" t="s">
        <v>36</v>
      </c>
      <c r="D113" s="9" t="s">
        <v>337</v>
      </c>
      <c r="E113" s="9" t="s">
        <v>10</v>
      </c>
      <c r="F113" s="9" t="s">
        <v>85</v>
      </c>
      <c r="G113" s="16" t="n">
        <v>0</v>
      </c>
      <c r="H113" s="16" t="n">
        <v>0</v>
      </c>
      <c r="I113" s="16" t="n">
        <v>18.5</v>
      </c>
      <c r="J113" s="16" t="n">
        <v>-18.5</v>
      </c>
      <c r="K113" s="16" t="n">
        <v>0</v>
      </c>
      <c r="L113" s="16" t="n">
        <v>0</v>
      </c>
      <c r="M113" s="16" t="n">
        <v>0</v>
      </c>
      <c r="N113" s="16" t="n">
        <v>0</v>
      </c>
      <c r="O113" s="16" t="n">
        <v>0</v>
      </c>
      <c r="P113" s="16" t="n">
        <v>0</v>
      </c>
      <c r="Q113" s="16" t="n">
        <v>0</v>
      </c>
      <c r="R113" s="16" t="n">
        <v>0</v>
      </c>
      <c r="S113" s="16" t="n">
        <v>0</v>
      </c>
      <c r="T113" s="16" t="n">
        <v>0</v>
      </c>
      <c r="U113" s="16" t="n">
        <v>0</v>
      </c>
      <c r="V113" s="16" t="n">
        <v>0</v>
      </c>
      <c r="W113" s="16" t="n">
        <v>0</v>
      </c>
      <c r="X113" s="16" t="n">
        <v>0</v>
      </c>
      <c r="Y113" s="16" t="n">
        <v>0</v>
      </c>
      <c r="Z113" s="16" t="n">
        <v>0</v>
      </c>
      <c r="AA113" s="16" t="n">
        <v>0</v>
      </c>
      <c r="AB113" s="16" t="n">
        <v>0</v>
      </c>
      <c r="AC113" s="16" t="n">
        <v>0</v>
      </c>
      <c r="AD113" s="16" t="n">
        <v>0</v>
      </c>
      <c r="AE113" s="16" t="n">
        <v>0</v>
      </c>
      <c r="AF113" s="16" t="n">
        <v>0</v>
      </c>
      <c r="AG113" s="16" t="n">
        <v>0</v>
      </c>
      <c r="AH113" s="16" t="n">
        <v>0</v>
      </c>
      <c r="AI113" s="16" t="n">
        <v>0</v>
      </c>
      <c r="AJ113" s="16" t="n">
        <v>1</v>
      </c>
      <c r="AK113" s="16" t="n">
        <v>1.5</v>
      </c>
      <c r="AL113" s="16" t="n">
        <v>5</v>
      </c>
      <c r="AM113" s="16" t="n">
        <v>5.5</v>
      </c>
      <c r="AN113" s="16" t="n">
        <v>0.5</v>
      </c>
      <c r="AO113" s="16" t="n">
        <v>2</v>
      </c>
      <c r="AP113" s="16" t="n">
        <v>0</v>
      </c>
      <c r="AQ113" s="16" t="n">
        <v>0</v>
      </c>
      <c r="AR113" s="16" t="n">
        <v>1</v>
      </c>
      <c r="AS113" s="16" t="n">
        <v>0</v>
      </c>
      <c r="AT113" s="16" t="n">
        <v>0</v>
      </c>
      <c r="AU113" s="16" t="n">
        <v>0</v>
      </c>
      <c r="AV113" s="16" t="n">
        <v>0</v>
      </c>
      <c r="AW113" s="16" t="n">
        <v>0</v>
      </c>
      <c r="AX113" s="16" t="n">
        <v>0</v>
      </c>
      <c r="AY113" s="16" t="n">
        <v>0</v>
      </c>
      <c r="AZ113" s="16" t="n">
        <v>0</v>
      </c>
      <c r="BA113" s="16" t="n">
        <v>0</v>
      </c>
      <c r="BB113" s="16" t="n">
        <v>0</v>
      </c>
      <c r="BC113" s="16" t="n">
        <v>0</v>
      </c>
      <c r="BD113" s="16" t="n">
        <v>0</v>
      </c>
      <c r="BE113" s="16" t="n">
        <v>0</v>
      </c>
      <c r="BF113" s="16" t="n">
        <v>0</v>
      </c>
      <c r="BG113" s="16" t="n">
        <v>0</v>
      </c>
      <c r="BH113" s="16" t="n">
        <v>0</v>
      </c>
      <c r="BI113" s="16" t="n">
        <v>0</v>
      </c>
      <c r="BJ113" s="16" t="n">
        <v>0</v>
      </c>
      <c r="BK113" s="16" t="n">
        <v>0</v>
      </c>
      <c r="BL113" s="16" t="n">
        <v>0</v>
      </c>
      <c r="BM113" s="16" t="n">
        <v>0</v>
      </c>
      <c r="BN113" s="16" t="n">
        <v>0</v>
      </c>
      <c r="BO113" s="16" t="n">
        <v>0</v>
      </c>
      <c r="BP113" s="16" t="n">
        <v>0</v>
      </c>
      <c r="BQ113" s="16" t="n">
        <v>0</v>
      </c>
      <c r="BR113" s="16" t="n">
        <v>0</v>
      </c>
      <c r="BS113" s="16" t="n">
        <v>0</v>
      </c>
      <c r="BT113" s="16" t="n">
        <v>0</v>
      </c>
      <c r="BU113" s="16" t="n">
        <v>0</v>
      </c>
      <c r="BV113" s="16" t="n">
        <v>0</v>
      </c>
      <c r="BW113" s="16" t="n">
        <v>0</v>
      </c>
      <c r="BX113" s="16" t="n">
        <v>0</v>
      </c>
      <c r="BY113" s="16" t="n">
        <v>0</v>
      </c>
      <c r="BZ113" s="16" t="n">
        <v>0</v>
      </c>
      <c r="CA113" s="16" t="n">
        <v>0</v>
      </c>
      <c r="CB113" s="16" t="n">
        <v>0</v>
      </c>
      <c r="CC113" s="16" t="n">
        <v>0</v>
      </c>
      <c r="CD113" s="16" t="n">
        <v>0</v>
      </c>
      <c r="CE113" s="16" t="n">
        <v>0</v>
      </c>
      <c r="CF113" s="16" t="n">
        <v>0</v>
      </c>
      <c r="CG113" s="16" t="n">
        <v>0</v>
      </c>
      <c r="CH113" s="16" t="n">
        <v>0</v>
      </c>
      <c r="CI113" s="16" t="n">
        <v>0</v>
      </c>
      <c r="CJ113" s="16" t="n">
        <v>0</v>
      </c>
      <c r="CK113" s="16" t="n">
        <v>0</v>
      </c>
      <c r="CL113" s="16" t="n">
        <v>0</v>
      </c>
      <c r="CM113" s="16" t="n">
        <v>0</v>
      </c>
      <c r="CN113" s="16" t="n">
        <v>0</v>
      </c>
      <c r="CO113" s="16" t="n">
        <v>0</v>
      </c>
      <c r="CP113" s="16" t="n">
        <v>0</v>
      </c>
      <c r="CQ113" s="16" t="n">
        <v>0</v>
      </c>
      <c r="CR113" s="16" t="n">
        <v>0</v>
      </c>
      <c r="CS113" s="16" t="n">
        <v>2</v>
      </c>
      <c r="CT113" s="16" t="n">
        <v>0</v>
      </c>
      <c r="CU113" s="16" t="n">
        <v>0</v>
      </c>
      <c r="CV113" s="16" t="n">
        <v>0</v>
      </c>
      <c r="CW113" s="16" t="n">
        <v>0</v>
      </c>
      <c r="CX113" s="16" t="n">
        <v>0</v>
      </c>
      <c r="CY113" s="16" t="n">
        <v>0</v>
      </c>
      <c r="CZ113" s="16" t="n">
        <v>0</v>
      </c>
      <c r="DA113" s="16" t="n">
        <v>0</v>
      </c>
      <c r="DB113" s="16" t="n">
        <v>0</v>
      </c>
      <c r="DC113" s="16" t="n">
        <v>0</v>
      </c>
      <c r="DD113" s="16" t="n">
        <v>0</v>
      </c>
      <c r="DE113" s="16" t="n">
        <v>0</v>
      </c>
      <c r="DF113" s="16" t="n">
        <v>0</v>
      </c>
      <c r="DG113" s="16" t="n">
        <v>0</v>
      </c>
      <c r="DH113" s="16" t="n">
        <v>0</v>
      </c>
      <c r="DI113" s="16" t="n">
        <v>0</v>
      </c>
      <c r="DJ113" s="16" t="n">
        <v>0</v>
      </c>
      <c r="DK113" s="16" t="n">
        <v>0</v>
      </c>
      <c r="DL113" s="16" t="n">
        <v>0</v>
      </c>
      <c r="DM113" s="16" t="n">
        <v>0</v>
      </c>
      <c r="DN113" s="16" t="n">
        <v>0</v>
      </c>
      <c r="DO113" s="16" t="n">
        <v>0</v>
      </c>
      <c r="DP113" s="16" t="n">
        <v>0</v>
      </c>
      <c r="DQ113" s="16" t="n">
        <v>0</v>
      </c>
      <c r="DR113" s="16" t="n">
        <v>0</v>
      </c>
      <c r="DS113" s="16" t="n">
        <v>0</v>
      </c>
      <c r="DT113" s="16" t="n">
        <v>0</v>
      </c>
      <c r="DU113" s="16" t="n">
        <v>0</v>
      </c>
      <c r="DV113" s="16" t="n">
        <v>0</v>
      </c>
      <c r="DW113" s="16" t="n">
        <v>0</v>
      </c>
      <c r="DX113" s="16" t="n">
        <v>0</v>
      </c>
      <c r="DY113" s="16" t="n">
        <v>0</v>
      </c>
      <c r="DZ113" s="16" t="n">
        <v>0</v>
      </c>
      <c r="EA113" s="16" t="n">
        <v>0</v>
      </c>
      <c r="EB113" s="16" t="n">
        <v>0</v>
      </c>
      <c r="EC113" s="16" t="n">
        <v>0</v>
      </c>
      <c r="ED113" s="16" t="n">
        <v>0</v>
      </c>
      <c r="EE113" s="16" t="n">
        <v>0</v>
      </c>
      <c r="EF113" s="16" t="n">
        <v>0</v>
      </c>
    </row>
    <row r="114" customFormat="false" ht="15" hidden="false" customHeight="true" outlineLevel="0" collapsed="false">
      <c r="A114" s="9" t="s">
        <v>12</v>
      </c>
      <c r="B114" s="9" t="s">
        <v>36</v>
      </c>
      <c r="C114" s="9" t="s">
        <v>36</v>
      </c>
      <c r="D114" s="9" t="s">
        <v>336</v>
      </c>
      <c r="E114" s="9" t="s">
        <v>10</v>
      </c>
      <c r="F114" s="9" t="s">
        <v>85</v>
      </c>
      <c r="G114" s="16" t="n">
        <v>40.5</v>
      </c>
      <c r="H114" s="16" t="n">
        <v>40.5</v>
      </c>
      <c r="I114" s="16" t="n">
        <v>43.5</v>
      </c>
      <c r="J114" s="16" t="n">
        <v>-3</v>
      </c>
      <c r="K114" s="16" t="n">
        <v>0</v>
      </c>
      <c r="L114" s="16" t="n">
        <v>0</v>
      </c>
      <c r="M114" s="16" t="n">
        <v>0</v>
      </c>
      <c r="N114" s="16" t="n">
        <v>0</v>
      </c>
      <c r="O114" s="16" t="n">
        <v>0</v>
      </c>
      <c r="P114" s="16" t="n">
        <v>0</v>
      </c>
      <c r="Q114" s="16" t="n">
        <v>0</v>
      </c>
      <c r="R114" s="16" t="n">
        <v>0</v>
      </c>
      <c r="S114" s="16" t="n">
        <v>0</v>
      </c>
      <c r="T114" s="16" t="n">
        <v>0</v>
      </c>
      <c r="U114" s="16" t="n">
        <v>0</v>
      </c>
      <c r="V114" s="16" t="n">
        <v>0</v>
      </c>
      <c r="W114" s="16" t="n">
        <v>0</v>
      </c>
      <c r="X114" s="16" t="n">
        <v>0</v>
      </c>
      <c r="Y114" s="16" t="n">
        <v>0</v>
      </c>
      <c r="Z114" s="16" t="n">
        <v>0</v>
      </c>
      <c r="AA114" s="16" t="n">
        <v>0</v>
      </c>
      <c r="AB114" s="16" t="n">
        <v>11</v>
      </c>
      <c r="AC114" s="16" t="n">
        <v>3</v>
      </c>
      <c r="AD114" s="16" t="n">
        <v>4.5</v>
      </c>
      <c r="AE114" s="16" t="n">
        <v>8</v>
      </c>
      <c r="AF114" s="16" t="n">
        <v>7.5</v>
      </c>
      <c r="AG114" s="16" t="n">
        <v>6.5</v>
      </c>
      <c r="AH114" s="16" t="n">
        <v>2.5</v>
      </c>
      <c r="AI114" s="16" t="n">
        <v>0.5</v>
      </c>
      <c r="AJ114" s="16" t="n">
        <v>0</v>
      </c>
      <c r="AK114" s="16" t="n">
        <v>0</v>
      </c>
      <c r="AL114" s="16" t="n">
        <v>0</v>
      </c>
      <c r="AM114" s="16" t="n">
        <v>0</v>
      </c>
      <c r="AN114" s="16" t="n">
        <v>0</v>
      </c>
      <c r="AO114" s="16" t="n">
        <v>0</v>
      </c>
      <c r="AP114" s="16" t="n">
        <v>0</v>
      </c>
      <c r="AQ114" s="16" t="n">
        <v>0</v>
      </c>
      <c r="AR114" s="16" t="n">
        <v>0</v>
      </c>
      <c r="AS114" s="16" t="n">
        <v>0</v>
      </c>
      <c r="AT114" s="16" t="n">
        <v>0</v>
      </c>
      <c r="AU114" s="16" t="n">
        <v>0</v>
      </c>
      <c r="AV114" s="16" t="n">
        <v>0</v>
      </c>
      <c r="AW114" s="16" t="n">
        <v>0</v>
      </c>
      <c r="AX114" s="16" t="n">
        <v>0</v>
      </c>
      <c r="AY114" s="16" t="n">
        <v>0</v>
      </c>
      <c r="AZ114" s="16" t="n">
        <v>0</v>
      </c>
      <c r="BA114" s="16" t="n">
        <v>0</v>
      </c>
      <c r="BB114" s="16" t="n">
        <v>0</v>
      </c>
      <c r="BC114" s="16" t="n">
        <v>0</v>
      </c>
      <c r="BD114" s="16" t="n">
        <v>0</v>
      </c>
      <c r="BE114" s="16" t="n">
        <v>0</v>
      </c>
      <c r="BF114" s="16" t="n">
        <v>0</v>
      </c>
      <c r="BG114" s="16" t="n">
        <v>0</v>
      </c>
      <c r="BH114" s="16" t="n">
        <v>0</v>
      </c>
      <c r="BI114" s="16" t="n">
        <v>0</v>
      </c>
      <c r="BJ114" s="16" t="n">
        <v>0</v>
      </c>
      <c r="BK114" s="16" t="n">
        <v>0</v>
      </c>
      <c r="BL114" s="16" t="n">
        <v>0</v>
      </c>
      <c r="BM114" s="16" t="n">
        <v>0</v>
      </c>
      <c r="BN114" s="16" t="n">
        <v>0</v>
      </c>
      <c r="BO114" s="16" t="n">
        <v>0</v>
      </c>
      <c r="BP114" s="16" t="n">
        <v>0</v>
      </c>
      <c r="BQ114" s="16" t="n">
        <v>0</v>
      </c>
      <c r="BR114" s="16" t="n">
        <v>0</v>
      </c>
      <c r="BS114" s="16" t="n">
        <v>0</v>
      </c>
      <c r="BT114" s="16" t="n">
        <v>0</v>
      </c>
      <c r="BU114" s="16" t="n">
        <v>0</v>
      </c>
      <c r="BV114" s="16" t="n">
        <v>0</v>
      </c>
      <c r="BW114" s="16" t="n">
        <v>0</v>
      </c>
      <c r="BX114" s="16" t="n">
        <v>0</v>
      </c>
      <c r="BY114" s="16" t="n">
        <v>0</v>
      </c>
      <c r="BZ114" s="16" t="n">
        <v>0</v>
      </c>
      <c r="CA114" s="16" t="n">
        <v>0</v>
      </c>
      <c r="CB114" s="16" t="n">
        <v>0</v>
      </c>
      <c r="CC114" s="16" t="n">
        <v>0</v>
      </c>
      <c r="CD114" s="16" t="n">
        <v>0</v>
      </c>
      <c r="CE114" s="16" t="n">
        <v>0</v>
      </c>
      <c r="CF114" s="16" t="n">
        <v>0</v>
      </c>
      <c r="CG114" s="16" t="n">
        <v>0</v>
      </c>
      <c r="CH114" s="16" t="n">
        <v>0</v>
      </c>
      <c r="CI114" s="16" t="n">
        <v>0</v>
      </c>
      <c r="CJ114" s="16" t="n">
        <v>0</v>
      </c>
      <c r="CK114" s="16" t="n">
        <v>0</v>
      </c>
      <c r="CL114" s="16" t="n">
        <v>0</v>
      </c>
      <c r="CM114" s="16" t="n">
        <v>0</v>
      </c>
      <c r="CN114" s="16" t="n">
        <v>0</v>
      </c>
      <c r="CO114" s="16" t="n">
        <v>0</v>
      </c>
      <c r="CP114" s="16" t="n">
        <v>0</v>
      </c>
      <c r="CQ114" s="16" t="n">
        <v>0</v>
      </c>
      <c r="CR114" s="16" t="n">
        <v>0</v>
      </c>
      <c r="CS114" s="16" t="n">
        <v>0</v>
      </c>
      <c r="CT114" s="16" t="n">
        <v>0</v>
      </c>
      <c r="CU114" s="16" t="n">
        <v>0</v>
      </c>
      <c r="CV114" s="16" t="n">
        <v>0</v>
      </c>
      <c r="CW114" s="16" t="n">
        <v>0</v>
      </c>
      <c r="CX114" s="16" t="n">
        <v>0</v>
      </c>
      <c r="CY114" s="16" t="n">
        <v>0</v>
      </c>
      <c r="CZ114" s="16" t="n">
        <v>0</v>
      </c>
      <c r="DA114" s="16" t="n">
        <v>0</v>
      </c>
      <c r="DB114" s="16" t="n">
        <v>0</v>
      </c>
      <c r="DC114" s="16" t="n">
        <v>0</v>
      </c>
      <c r="DD114" s="16" t="n">
        <v>0</v>
      </c>
      <c r="DE114" s="16" t="n">
        <v>0</v>
      </c>
      <c r="DF114" s="16" t="n">
        <v>0</v>
      </c>
      <c r="DG114" s="16" t="n">
        <v>0</v>
      </c>
      <c r="DH114" s="16" t="n">
        <v>0</v>
      </c>
      <c r="DI114" s="16" t="n">
        <v>0</v>
      </c>
      <c r="DJ114" s="16" t="n">
        <v>0</v>
      </c>
      <c r="DK114" s="16" t="n">
        <v>0</v>
      </c>
      <c r="DL114" s="16" t="n">
        <v>0</v>
      </c>
      <c r="DM114" s="16" t="n">
        <v>0</v>
      </c>
      <c r="DN114" s="16" t="n">
        <v>0</v>
      </c>
      <c r="DO114" s="16" t="n">
        <v>0</v>
      </c>
      <c r="DP114" s="16" t="n">
        <v>0</v>
      </c>
      <c r="DQ114" s="16" t="n">
        <v>0</v>
      </c>
      <c r="DR114" s="16" t="n">
        <v>0</v>
      </c>
      <c r="DS114" s="16" t="n">
        <v>0</v>
      </c>
      <c r="DT114" s="16" t="n">
        <v>0</v>
      </c>
      <c r="DU114" s="16" t="n">
        <v>0</v>
      </c>
      <c r="DV114" s="16" t="n">
        <v>0</v>
      </c>
      <c r="DW114" s="16" t="n">
        <v>0</v>
      </c>
      <c r="DX114" s="16" t="n">
        <v>0</v>
      </c>
      <c r="DY114" s="16" t="n">
        <v>0</v>
      </c>
      <c r="DZ114" s="16" t="n">
        <v>0</v>
      </c>
      <c r="EA114" s="16" t="n">
        <v>0</v>
      </c>
      <c r="EB114" s="16" t="n">
        <v>0</v>
      </c>
      <c r="EC114" s="16" t="n">
        <v>0</v>
      </c>
      <c r="ED114" s="16" t="n">
        <v>0</v>
      </c>
      <c r="EE114" s="16" t="n">
        <v>0</v>
      </c>
      <c r="EF114" s="16" t="n">
        <v>0</v>
      </c>
    </row>
    <row r="115" customFormat="false" ht="15" hidden="false" customHeight="true" outlineLevel="0" collapsed="false">
      <c r="A115" s="9" t="s">
        <v>12</v>
      </c>
      <c r="B115" s="9" t="s">
        <v>36</v>
      </c>
      <c r="C115" s="9" t="s">
        <v>36</v>
      </c>
      <c r="D115" s="9" t="s">
        <v>336</v>
      </c>
      <c r="E115" s="9" t="s">
        <v>10</v>
      </c>
      <c r="F115" s="9" t="s">
        <v>85</v>
      </c>
      <c r="G115" s="16" t="n">
        <v>0</v>
      </c>
      <c r="H115" s="16" t="n">
        <v>0</v>
      </c>
      <c r="I115" s="16" t="n">
        <v>7</v>
      </c>
      <c r="J115" s="16" t="n">
        <v>-7</v>
      </c>
      <c r="K115" s="16" t="n">
        <v>0</v>
      </c>
      <c r="L115" s="16" t="n">
        <v>0</v>
      </c>
      <c r="M115" s="16" t="n">
        <v>0</v>
      </c>
      <c r="N115" s="16" t="n">
        <v>0</v>
      </c>
      <c r="O115" s="16" t="n">
        <v>0</v>
      </c>
      <c r="P115" s="16" t="n">
        <v>0</v>
      </c>
      <c r="Q115" s="16" t="n">
        <v>0</v>
      </c>
      <c r="R115" s="16" t="n">
        <v>0</v>
      </c>
      <c r="S115" s="16" t="n">
        <v>0</v>
      </c>
      <c r="T115" s="16" t="n">
        <v>0</v>
      </c>
      <c r="U115" s="16" t="n">
        <v>0</v>
      </c>
      <c r="V115" s="16" t="n">
        <v>0</v>
      </c>
      <c r="W115" s="16" t="n">
        <v>0</v>
      </c>
      <c r="X115" s="16" t="n">
        <v>0</v>
      </c>
      <c r="Y115" s="16" t="n">
        <v>0</v>
      </c>
      <c r="Z115" s="16" t="n">
        <v>7</v>
      </c>
      <c r="AA115" s="16" t="n">
        <v>0</v>
      </c>
      <c r="AB115" s="16" t="n">
        <v>0</v>
      </c>
      <c r="AC115" s="16" t="n">
        <v>0</v>
      </c>
      <c r="AD115" s="16" t="n">
        <v>0</v>
      </c>
      <c r="AE115" s="16" t="n">
        <v>0</v>
      </c>
      <c r="AF115" s="16" t="n">
        <v>0</v>
      </c>
      <c r="AG115" s="16" t="n">
        <v>0</v>
      </c>
      <c r="AH115" s="16" t="n">
        <v>0</v>
      </c>
      <c r="AI115" s="16" t="n">
        <v>0</v>
      </c>
      <c r="AJ115" s="16" t="n">
        <v>0</v>
      </c>
      <c r="AK115" s="16" t="n">
        <v>0</v>
      </c>
      <c r="AL115" s="16" t="n">
        <v>0</v>
      </c>
      <c r="AM115" s="16" t="n">
        <v>0</v>
      </c>
      <c r="AN115" s="16" t="n">
        <v>0</v>
      </c>
      <c r="AO115" s="16" t="n">
        <v>0</v>
      </c>
      <c r="AP115" s="16" t="n">
        <v>0</v>
      </c>
      <c r="AQ115" s="16" t="n">
        <v>0</v>
      </c>
      <c r="AR115" s="16" t="n">
        <v>0</v>
      </c>
      <c r="AS115" s="16" t="n">
        <v>0</v>
      </c>
      <c r="AT115" s="16" t="n">
        <v>0</v>
      </c>
      <c r="AU115" s="16" t="n">
        <v>0</v>
      </c>
      <c r="AV115" s="16" t="n">
        <v>0</v>
      </c>
      <c r="AW115" s="16" t="n">
        <v>0</v>
      </c>
      <c r="AX115" s="16" t="n">
        <v>0</v>
      </c>
      <c r="AY115" s="16" t="n">
        <v>0</v>
      </c>
      <c r="AZ115" s="16" t="n">
        <v>0</v>
      </c>
      <c r="BA115" s="16" t="n">
        <v>0</v>
      </c>
      <c r="BB115" s="16" t="n">
        <v>0</v>
      </c>
      <c r="BC115" s="16" t="n">
        <v>0</v>
      </c>
      <c r="BD115" s="16" t="n">
        <v>0</v>
      </c>
      <c r="BE115" s="16" t="n">
        <v>0</v>
      </c>
      <c r="BF115" s="16" t="n">
        <v>0</v>
      </c>
      <c r="BG115" s="16" t="n">
        <v>0</v>
      </c>
      <c r="BH115" s="16" t="n">
        <v>0</v>
      </c>
      <c r="BI115" s="16" t="n">
        <v>0</v>
      </c>
      <c r="BJ115" s="16" t="n">
        <v>0</v>
      </c>
      <c r="BK115" s="16" t="n">
        <v>0</v>
      </c>
      <c r="BL115" s="16" t="n">
        <v>0</v>
      </c>
      <c r="BM115" s="16" t="n">
        <v>0</v>
      </c>
      <c r="BN115" s="16" t="n">
        <v>0</v>
      </c>
      <c r="BO115" s="16" t="n">
        <v>0</v>
      </c>
      <c r="BP115" s="16" t="n">
        <v>0</v>
      </c>
      <c r="BQ115" s="16" t="n">
        <v>0</v>
      </c>
      <c r="BR115" s="16" t="n">
        <v>0</v>
      </c>
      <c r="BS115" s="16" t="n">
        <v>0</v>
      </c>
      <c r="BT115" s="16" t="n">
        <v>0</v>
      </c>
      <c r="BU115" s="16" t="n">
        <v>0</v>
      </c>
      <c r="BV115" s="16" t="n">
        <v>0</v>
      </c>
      <c r="BW115" s="16" t="n">
        <v>0</v>
      </c>
      <c r="BX115" s="16" t="n">
        <v>0</v>
      </c>
      <c r="BY115" s="16" t="n">
        <v>0</v>
      </c>
      <c r="BZ115" s="16" t="n">
        <v>0</v>
      </c>
      <c r="CA115" s="16" t="n">
        <v>0</v>
      </c>
      <c r="CB115" s="16" t="n">
        <v>0</v>
      </c>
      <c r="CC115" s="16" t="n">
        <v>0</v>
      </c>
      <c r="CD115" s="16" t="n">
        <v>0</v>
      </c>
      <c r="CE115" s="16" t="n">
        <v>0</v>
      </c>
      <c r="CF115" s="16" t="n">
        <v>0</v>
      </c>
      <c r="CG115" s="16" t="n">
        <v>0</v>
      </c>
      <c r="CH115" s="16" t="n">
        <v>0</v>
      </c>
      <c r="CI115" s="16" t="n">
        <v>0</v>
      </c>
      <c r="CJ115" s="16" t="n">
        <v>0</v>
      </c>
      <c r="CK115" s="16" t="n">
        <v>0</v>
      </c>
      <c r="CL115" s="16" t="n">
        <v>0</v>
      </c>
      <c r="CM115" s="16" t="n">
        <v>0</v>
      </c>
      <c r="CN115" s="16" t="n">
        <v>0</v>
      </c>
      <c r="CO115" s="16" t="n">
        <v>0</v>
      </c>
      <c r="CP115" s="16" t="n">
        <v>0</v>
      </c>
      <c r="CQ115" s="16" t="n">
        <v>0</v>
      </c>
      <c r="CR115" s="16" t="n">
        <v>0</v>
      </c>
      <c r="CS115" s="16" t="n">
        <v>0</v>
      </c>
      <c r="CT115" s="16" t="n">
        <v>0</v>
      </c>
      <c r="CU115" s="16" t="n">
        <v>0</v>
      </c>
      <c r="CV115" s="16" t="n">
        <v>0</v>
      </c>
      <c r="CW115" s="16" t="n">
        <v>0</v>
      </c>
      <c r="CX115" s="16" t="n">
        <v>0</v>
      </c>
      <c r="CY115" s="16" t="n">
        <v>0</v>
      </c>
      <c r="CZ115" s="16" t="n">
        <v>0</v>
      </c>
      <c r="DA115" s="16" t="n">
        <v>0</v>
      </c>
      <c r="DB115" s="16" t="n">
        <v>0</v>
      </c>
      <c r="DC115" s="16" t="n">
        <v>0</v>
      </c>
      <c r="DD115" s="16" t="n">
        <v>0</v>
      </c>
      <c r="DE115" s="16" t="n">
        <v>0</v>
      </c>
      <c r="DF115" s="16" t="n">
        <v>0</v>
      </c>
      <c r="DG115" s="16" t="n">
        <v>0</v>
      </c>
      <c r="DH115" s="16" t="n">
        <v>0</v>
      </c>
      <c r="DI115" s="16" t="n">
        <v>0</v>
      </c>
      <c r="DJ115" s="16" t="n">
        <v>0</v>
      </c>
      <c r="DK115" s="16" t="n">
        <v>0</v>
      </c>
      <c r="DL115" s="16" t="n">
        <v>0</v>
      </c>
      <c r="DM115" s="16" t="n">
        <v>0</v>
      </c>
      <c r="DN115" s="16" t="n">
        <v>0</v>
      </c>
      <c r="DO115" s="16" t="n">
        <v>0</v>
      </c>
      <c r="DP115" s="16" t="n">
        <v>0</v>
      </c>
      <c r="DQ115" s="16" t="n">
        <v>0</v>
      </c>
      <c r="DR115" s="16" t="n">
        <v>0</v>
      </c>
      <c r="DS115" s="16" t="n">
        <v>0</v>
      </c>
      <c r="DT115" s="16" t="n">
        <v>0</v>
      </c>
      <c r="DU115" s="16" t="n">
        <v>0</v>
      </c>
      <c r="DV115" s="16" t="n">
        <v>0</v>
      </c>
      <c r="DW115" s="16" t="n">
        <v>0</v>
      </c>
      <c r="DX115" s="16" t="n">
        <v>0</v>
      </c>
      <c r="DY115" s="16" t="n">
        <v>0</v>
      </c>
      <c r="DZ115" s="16" t="n">
        <v>0</v>
      </c>
      <c r="EA115" s="16" t="n">
        <v>0</v>
      </c>
      <c r="EB115" s="16" t="n">
        <v>0</v>
      </c>
      <c r="EC115" s="16" t="n">
        <v>0</v>
      </c>
      <c r="ED115" s="16" t="n">
        <v>0</v>
      </c>
      <c r="EE115" s="16" t="n">
        <v>0</v>
      </c>
      <c r="EF115" s="16" t="n">
        <v>0</v>
      </c>
    </row>
    <row r="116" customFormat="false" ht="15" hidden="false" customHeight="true" outlineLevel="0" collapsed="false">
      <c r="A116" s="9" t="s">
        <v>12</v>
      </c>
      <c r="B116" s="9" t="s">
        <v>36</v>
      </c>
      <c r="C116" s="9" t="s">
        <v>36</v>
      </c>
      <c r="D116" s="9" t="s">
        <v>336</v>
      </c>
      <c r="E116" s="9" t="s">
        <v>10</v>
      </c>
      <c r="F116" s="9" t="s">
        <v>86</v>
      </c>
      <c r="G116" s="16" t="n">
        <v>0</v>
      </c>
      <c r="H116" s="16" t="n">
        <v>0</v>
      </c>
      <c r="I116" s="16" t="n">
        <v>34</v>
      </c>
      <c r="J116" s="16" t="n">
        <v>-34</v>
      </c>
      <c r="K116" s="16" t="n">
        <v>0</v>
      </c>
      <c r="L116" s="16" t="n">
        <v>0</v>
      </c>
      <c r="M116" s="16" t="n">
        <v>0</v>
      </c>
      <c r="N116" s="16" t="n">
        <v>0</v>
      </c>
      <c r="O116" s="16" t="n">
        <v>0</v>
      </c>
      <c r="P116" s="16" t="n">
        <v>0</v>
      </c>
      <c r="Q116" s="16" t="n">
        <v>0</v>
      </c>
      <c r="R116" s="16" t="n">
        <v>0</v>
      </c>
      <c r="S116" s="16" t="n">
        <v>0</v>
      </c>
      <c r="T116" s="16" t="n">
        <v>0</v>
      </c>
      <c r="U116" s="16" t="n">
        <v>0</v>
      </c>
      <c r="V116" s="16" t="n">
        <v>0</v>
      </c>
      <c r="W116" s="16" t="n">
        <v>0</v>
      </c>
      <c r="X116" s="16" t="n">
        <v>0</v>
      </c>
      <c r="Y116" s="16" t="n">
        <v>4</v>
      </c>
      <c r="Z116" s="16" t="n">
        <v>20</v>
      </c>
      <c r="AA116" s="16" t="n">
        <v>10</v>
      </c>
      <c r="AB116" s="16" t="n">
        <v>0</v>
      </c>
      <c r="AC116" s="16" t="n">
        <v>0</v>
      </c>
      <c r="AD116" s="16" t="n">
        <v>0</v>
      </c>
      <c r="AE116" s="16" t="n">
        <v>0</v>
      </c>
      <c r="AF116" s="16" t="n">
        <v>0</v>
      </c>
      <c r="AG116" s="16" t="n">
        <v>0</v>
      </c>
      <c r="AH116" s="16" t="n">
        <v>0</v>
      </c>
      <c r="AI116" s="16" t="n">
        <v>0</v>
      </c>
      <c r="AJ116" s="16" t="n">
        <v>0</v>
      </c>
      <c r="AK116" s="16" t="n">
        <v>0</v>
      </c>
      <c r="AL116" s="16" t="n">
        <v>0</v>
      </c>
      <c r="AM116" s="16" t="n">
        <v>0</v>
      </c>
      <c r="AN116" s="16" t="n">
        <v>0</v>
      </c>
      <c r="AO116" s="16" t="n">
        <v>0</v>
      </c>
      <c r="AP116" s="16" t="n">
        <v>0</v>
      </c>
      <c r="AQ116" s="16" t="n">
        <v>0</v>
      </c>
      <c r="AR116" s="16" t="n">
        <v>0</v>
      </c>
      <c r="AS116" s="16" t="n">
        <v>0</v>
      </c>
      <c r="AT116" s="16" t="n">
        <v>0</v>
      </c>
      <c r="AU116" s="16" t="n">
        <v>0</v>
      </c>
      <c r="AV116" s="16" t="n">
        <v>0</v>
      </c>
      <c r="AW116" s="16" t="n">
        <v>0</v>
      </c>
      <c r="AX116" s="16" t="n">
        <v>0</v>
      </c>
      <c r="AY116" s="16" t="n">
        <v>0</v>
      </c>
      <c r="AZ116" s="16" t="n">
        <v>0</v>
      </c>
      <c r="BA116" s="16" t="n">
        <v>0</v>
      </c>
      <c r="BB116" s="16" t="n">
        <v>0</v>
      </c>
      <c r="BC116" s="16" t="n">
        <v>0</v>
      </c>
      <c r="BD116" s="16" t="n">
        <v>0</v>
      </c>
      <c r="BE116" s="16" t="n">
        <v>0</v>
      </c>
      <c r="BF116" s="16" t="n">
        <v>0</v>
      </c>
      <c r="BG116" s="16" t="n">
        <v>0</v>
      </c>
      <c r="BH116" s="16" t="n">
        <v>0</v>
      </c>
      <c r="BI116" s="16" t="n">
        <v>0</v>
      </c>
      <c r="BJ116" s="16" t="n">
        <v>0</v>
      </c>
      <c r="BK116" s="16" t="n">
        <v>0</v>
      </c>
      <c r="BL116" s="16" t="n">
        <v>0</v>
      </c>
      <c r="BM116" s="16" t="n">
        <v>0</v>
      </c>
      <c r="BN116" s="16" t="n">
        <v>0</v>
      </c>
      <c r="BO116" s="16" t="n">
        <v>0</v>
      </c>
      <c r="BP116" s="16" t="n">
        <v>0</v>
      </c>
      <c r="BQ116" s="16" t="n">
        <v>0</v>
      </c>
      <c r="BR116" s="16" t="n">
        <v>0</v>
      </c>
      <c r="BS116" s="16" t="n">
        <v>0</v>
      </c>
      <c r="BT116" s="16" t="n">
        <v>0</v>
      </c>
      <c r="BU116" s="16" t="n">
        <v>0</v>
      </c>
      <c r="BV116" s="16" t="n">
        <v>0</v>
      </c>
      <c r="BW116" s="16" t="n">
        <v>0</v>
      </c>
      <c r="BX116" s="16" t="n">
        <v>0</v>
      </c>
      <c r="BY116" s="16" t="n">
        <v>0</v>
      </c>
      <c r="BZ116" s="16" t="n">
        <v>0</v>
      </c>
      <c r="CA116" s="16" t="n">
        <v>0</v>
      </c>
      <c r="CB116" s="16" t="n">
        <v>0</v>
      </c>
      <c r="CC116" s="16" t="n">
        <v>0</v>
      </c>
      <c r="CD116" s="16" t="n">
        <v>0</v>
      </c>
      <c r="CE116" s="16" t="n">
        <v>0</v>
      </c>
      <c r="CF116" s="16" t="n">
        <v>0</v>
      </c>
      <c r="CG116" s="16" t="n">
        <v>0</v>
      </c>
      <c r="CH116" s="16" t="n">
        <v>0</v>
      </c>
      <c r="CI116" s="16" t="n">
        <v>0</v>
      </c>
      <c r="CJ116" s="16" t="n">
        <v>0</v>
      </c>
      <c r="CK116" s="16" t="n">
        <v>0</v>
      </c>
      <c r="CL116" s="16" t="n">
        <v>0</v>
      </c>
      <c r="CM116" s="16" t="n">
        <v>0</v>
      </c>
      <c r="CN116" s="16" t="n">
        <v>0</v>
      </c>
      <c r="CO116" s="16" t="n">
        <v>0</v>
      </c>
      <c r="CP116" s="16" t="n">
        <v>0</v>
      </c>
      <c r="CQ116" s="16" t="n">
        <v>0</v>
      </c>
      <c r="CR116" s="16" t="n">
        <v>0</v>
      </c>
      <c r="CS116" s="16" t="n">
        <v>0</v>
      </c>
      <c r="CT116" s="16" t="n">
        <v>0</v>
      </c>
      <c r="CU116" s="16" t="n">
        <v>0</v>
      </c>
      <c r="CV116" s="16" t="n">
        <v>0</v>
      </c>
      <c r="CW116" s="16" t="n">
        <v>0</v>
      </c>
      <c r="CX116" s="16" t="n">
        <v>0</v>
      </c>
      <c r="CY116" s="16" t="n">
        <v>0</v>
      </c>
      <c r="CZ116" s="16" t="n">
        <v>0</v>
      </c>
      <c r="DA116" s="16" t="n">
        <v>0</v>
      </c>
      <c r="DB116" s="16" t="n">
        <v>0</v>
      </c>
      <c r="DC116" s="16" t="n">
        <v>0</v>
      </c>
      <c r="DD116" s="16" t="n">
        <v>0</v>
      </c>
      <c r="DE116" s="16" t="n">
        <v>0</v>
      </c>
      <c r="DF116" s="16" t="n">
        <v>0</v>
      </c>
      <c r="DG116" s="16" t="n">
        <v>0</v>
      </c>
      <c r="DH116" s="16" t="n">
        <v>0</v>
      </c>
      <c r="DI116" s="16" t="n">
        <v>0</v>
      </c>
      <c r="DJ116" s="16" t="n">
        <v>0</v>
      </c>
      <c r="DK116" s="16" t="n">
        <v>0</v>
      </c>
      <c r="DL116" s="16" t="n">
        <v>0</v>
      </c>
      <c r="DM116" s="16" t="n">
        <v>0</v>
      </c>
      <c r="DN116" s="16" t="n">
        <v>0</v>
      </c>
      <c r="DO116" s="16" t="n">
        <v>0</v>
      </c>
      <c r="DP116" s="16" t="n">
        <v>0</v>
      </c>
      <c r="DQ116" s="16" t="n">
        <v>0</v>
      </c>
      <c r="DR116" s="16" t="n">
        <v>0</v>
      </c>
      <c r="DS116" s="16" t="n">
        <v>0</v>
      </c>
      <c r="DT116" s="16" t="n">
        <v>0</v>
      </c>
      <c r="DU116" s="16" t="n">
        <v>0</v>
      </c>
      <c r="DV116" s="16" t="n">
        <v>0</v>
      </c>
      <c r="DW116" s="16" t="n">
        <v>0</v>
      </c>
      <c r="DX116" s="16" t="n">
        <v>0</v>
      </c>
      <c r="DY116" s="16" t="n">
        <v>0</v>
      </c>
      <c r="DZ116" s="16" t="n">
        <v>0</v>
      </c>
      <c r="EA116" s="16" t="n">
        <v>0</v>
      </c>
      <c r="EB116" s="16" t="n">
        <v>0</v>
      </c>
      <c r="EC116" s="16" t="n">
        <v>0</v>
      </c>
      <c r="ED116" s="16" t="n">
        <v>0</v>
      </c>
      <c r="EE116" s="16" t="n">
        <v>0</v>
      </c>
      <c r="EF116" s="16" t="n">
        <v>0</v>
      </c>
    </row>
    <row r="117" customFormat="false" ht="15" hidden="false" customHeight="true" outlineLevel="0" collapsed="false">
      <c r="A117" s="9" t="s">
        <v>12</v>
      </c>
      <c r="B117" s="9" t="s">
        <v>36</v>
      </c>
      <c r="C117" s="9" t="s">
        <v>36</v>
      </c>
      <c r="D117" s="9" t="s">
        <v>337</v>
      </c>
      <c r="E117" s="9" t="s">
        <v>10</v>
      </c>
      <c r="F117" s="9" t="s">
        <v>111</v>
      </c>
      <c r="G117" s="16" t="n">
        <v>0</v>
      </c>
      <c r="H117" s="16" t="n">
        <v>0</v>
      </c>
      <c r="I117" s="16" t="n">
        <v>0</v>
      </c>
      <c r="J117" s="16" t="n">
        <v>0</v>
      </c>
      <c r="K117" s="16" t="n">
        <v>0</v>
      </c>
      <c r="L117" s="16" t="n">
        <v>0</v>
      </c>
      <c r="M117" s="16" t="n">
        <v>0</v>
      </c>
      <c r="N117" s="16" t="n">
        <v>0</v>
      </c>
      <c r="O117" s="16" t="n">
        <v>0</v>
      </c>
      <c r="P117" s="16" t="n">
        <v>0</v>
      </c>
      <c r="Q117" s="16" t="n">
        <v>0</v>
      </c>
      <c r="R117" s="16" t="n">
        <v>0</v>
      </c>
      <c r="S117" s="16" t="n">
        <v>0</v>
      </c>
      <c r="T117" s="16" t="n">
        <v>0</v>
      </c>
      <c r="U117" s="16" t="n">
        <v>0</v>
      </c>
      <c r="V117" s="16" t="n">
        <v>0</v>
      </c>
      <c r="W117" s="16" t="n">
        <v>0</v>
      </c>
      <c r="X117" s="16" t="n">
        <v>0</v>
      </c>
      <c r="Y117" s="16" t="n">
        <v>0</v>
      </c>
      <c r="Z117" s="16" t="n">
        <v>0</v>
      </c>
      <c r="AA117" s="16" t="n">
        <v>0</v>
      </c>
      <c r="AB117" s="16" t="n">
        <v>0</v>
      </c>
      <c r="AC117" s="16" t="n">
        <v>0</v>
      </c>
      <c r="AD117" s="16" t="n">
        <v>0</v>
      </c>
      <c r="AE117" s="16" t="n">
        <v>0</v>
      </c>
      <c r="AF117" s="16" t="n">
        <v>0</v>
      </c>
      <c r="AG117" s="16" t="n">
        <v>0</v>
      </c>
      <c r="AH117" s="16" t="n">
        <v>0</v>
      </c>
      <c r="AI117" s="16" t="n">
        <v>0</v>
      </c>
      <c r="AJ117" s="16" t="n">
        <v>0</v>
      </c>
      <c r="AK117" s="16" t="n">
        <v>0</v>
      </c>
      <c r="AL117" s="16" t="n">
        <v>0</v>
      </c>
      <c r="AM117" s="16" t="n">
        <v>0</v>
      </c>
      <c r="AN117" s="16" t="n">
        <v>0</v>
      </c>
      <c r="AO117" s="16" t="n">
        <v>0</v>
      </c>
      <c r="AP117" s="16" t="n">
        <v>0</v>
      </c>
      <c r="AQ117" s="16" t="n">
        <v>0</v>
      </c>
      <c r="AR117" s="16" t="n">
        <v>0</v>
      </c>
      <c r="AS117" s="16" t="n">
        <v>0</v>
      </c>
      <c r="AT117" s="16" t="n">
        <v>0</v>
      </c>
      <c r="AU117" s="16" t="n">
        <v>0</v>
      </c>
      <c r="AV117" s="16" t="n">
        <v>0</v>
      </c>
      <c r="AW117" s="16" t="n">
        <v>0</v>
      </c>
      <c r="AX117" s="16" t="n">
        <v>0</v>
      </c>
      <c r="AY117" s="16" t="n">
        <v>0</v>
      </c>
      <c r="AZ117" s="16" t="n">
        <v>0</v>
      </c>
      <c r="BA117" s="16" t="n">
        <v>0</v>
      </c>
      <c r="BB117" s="16" t="n">
        <v>0</v>
      </c>
      <c r="BC117" s="16" t="n">
        <v>0</v>
      </c>
      <c r="BD117" s="16" t="n">
        <v>0</v>
      </c>
      <c r="BE117" s="16" t="n">
        <v>0</v>
      </c>
      <c r="BF117" s="16" t="n">
        <v>0</v>
      </c>
      <c r="BG117" s="16" t="n">
        <v>0</v>
      </c>
      <c r="BH117" s="16" t="n">
        <v>0</v>
      </c>
      <c r="BI117" s="16" t="n">
        <v>0</v>
      </c>
      <c r="BJ117" s="16" t="n">
        <v>0</v>
      </c>
      <c r="BK117" s="16" t="n">
        <v>0</v>
      </c>
      <c r="BL117" s="16" t="n">
        <v>0</v>
      </c>
      <c r="BM117" s="16" t="n">
        <v>0</v>
      </c>
      <c r="BN117" s="16" t="n">
        <v>0</v>
      </c>
      <c r="BO117" s="16" t="n">
        <v>0</v>
      </c>
      <c r="BP117" s="16" t="n">
        <v>0</v>
      </c>
      <c r="BQ117" s="16" t="n">
        <v>0</v>
      </c>
      <c r="BR117" s="16" t="n">
        <v>0</v>
      </c>
      <c r="BS117" s="16" t="n">
        <v>0</v>
      </c>
      <c r="BT117" s="16" t="n">
        <v>0</v>
      </c>
      <c r="BU117" s="16" t="n">
        <v>0</v>
      </c>
      <c r="BV117" s="16" t="n">
        <v>0</v>
      </c>
      <c r="BW117" s="16" t="n">
        <v>0</v>
      </c>
      <c r="BX117" s="16" t="n">
        <v>0</v>
      </c>
      <c r="BY117" s="16" t="n">
        <v>0</v>
      </c>
      <c r="BZ117" s="16" t="n">
        <v>0</v>
      </c>
      <c r="CA117" s="16" t="n">
        <v>0</v>
      </c>
      <c r="CB117" s="16" t="n">
        <v>0</v>
      </c>
      <c r="CC117" s="16" t="n">
        <v>0</v>
      </c>
      <c r="CD117" s="16" t="n">
        <v>0</v>
      </c>
      <c r="CE117" s="16" t="n">
        <v>0</v>
      </c>
      <c r="CF117" s="16" t="n">
        <v>0</v>
      </c>
      <c r="CG117" s="16" t="n">
        <v>0</v>
      </c>
      <c r="CH117" s="16" t="n">
        <v>0</v>
      </c>
      <c r="CI117" s="16" t="n">
        <v>0</v>
      </c>
      <c r="CJ117" s="16" t="n">
        <v>0</v>
      </c>
      <c r="CK117" s="16" t="n">
        <v>0</v>
      </c>
      <c r="CL117" s="16" t="n">
        <v>0</v>
      </c>
      <c r="CM117" s="16" t="n">
        <v>0</v>
      </c>
      <c r="CN117" s="16" t="n">
        <v>0</v>
      </c>
      <c r="CO117" s="16" t="n">
        <v>0</v>
      </c>
      <c r="CP117" s="16" t="n">
        <v>0</v>
      </c>
      <c r="CQ117" s="16" t="n">
        <v>0</v>
      </c>
      <c r="CR117" s="16" t="n">
        <v>0</v>
      </c>
      <c r="CS117" s="16" t="n">
        <v>0</v>
      </c>
      <c r="CT117" s="16" t="n">
        <v>0</v>
      </c>
      <c r="CU117" s="16" t="n">
        <v>0</v>
      </c>
      <c r="CV117" s="16" t="n">
        <v>0</v>
      </c>
      <c r="CW117" s="16" t="n">
        <v>0</v>
      </c>
      <c r="CX117" s="16" t="n">
        <v>0</v>
      </c>
      <c r="CY117" s="16" t="n">
        <v>0</v>
      </c>
      <c r="CZ117" s="16" t="n">
        <v>0</v>
      </c>
      <c r="DA117" s="16" t="n">
        <v>0</v>
      </c>
      <c r="DB117" s="16" t="n">
        <v>0</v>
      </c>
      <c r="DC117" s="16" t="n">
        <v>0</v>
      </c>
      <c r="DD117" s="16" t="n">
        <v>0</v>
      </c>
      <c r="DE117" s="16" t="n">
        <v>0</v>
      </c>
      <c r="DF117" s="16" t="n">
        <v>0</v>
      </c>
      <c r="DG117" s="16" t="n">
        <v>0</v>
      </c>
      <c r="DH117" s="16" t="n">
        <v>0</v>
      </c>
      <c r="DI117" s="16" t="n">
        <v>0</v>
      </c>
      <c r="DJ117" s="16" t="n">
        <v>0</v>
      </c>
      <c r="DK117" s="16" t="n">
        <v>0</v>
      </c>
      <c r="DL117" s="16" t="n">
        <v>0</v>
      </c>
      <c r="DM117" s="16" t="n">
        <v>0</v>
      </c>
      <c r="DN117" s="16" t="n">
        <v>0</v>
      </c>
      <c r="DO117" s="16" t="n">
        <v>0</v>
      </c>
      <c r="DP117" s="16" t="n">
        <v>0</v>
      </c>
      <c r="DQ117" s="16" t="n">
        <v>0</v>
      </c>
      <c r="DR117" s="16" t="n">
        <v>0</v>
      </c>
      <c r="DS117" s="16" t="n">
        <v>0</v>
      </c>
      <c r="DT117" s="16" t="n">
        <v>0</v>
      </c>
      <c r="DU117" s="16" t="n">
        <v>0</v>
      </c>
      <c r="DV117" s="16" t="n">
        <v>0</v>
      </c>
      <c r="DW117" s="16" t="n">
        <v>0</v>
      </c>
      <c r="DX117" s="16" t="n">
        <v>0</v>
      </c>
      <c r="DY117" s="16" t="n">
        <v>0</v>
      </c>
      <c r="DZ117" s="16" t="n">
        <v>0</v>
      </c>
      <c r="EA117" s="16" t="n">
        <v>0</v>
      </c>
      <c r="EB117" s="16" t="n">
        <v>0</v>
      </c>
      <c r="EC117" s="16" t="n">
        <v>0</v>
      </c>
      <c r="ED117" s="16" t="n">
        <v>0</v>
      </c>
      <c r="EE117" s="16" t="n">
        <v>0</v>
      </c>
      <c r="EF117" s="16" t="n">
        <v>0</v>
      </c>
    </row>
    <row r="118" customFormat="false" ht="15" hidden="false" customHeight="true" outlineLevel="0" collapsed="false">
      <c r="A118" s="9" t="s">
        <v>12</v>
      </c>
      <c r="B118" s="9" t="s">
        <v>36</v>
      </c>
      <c r="C118" s="9" t="s">
        <v>36</v>
      </c>
      <c r="D118" s="9" t="s">
        <v>336</v>
      </c>
      <c r="E118" s="9" t="s">
        <v>10</v>
      </c>
      <c r="F118" s="9" t="s">
        <v>111</v>
      </c>
      <c r="G118" s="16" t="n">
        <v>0</v>
      </c>
      <c r="H118" s="16" t="n">
        <v>0</v>
      </c>
      <c r="I118" s="16" t="n">
        <v>6.5</v>
      </c>
      <c r="J118" s="16" t="n">
        <v>-6.5</v>
      </c>
      <c r="K118" s="16" t="n">
        <v>0</v>
      </c>
      <c r="L118" s="16" t="n">
        <v>0</v>
      </c>
      <c r="M118" s="16" t="n">
        <v>0</v>
      </c>
      <c r="N118" s="16" t="n">
        <v>0</v>
      </c>
      <c r="O118" s="16" t="n">
        <v>0</v>
      </c>
      <c r="P118" s="16" t="n">
        <v>0</v>
      </c>
      <c r="Q118" s="16" t="n">
        <v>0</v>
      </c>
      <c r="R118" s="16" t="n">
        <v>0</v>
      </c>
      <c r="S118" s="16" t="n">
        <v>0</v>
      </c>
      <c r="T118" s="16" t="n">
        <v>0</v>
      </c>
      <c r="U118" s="16" t="n">
        <v>0</v>
      </c>
      <c r="V118" s="16" t="n">
        <v>0</v>
      </c>
      <c r="W118" s="16" t="n">
        <v>0</v>
      </c>
      <c r="X118" s="16" t="n">
        <v>0</v>
      </c>
      <c r="Y118" s="16" t="n">
        <v>0</v>
      </c>
      <c r="Z118" s="16" t="n">
        <v>0</v>
      </c>
      <c r="AA118" s="16" t="n">
        <v>0</v>
      </c>
      <c r="AB118" s="16" t="n">
        <v>0</v>
      </c>
      <c r="AC118" s="16" t="n">
        <v>0</v>
      </c>
      <c r="AD118" s="16" t="n">
        <v>0</v>
      </c>
      <c r="AE118" s="16" t="n">
        <v>0</v>
      </c>
      <c r="AF118" s="16" t="n">
        <v>0</v>
      </c>
      <c r="AG118" s="16" t="n">
        <v>2</v>
      </c>
      <c r="AH118" s="16" t="n">
        <v>4.5</v>
      </c>
      <c r="AI118" s="16" t="n">
        <v>0</v>
      </c>
      <c r="AJ118" s="16" t="n">
        <v>0</v>
      </c>
      <c r="AK118" s="16" t="n">
        <v>0</v>
      </c>
      <c r="AL118" s="16" t="n">
        <v>0</v>
      </c>
      <c r="AM118" s="16" t="n">
        <v>0</v>
      </c>
      <c r="AN118" s="16" t="n">
        <v>0</v>
      </c>
      <c r="AO118" s="16" t="n">
        <v>0</v>
      </c>
      <c r="AP118" s="16" t="n">
        <v>0</v>
      </c>
      <c r="AQ118" s="16" t="n">
        <v>0</v>
      </c>
      <c r="AR118" s="16" t="n">
        <v>0</v>
      </c>
      <c r="AS118" s="16" t="n">
        <v>0</v>
      </c>
      <c r="AT118" s="16" t="n">
        <v>0</v>
      </c>
      <c r="AU118" s="16" t="n">
        <v>0</v>
      </c>
      <c r="AV118" s="16" t="n">
        <v>0</v>
      </c>
      <c r="AW118" s="16" t="n">
        <v>0</v>
      </c>
      <c r="AX118" s="16" t="n">
        <v>0</v>
      </c>
      <c r="AY118" s="16" t="n">
        <v>0</v>
      </c>
      <c r="AZ118" s="16" t="n">
        <v>0</v>
      </c>
      <c r="BA118" s="16" t="n">
        <v>0</v>
      </c>
      <c r="BB118" s="16" t="n">
        <v>0</v>
      </c>
      <c r="BC118" s="16" t="n">
        <v>0</v>
      </c>
      <c r="BD118" s="16" t="n">
        <v>0</v>
      </c>
      <c r="BE118" s="16" t="n">
        <v>0</v>
      </c>
      <c r="BF118" s="16" t="n">
        <v>0</v>
      </c>
      <c r="BG118" s="16" t="n">
        <v>0</v>
      </c>
      <c r="BH118" s="16" t="n">
        <v>0</v>
      </c>
      <c r="BI118" s="16" t="n">
        <v>0</v>
      </c>
      <c r="BJ118" s="16" t="n">
        <v>0</v>
      </c>
      <c r="BK118" s="16" t="n">
        <v>0</v>
      </c>
      <c r="BL118" s="16" t="n">
        <v>0</v>
      </c>
      <c r="BM118" s="16" t="n">
        <v>0</v>
      </c>
      <c r="BN118" s="16" t="n">
        <v>0</v>
      </c>
      <c r="BO118" s="16" t="n">
        <v>0</v>
      </c>
      <c r="BP118" s="16" t="n">
        <v>0</v>
      </c>
      <c r="BQ118" s="16" t="n">
        <v>0</v>
      </c>
      <c r="BR118" s="16" t="n">
        <v>0</v>
      </c>
      <c r="BS118" s="16" t="n">
        <v>0</v>
      </c>
      <c r="BT118" s="16" t="n">
        <v>0</v>
      </c>
      <c r="BU118" s="16" t="n">
        <v>0</v>
      </c>
      <c r="BV118" s="16" t="n">
        <v>0</v>
      </c>
      <c r="BW118" s="16" t="n">
        <v>0</v>
      </c>
      <c r="BX118" s="16" t="n">
        <v>0</v>
      </c>
      <c r="BY118" s="16" t="n">
        <v>0</v>
      </c>
      <c r="BZ118" s="16" t="n">
        <v>0</v>
      </c>
      <c r="CA118" s="16" t="n">
        <v>0</v>
      </c>
      <c r="CB118" s="16" t="n">
        <v>0</v>
      </c>
      <c r="CC118" s="16" t="n">
        <v>0</v>
      </c>
      <c r="CD118" s="16" t="n">
        <v>0</v>
      </c>
      <c r="CE118" s="16" t="n">
        <v>0</v>
      </c>
      <c r="CF118" s="16" t="n">
        <v>0</v>
      </c>
      <c r="CG118" s="16" t="n">
        <v>0</v>
      </c>
      <c r="CH118" s="16" t="n">
        <v>0</v>
      </c>
      <c r="CI118" s="16" t="n">
        <v>0</v>
      </c>
      <c r="CJ118" s="16" t="n">
        <v>0</v>
      </c>
      <c r="CK118" s="16" t="n">
        <v>0</v>
      </c>
      <c r="CL118" s="16" t="n">
        <v>0</v>
      </c>
      <c r="CM118" s="16" t="n">
        <v>0</v>
      </c>
      <c r="CN118" s="16" t="n">
        <v>0</v>
      </c>
      <c r="CO118" s="16" t="n">
        <v>0</v>
      </c>
      <c r="CP118" s="16" t="n">
        <v>0</v>
      </c>
      <c r="CQ118" s="16" t="n">
        <v>0</v>
      </c>
      <c r="CR118" s="16" t="n">
        <v>0</v>
      </c>
      <c r="CS118" s="16" t="n">
        <v>0</v>
      </c>
      <c r="CT118" s="16" t="n">
        <v>0</v>
      </c>
      <c r="CU118" s="16" t="n">
        <v>0</v>
      </c>
      <c r="CV118" s="16" t="n">
        <v>0</v>
      </c>
      <c r="CW118" s="16" t="n">
        <v>0</v>
      </c>
      <c r="CX118" s="16" t="n">
        <v>0</v>
      </c>
      <c r="CY118" s="16" t="n">
        <v>0</v>
      </c>
      <c r="CZ118" s="16" t="n">
        <v>0</v>
      </c>
      <c r="DA118" s="16" t="n">
        <v>0</v>
      </c>
      <c r="DB118" s="16" t="n">
        <v>0</v>
      </c>
      <c r="DC118" s="16" t="n">
        <v>0</v>
      </c>
      <c r="DD118" s="16" t="n">
        <v>0</v>
      </c>
      <c r="DE118" s="16" t="n">
        <v>0</v>
      </c>
      <c r="DF118" s="16" t="n">
        <v>0</v>
      </c>
      <c r="DG118" s="16" t="n">
        <v>0</v>
      </c>
      <c r="DH118" s="16" t="n">
        <v>0</v>
      </c>
      <c r="DI118" s="16" t="n">
        <v>0</v>
      </c>
      <c r="DJ118" s="16" t="n">
        <v>0</v>
      </c>
      <c r="DK118" s="16" t="n">
        <v>0</v>
      </c>
      <c r="DL118" s="16" t="n">
        <v>0</v>
      </c>
      <c r="DM118" s="16" t="n">
        <v>0</v>
      </c>
      <c r="DN118" s="16" t="n">
        <v>0</v>
      </c>
      <c r="DO118" s="16" t="n">
        <v>0</v>
      </c>
      <c r="DP118" s="16" t="n">
        <v>0</v>
      </c>
      <c r="DQ118" s="16" t="n">
        <v>0</v>
      </c>
      <c r="DR118" s="16" t="n">
        <v>0</v>
      </c>
      <c r="DS118" s="16" t="n">
        <v>0</v>
      </c>
      <c r="DT118" s="16" t="n">
        <v>0</v>
      </c>
      <c r="DU118" s="16" t="n">
        <v>0</v>
      </c>
      <c r="DV118" s="16" t="n">
        <v>0</v>
      </c>
      <c r="DW118" s="16" t="n">
        <v>0</v>
      </c>
      <c r="DX118" s="16" t="n">
        <v>0</v>
      </c>
      <c r="DY118" s="16" t="n">
        <v>0</v>
      </c>
      <c r="DZ118" s="16" t="n">
        <v>0</v>
      </c>
      <c r="EA118" s="16" t="n">
        <v>0</v>
      </c>
      <c r="EB118" s="16" t="n">
        <v>0</v>
      </c>
      <c r="EC118" s="16" t="n">
        <v>0</v>
      </c>
      <c r="ED118" s="16" t="n">
        <v>0</v>
      </c>
      <c r="EE118" s="16" t="n">
        <v>0</v>
      </c>
      <c r="EF118" s="16" t="n">
        <v>0</v>
      </c>
    </row>
    <row r="119" customFormat="false" ht="15" hidden="false" customHeight="true" outlineLevel="0" collapsed="false">
      <c r="A119" s="9" t="s">
        <v>12</v>
      </c>
      <c r="B119" s="9" t="s">
        <v>36</v>
      </c>
      <c r="C119" s="9" t="s">
        <v>36</v>
      </c>
      <c r="D119" s="9" t="s">
        <v>337</v>
      </c>
      <c r="E119" s="9" t="s">
        <v>10</v>
      </c>
      <c r="F119" s="9" t="s">
        <v>112</v>
      </c>
      <c r="G119" s="16" t="n">
        <v>0</v>
      </c>
      <c r="H119" s="16" t="n">
        <v>62</v>
      </c>
      <c r="I119" s="16" t="n">
        <v>62</v>
      </c>
      <c r="J119" s="16" t="n">
        <v>0</v>
      </c>
      <c r="K119" s="16" t="n">
        <v>0</v>
      </c>
      <c r="L119" s="16" t="n">
        <v>0</v>
      </c>
      <c r="M119" s="16" t="n">
        <v>0</v>
      </c>
      <c r="N119" s="16" t="n">
        <v>0</v>
      </c>
      <c r="O119" s="16" t="n">
        <v>0</v>
      </c>
      <c r="P119" s="16" t="n">
        <v>0</v>
      </c>
      <c r="Q119" s="16" t="n">
        <v>0</v>
      </c>
      <c r="R119" s="16" t="n">
        <v>0</v>
      </c>
      <c r="S119" s="16" t="n">
        <v>0</v>
      </c>
      <c r="T119" s="16" t="n">
        <v>0</v>
      </c>
      <c r="U119" s="16" t="n">
        <v>0</v>
      </c>
      <c r="V119" s="16" t="n">
        <v>0</v>
      </c>
      <c r="W119" s="16" t="n">
        <v>0</v>
      </c>
      <c r="X119" s="16" t="n">
        <v>0</v>
      </c>
      <c r="Y119" s="16" t="n">
        <v>0</v>
      </c>
      <c r="Z119" s="16" t="n">
        <v>0</v>
      </c>
      <c r="AA119" s="16" t="n">
        <v>0</v>
      </c>
      <c r="AB119" s="16" t="n">
        <v>0</v>
      </c>
      <c r="AC119" s="16" t="n">
        <v>0</v>
      </c>
      <c r="AD119" s="16" t="n">
        <v>0</v>
      </c>
      <c r="AE119" s="16" t="n">
        <v>0</v>
      </c>
      <c r="AF119" s="16" t="n">
        <v>0</v>
      </c>
      <c r="AG119" s="16" t="n">
        <v>0</v>
      </c>
      <c r="AH119" s="16" t="n">
        <v>0</v>
      </c>
      <c r="AI119" s="16" t="n">
        <v>0</v>
      </c>
      <c r="AJ119" s="16" t="n">
        <v>0</v>
      </c>
      <c r="AK119" s="16" t="n">
        <v>0</v>
      </c>
      <c r="AL119" s="16" t="n">
        <v>0</v>
      </c>
      <c r="AM119" s="16" t="n">
        <v>0</v>
      </c>
      <c r="AN119" s="16" t="n">
        <v>0</v>
      </c>
      <c r="AO119" s="16" t="n">
        <v>0</v>
      </c>
      <c r="AP119" s="16" t="n">
        <v>0</v>
      </c>
      <c r="AQ119" s="16" t="n">
        <v>0</v>
      </c>
      <c r="AR119" s="16" t="n">
        <v>0</v>
      </c>
      <c r="AS119" s="16" t="n">
        <v>0</v>
      </c>
      <c r="AT119" s="16" t="n">
        <v>0</v>
      </c>
      <c r="AU119" s="16" t="n">
        <v>0</v>
      </c>
      <c r="AV119" s="16" t="n">
        <v>0</v>
      </c>
      <c r="AW119" s="16" t="n">
        <v>0</v>
      </c>
      <c r="AX119" s="16" t="n">
        <v>0</v>
      </c>
      <c r="AY119" s="16" t="n">
        <v>0</v>
      </c>
      <c r="AZ119" s="16" t="n">
        <v>0</v>
      </c>
      <c r="BA119" s="16" t="n">
        <v>0</v>
      </c>
      <c r="BB119" s="16" t="n">
        <v>0</v>
      </c>
      <c r="BC119" s="16" t="n">
        <v>0</v>
      </c>
      <c r="BD119" s="16" t="n">
        <v>0</v>
      </c>
      <c r="BE119" s="16" t="n">
        <v>0</v>
      </c>
      <c r="BF119" s="16" t="n">
        <v>0</v>
      </c>
      <c r="BG119" s="16" t="n">
        <v>0</v>
      </c>
      <c r="BH119" s="16" t="n">
        <v>0</v>
      </c>
      <c r="BI119" s="16" t="n">
        <v>0</v>
      </c>
      <c r="BJ119" s="16" t="n">
        <v>0</v>
      </c>
      <c r="BK119" s="16" t="n">
        <v>0</v>
      </c>
      <c r="BL119" s="16" t="n">
        <v>0</v>
      </c>
      <c r="BM119" s="16" t="n">
        <v>0</v>
      </c>
      <c r="BN119" s="16" t="n">
        <v>0</v>
      </c>
      <c r="BO119" s="16" t="n">
        <v>0</v>
      </c>
      <c r="BP119" s="16" t="n">
        <v>0</v>
      </c>
      <c r="BQ119" s="16" t="n">
        <v>0</v>
      </c>
      <c r="BR119" s="16" t="n">
        <v>0</v>
      </c>
      <c r="BS119" s="16" t="n">
        <v>0</v>
      </c>
      <c r="BT119" s="16" t="n">
        <v>0</v>
      </c>
      <c r="BU119" s="16" t="n">
        <v>0</v>
      </c>
      <c r="BV119" s="16" t="n">
        <v>0</v>
      </c>
      <c r="BW119" s="16" t="n">
        <v>0</v>
      </c>
      <c r="BX119" s="16" t="n">
        <v>0</v>
      </c>
      <c r="BY119" s="16" t="n">
        <v>0</v>
      </c>
      <c r="BZ119" s="16" t="n">
        <v>0</v>
      </c>
      <c r="CA119" s="16" t="n">
        <v>0</v>
      </c>
      <c r="CB119" s="16" t="n">
        <v>0</v>
      </c>
      <c r="CC119" s="16" t="n">
        <v>0</v>
      </c>
      <c r="CD119" s="16" t="n">
        <v>0</v>
      </c>
      <c r="CE119" s="16" t="n">
        <v>0</v>
      </c>
      <c r="CF119" s="16" t="n">
        <v>0</v>
      </c>
      <c r="CG119" s="16" t="n">
        <v>0</v>
      </c>
      <c r="CH119" s="16" t="n">
        <v>0</v>
      </c>
      <c r="CI119" s="16" t="n">
        <v>0</v>
      </c>
      <c r="CJ119" s="16" t="n">
        <v>0</v>
      </c>
      <c r="CK119" s="16" t="n">
        <v>0</v>
      </c>
      <c r="CL119" s="16" t="n">
        <v>0</v>
      </c>
      <c r="CM119" s="16" t="n">
        <v>0</v>
      </c>
      <c r="CN119" s="16" t="n">
        <v>0</v>
      </c>
      <c r="CO119" s="16" t="n">
        <v>0</v>
      </c>
      <c r="CP119" s="16" t="n">
        <v>0</v>
      </c>
      <c r="CQ119" s="16" t="n">
        <v>0</v>
      </c>
      <c r="CR119" s="16" t="n">
        <v>0</v>
      </c>
      <c r="CS119" s="16" t="n">
        <v>0</v>
      </c>
      <c r="CT119" s="16" t="n">
        <v>0</v>
      </c>
      <c r="CU119" s="16" t="n">
        <v>0</v>
      </c>
      <c r="CV119" s="16" t="n">
        <v>0</v>
      </c>
      <c r="CW119" s="16" t="n">
        <v>0</v>
      </c>
      <c r="CX119" s="16" t="n">
        <v>0</v>
      </c>
      <c r="CY119" s="16" t="n">
        <v>0</v>
      </c>
      <c r="CZ119" s="16" t="n">
        <v>0</v>
      </c>
      <c r="DA119" s="16" t="n">
        <v>0</v>
      </c>
      <c r="DB119" s="16" t="n">
        <v>0</v>
      </c>
      <c r="DC119" s="16" t="n">
        <v>0</v>
      </c>
      <c r="DD119" s="16" t="n">
        <v>0</v>
      </c>
      <c r="DE119" s="16" t="n">
        <v>0</v>
      </c>
      <c r="DF119" s="16" t="n">
        <v>0</v>
      </c>
      <c r="DG119" s="16" t="n">
        <v>0</v>
      </c>
      <c r="DH119" s="16" t="n">
        <v>0</v>
      </c>
      <c r="DI119" s="16" t="n">
        <v>0</v>
      </c>
      <c r="DJ119" s="16" t="n">
        <v>0</v>
      </c>
      <c r="DK119" s="16" t="n">
        <v>2</v>
      </c>
      <c r="DL119" s="16" t="n">
        <v>6</v>
      </c>
      <c r="DM119" s="16" t="n">
        <v>8</v>
      </c>
      <c r="DN119" s="16" t="n">
        <v>8</v>
      </c>
      <c r="DO119" s="16" t="n">
        <v>8</v>
      </c>
      <c r="DP119" s="16" t="n">
        <v>10</v>
      </c>
      <c r="DQ119" s="16" t="n">
        <v>10</v>
      </c>
      <c r="DR119" s="16" t="n">
        <v>10</v>
      </c>
      <c r="DS119" s="16" t="n">
        <v>0</v>
      </c>
      <c r="DT119" s="16" t="n">
        <v>0</v>
      </c>
      <c r="DU119" s="16" t="n">
        <v>0</v>
      </c>
      <c r="DV119" s="16" t="n">
        <v>0</v>
      </c>
      <c r="DW119" s="16" t="n">
        <v>0</v>
      </c>
      <c r="DX119" s="16" t="n">
        <v>0</v>
      </c>
      <c r="DY119" s="16" t="n">
        <v>0</v>
      </c>
      <c r="DZ119" s="16" t="n">
        <v>0</v>
      </c>
      <c r="EA119" s="16" t="n">
        <v>0</v>
      </c>
      <c r="EB119" s="16" t="n">
        <v>0</v>
      </c>
      <c r="EC119" s="16" t="n">
        <v>0</v>
      </c>
      <c r="ED119" s="16" t="n">
        <v>0</v>
      </c>
      <c r="EE119" s="16" t="n">
        <v>0</v>
      </c>
      <c r="EF119" s="16" t="n">
        <v>0</v>
      </c>
    </row>
    <row r="120" customFormat="false" ht="15" hidden="false" customHeight="true" outlineLevel="0" collapsed="false">
      <c r="A120" s="9" t="s">
        <v>12</v>
      </c>
      <c r="B120" s="9" t="s">
        <v>36</v>
      </c>
      <c r="C120" s="9" t="s">
        <v>36</v>
      </c>
      <c r="D120" s="9" t="s">
        <v>337</v>
      </c>
      <c r="E120" s="9" t="s">
        <v>10</v>
      </c>
      <c r="F120" s="9" t="s">
        <v>87</v>
      </c>
      <c r="G120" s="16" t="n">
        <v>0</v>
      </c>
      <c r="H120" s="16" t="n">
        <v>0</v>
      </c>
      <c r="I120" s="16" t="n">
        <v>45</v>
      </c>
      <c r="J120" s="16" t="n">
        <v>-45</v>
      </c>
      <c r="K120" s="16" t="n">
        <v>0</v>
      </c>
      <c r="L120" s="16" t="n">
        <v>0</v>
      </c>
      <c r="M120" s="16" t="n">
        <v>0</v>
      </c>
      <c r="N120" s="16" t="n">
        <v>0</v>
      </c>
      <c r="O120" s="16" t="n">
        <v>0</v>
      </c>
      <c r="P120" s="16" t="n">
        <v>0</v>
      </c>
      <c r="Q120" s="16" t="n">
        <v>0</v>
      </c>
      <c r="R120" s="16" t="n">
        <v>0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0</v>
      </c>
      <c r="X120" s="16" t="n">
        <v>0</v>
      </c>
      <c r="Y120" s="16" t="n">
        <v>0</v>
      </c>
      <c r="Z120" s="16" t="n">
        <v>0</v>
      </c>
      <c r="AA120" s="16" t="n">
        <v>0</v>
      </c>
      <c r="AB120" s="16" t="n">
        <v>0</v>
      </c>
      <c r="AC120" s="16" t="n">
        <v>0</v>
      </c>
      <c r="AD120" s="16" t="n">
        <v>0</v>
      </c>
      <c r="AE120" s="16" t="n">
        <v>0</v>
      </c>
      <c r="AF120" s="16" t="n">
        <v>0</v>
      </c>
      <c r="AG120" s="16" t="n">
        <v>0</v>
      </c>
      <c r="AH120" s="16" t="n">
        <v>0</v>
      </c>
      <c r="AI120" s="16" t="n">
        <v>0</v>
      </c>
      <c r="AJ120" s="16" t="n">
        <v>0</v>
      </c>
      <c r="AK120" s="16" t="n">
        <v>0</v>
      </c>
      <c r="AL120" s="16" t="n">
        <v>0</v>
      </c>
      <c r="AM120" s="16" t="n">
        <v>9</v>
      </c>
      <c r="AN120" s="16" t="n">
        <v>35.5</v>
      </c>
      <c r="AO120" s="16" t="n">
        <v>0.5</v>
      </c>
      <c r="AP120" s="16" t="n">
        <v>0</v>
      </c>
      <c r="AQ120" s="16" t="n">
        <v>0</v>
      </c>
      <c r="AR120" s="16" t="n">
        <v>0</v>
      </c>
      <c r="AS120" s="16" t="n">
        <v>0</v>
      </c>
      <c r="AT120" s="16" t="n">
        <v>0</v>
      </c>
      <c r="AU120" s="16" t="n">
        <v>0</v>
      </c>
      <c r="AV120" s="16" t="n">
        <v>0</v>
      </c>
      <c r="AW120" s="16" t="n">
        <v>0</v>
      </c>
      <c r="AX120" s="16" t="n">
        <v>0</v>
      </c>
      <c r="AY120" s="16" t="n">
        <v>0</v>
      </c>
      <c r="AZ120" s="16" t="n">
        <v>0</v>
      </c>
      <c r="BA120" s="16" t="n">
        <v>0</v>
      </c>
      <c r="BB120" s="16" t="n">
        <v>0</v>
      </c>
      <c r="BC120" s="16" t="n">
        <v>0</v>
      </c>
      <c r="BD120" s="16" t="n">
        <v>0</v>
      </c>
      <c r="BE120" s="16" t="n">
        <v>0</v>
      </c>
      <c r="BF120" s="16" t="n">
        <v>0</v>
      </c>
      <c r="BG120" s="16" t="n">
        <v>0</v>
      </c>
      <c r="BH120" s="16" t="n">
        <v>0</v>
      </c>
      <c r="BI120" s="16" t="n">
        <v>0</v>
      </c>
      <c r="BJ120" s="16" t="n">
        <v>0</v>
      </c>
      <c r="BK120" s="16" t="n">
        <v>0</v>
      </c>
      <c r="BL120" s="16" t="n">
        <v>0</v>
      </c>
      <c r="BM120" s="16" t="n">
        <v>0</v>
      </c>
      <c r="BN120" s="16" t="n">
        <v>0</v>
      </c>
      <c r="BO120" s="16" t="n">
        <v>0</v>
      </c>
      <c r="BP120" s="16" t="n">
        <v>0</v>
      </c>
      <c r="BQ120" s="16" t="n">
        <v>0</v>
      </c>
      <c r="BR120" s="16" t="n">
        <v>0</v>
      </c>
      <c r="BS120" s="16" t="n">
        <v>0</v>
      </c>
      <c r="BT120" s="16" t="n">
        <v>0</v>
      </c>
      <c r="BU120" s="16" t="n">
        <v>0</v>
      </c>
      <c r="BV120" s="16" t="n">
        <v>0</v>
      </c>
      <c r="BW120" s="16" t="n">
        <v>0</v>
      </c>
      <c r="BX120" s="16" t="n">
        <v>0</v>
      </c>
      <c r="BY120" s="16" t="n">
        <v>0</v>
      </c>
      <c r="BZ120" s="16" t="n">
        <v>0</v>
      </c>
      <c r="CA120" s="16" t="n">
        <v>0</v>
      </c>
      <c r="CB120" s="16" t="n">
        <v>0</v>
      </c>
      <c r="CC120" s="16" t="n">
        <v>0</v>
      </c>
      <c r="CD120" s="16" t="n">
        <v>0</v>
      </c>
      <c r="CE120" s="16" t="n">
        <v>0</v>
      </c>
      <c r="CF120" s="16" t="n">
        <v>0</v>
      </c>
      <c r="CG120" s="16" t="n">
        <v>0</v>
      </c>
      <c r="CH120" s="16" t="n">
        <v>0</v>
      </c>
      <c r="CI120" s="16" t="n">
        <v>0</v>
      </c>
      <c r="CJ120" s="16" t="n">
        <v>0</v>
      </c>
      <c r="CK120" s="16" t="n">
        <v>0</v>
      </c>
      <c r="CL120" s="16" t="n">
        <v>0</v>
      </c>
      <c r="CM120" s="16" t="n">
        <v>0</v>
      </c>
      <c r="CN120" s="16" t="n">
        <v>0</v>
      </c>
      <c r="CO120" s="16" t="n">
        <v>0</v>
      </c>
      <c r="CP120" s="16" t="n">
        <v>0</v>
      </c>
      <c r="CQ120" s="16" t="n">
        <v>0</v>
      </c>
      <c r="CR120" s="16" t="n">
        <v>0</v>
      </c>
      <c r="CS120" s="16" t="n">
        <v>0</v>
      </c>
      <c r="CT120" s="16" t="n">
        <v>0</v>
      </c>
      <c r="CU120" s="16" t="n">
        <v>0</v>
      </c>
      <c r="CV120" s="16" t="n">
        <v>0</v>
      </c>
      <c r="CW120" s="16" t="n">
        <v>0</v>
      </c>
      <c r="CX120" s="16" t="n">
        <v>0</v>
      </c>
      <c r="CY120" s="16" t="n">
        <v>0</v>
      </c>
      <c r="CZ120" s="16" t="n">
        <v>0</v>
      </c>
      <c r="DA120" s="16" t="n">
        <v>0</v>
      </c>
      <c r="DB120" s="16" t="n">
        <v>0</v>
      </c>
      <c r="DC120" s="16" t="n">
        <v>0</v>
      </c>
      <c r="DD120" s="16" t="n">
        <v>0</v>
      </c>
      <c r="DE120" s="16" t="n">
        <v>0</v>
      </c>
      <c r="DF120" s="16" t="n">
        <v>0</v>
      </c>
      <c r="DG120" s="16" t="n">
        <v>0</v>
      </c>
      <c r="DH120" s="16" t="n">
        <v>0</v>
      </c>
      <c r="DI120" s="16" t="n">
        <v>0</v>
      </c>
      <c r="DJ120" s="16" t="n">
        <v>0</v>
      </c>
      <c r="DK120" s="16" t="n">
        <v>0</v>
      </c>
      <c r="DL120" s="16" t="n">
        <v>0</v>
      </c>
      <c r="DM120" s="16" t="n">
        <v>0</v>
      </c>
      <c r="DN120" s="16" t="n">
        <v>0</v>
      </c>
      <c r="DO120" s="16" t="n">
        <v>0</v>
      </c>
      <c r="DP120" s="16" t="n">
        <v>0</v>
      </c>
      <c r="DQ120" s="16" t="n">
        <v>0</v>
      </c>
      <c r="DR120" s="16" t="n">
        <v>0</v>
      </c>
      <c r="DS120" s="16" t="n">
        <v>0</v>
      </c>
      <c r="DT120" s="16" t="n">
        <v>0</v>
      </c>
      <c r="DU120" s="16" t="n">
        <v>0</v>
      </c>
      <c r="DV120" s="16" t="n">
        <v>0</v>
      </c>
      <c r="DW120" s="16" t="n">
        <v>0</v>
      </c>
      <c r="DX120" s="16" t="n">
        <v>0</v>
      </c>
      <c r="DY120" s="16" t="n">
        <v>0</v>
      </c>
      <c r="DZ120" s="16" t="n">
        <v>0</v>
      </c>
      <c r="EA120" s="16" t="n">
        <v>0</v>
      </c>
      <c r="EB120" s="16" t="n">
        <v>0</v>
      </c>
      <c r="EC120" s="16" t="n">
        <v>0</v>
      </c>
      <c r="ED120" s="16" t="n">
        <v>0</v>
      </c>
      <c r="EE120" s="16" t="n">
        <v>0</v>
      </c>
      <c r="EF120" s="16" t="n">
        <v>0</v>
      </c>
    </row>
    <row r="121" customFormat="false" ht="15" hidden="false" customHeight="true" outlineLevel="0" collapsed="false">
      <c r="A121" s="9" t="s">
        <v>12</v>
      </c>
      <c r="B121" s="9" t="s">
        <v>36</v>
      </c>
      <c r="C121" s="9" t="s">
        <v>36</v>
      </c>
      <c r="D121" s="9" t="s">
        <v>336</v>
      </c>
      <c r="E121" s="9" t="s">
        <v>10</v>
      </c>
      <c r="F121" s="9" t="s">
        <v>87</v>
      </c>
      <c r="G121" s="16" t="n">
        <v>18</v>
      </c>
      <c r="H121" s="16" t="n">
        <v>18</v>
      </c>
      <c r="I121" s="16" t="n">
        <v>0</v>
      </c>
      <c r="J121" s="16" t="n">
        <v>18</v>
      </c>
      <c r="K121" s="16" t="n">
        <v>0</v>
      </c>
      <c r="L121" s="16" t="n">
        <v>0</v>
      </c>
      <c r="M121" s="16" t="n">
        <v>0</v>
      </c>
      <c r="N121" s="16" t="n">
        <v>0</v>
      </c>
      <c r="O121" s="16" t="n">
        <v>0</v>
      </c>
      <c r="P121" s="16" t="n">
        <v>0</v>
      </c>
      <c r="Q121" s="16" t="n">
        <v>0</v>
      </c>
      <c r="R121" s="16" t="n">
        <v>0</v>
      </c>
      <c r="S121" s="16" t="n">
        <v>0</v>
      </c>
      <c r="T121" s="16" t="n">
        <v>0</v>
      </c>
      <c r="U121" s="16" t="n">
        <v>0</v>
      </c>
      <c r="V121" s="16" t="n">
        <v>0</v>
      </c>
      <c r="W121" s="16" t="n">
        <v>0</v>
      </c>
      <c r="X121" s="16" t="n">
        <v>0</v>
      </c>
      <c r="Y121" s="16" t="n">
        <v>0</v>
      </c>
      <c r="Z121" s="16" t="n">
        <v>0</v>
      </c>
      <c r="AA121" s="16" t="n">
        <v>0</v>
      </c>
      <c r="AB121" s="16" t="n">
        <v>0</v>
      </c>
      <c r="AC121" s="16" t="n">
        <v>0</v>
      </c>
      <c r="AD121" s="16" t="n">
        <v>0</v>
      </c>
      <c r="AE121" s="16" t="n">
        <v>0</v>
      </c>
      <c r="AF121" s="16" t="n">
        <v>0</v>
      </c>
      <c r="AG121" s="16" t="n">
        <v>0</v>
      </c>
      <c r="AH121" s="16" t="n">
        <v>0</v>
      </c>
      <c r="AI121" s="16" t="n">
        <v>0</v>
      </c>
      <c r="AJ121" s="16" t="n">
        <v>0</v>
      </c>
      <c r="AK121" s="16" t="n">
        <v>0</v>
      </c>
      <c r="AL121" s="16" t="n">
        <v>0</v>
      </c>
      <c r="AM121" s="16" t="n">
        <v>0</v>
      </c>
      <c r="AN121" s="16" t="n">
        <v>0</v>
      </c>
      <c r="AO121" s="16" t="n">
        <v>0</v>
      </c>
      <c r="AP121" s="16" t="n">
        <v>0</v>
      </c>
      <c r="AQ121" s="16" t="n">
        <v>0</v>
      </c>
      <c r="AR121" s="16" t="n">
        <v>0</v>
      </c>
      <c r="AS121" s="16" t="n">
        <v>0</v>
      </c>
      <c r="AT121" s="16" t="n">
        <v>0</v>
      </c>
      <c r="AU121" s="16" t="n">
        <v>0</v>
      </c>
      <c r="AV121" s="16" t="n">
        <v>0</v>
      </c>
      <c r="AW121" s="16" t="n">
        <v>0</v>
      </c>
      <c r="AX121" s="16" t="n">
        <v>0</v>
      </c>
      <c r="AY121" s="16" t="n">
        <v>0</v>
      </c>
      <c r="AZ121" s="16" t="n">
        <v>0</v>
      </c>
      <c r="BA121" s="16" t="n">
        <v>0</v>
      </c>
      <c r="BB121" s="16" t="n">
        <v>0</v>
      </c>
      <c r="BC121" s="16" t="n">
        <v>0</v>
      </c>
      <c r="BD121" s="16" t="n">
        <v>0</v>
      </c>
      <c r="BE121" s="16" t="n">
        <v>0</v>
      </c>
      <c r="BF121" s="16" t="n">
        <v>0</v>
      </c>
      <c r="BG121" s="16" t="n">
        <v>0</v>
      </c>
      <c r="BH121" s="16" t="n">
        <v>0</v>
      </c>
      <c r="BI121" s="16" t="n">
        <v>0</v>
      </c>
      <c r="BJ121" s="16" t="n">
        <v>0</v>
      </c>
      <c r="BK121" s="16" t="n">
        <v>0</v>
      </c>
      <c r="BL121" s="16" t="n">
        <v>0</v>
      </c>
      <c r="BM121" s="16" t="n">
        <v>0</v>
      </c>
      <c r="BN121" s="16" t="n">
        <v>0</v>
      </c>
      <c r="BO121" s="16" t="n">
        <v>0</v>
      </c>
      <c r="BP121" s="16" t="n">
        <v>0</v>
      </c>
      <c r="BQ121" s="16" t="n">
        <v>0</v>
      </c>
      <c r="BR121" s="16" t="n">
        <v>0</v>
      </c>
      <c r="BS121" s="16" t="n">
        <v>0</v>
      </c>
      <c r="BT121" s="16" t="n">
        <v>0</v>
      </c>
      <c r="BU121" s="16" t="n">
        <v>0</v>
      </c>
      <c r="BV121" s="16" t="n">
        <v>0</v>
      </c>
      <c r="BW121" s="16" t="n">
        <v>0</v>
      </c>
      <c r="BX121" s="16" t="n">
        <v>0</v>
      </c>
      <c r="BY121" s="16" t="n">
        <v>0</v>
      </c>
      <c r="BZ121" s="16" t="n">
        <v>0</v>
      </c>
      <c r="CA121" s="16" t="n">
        <v>0</v>
      </c>
      <c r="CB121" s="16" t="n">
        <v>0</v>
      </c>
      <c r="CC121" s="16" t="n">
        <v>0</v>
      </c>
      <c r="CD121" s="16" t="n">
        <v>0</v>
      </c>
      <c r="CE121" s="16" t="n">
        <v>0</v>
      </c>
      <c r="CF121" s="16" t="n">
        <v>0</v>
      </c>
      <c r="CG121" s="16" t="n">
        <v>0</v>
      </c>
      <c r="CH121" s="16" t="n">
        <v>0</v>
      </c>
      <c r="CI121" s="16" t="n">
        <v>0</v>
      </c>
      <c r="CJ121" s="16" t="n">
        <v>0</v>
      </c>
      <c r="CK121" s="16" t="n">
        <v>0</v>
      </c>
      <c r="CL121" s="16" t="n">
        <v>0</v>
      </c>
      <c r="CM121" s="16" t="n">
        <v>0</v>
      </c>
      <c r="CN121" s="16" t="n">
        <v>0</v>
      </c>
      <c r="CO121" s="16" t="n">
        <v>0</v>
      </c>
      <c r="CP121" s="16" t="n">
        <v>0</v>
      </c>
      <c r="CQ121" s="16" t="n">
        <v>0</v>
      </c>
      <c r="CR121" s="16" t="n">
        <v>0</v>
      </c>
      <c r="CS121" s="16" t="n">
        <v>0</v>
      </c>
      <c r="CT121" s="16" t="n">
        <v>0</v>
      </c>
      <c r="CU121" s="16" t="n">
        <v>0</v>
      </c>
      <c r="CV121" s="16" t="n">
        <v>0</v>
      </c>
      <c r="CW121" s="16" t="n">
        <v>0</v>
      </c>
      <c r="CX121" s="16" t="n">
        <v>0</v>
      </c>
      <c r="CY121" s="16" t="n">
        <v>0</v>
      </c>
      <c r="CZ121" s="16" t="n">
        <v>0</v>
      </c>
      <c r="DA121" s="16" t="n">
        <v>0</v>
      </c>
      <c r="DB121" s="16" t="n">
        <v>0</v>
      </c>
      <c r="DC121" s="16" t="n">
        <v>0</v>
      </c>
      <c r="DD121" s="16" t="n">
        <v>0</v>
      </c>
      <c r="DE121" s="16" t="n">
        <v>0</v>
      </c>
      <c r="DF121" s="16" t="n">
        <v>0</v>
      </c>
      <c r="DG121" s="16" t="n">
        <v>0</v>
      </c>
      <c r="DH121" s="16" t="n">
        <v>0</v>
      </c>
      <c r="DI121" s="16" t="n">
        <v>0</v>
      </c>
      <c r="DJ121" s="16" t="n">
        <v>0</v>
      </c>
      <c r="DK121" s="16" t="n">
        <v>0</v>
      </c>
      <c r="DL121" s="16" t="n">
        <v>0</v>
      </c>
      <c r="DM121" s="16" t="n">
        <v>0</v>
      </c>
      <c r="DN121" s="16" t="n">
        <v>0</v>
      </c>
      <c r="DO121" s="16" t="n">
        <v>0</v>
      </c>
      <c r="DP121" s="16" t="n">
        <v>0</v>
      </c>
      <c r="DQ121" s="16" t="n">
        <v>0</v>
      </c>
      <c r="DR121" s="16" t="n">
        <v>0</v>
      </c>
      <c r="DS121" s="16" t="n">
        <v>0</v>
      </c>
      <c r="DT121" s="16" t="n">
        <v>0</v>
      </c>
      <c r="DU121" s="16" t="n">
        <v>0</v>
      </c>
      <c r="DV121" s="16" t="n">
        <v>0</v>
      </c>
      <c r="DW121" s="16" t="n">
        <v>0</v>
      </c>
      <c r="DX121" s="16" t="n">
        <v>0</v>
      </c>
      <c r="DY121" s="16" t="n">
        <v>0</v>
      </c>
      <c r="DZ121" s="16" t="n">
        <v>0</v>
      </c>
      <c r="EA121" s="16" t="n">
        <v>0</v>
      </c>
      <c r="EB121" s="16" t="n">
        <v>0</v>
      </c>
      <c r="EC121" s="16" t="n">
        <v>0</v>
      </c>
      <c r="ED121" s="16" t="n">
        <v>0</v>
      </c>
      <c r="EE121" s="16" t="n">
        <v>0</v>
      </c>
      <c r="EF121" s="16" t="n">
        <v>0</v>
      </c>
    </row>
    <row r="122" customFormat="false" ht="15" hidden="false" customHeight="true" outlineLevel="0" collapsed="false">
      <c r="A122" s="9" t="s">
        <v>12</v>
      </c>
      <c r="B122" s="9" t="s">
        <v>36</v>
      </c>
      <c r="C122" s="9" t="s">
        <v>36</v>
      </c>
      <c r="D122" s="9" t="s">
        <v>337</v>
      </c>
      <c r="E122" s="9" t="s">
        <v>10</v>
      </c>
      <c r="F122" s="9" t="s">
        <v>88</v>
      </c>
      <c r="G122" s="16" t="n">
        <v>0</v>
      </c>
      <c r="H122" s="16" t="n">
        <v>0</v>
      </c>
      <c r="I122" s="16" t="n">
        <v>18</v>
      </c>
      <c r="J122" s="16" t="n">
        <v>-18</v>
      </c>
      <c r="K122" s="16" t="n">
        <v>0</v>
      </c>
      <c r="L122" s="16" t="n">
        <v>0</v>
      </c>
      <c r="M122" s="16" t="n">
        <v>0</v>
      </c>
      <c r="N122" s="16" t="n">
        <v>0</v>
      </c>
      <c r="O122" s="16" t="n">
        <v>0</v>
      </c>
      <c r="P122" s="16" t="n">
        <v>0</v>
      </c>
      <c r="Q122" s="16" t="n">
        <v>0</v>
      </c>
      <c r="R122" s="16" t="n">
        <v>0</v>
      </c>
      <c r="S122" s="16" t="n">
        <v>0</v>
      </c>
      <c r="T122" s="16" t="n">
        <v>0</v>
      </c>
      <c r="U122" s="16" t="n">
        <v>0</v>
      </c>
      <c r="V122" s="16" t="n">
        <v>0</v>
      </c>
      <c r="W122" s="16" t="n">
        <v>0</v>
      </c>
      <c r="X122" s="16" t="n">
        <v>0</v>
      </c>
      <c r="Y122" s="16" t="n">
        <v>0</v>
      </c>
      <c r="Z122" s="16" t="n">
        <v>0</v>
      </c>
      <c r="AA122" s="16" t="n">
        <v>0</v>
      </c>
      <c r="AB122" s="16" t="n">
        <v>0</v>
      </c>
      <c r="AC122" s="16" t="n">
        <v>0</v>
      </c>
      <c r="AD122" s="16" t="n">
        <v>0</v>
      </c>
      <c r="AE122" s="16" t="n">
        <v>0</v>
      </c>
      <c r="AF122" s="16" t="n">
        <v>0</v>
      </c>
      <c r="AG122" s="16" t="n">
        <v>0</v>
      </c>
      <c r="AH122" s="16" t="n">
        <v>0</v>
      </c>
      <c r="AI122" s="16" t="n">
        <v>0</v>
      </c>
      <c r="AJ122" s="16" t="n">
        <v>0</v>
      </c>
      <c r="AK122" s="16" t="n">
        <v>0</v>
      </c>
      <c r="AL122" s="16" t="n">
        <v>0</v>
      </c>
      <c r="AM122" s="16" t="n">
        <v>0</v>
      </c>
      <c r="AN122" s="16" t="n">
        <v>0</v>
      </c>
      <c r="AO122" s="16" t="n">
        <v>0</v>
      </c>
      <c r="AP122" s="16" t="n">
        <v>0</v>
      </c>
      <c r="AQ122" s="16" t="n">
        <v>0</v>
      </c>
      <c r="AR122" s="16" t="n">
        <v>0</v>
      </c>
      <c r="AS122" s="16" t="n">
        <v>0</v>
      </c>
      <c r="AT122" s="16" t="n">
        <v>0</v>
      </c>
      <c r="AU122" s="16" t="n">
        <v>0</v>
      </c>
      <c r="AV122" s="16" t="n">
        <v>0</v>
      </c>
      <c r="AW122" s="16" t="n">
        <v>0</v>
      </c>
      <c r="AX122" s="16" t="n">
        <v>0</v>
      </c>
      <c r="AY122" s="16" t="n">
        <v>0</v>
      </c>
      <c r="AZ122" s="16" t="n">
        <v>0</v>
      </c>
      <c r="BA122" s="16" t="n">
        <v>0</v>
      </c>
      <c r="BB122" s="16" t="n">
        <v>0</v>
      </c>
      <c r="BC122" s="16" t="n">
        <v>0</v>
      </c>
      <c r="BD122" s="16" t="n">
        <v>0</v>
      </c>
      <c r="BE122" s="16" t="n">
        <v>0</v>
      </c>
      <c r="BF122" s="16" t="n">
        <v>0</v>
      </c>
      <c r="BG122" s="16" t="n">
        <v>0</v>
      </c>
      <c r="BH122" s="16" t="n">
        <v>0</v>
      </c>
      <c r="BI122" s="16" t="n">
        <v>0</v>
      </c>
      <c r="BJ122" s="16" t="n">
        <v>0</v>
      </c>
      <c r="BK122" s="16" t="n">
        <v>0</v>
      </c>
      <c r="BL122" s="16" t="n">
        <v>0</v>
      </c>
      <c r="BM122" s="16" t="n">
        <v>0</v>
      </c>
      <c r="BN122" s="16" t="n">
        <v>0</v>
      </c>
      <c r="BO122" s="16" t="n">
        <v>0</v>
      </c>
      <c r="BP122" s="16" t="n">
        <v>0</v>
      </c>
      <c r="BQ122" s="16" t="n">
        <v>0</v>
      </c>
      <c r="BR122" s="16" t="n">
        <v>0</v>
      </c>
      <c r="BS122" s="16" t="n">
        <v>0</v>
      </c>
      <c r="BT122" s="16" t="n">
        <v>0</v>
      </c>
      <c r="BU122" s="16" t="n">
        <v>0</v>
      </c>
      <c r="BV122" s="16" t="n">
        <v>0</v>
      </c>
      <c r="BW122" s="16" t="n">
        <v>0</v>
      </c>
      <c r="BX122" s="16" t="n">
        <v>0</v>
      </c>
      <c r="BY122" s="16" t="n">
        <v>0</v>
      </c>
      <c r="BZ122" s="16" t="n">
        <v>0</v>
      </c>
      <c r="CA122" s="16" t="n">
        <v>0</v>
      </c>
      <c r="CB122" s="16" t="n">
        <v>0</v>
      </c>
      <c r="CC122" s="16" t="n">
        <v>0</v>
      </c>
      <c r="CD122" s="16" t="n">
        <v>0</v>
      </c>
      <c r="CE122" s="16" t="n">
        <v>0</v>
      </c>
      <c r="CF122" s="16" t="n">
        <v>0</v>
      </c>
      <c r="CG122" s="16" t="n">
        <v>0</v>
      </c>
      <c r="CH122" s="16" t="n">
        <v>0</v>
      </c>
      <c r="CI122" s="16" t="n">
        <v>0</v>
      </c>
      <c r="CJ122" s="16" t="n">
        <v>0</v>
      </c>
      <c r="CK122" s="16" t="n">
        <v>0</v>
      </c>
      <c r="CL122" s="16" t="n">
        <v>0</v>
      </c>
      <c r="CM122" s="16" t="n">
        <v>0</v>
      </c>
      <c r="CN122" s="16" t="n">
        <v>0</v>
      </c>
      <c r="CO122" s="16" t="n">
        <v>0</v>
      </c>
      <c r="CP122" s="16" t="n">
        <v>0</v>
      </c>
      <c r="CQ122" s="16" t="n">
        <v>0</v>
      </c>
      <c r="CR122" s="16" t="n">
        <v>0</v>
      </c>
      <c r="CS122" s="16" t="n">
        <v>0</v>
      </c>
      <c r="CT122" s="16" t="n">
        <v>0</v>
      </c>
      <c r="CU122" s="16" t="n">
        <v>0</v>
      </c>
      <c r="CV122" s="16" t="n">
        <v>0</v>
      </c>
      <c r="CW122" s="16" t="n">
        <v>0</v>
      </c>
      <c r="CX122" s="16" t="n">
        <v>0</v>
      </c>
      <c r="CY122" s="16" t="n">
        <v>0</v>
      </c>
      <c r="CZ122" s="16" t="n">
        <v>12</v>
      </c>
      <c r="DA122" s="16" t="n">
        <v>6</v>
      </c>
      <c r="DB122" s="16" t="n">
        <v>0</v>
      </c>
      <c r="DC122" s="16" t="n">
        <v>0</v>
      </c>
      <c r="DD122" s="16" t="n">
        <v>0</v>
      </c>
      <c r="DE122" s="16" t="n">
        <v>0</v>
      </c>
      <c r="DF122" s="16" t="n">
        <v>0</v>
      </c>
      <c r="DG122" s="16" t="n">
        <v>0</v>
      </c>
      <c r="DH122" s="16" t="n">
        <v>0</v>
      </c>
      <c r="DI122" s="16" t="n">
        <v>0</v>
      </c>
      <c r="DJ122" s="16" t="n">
        <v>0</v>
      </c>
      <c r="DK122" s="16" t="n">
        <v>0</v>
      </c>
      <c r="DL122" s="16" t="n">
        <v>0</v>
      </c>
      <c r="DM122" s="16" t="n">
        <v>0</v>
      </c>
      <c r="DN122" s="16" t="n">
        <v>0</v>
      </c>
      <c r="DO122" s="16" t="n">
        <v>0</v>
      </c>
      <c r="DP122" s="16" t="n">
        <v>0</v>
      </c>
      <c r="DQ122" s="16" t="n">
        <v>0</v>
      </c>
      <c r="DR122" s="16" t="n">
        <v>0</v>
      </c>
      <c r="DS122" s="16" t="n">
        <v>0</v>
      </c>
      <c r="DT122" s="16" t="n">
        <v>0</v>
      </c>
      <c r="DU122" s="16" t="n">
        <v>0</v>
      </c>
      <c r="DV122" s="16" t="n">
        <v>0</v>
      </c>
      <c r="DW122" s="16" t="n">
        <v>0</v>
      </c>
      <c r="DX122" s="16" t="n">
        <v>0</v>
      </c>
      <c r="DY122" s="16" t="n">
        <v>0</v>
      </c>
      <c r="DZ122" s="16" t="n">
        <v>0</v>
      </c>
      <c r="EA122" s="16" t="n">
        <v>0</v>
      </c>
      <c r="EB122" s="16" t="n">
        <v>0</v>
      </c>
      <c r="EC122" s="16" t="n">
        <v>0</v>
      </c>
      <c r="ED122" s="16" t="n">
        <v>0</v>
      </c>
      <c r="EE122" s="16" t="n">
        <v>0</v>
      </c>
      <c r="EF122" s="16" t="n">
        <v>0</v>
      </c>
    </row>
    <row r="123" customFormat="false" ht="15" hidden="false" customHeight="true" outlineLevel="0" collapsed="false">
      <c r="A123" s="9" t="s">
        <v>12</v>
      </c>
      <c r="B123" s="9" t="s">
        <v>36</v>
      </c>
      <c r="C123" s="9" t="s">
        <v>36</v>
      </c>
      <c r="D123" s="9" t="s">
        <v>336</v>
      </c>
      <c r="E123" s="9" t="s">
        <v>10</v>
      </c>
      <c r="F123" s="9" t="s">
        <v>88</v>
      </c>
      <c r="G123" s="16" t="n">
        <v>0</v>
      </c>
      <c r="H123" s="16" t="n">
        <v>18</v>
      </c>
      <c r="I123" s="16" t="n">
        <v>0</v>
      </c>
      <c r="J123" s="16" t="n">
        <v>18</v>
      </c>
      <c r="K123" s="16" t="n">
        <v>0</v>
      </c>
      <c r="L123" s="16" t="n">
        <v>0</v>
      </c>
      <c r="M123" s="16" t="n">
        <v>0</v>
      </c>
      <c r="N123" s="16" t="n">
        <v>0</v>
      </c>
      <c r="O123" s="16" t="n">
        <v>0</v>
      </c>
      <c r="P123" s="16" t="n">
        <v>0</v>
      </c>
      <c r="Q123" s="16" t="n">
        <v>0</v>
      </c>
      <c r="R123" s="16" t="n">
        <v>0</v>
      </c>
      <c r="S123" s="16" t="n">
        <v>0</v>
      </c>
      <c r="T123" s="16" t="n">
        <v>0</v>
      </c>
      <c r="U123" s="16" t="n">
        <v>0</v>
      </c>
      <c r="V123" s="16" t="n">
        <v>0</v>
      </c>
      <c r="W123" s="16" t="n">
        <v>0</v>
      </c>
      <c r="X123" s="16" t="n">
        <v>0</v>
      </c>
      <c r="Y123" s="16" t="n">
        <v>0</v>
      </c>
      <c r="Z123" s="16" t="n">
        <v>0</v>
      </c>
      <c r="AA123" s="16" t="n">
        <v>0</v>
      </c>
      <c r="AB123" s="16" t="n">
        <v>0</v>
      </c>
      <c r="AC123" s="16" t="n">
        <v>0</v>
      </c>
      <c r="AD123" s="16" t="n">
        <v>0</v>
      </c>
      <c r="AE123" s="16" t="n">
        <v>0</v>
      </c>
      <c r="AF123" s="16" t="n">
        <v>0</v>
      </c>
      <c r="AG123" s="16" t="n">
        <v>0</v>
      </c>
      <c r="AH123" s="16" t="n">
        <v>0</v>
      </c>
      <c r="AI123" s="16" t="n">
        <v>0</v>
      </c>
      <c r="AJ123" s="16" t="n">
        <v>0</v>
      </c>
      <c r="AK123" s="16" t="n">
        <v>0</v>
      </c>
      <c r="AL123" s="16" t="n">
        <v>0</v>
      </c>
      <c r="AM123" s="16" t="n">
        <v>0</v>
      </c>
      <c r="AN123" s="16" t="n">
        <v>0</v>
      </c>
      <c r="AO123" s="16" t="n">
        <v>0</v>
      </c>
      <c r="AP123" s="16" t="n">
        <v>0</v>
      </c>
      <c r="AQ123" s="16" t="n">
        <v>0</v>
      </c>
      <c r="AR123" s="16" t="n">
        <v>0</v>
      </c>
      <c r="AS123" s="16" t="n">
        <v>0</v>
      </c>
      <c r="AT123" s="16" t="n">
        <v>0</v>
      </c>
      <c r="AU123" s="16" t="n">
        <v>0</v>
      </c>
      <c r="AV123" s="16" t="n">
        <v>0</v>
      </c>
      <c r="AW123" s="16" t="n">
        <v>0</v>
      </c>
      <c r="AX123" s="16" t="n">
        <v>0</v>
      </c>
      <c r="AY123" s="16" t="n">
        <v>0</v>
      </c>
      <c r="AZ123" s="16" t="n">
        <v>0</v>
      </c>
      <c r="BA123" s="16" t="n">
        <v>0</v>
      </c>
      <c r="BB123" s="16" t="n">
        <v>0</v>
      </c>
      <c r="BC123" s="16" t="n">
        <v>0</v>
      </c>
      <c r="BD123" s="16" t="n">
        <v>0</v>
      </c>
      <c r="BE123" s="16" t="n">
        <v>0</v>
      </c>
      <c r="BF123" s="16" t="n">
        <v>0</v>
      </c>
      <c r="BG123" s="16" t="n">
        <v>0</v>
      </c>
      <c r="BH123" s="16" t="n">
        <v>0</v>
      </c>
      <c r="BI123" s="16" t="n">
        <v>0</v>
      </c>
      <c r="BJ123" s="16" t="n">
        <v>0</v>
      </c>
      <c r="BK123" s="16" t="n">
        <v>0</v>
      </c>
      <c r="BL123" s="16" t="n">
        <v>0</v>
      </c>
      <c r="BM123" s="16" t="n">
        <v>0</v>
      </c>
      <c r="BN123" s="16" t="n">
        <v>0</v>
      </c>
      <c r="BO123" s="16" t="n">
        <v>0</v>
      </c>
      <c r="BP123" s="16" t="n">
        <v>0</v>
      </c>
      <c r="BQ123" s="16" t="n">
        <v>0</v>
      </c>
      <c r="BR123" s="16" t="n">
        <v>0</v>
      </c>
      <c r="BS123" s="16" t="n">
        <v>0</v>
      </c>
      <c r="BT123" s="16" t="n">
        <v>0</v>
      </c>
      <c r="BU123" s="16" t="n">
        <v>0</v>
      </c>
      <c r="BV123" s="16" t="n">
        <v>0</v>
      </c>
      <c r="BW123" s="16" t="n">
        <v>0</v>
      </c>
      <c r="BX123" s="16" t="n">
        <v>0</v>
      </c>
      <c r="BY123" s="16" t="n">
        <v>0</v>
      </c>
      <c r="BZ123" s="16" t="n">
        <v>0</v>
      </c>
      <c r="CA123" s="16" t="n">
        <v>0</v>
      </c>
      <c r="CB123" s="16" t="n">
        <v>0</v>
      </c>
      <c r="CC123" s="16" t="n">
        <v>0</v>
      </c>
      <c r="CD123" s="16" t="n">
        <v>0</v>
      </c>
      <c r="CE123" s="16" t="n">
        <v>0</v>
      </c>
      <c r="CF123" s="16" t="n">
        <v>0</v>
      </c>
      <c r="CG123" s="16" t="n">
        <v>0</v>
      </c>
      <c r="CH123" s="16" t="n">
        <v>0</v>
      </c>
      <c r="CI123" s="16" t="n">
        <v>0</v>
      </c>
      <c r="CJ123" s="16" t="n">
        <v>0</v>
      </c>
      <c r="CK123" s="16" t="n">
        <v>0</v>
      </c>
      <c r="CL123" s="16" t="n">
        <v>0</v>
      </c>
      <c r="CM123" s="16" t="n">
        <v>0</v>
      </c>
      <c r="CN123" s="16" t="n">
        <v>0</v>
      </c>
      <c r="CO123" s="16" t="n">
        <v>0</v>
      </c>
      <c r="CP123" s="16" t="n">
        <v>0</v>
      </c>
      <c r="CQ123" s="16" t="n">
        <v>0</v>
      </c>
      <c r="CR123" s="16" t="n">
        <v>0</v>
      </c>
      <c r="CS123" s="16" t="n">
        <v>0</v>
      </c>
      <c r="CT123" s="16" t="n">
        <v>0</v>
      </c>
      <c r="CU123" s="16" t="n">
        <v>0</v>
      </c>
      <c r="CV123" s="16" t="n">
        <v>0</v>
      </c>
      <c r="CW123" s="16" t="n">
        <v>0</v>
      </c>
      <c r="CX123" s="16" t="n">
        <v>0</v>
      </c>
      <c r="CY123" s="16" t="n">
        <v>0</v>
      </c>
      <c r="CZ123" s="16" t="n">
        <v>0</v>
      </c>
      <c r="DA123" s="16" t="n">
        <v>0</v>
      </c>
      <c r="DB123" s="16" t="n">
        <v>0</v>
      </c>
      <c r="DC123" s="16" t="n">
        <v>0</v>
      </c>
      <c r="DD123" s="16" t="n">
        <v>0</v>
      </c>
      <c r="DE123" s="16" t="n">
        <v>0</v>
      </c>
      <c r="DF123" s="16" t="n">
        <v>0</v>
      </c>
      <c r="DG123" s="16" t="n">
        <v>0</v>
      </c>
      <c r="DH123" s="16" t="n">
        <v>0</v>
      </c>
      <c r="DI123" s="16" t="n">
        <v>0</v>
      </c>
      <c r="DJ123" s="16" t="n">
        <v>0</v>
      </c>
      <c r="DK123" s="16" t="n">
        <v>0</v>
      </c>
      <c r="DL123" s="16" t="n">
        <v>0</v>
      </c>
      <c r="DM123" s="16" t="n">
        <v>0</v>
      </c>
      <c r="DN123" s="16" t="n">
        <v>0</v>
      </c>
      <c r="DO123" s="16" t="n">
        <v>0</v>
      </c>
      <c r="DP123" s="16" t="n">
        <v>0</v>
      </c>
      <c r="DQ123" s="16" t="n">
        <v>0</v>
      </c>
      <c r="DR123" s="16" t="n">
        <v>0</v>
      </c>
      <c r="DS123" s="16" t="n">
        <v>0</v>
      </c>
      <c r="DT123" s="16" t="n">
        <v>0</v>
      </c>
      <c r="DU123" s="16" t="n">
        <v>0</v>
      </c>
      <c r="DV123" s="16" t="n">
        <v>0</v>
      </c>
      <c r="DW123" s="16" t="n">
        <v>0</v>
      </c>
      <c r="DX123" s="16" t="n">
        <v>0</v>
      </c>
      <c r="DY123" s="16" t="n">
        <v>0</v>
      </c>
      <c r="DZ123" s="16" t="n">
        <v>0</v>
      </c>
      <c r="EA123" s="16" t="n">
        <v>0</v>
      </c>
      <c r="EB123" s="16" t="n">
        <v>0</v>
      </c>
      <c r="EC123" s="16" t="n">
        <v>0</v>
      </c>
      <c r="ED123" s="16" t="n">
        <v>0</v>
      </c>
      <c r="EE123" s="16" t="n">
        <v>0</v>
      </c>
      <c r="EF123" s="16" t="n">
        <v>0</v>
      </c>
    </row>
    <row r="124" customFormat="false" ht="15" hidden="false" customHeight="true" outlineLevel="0" collapsed="false">
      <c r="A124" s="9" t="s">
        <v>12</v>
      </c>
      <c r="B124" s="9" t="s">
        <v>36</v>
      </c>
      <c r="C124" s="9" t="s">
        <v>36</v>
      </c>
      <c r="D124" s="9" t="s">
        <v>337</v>
      </c>
      <c r="E124" s="9" t="s">
        <v>10</v>
      </c>
      <c r="F124" s="9" t="s">
        <v>105</v>
      </c>
      <c r="G124" s="16" t="n">
        <v>0</v>
      </c>
      <c r="H124" s="16" t="n">
        <v>0</v>
      </c>
      <c r="I124" s="16" t="n">
        <v>6</v>
      </c>
      <c r="J124" s="16" t="n">
        <v>-6</v>
      </c>
      <c r="K124" s="16" t="n">
        <v>0</v>
      </c>
      <c r="L124" s="16" t="n">
        <v>0</v>
      </c>
      <c r="M124" s="16" t="n">
        <v>0</v>
      </c>
      <c r="N124" s="16" t="n">
        <v>0</v>
      </c>
      <c r="O124" s="16" t="n">
        <v>0</v>
      </c>
      <c r="P124" s="16" t="n">
        <v>0</v>
      </c>
      <c r="Q124" s="16" t="n">
        <v>0</v>
      </c>
      <c r="R124" s="16" t="n">
        <v>0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0</v>
      </c>
      <c r="X124" s="16" t="n">
        <v>0</v>
      </c>
      <c r="Y124" s="16" t="n">
        <v>0</v>
      </c>
      <c r="Z124" s="16" t="n">
        <v>0</v>
      </c>
      <c r="AA124" s="16" t="n">
        <v>0</v>
      </c>
      <c r="AB124" s="16" t="n">
        <v>0</v>
      </c>
      <c r="AC124" s="16" t="n">
        <v>0</v>
      </c>
      <c r="AD124" s="16" t="n">
        <v>0</v>
      </c>
      <c r="AE124" s="16" t="n">
        <v>0</v>
      </c>
      <c r="AF124" s="16" t="n">
        <v>0</v>
      </c>
      <c r="AG124" s="16" t="n">
        <v>0</v>
      </c>
      <c r="AH124" s="16" t="n">
        <v>0</v>
      </c>
      <c r="AI124" s="16" t="n">
        <v>0</v>
      </c>
      <c r="AJ124" s="16" t="n">
        <v>0</v>
      </c>
      <c r="AK124" s="16" t="n">
        <v>4.5</v>
      </c>
      <c r="AL124" s="16" t="n">
        <v>1.5</v>
      </c>
      <c r="AM124" s="16" t="n">
        <v>0</v>
      </c>
      <c r="AN124" s="16" t="n">
        <v>0</v>
      </c>
      <c r="AO124" s="16" t="n">
        <v>0</v>
      </c>
      <c r="AP124" s="16" t="n">
        <v>0</v>
      </c>
      <c r="AQ124" s="16" t="n">
        <v>0</v>
      </c>
      <c r="AR124" s="16" t="n">
        <v>0</v>
      </c>
      <c r="AS124" s="16" t="n">
        <v>0</v>
      </c>
      <c r="AT124" s="16" t="n">
        <v>0</v>
      </c>
      <c r="AU124" s="16" t="n">
        <v>0</v>
      </c>
      <c r="AV124" s="16" t="n">
        <v>0</v>
      </c>
      <c r="AW124" s="16" t="n">
        <v>0</v>
      </c>
      <c r="AX124" s="16" t="n">
        <v>0</v>
      </c>
      <c r="AY124" s="16" t="n">
        <v>0</v>
      </c>
      <c r="AZ124" s="16" t="n">
        <v>0</v>
      </c>
      <c r="BA124" s="16" t="n">
        <v>0</v>
      </c>
      <c r="BB124" s="16" t="n">
        <v>0</v>
      </c>
      <c r="BC124" s="16" t="n">
        <v>0</v>
      </c>
      <c r="BD124" s="16" t="n">
        <v>0</v>
      </c>
      <c r="BE124" s="16" t="n">
        <v>0</v>
      </c>
      <c r="BF124" s="16" t="n">
        <v>0</v>
      </c>
      <c r="BG124" s="16" t="n">
        <v>0</v>
      </c>
      <c r="BH124" s="16" t="n">
        <v>0</v>
      </c>
      <c r="BI124" s="16" t="n">
        <v>0</v>
      </c>
      <c r="BJ124" s="16" t="n">
        <v>0</v>
      </c>
      <c r="BK124" s="16" t="n">
        <v>0</v>
      </c>
      <c r="BL124" s="16" t="n">
        <v>0</v>
      </c>
      <c r="BM124" s="16" t="n">
        <v>0</v>
      </c>
      <c r="BN124" s="16" t="n">
        <v>0</v>
      </c>
      <c r="BO124" s="16" t="n">
        <v>0</v>
      </c>
      <c r="BP124" s="16" t="n">
        <v>0</v>
      </c>
      <c r="BQ124" s="16" t="n">
        <v>0</v>
      </c>
      <c r="BR124" s="16" t="n">
        <v>0</v>
      </c>
      <c r="BS124" s="16" t="n">
        <v>0</v>
      </c>
      <c r="BT124" s="16" t="n">
        <v>0</v>
      </c>
      <c r="BU124" s="16" t="n">
        <v>0</v>
      </c>
      <c r="BV124" s="16" t="n">
        <v>0</v>
      </c>
      <c r="BW124" s="16" t="n">
        <v>0</v>
      </c>
      <c r="BX124" s="16" t="n">
        <v>0</v>
      </c>
      <c r="BY124" s="16" t="n">
        <v>0</v>
      </c>
      <c r="BZ124" s="16" t="n">
        <v>0</v>
      </c>
      <c r="CA124" s="16" t="n">
        <v>0</v>
      </c>
      <c r="CB124" s="16" t="n">
        <v>0</v>
      </c>
      <c r="CC124" s="16" t="n">
        <v>0</v>
      </c>
      <c r="CD124" s="16" t="n">
        <v>0</v>
      </c>
      <c r="CE124" s="16" t="n">
        <v>0</v>
      </c>
      <c r="CF124" s="16" t="n">
        <v>0</v>
      </c>
      <c r="CG124" s="16" t="n">
        <v>0</v>
      </c>
      <c r="CH124" s="16" t="n">
        <v>0</v>
      </c>
      <c r="CI124" s="16" t="n">
        <v>0</v>
      </c>
      <c r="CJ124" s="16" t="n">
        <v>0</v>
      </c>
      <c r="CK124" s="16" t="n">
        <v>0</v>
      </c>
      <c r="CL124" s="16" t="n">
        <v>0</v>
      </c>
      <c r="CM124" s="16" t="n">
        <v>0</v>
      </c>
      <c r="CN124" s="16" t="n">
        <v>0</v>
      </c>
      <c r="CO124" s="16" t="n">
        <v>0</v>
      </c>
      <c r="CP124" s="16" t="n">
        <v>0</v>
      </c>
      <c r="CQ124" s="16" t="n">
        <v>0</v>
      </c>
      <c r="CR124" s="16" t="n">
        <v>0</v>
      </c>
      <c r="CS124" s="16" t="n">
        <v>0</v>
      </c>
      <c r="CT124" s="16" t="n">
        <v>0</v>
      </c>
      <c r="CU124" s="16" t="n">
        <v>0</v>
      </c>
      <c r="CV124" s="16" t="n">
        <v>0</v>
      </c>
      <c r="CW124" s="16" t="n">
        <v>0</v>
      </c>
      <c r="CX124" s="16" t="n">
        <v>0</v>
      </c>
      <c r="CY124" s="16" t="n">
        <v>0</v>
      </c>
      <c r="CZ124" s="16" t="n">
        <v>0</v>
      </c>
      <c r="DA124" s="16" t="n">
        <v>0</v>
      </c>
      <c r="DB124" s="16" t="n">
        <v>0</v>
      </c>
      <c r="DC124" s="16" t="n">
        <v>0</v>
      </c>
      <c r="DD124" s="16" t="n">
        <v>0</v>
      </c>
      <c r="DE124" s="16" t="n">
        <v>0</v>
      </c>
      <c r="DF124" s="16" t="n">
        <v>0</v>
      </c>
      <c r="DG124" s="16" t="n">
        <v>0</v>
      </c>
      <c r="DH124" s="16" t="n">
        <v>0</v>
      </c>
      <c r="DI124" s="16" t="n">
        <v>0</v>
      </c>
      <c r="DJ124" s="16" t="n">
        <v>0</v>
      </c>
      <c r="DK124" s="16" t="n">
        <v>0</v>
      </c>
      <c r="DL124" s="16" t="n">
        <v>0</v>
      </c>
      <c r="DM124" s="16" t="n">
        <v>0</v>
      </c>
      <c r="DN124" s="16" t="n">
        <v>0</v>
      </c>
      <c r="DO124" s="16" t="n">
        <v>0</v>
      </c>
      <c r="DP124" s="16" t="n">
        <v>0</v>
      </c>
      <c r="DQ124" s="16" t="n">
        <v>0</v>
      </c>
      <c r="DR124" s="16" t="n">
        <v>0</v>
      </c>
      <c r="DS124" s="16" t="n">
        <v>0</v>
      </c>
      <c r="DT124" s="16" t="n">
        <v>0</v>
      </c>
      <c r="DU124" s="16" t="n">
        <v>0</v>
      </c>
      <c r="DV124" s="16" t="n">
        <v>0</v>
      </c>
      <c r="DW124" s="16" t="n">
        <v>0</v>
      </c>
      <c r="DX124" s="16" t="n">
        <v>0</v>
      </c>
      <c r="DY124" s="16" t="n">
        <v>0</v>
      </c>
      <c r="DZ124" s="16" t="n">
        <v>0</v>
      </c>
      <c r="EA124" s="16" t="n">
        <v>0</v>
      </c>
      <c r="EB124" s="16" t="n">
        <v>0</v>
      </c>
      <c r="EC124" s="16" t="n">
        <v>0</v>
      </c>
      <c r="ED124" s="16" t="n">
        <v>0</v>
      </c>
      <c r="EE124" s="16" t="n">
        <v>0</v>
      </c>
      <c r="EF124" s="16" t="n">
        <v>0</v>
      </c>
    </row>
    <row r="125" customFormat="false" ht="15" hidden="false" customHeight="true" outlineLevel="0" collapsed="false">
      <c r="A125" s="9" t="s">
        <v>12</v>
      </c>
      <c r="B125" s="9" t="s">
        <v>36</v>
      </c>
      <c r="C125" s="9" t="s">
        <v>36</v>
      </c>
      <c r="D125" s="9" t="s">
        <v>336</v>
      </c>
      <c r="E125" s="9" t="s">
        <v>10</v>
      </c>
      <c r="F125" s="9" t="s">
        <v>105</v>
      </c>
      <c r="G125" s="16" t="n">
        <v>0.5</v>
      </c>
      <c r="H125" s="16" t="n">
        <v>0.5</v>
      </c>
      <c r="I125" s="16" t="n">
        <v>0.5</v>
      </c>
      <c r="J125" s="16" t="n">
        <v>0</v>
      </c>
      <c r="K125" s="16" t="n">
        <v>0</v>
      </c>
      <c r="L125" s="16" t="n">
        <v>0</v>
      </c>
      <c r="M125" s="16" t="n">
        <v>0</v>
      </c>
      <c r="N125" s="16" t="n">
        <v>0</v>
      </c>
      <c r="O125" s="16" t="n">
        <v>0</v>
      </c>
      <c r="P125" s="16" t="n">
        <v>0</v>
      </c>
      <c r="Q125" s="16" t="n">
        <v>0</v>
      </c>
      <c r="R125" s="16" t="n">
        <v>0</v>
      </c>
      <c r="S125" s="16" t="n">
        <v>0</v>
      </c>
      <c r="T125" s="16" t="n">
        <v>0</v>
      </c>
      <c r="U125" s="16" t="n">
        <v>0</v>
      </c>
      <c r="V125" s="16" t="n">
        <v>0</v>
      </c>
      <c r="W125" s="16" t="n">
        <v>0</v>
      </c>
      <c r="X125" s="16" t="n">
        <v>0</v>
      </c>
      <c r="Y125" s="16" t="n">
        <v>0</v>
      </c>
      <c r="Z125" s="16" t="n">
        <v>0</v>
      </c>
      <c r="AA125" s="16" t="n">
        <v>0</v>
      </c>
      <c r="AB125" s="16" t="n">
        <v>0</v>
      </c>
      <c r="AC125" s="16" t="n">
        <v>0</v>
      </c>
      <c r="AD125" s="16" t="n">
        <v>0.5</v>
      </c>
      <c r="AE125" s="16" t="n">
        <v>0</v>
      </c>
      <c r="AF125" s="16" t="n">
        <v>0</v>
      </c>
      <c r="AG125" s="16" t="n">
        <v>0</v>
      </c>
      <c r="AH125" s="16" t="n">
        <v>0</v>
      </c>
      <c r="AI125" s="16" t="n">
        <v>0</v>
      </c>
      <c r="AJ125" s="16" t="n">
        <v>0</v>
      </c>
      <c r="AK125" s="16" t="n">
        <v>0</v>
      </c>
      <c r="AL125" s="16" t="n">
        <v>0</v>
      </c>
      <c r="AM125" s="16" t="n">
        <v>0</v>
      </c>
      <c r="AN125" s="16" t="n">
        <v>0</v>
      </c>
      <c r="AO125" s="16" t="n">
        <v>0</v>
      </c>
      <c r="AP125" s="16" t="n">
        <v>0</v>
      </c>
      <c r="AQ125" s="16" t="n">
        <v>0</v>
      </c>
      <c r="AR125" s="16" t="n">
        <v>0</v>
      </c>
      <c r="AS125" s="16" t="n">
        <v>0</v>
      </c>
      <c r="AT125" s="16" t="n">
        <v>0</v>
      </c>
      <c r="AU125" s="16" t="n">
        <v>0</v>
      </c>
      <c r="AV125" s="16" t="n">
        <v>0</v>
      </c>
      <c r="AW125" s="16" t="n">
        <v>0</v>
      </c>
      <c r="AX125" s="16" t="n">
        <v>0</v>
      </c>
      <c r="AY125" s="16" t="n">
        <v>0</v>
      </c>
      <c r="AZ125" s="16" t="n">
        <v>0</v>
      </c>
      <c r="BA125" s="16" t="n">
        <v>0</v>
      </c>
      <c r="BB125" s="16" t="n">
        <v>0</v>
      </c>
      <c r="BC125" s="16" t="n">
        <v>0</v>
      </c>
      <c r="BD125" s="16" t="n">
        <v>0</v>
      </c>
      <c r="BE125" s="16" t="n">
        <v>0</v>
      </c>
      <c r="BF125" s="16" t="n">
        <v>0</v>
      </c>
      <c r="BG125" s="16" t="n">
        <v>0</v>
      </c>
      <c r="BH125" s="16" t="n">
        <v>0</v>
      </c>
      <c r="BI125" s="16" t="n">
        <v>0</v>
      </c>
      <c r="BJ125" s="16" t="n">
        <v>0</v>
      </c>
      <c r="BK125" s="16" t="n">
        <v>0</v>
      </c>
      <c r="BL125" s="16" t="n">
        <v>0</v>
      </c>
      <c r="BM125" s="16" t="n">
        <v>0</v>
      </c>
      <c r="BN125" s="16" t="n">
        <v>0</v>
      </c>
      <c r="BO125" s="16" t="n">
        <v>0</v>
      </c>
      <c r="BP125" s="16" t="n">
        <v>0</v>
      </c>
      <c r="BQ125" s="16" t="n">
        <v>0</v>
      </c>
      <c r="BR125" s="16" t="n">
        <v>0</v>
      </c>
      <c r="BS125" s="16" t="n">
        <v>0</v>
      </c>
      <c r="BT125" s="16" t="n">
        <v>0</v>
      </c>
      <c r="BU125" s="16" t="n">
        <v>0</v>
      </c>
      <c r="BV125" s="16" t="n">
        <v>0</v>
      </c>
      <c r="BW125" s="16" t="n">
        <v>0</v>
      </c>
      <c r="BX125" s="16" t="n">
        <v>0</v>
      </c>
      <c r="BY125" s="16" t="n">
        <v>0</v>
      </c>
      <c r="BZ125" s="16" t="n">
        <v>0</v>
      </c>
      <c r="CA125" s="16" t="n">
        <v>0</v>
      </c>
      <c r="CB125" s="16" t="n">
        <v>0</v>
      </c>
      <c r="CC125" s="16" t="n">
        <v>0</v>
      </c>
      <c r="CD125" s="16" t="n">
        <v>0</v>
      </c>
      <c r="CE125" s="16" t="n">
        <v>0</v>
      </c>
      <c r="CF125" s="16" t="n">
        <v>0</v>
      </c>
      <c r="CG125" s="16" t="n">
        <v>0</v>
      </c>
      <c r="CH125" s="16" t="n">
        <v>0</v>
      </c>
      <c r="CI125" s="16" t="n">
        <v>0</v>
      </c>
      <c r="CJ125" s="16" t="n">
        <v>0</v>
      </c>
      <c r="CK125" s="16" t="n">
        <v>0</v>
      </c>
      <c r="CL125" s="16" t="n">
        <v>0</v>
      </c>
      <c r="CM125" s="16" t="n">
        <v>0</v>
      </c>
      <c r="CN125" s="16" t="n">
        <v>0</v>
      </c>
      <c r="CO125" s="16" t="n">
        <v>0</v>
      </c>
      <c r="CP125" s="16" t="n">
        <v>0</v>
      </c>
      <c r="CQ125" s="16" t="n">
        <v>0</v>
      </c>
      <c r="CR125" s="16" t="n">
        <v>0</v>
      </c>
      <c r="CS125" s="16" t="n">
        <v>0</v>
      </c>
      <c r="CT125" s="16" t="n">
        <v>0</v>
      </c>
      <c r="CU125" s="16" t="n">
        <v>0</v>
      </c>
      <c r="CV125" s="16" t="n">
        <v>0</v>
      </c>
      <c r="CW125" s="16" t="n">
        <v>0</v>
      </c>
      <c r="CX125" s="16" t="n">
        <v>0</v>
      </c>
      <c r="CY125" s="16" t="n">
        <v>0</v>
      </c>
      <c r="CZ125" s="16" t="n">
        <v>0</v>
      </c>
      <c r="DA125" s="16" t="n">
        <v>0</v>
      </c>
      <c r="DB125" s="16" t="n">
        <v>0</v>
      </c>
      <c r="DC125" s="16" t="n">
        <v>0</v>
      </c>
      <c r="DD125" s="16" t="n">
        <v>0</v>
      </c>
      <c r="DE125" s="16" t="n">
        <v>0</v>
      </c>
      <c r="DF125" s="16" t="n">
        <v>0</v>
      </c>
      <c r="DG125" s="16" t="n">
        <v>0</v>
      </c>
      <c r="DH125" s="16" t="n">
        <v>0</v>
      </c>
      <c r="DI125" s="16" t="n">
        <v>0</v>
      </c>
      <c r="DJ125" s="16" t="n">
        <v>0</v>
      </c>
      <c r="DK125" s="16" t="n">
        <v>0</v>
      </c>
      <c r="DL125" s="16" t="n">
        <v>0</v>
      </c>
      <c r="DM125" s="16" t="n">
        <v>0</v>
      </c>
      <c r="DN125" s="16" t="n">
        <v>0</v>
      </c>
      <c r="DO125" s="16" t="n">
        <v>0</v>
      </c>
      <c r="DP125" s="16" t="n">
        <v>0</v>
      </c>
      <c r="DQ125" s="16" t="n">
        <v>0</v>
      </c>
      <c r="DR125" s="16" t="n">
        <v>0</v>
      </c>
      <c r="DS125" s="16" t="n">
        <v>0</v>
      </c>
      <c r="DT125" s="16" t="n">
        <v>0</v>
      </c>
      <c r="DU125" s="16" t="n">
        <v>0</v>
      </c>
      <c r="DV125" s="16" t="n">
        <v>0</v>
      </c>
      <c r="DW125" s="16" t="n">
        <v>0</v>
      </c>
      <c r="DX125" s="16" t="n">
        <v>0</v>
      </c>
      <c r="DY125" s="16" t="n">
        <v>0</v>
      </c>
      <c r="DZ125" s="16" t="n">
        <v>0</v>
      </c>
      <c r="EA125" s="16" t="n">
        <v>0</v>
      </c>
      <c r="EB125" s="16" t="n">
        <v>0</v>
      </c>
      <c r="EC125" s="16" t="n">
        <v>0</v>
      </c>
      <c r="ED125" s="16" t="n">
        <v>0</v>
      </c>
      <c r="EE125" s="16" t="n">
        <v>0</v>
      </c>
      <c r="EF125" s="16" t="n">
        <v>0</v>
      </c>
    </row>
    <row r="126" customFormat="false" ht="15" hidden="false" customHeight="true" outlineLevel="0" collapsed="false">
      <c r="A126" s="9" t="s">
        <v>12</v>
      </c>
      <c r="B126" s="9" t="s">
        <v>22</v>
      </c>
      <c r="C126" s="9" t="s">
        <v>22</v>
      </c>
      <c r="D126" s="9" t="s">
        <v>337</v>
      </c>
      <c r="E126" s="9" t="s">
        <v>10</v>
      </c>
      <c r="F126" s="9" t="s">
        <v>113</v>
      </c>
      <c r="G126" s="16" t="n">
        <v>0</v>
      </c>
      <c r="H126" s="16" t="n">
        <v>0</v>
      </c>
      <c r="I126" s="16" t="n">
        <v>70</v>
      </c>
      <c r="J126" s="16" t="n">
        <v>-70</v>
      </c>
      <c r="K126" s="16" t="n">
        <v>0</v>
      </c>
      <c r="L126" s="16" t="n">
        <v>0</v>
      </c>
      <c r="M126" s="16" t="n">
        <v>0</v>
      </c>
      <c r="N126" s="16" t="n">
        <v>0</v>
      </c>
      <c r="O126" s="16" t="n">
        <v>0</v>
      </c>
      <c r="P126" s="16" t="n">
        <v>0</v>
      </c>
      <c r="Q126" s="16" t="n">
        <v>0</v>
      </c>
      <c r="R126" s="16" t="n">
        <v>0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0</v>
      </c>
      <c r="X126" s="16" t="n">
        <v>0</v>
      </c>
      <c r="Y126" s="16" t="n">
        <v>0</v>
      </c>
      <c r="Z126" s="16" t="n">
        <v>0</v>
      </c>
      <c r="AA126" s="16" t="n">
        <v>0</v>
      </c>
      <c r="AB126" s="16" t="n">
        <v>0</v>
      </c>
      <c r="AC126" s="16" t="n">
        <v>0</v>
      </c>
      <c r="AD126" s="16" t="n">
        <v>0</v>
      </c>
      <c r="AE126" s="16" t="n">
        <v>0</v>
      </c>
      <c r="AF126" s="16" t="n">
        <v>0</v>
      </c>
      <c r="AG126" s="16" t="n">
        <v>0</v>
      </c>
      <c r="AH126" s="16" t="n">
        <v>0</v>
      </c>
      <c r="AI126" s="16" t="n">
        <v>0</v>
      </c>
      <c r="AJ126" s="16" t="n">
        <v>0</v>
      </c>
      <c r="AK126" s="16" t="n">
        <v>0</v>
      </c>
      <c r="AL126" s="16" t="n">
        <v>0</v>
      </c>
      <c r="AM126" s="16" t="n">
        <v>0</v>
      </c>
      <c r="AN126" s="16" t="n">
        <v>0</v>
      </c>
      <c r="AO126" s="16" t="n">
        <v>0</v>
      </c>
      <c r="AP126" s="16" t="n">
        <v>0</v>
      </c>
      <c r="AQ126" s="16" t="n">
        <v>0</v>
      </c>
      <c r="AR126" s="16" t="n">
        <v>0</v>
      </c>
      <c r="AS126" s="16" t="n">
        <v>0</v>
      </c>
      <c r="AT126" s="16" t="n">
        <v>0</v>
      </c>
      <c r="AU126" s="16" t="n">
        <v>0</v>
      </c>
      <c r="AV126" s="16" t="n">
        <v>0</v>
      </c>
      <c r="AW126" s="16" t="n">
        <v>0</v>
      </c>
      <c r="AX126" s="16" t="n">
        <v>0</v>
      </c>
      <c r="AY126" s="16" t="n">
        <v>0</v>
      </c>
      <c r="AZ126" s="16" t="n">
        <v>0</v>
      </c>
      <c r="BA126" s="16" t="n">
        <v>0</v>
      </c>
      <c r="BB126" s="16" t="n">
        <v>0</v>
      </c>
      <c r="BC126" s="16" t="n">
        <v>0</v>
      </c>
      <c r="BD126" s="16" t="n">
        <v>0</v>
      </c>
      <c r="BE126" s="16" t="n">
        <v>0</v>
      </c>
      <c r="BF126" s="16" t="n">
        <v>0</v>
      </c>
      <c r="BG126" s="16" t="n">
        <v>0</v>
      </c>
      <c r="BH126" s="16" t="n">
        <v>0</v>
      </c>
      <c r="BI126" s="16" t="n">
        <v>0</v>
      </c>
      <c r="BJ126" s="16" t="n">
        <v>0</v>
      </c>
      <c r="BK126" s="16" t="n">
        <v>0</v>
      </c>
      <c r="BL126" s="16" t="n">
        <v>0</v>
      </c>
      <c r="BM126" s="16" t="n">
        <v>0</v>
      </c>
      <c r="BN126" s="16" t="n">
        <v>0</v>
      </c>
      <c r="BO126" s="16" t="n">
        <v>0</v>
      </c>
      <c r="BP126" s="16" t="n">
        <v>0</v>
      </c>
      <c r="BQ126" s="16" t="n">
        <v>0</v>
      </c>
      <c r="BR126" s="16" t="n">
        <v>0</v>
      </c>
      <c r="BS126" s="16" t="n">
        <v>0</v>
      </c>
      <c r="BT126" s="16" t="n">
        <v>0</v>
      </c>
      <c r="BU126" s="16" t="n">
        <v>0</v>
      </c>
      <c r="BV126" s="16" t="n">
        <v>0</v>
      </c>
      <c r="BW126" s="16" t="n">
        <v>0</v>
      </c>
      <c r="BX126" s="16" t="n">
        <v>0</v>
      </c>
      <c r="BY126" s="16" t="n">
        <v>0</v>
      </c>
      <c r="BZ126" s="16" t="n">
        <v>0</v>
      </c>
      <c r="CA126" s="16" t="n">
        <v>0</v>
      </c>
      <c r="CB126" s="16" t="n">
        <v>0</v>
      </c>
      <c r="CC126" s="16" t="n">
        <v>0</v>
      </c>
      <c r="CD126" s="16" t="n">
        <v>0</v>
      </c>
      <c r="CE126" s="16" t="n">
        <v>0</v>
      </c>
      <c r="CF126" s="16" t="n">
        <v>0</v>
      </c>
      <c r="CG126" s="16" t="n">
        <v>0</v>
      </c>
      <c r="CH126" s="16" t="n">
        <v>0</v>
      </c>
      <c r="CI126" s="16" t="n">
        <v>0</v>
      </c>
      <c r="CJ126" s="16" t="n">
        <v>0</v>
      </c>
      <c r="CK126" s="16" t="n">
        <v>0</v>
      </c>
      <c r="CL126" s="16" t="n">
        <v>0</v>
      </c>
      <c r="CM126" s="16" t="n">
        <v>0</v>
      </c>
      <c r="CN126" s="16" t="n">
        <v>0</v>
      </c>
      <c r="CO126" s="16" t="n">
        <v>0</v>
      </c>
      <c r="CP126" s="16" t="n">
        <v>0</v>
      </c>
      <c r="CQ126" s="16" t="n">
        <v>0</v>
      </c>
      <c r="CR126" s="16" t="n">
        <v>0</v>
      </c>
      <c r="CS126" s="16" t="n">
        <v>0</v>
      </c>
      <c r="CT126" s="16" t="n">
        <v>0</v>
      </c>
      <c r="CU126" s="16" t="n">
        <v>3</v>
      </c>
      <c r="CV126" s="16" t="n">
        <v>3</v>
      </c>
      <c r="CW126" s="16" t="n">
        <v>3</v>
      </c>
      <c r="CX126" s="16" t="n">
        <v>3</v>
      </c>
      <c r="CY126" s="16" t="n">
        <v>3</v>
      </c>
      <c r="CZ126" s="16" t="n">
        <v>3</v>
      </c>
      <c r="DA126" s="16" t="n">
        <v>0</v>
      </c>
      <c r="DB126" s="16" t="n">
        <v>0</v>
      </c>
      <c r="DC126" s="16" t="n">
        <v>0</v>
      </c>
      <c r="DD126" s="16" t="n">
        <v>0</v>
      </c>
      <c r="DE126" s="16" t="n">
        <v>0</v>
      </c>
      <c r="DF126" s="16" t="n">
        <v>0</v>
      </c>
      <c r="DG126" s="16" t="n">
        <v>0</v>
      </c>
      <c r="DH126" s="16" t="n">
        <v>0</v>
      </c>
      <c r="DI126" s="16" t="n">
        <v>0</v>
      </c>
      <c r="DJ126" s="16" t="n">
        <v>0</v>
      </c>
      <c r="DK126" s="16" t="n">
        <v>0</v>
      </c>
      <c r="DL126" s="16" t="n">
        <v>0</v>
      </c>
      <c r="DM126" s="16" t="n">
        <v>0</v>
      </c>
      <c r="DN126" s="16" t="n">
        <v>0</v>
      </c>
      <c r="DO126" s="16" t="n">
        <v>0</v>
      </c>
      <c r="DP126" s="16" t="n">
        <v>0</v>
      </c>
      <c r="DQ126" s="16" t="n">
        <v>0</v>
      </c>
      <c r="DR126" s="16" t="n">
        <v>0</v>
      </c>
      <c r="DS126" s="16" t="n">
        <v>12</v>
      </c>
      <c r="DT126" s="16" t="n">
        <v>16</v>
      </c>
      <c r="DU126" s="16" t="n">
        <v>16</v>
      </c>
      <c r="DV126" s="16" t="n">
        <v>8</v>
      </c>
      <c r="DW126" s="16" t="n">
        <v>0</v>
      </c>
      <c r="DX126" s="16" t="n">
        <v>0</v>
      </c>
      <c r="DY126" s="16" t="n">
        <v>0</v>
      </c>
      <c r="DZ126" s="16" t="n">
        <v>0</v>
      </c>
      <c r="EA126" s="16" t="n">
        <v>0</v>
      </c>
      <c r="EB126" s="16" t="n">
        <v>0</v>
      </c>
      <c r="EC126" s="16" t="n">
        <v>0</v>
      </c>
      <c r="ED126" s="16" t="n">
        <v>0</v>
      </c>
      <c r="EE126" s="16" t="n">
        <v>0</v>
      </c>
      <c r="EF126" s="16" t="n">
        <v>0</v>
      </c>
    </row>
    <row r="127" customFormat="false" ht="15" hidden="false" customHeight="true" outlineLevel="0" collapsed="false">
      <c r="A127" s="9" t="s">
        <v>12</v>
      </c>
      <c r="B127" s="9" t="s">
        <v>22</v>
      </c>
      <c r="C127" s="9" t="s">
        <v>22</v>
      </c>
      <c r="D127" s="9" t="s">
        <v>336</v>
      </c>
      <c r="E127" s="9" t="s">
        <v>10</v>
      </c>
      <c r="F127" s="9" t="s">
        <v>113</v>
      </c>
      <c r="G127" s="16" t="n">
        <v>0</v>
      </c>
      <c r="H127" s="16" t="n">
        <v>70</v>
      </c>
      <c r="I127" s="16" t="n">
        <v>0</v>
      </c>
      <c r="J127" s="16" t="n">
        <v>70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  <c r="DL127" s="16" t="n">
        <v>0</v>
      </c>
      <c r="DM127" s="16" t="n">
        <v>0</v>
      </c>
      <c r="DN127" s="16" t="n">
        <v>0</v>
      </c>
      <c r="DO127" s="16" t="n">
        <v>0</v>
      </c>
      <c r="DP127" s="16" t="n">
        <v>0</v>
      </c>
      <c r="DQ127" s="16" t="n">
        <v>0</v>
      </c>
      <c r="DR127" s="16" t="n">
        <v>0</v>
      </c>
      <c r="DS127" s="16" t="n">
        <v>0</v>
      </c>
      <c r="DT127" s="16" t="n">
        <v>0</v>
      </c>
      <c r="DU127" s="16" t="n">
        <v>0</v>
      </c>
      <c r="DV127" s="16" t="n">
        <v>0</v>
      </c>
      <c r="DW127" s="16" t="n">
        <v>0</v>
      </c>
      <c r="DX127" s="16" t="n">
        <v>0</v>
      </c>
      <c r="DY127" s="16" t="n">
        <v>0</v>
      </c>
      <c r="DZ127" s="16" t="n">
        <v>0</v>
      </c>
      <c r="EA127" s="16" t="n">
        <v>0</v>
      </c>
      <c r="EB127" s="16" t="n">
        <v>0</v>
      </c>
      <c r="EC127" s="16" t="n">
        <v>0</v>
      </c>
      <c r="ED127" s="16" t="n">
        <v>0</v>
      </c>
      <c r="EE127" s="16" t="n">
        <v>0</v>
      </c>
      <c r="EF127" s="16" t="n">
        <v>0</v>
      </c>
    </row>
    <row r="128" customFormat="false" ht="15" hidden="false" customHeight="true" outlineLevel="0" collapsed="false">
      <c r="A128" s="9" t="s">
        <v>12</v>
      </c>
      <c r="B128" s="9" t="s">
        <v>22</v>
      </c>
      <c r="C128" s="9" t="s">
        <v>22</v>
      </c>
      <c r="D128" s="9" t="s">
        <v>337</v>
      </c>
      <c r="E128" s="9" t="s">
        <v>10</v>
      </c>
      <c r="F128" s="9" t="s">
        <v>102</v>
      </c>
      <c r="G128" s="16" t="n">
        <v>0</v>
      </c>
      <c r="H128" s="16" t="n">
        <v>0</v>
      </c>
      <c r="I128" s="16" t="n">
        <v>122</v>
      </c>
      <c r="J128" s="16" t="n">
        <v>-122</v>
      </c>
      <c r="K128" s="16" t="n">
        <v>0</v>
      </c>
      <c r="L128" s="16" t="n">
        <v>0</v>
      </c>
      <c r="M128" s="16" t="n">
        <v>0</v>
      </c>
      <c r="N128" s="16" t="n">
        <v>0</v>
      </c>
      <c r="O128" s="16" t="n">
        <v>0</v>
      </c>
      <c r="P128" s="16" t="n">
        <v>0</v>
      </c>
      <c r="Q128" s="16" t="n">
        <v>0</v>
      </c>
      <c r="R128" s="16" t="n">
        <v>0</v>
      </c>
      <c r="S128" s="16" t="n">
        <v>0</v>
      </c>
      <c r="T128" s="16" t="n">
        <v>0</v>
      </c>
      <c r="U128" s="16" t="n">
        <v>0</v>
      </c>
      <c r="V128" s="16" t="n">
        <v>0</v>
      </c>
      <c r="W128" s="16" t="n">
        <v>0</v>
      </c>
      <c r="X128" s="16" t="n">
        <v>0</v>
      </c>
      <c r="Y128" s="16" t="n">
        <v>0</v>
      </c>
      <c r="Z128" s="16" t="n">
        <v>0</v>
      </c>
      <c r="AA128" s="16" t="n">
        <v>0</v>
      </c>
      <c r="AB128" s="16" t="n">
        <v>0</v>
      </c>
      <c r="AC128" s="16" t="n">
        <v>0</v>
      </c>
      <c r="AD128" s="16" t="n">
        <v>0</v>
      </c>
      <c r="AE128" s="16" t="n">
        <v>0</v>
      </c>
      <c r="AF128" s="16" t="n">
        <v>0</v>
      </c>
      <c r="AG128" s="16" t="n">
        <v>0</v>
      </c>
      <c r="AH128" s="16" t="n">
        <v>0</v>
      </c>
      <c r="AI128" s="16" t="n">
        <v>0</v>
      </c>
      <c r="AJ128" s="16" t="n">
        <v>0</v>
      </c>
      <c r="AK128" s="16" t="n">
        <v>0</v>
      </c>
      <c r="AL128" s="16" t="n">
        <v>0</v>
      </c>
      <c r="AM128" s="16" t="n">
        <v>0</v>
      </c>
      <c r="AN128" s="16" t="n">
        <v>0</v>
      </c>
      <c r="AO128" s="16" t="n">
        <v>0</v>
      </c>
      <c r="AP128" s="16" t="n">
        <v>0</v>
      </c>
      <c r="AQ128" s="16" t="n">
        <v>0</v>
      </c>
      <c r="AR128" s="16" t="n">
        <v>0</v>
      </c>
      <c r="AS128" s="16" t="n">
        <v>0</v>
      </c>
      <c r="AT128" s="16" t="n">
        <v>0</v>
      </c>
      <c r="AU128" s="16" t="n">
        <v>0</v>
      </c>
      <c r="AV128" s="16" t="n">
        <v>0</v>
      </c>
      <c r="AW128" s="16" t="n">
        <v>0</v>
      </c>
      <c r="AX128" s="16" t="n">
        <v>0</v>
      </c>
      <c r="AY128" s="16" t="n">
        <v>0</v>
      </c>
      <c r="AZ128" s="16" t="n">
        <v>0</v>
      </c>
      <c r="BA128" s="16" t="n">
        <v>0</v>
      </c>
      <c r="BB128" s="16" t="n">
        <v>0</v>
      </c>
      <c r="BC128" s="16" t="n">
        <v>0</v>
      </c>
      <c r="BD128" s="16" t="n">
        <v>0</v>
      </c>
      <c r="BE128" s="16" t="n">
        <v>0</v>
      </c>
      <c r="BF128" s="16" t="n">
        <v>0</v>
      </c>
      <c r="BG128" s="16" t="n">
        <v>0</v>
      </c>
      <c r="BH128" s="16" t="n">
        <v>0</v>
      </c>
      <c r="BI128" s="16" t="n">
        <v>0</v>
      </c>
      <c r="BJ128" s="16" t="n">
        <v>0</v>
      </c>
      <c r="BK128" s="16" t="n">
        <v>0</v>
      </c>
      <c r="BL128" s="16" t="n">
        <v>0</v>
      </c>
      <c r="BM128" s="16" t="n">
        <v>0</v>
      </c>
      <c r="BN128" s="16" t="n">
        <v>0</v>
      </c>
      <c r="BO128" s="16" t="n">
        <v>0</v>
      </c>
      <c r="BP128" s="16" t="n">
        <v>0</v>
      </c>
      <c r="BQ128" s="16" t="n">
        <v>0</v>
      </c>
      <c r="BR128" s="16" t="n">
        <v>0</v>
      </c>
      <c r="BS128" s="16" t="n">
        <v>0</v>
      </c>
      <c r="BT128" s="16" t="n">
        <v>0</v>
      </c>
      <c r="BU128" s="16" t="n">
        <v>0</v>
      </c>
      <c r="BV128" s="16" t="n">
        <v>0</v>
      </c>
      <c r="BW128" s="16" t="n">
        <v>0</v>
      </c>
      <c r="BX128" s="16" t="n">
        <v>0</v>
      </c>
      <c r="BY128" s="16" t="n">
        <v>0</v>
      </c>
      <c r="BZ128" s="16" t="n">
        <v>0</v>
      </c>
      <c r="CA128" s="16" t="n">
        <v>0</v>
      </c>
      <c r="CB128" s="16" t="n">
        <v>0</v>
      </c>
      <c r="CC128" s="16" t="n">
        <v>0</v>
      </c>
      <c r="CD128" s="16" t="n">
        <v>0</v>
      </c>
      <c r="CE128" s="16" t="n">
        <v>0</v>
      </c>
      <c r="CF128" s="16" t="n">
        <v>0</v>
      </c>
      <c r="CG128" s="16" t="n">
        <v>0</v>
      </c>
      <c r="CH128" s="16" t="n">
        <v>0</v>
      </c>
      <c r="CI128" s="16" t="n">
        <v>0</v>
      </c>
      <c r="CJ128" s="16" t="n">
        <v>0</v>
      </c>
      <c r="CK128" s="16" t="n">
        <v>0</v>
      </c>
      <c r="CL128" s="16" t="n">
        <v>0</v>
      </c>
      <c r="CM128" s="16" t="n">
        <v>0</v>
      </c>
      <c r="CN128" s="16" t="n">
        <v>0</v>
      </c>
      <c r="CO128" s="16" t="n">
        <v>0</v>
      </c>
      <c r="CP128" s="16" t="n">
        <v>0</v>
      </c>
      <c r="CQ128" s="16" t="n">
        <v>0</v>
      </c>
      <c r="CR128" s="16" t="n">
        <v>0</v>
      </c>
      <c r="CS128" s="16" t="n">
        <v>0</v>
      </c>
      <c r="CT128" s="16" t="n">
        <v>0</v>
      </c>
      <c r="CU128" s="16" t="n">
        <v>0</v>
      </c>
      <c r="CV128" s="16" t="n">
        <v>0</v>
      </c>
      <c r="CW128" s="16" t="n">
        <v>0</v>
      </c>
      <c r="CX128" s="16" t="n">
        <v>0</v>
      </c>
      <c r="CY128" s="16" t="n">
        <v>0</v>
      </c>
      <c r="CZ128" s="16" t="n">
        <v>0</v>
      </c>
      <c r="DA128" s="16" t="n">
        <v>0</v>
      </c>
      <c r="DB128" s="16" t="n">
        <v>0</v>
      </c>
      <c r="DC128" s="16" t="n">
        <v>0</v>
      </c>
      <c r="DD128" s="16" t="n">
        <v>0</v>
      </c>
      <c r="DE128" s="16" t="n">
        <v>0</v>
      </c>
      <c r="DF128" s="16" t="n">
        <v>0</v>
      </c>
      <c r="DG128" s="16" t="n">
        <v>0</v>
      </c>
      <c r="DH128" s="16" t="n">
        <v>0</v>
      </c>
      <c r="DI128" s="16" t="n">
        <v>0</v>
      </c>
      <c r="DJ128" s="16" t="n">
        <v>0</v>
      </c>
      <c r="DK128" s="16" t="n">
        <v>8</v>
      </c>
      <c r="DL128" s="16" t="n">
        <v>15</v>
      </c>
      <c r="DM128" s="16" t="n">
        <v>15</v>
      </c>
      <c r="DN128" s="16" t="n">
        <v>20</v>
      </c>
      <c r="DO128" s="16" t="n">
        <v>20</v>
      </c>
      <c r="DP128" s="16" t="n">
        <v>21</v>
      </c>
      <c r="DQ128" s="16" t="n">
        <v>17</v>
      </c>
      <c r="DR128" s="16" t="n">
        <v>6</v>
      </c>
      <c r="DS128" s="16" t="n">
        <v>0</v>
      </c>
      <c r="DT128" s="16" t="n">
        <v>0</v>
      </c>
      <c r="DU128" s="16" t="n">
        <v>0</v>
      </c>
      <c r="DV128" s="16" t="n">
        <v>0</v>
      </c>
      <c r="DW128" s="16" t="n">
        <v>0</v>
      </c>
      <c r="DX128" s="16" t="n">
        <v>0</v>
      </c>
      <c r="DY128" s="16" t="n">
        <v>0</v>
      </c>
      <c r="DZ128" s="16" t="n">
        <v>0</v>
      </c>
      <c r="EA128" s="16" t="n">
        <v>0</v>
      </c>
      <c r="EB128" s="16" t="n">
        <v>0</v>
      </c>
      <c r="EC128" s="16" t="n">
        <v>0</v>
      </c>
      <c r="ED128" s="16" t="n">
        <v>0</v>
      </c>
      <c r="EE128" s="16" t="n">
        <v>0</v>
      </c>
      <c r="EF128" s="16" t="n">
        <v>0</v>
      </c>
    </row>
    <row r="129" customFormat="false" ht="15" hidden="false" customHeight="true" outlineLevel="0" collapsed="false">
      <c r="A129" s="9" t="s">
        <v>12</v>
      </c>
      <c r="B129" s="9" t="s">
        <v>22</v>
      </c>
      <c r="C129" s="9" t="s">
        <v>22</v>
      </c>
      <c r="D129" s="9" t="s">
        <v>336</v>
      </c>
      <c r="E129" s="9" t="s">
        <v>10</v>
      </c>
      <c r="F129" s="9" t="s">
        <v>102</v>
      </c>
      <c r="G129" s="16" t="n">
        <v>0</v>
      </c>
      <c r="H129" s="16" t="n">
        <v>122</v>
      </c>
      <c r="I129" s="16" t="n">
        <v>0</v>
      </c>
      <c r="J129" s="16" t="n">
        <v>122</v>
      </c>
      <c r="K129" s="16" t="n">
        <v>0</v>
      </c>
      <c r="L129" s="16" t="n">
        <v>0</v>
      </c>
      <c r="M129" s="16" t="n">
        <v>0</v>
      </c>
      <c r="N129" s="16" t="n">
        <v>0</v>
      </c>
      <c r="O129" s="16" t="n">
        <v>0</v>
      </c>
      <c r="P129" s="16" t="n">
        <v>0</v>
      </c>
      <c r="Q129" s="16" t="n">
        <v>0</v>
      </c>
      <c r="R129" s="16" t="n">
        <v>0</v>
      </c>
      <c r="S129" s="16" t="n">
        <v>0</v>
      </c>
      <c r="T129" s="16" t="n">
        <v>0</v>
      </c>
      <c r="U129" s="16" t="n">
        <v>0</v>
      </c>
      <c r="V129" s="16" t="n">
        <v>0</v>
      </c>
      <c r="W129" s="16" t="n">
        <v>0</v>
      </c>
      <c r="X129" s="16" t="n">
        <v>0</v>
      </c>
      <c r="Y129" s="16" t="n">
        <v>0</v>
      </c>
      <c r="Z129" s="16" t="n">
        <v>0</v>
      </c>
      <c r="AA129" s="16" t="n">
        <v>0</v>
      </c>
      <c r="AB129" s="16" t="n">
        <v>0</v>
      </c>
      <c r="AC129" s="16" t="n">
        <v>0</v>
      </c>
      <c r="AD129" s="16" t="n">
        <v>0</v>
      </c>
      <c r="AE129" s="16" t="n">
        <v>0</v>
      </c>
      <c r="AF129" s="16" t="n">
        <v>0</v>
      </c>
      <c r="AG129" s="16" t="n">
        <v>0</v>
      </c>
      <c r="AH129" s="16" t="n">
        <v>0</v>
      </c>
      <c r="AI129" s="16" t="n">
        <v>0</v>
      </c>
      <c r="AJ129" s="16" t="n">
        <v>0</v>
      </c>
      <c r="AK129" s="16" t="n">
        <v>0</v>
      </c>
      <c r="AL129" s="16" t="n">
        <v>0</v>
      </c>
      <c r="AM129" s="16" t="n">
        <v>0</v>
      </c>
      <c r="AN129" s="16" t="n">
        <v>0</v>
      </c>
      <c r="AO129" s="16" t="n">
        <v>0</v>
      </c>
      <c r="AP129" s="16" t="n">
        <v>0</v>
      </c>
      <c r="AQ129" s="16" t="n">
        <v>0</v>
      </c>
      <c r="AR129" s="16" t="n">
        <v>0</v>
      </c>
      <c r="AS129" s="16" t="n">
        <v>0</v>
      </c>
      <c r="AT129" s="16" t="n">
        <v>0</v>
      </c>
      <c r="AU129" s="16" t="n">
        <v>0</v>
      </c>
      <c r="AV129" s="16" t="n">
        <v>0</v>
      </c>
      <c r="AW129" s="16" t="n">
        <v>0</v>
      </c>
      <c r="AX129" s="16" t="n">
        <v>0</v>
      </c>
      <c r="AY129" s="16" t="n">
        <v>0</v>
      </c>
      <c r="AZ129" s="16" t="n">
        <v>0</v>
      </c>
      <c r="BA129" s="16" t="n">
        <v>0</v>
      </c>
      <c r="BB129" s="16" t="n">
        <v>0</v>
      </c>
      <c r="BC129" s="16" t="n">
        <v>0</v>
      </c>
      <c r="BD129" s="16" t="n">
        <v>0</v>
      </c>
      <c r="BE129" s="16" t="n">
        <v>0</v>
      </c>
      <c r="BF129" s="16" t="n">
        <v>0</v>
      </c>
      <c r="BG129" s="16" t="n">
        <v>0</v>
      </c>
      <c r="BH129" s="16" t="n">
        <v>0</v>
      </c>
      <c r="BI129" s="16" t="n">
        <v>0</v>
      </c>
      <c r="BJ129" s="16" t="n">
        <v>0</v>
      </c>
      <c r="BK129" s="16" t="n">
        <v>0</v>
      </c>
      <c r="BL129" s="16" t="n">
        <v>0</v>
      </c>
      <c r="BM129" s="16" t="n">
        <v>0</v>
      </c>
      <c r="BN129" s="16" t="n">
        <v>0</v>
      </c>
      <c r="BO129" s="16" t="n">
        <v>0</v>
      </c>
      <c r="BP129" s="16" t="n">
        <v>0</v>
      </c>
      <c r="BQ129" s="16" t="n">
        <v>0</v>
      </c>
      <c r="BR129" s="16" t="n">
        <v>0</v>
      </c>
      <c r="BS129" s="16" t="n">
        <v>0</v>
      </c>
      <c r="BT129" s="16" t="n">
        <v>0</v>
      </c>
      <c r="BU129" s="16" t="n">
        <v>0</v>
      </c>
      <c r="BV129" s="16" t="n">
        <v>0</v>
      </c>
      <c r="BW129" s="16" t="n">
        <v>0</v>
      </c>
      <c r="BX129" s="16" t="n">
        <v>0</v>
      </c>
      <c r="BY129" s="16" t="n">
        <v>0</v>
      </c>
      <c r="BZ129" s="16" t="n">
        <v>0</v>
      </c>
      <c r="CA129" s="16" t="n">
        <v>0</v>
      </c>
      <c r="CB129" s="16" t="n">
        <v>0</v>
      </c>
      <c r="CC129" s="16" t="n">
        <v>0</v>
      </c>
      <c r="CD129" s="16" t="n">
        <v>0</v>
      </c>
      <c r="CE129" s="16" t="n">
        <v>0</v>
      </c>
      <c r="CF129" s="16" t="n">
        <v>0</v>
      </c>
      <c r="CG129" s="16" t="n">
        <v>0</v>
      </c>
      <c r="CH129" s="16" t="n">
        <v>0</v>
      </c>
      <c r="CI129" s="16" t="n">
        <v>0</v>
      </c>
      <c r="CJ129" s="16" t="n">
        <v>0</v>
      </c>
      <c r="CK129" s="16" t="n">
        <v>0</v>
      </c>
      <c r="CL129" s="16" t="n">
        <v>0</v>
      </c>
      <c r="CM129" s="16" t="n">
        <v>0</v>
      </c>
      <c r="CN129" s="16" t="n">
        <v>0</v>
      </c>
      <c r="CO129" s="16" t="n">
        <v>0</v>
      </c>
      <c r="CP129" s="16" t="n">
        <v>0</v>
      </c>
      <c r="CQ129" s="16" t="n">
        <v>0</v>
      </c>
      <c r="CR129" s="16" t="n">
        <v>0</v>
      </c>
      <c r="CS129" s="16" t="n">
        <v>0</v>
      </c>
      <c r="CT129" s="16" t="n">
        <v>0</v>
      </c>
      <c r="CU129" s="16" t="n">
        <v>0</v>
      </c>
      <c r="CV129" s="16" t="n">
        <v>0</v>
      </c>
      <c r="CW129" s="16" t="n">
        <v>0</v>
      </c>
      <c r="CX129" s="16" t="n">
        <v>0</v>
      </c>
      <c r="CY129" s="16" t="n">
        <v>0</v>
      </c>
      <c r="CZ129" s="16" t="n">
        <v>0</v>
      </c>
      <c r="DA129" s="16" t="n">
        <v>0</v>
      </c>
      <c r="DB129" s="16" t="n">
        <v>0</v>
      </c>
      <c r="DC129" s="16" t="n">
        <v>0</v>
      </c>
      <c r="DD129" s="16" t="n">
        <v>0</v>
      </c>
      <c r="DE129" s="16" t="n">
        <v>0</v>
      </c>
      <c r="DF129" s="16" t="n">
        <v>0</v>
      </c>
      <c r="DG129" s="16" t="n">
        <v>0</v>
      </c>
      <c r="DH129" s="16" t="n">
        <v>0</v>
      </c>
      <c r="DI129" s="16" t="n">
        <v>0</v>
      </c>
      <c r="DJ129" s="16" t="n">
        <v>0</v>
      </c>
      <c r="DK129" s="16" t="n">
        <v>0</v>
      </c>
      <c r="DL129" s="16" t="n">
        <v>0</v>
      </c>
      <c r="DM129" s="16" t="n">
        <v>0</v>
      </c>
      <c r="DN129" s="16" t="n">
        <v>0</v>
      </c>
      <c r="DO129" s="16" t="n">
        <v>0</v>
      </c>
      <c r="DP129" s="16" t="n">
        <v>0</v>
      </c>
      <c r="DQ129" s="16" t="n">
        <v>0</v>
      </c>
      <c r="DR129" s="16" t="n">
        <v>0</v>
      </c>
      <c r="DS129" s="16" t="n">
        <v>0</v>
      </c>
      <c r="DT129" s="16" t="n">
        <v>0</v>
      </c>
      <c r="DU129" s="16" t="n">
        <v>0</v>
      </c>
      <c r="DV129" s="16" t="n">
        <v>0</v>
      </c>
      <c r="DW129" s="16" t="n">
        <v>0</v>
      </c>
      <c r="DX129" s="16" t="n">
        <v>0</v>
      </c>
      <c r="DY129" s="16" t="n">
        <v>0</v>
      </c>
      <c r="DZ129" s="16" t="n">
        <v>0</v>
      </c>
      <c r="EA129" s="16" t="n">
        <v>0</v>
      </c>
      <c r="EB129" s="16" t="n">
        <v>0</v>
      </c>
      <c r="EC129" s="16" t="n">
        <v>0</v>
      </c>
      <c r="ED129" s="16" t="n">
        <v>0</v>
      </c>
      <c r="EE129" s="16" t="n">
        <v>0</v>
      </c>
      <c r="EF129" s="16" t="n">
        <v>0</v>
      </c>
    </row>
    <row r="130" customFormat="false" ht="15" hidden="false" customHeight="true" outlineLevel="0" collapsed="false">
      <c r="A130" s="9" t="s">
        <v>12</v>
      </c>
      <c r="B130" s="9" t="s">
        <v>22</v>
      </c>
      <c r="C130" s="9" t="s">
        <v>22</v>
      </c>
      <c r="D130" s="9" t="s">
        <v>337</v>
      </c>
      <c r="E130" s="9" t="s">
        <v>10</v>
      </c>
      <c r="F130" s="9" t="s">
        <v>83</v>
      </c>
      <c r="G130" s="16" t="n">
        <v>0</v>
      </c>
      <c r="H130" s="16" t="n">
        <v>0</v>
      </c>
      <c r="I130" s="16" t="n">
        <v>0</v>
      </c>
      <c r="J130" s="16" t="n">
        <v>0</v>
      </c>
      <c r="K130" s="16" t="n">
        <v>0</v>
      </c>
      <c r="L130" s="16" t="n">
        <v>0</v>
      </c>
      <c r="M130" s="16" t="n">
        <v>0</v>
      </c>
      <c r="N130" s="16" t="n">
        <v>0</v>
      </c>
      <c r="O130" s="16" t="n">
        <v>0</v>
      </c>
      <c r="P130" s="16" t="n">
        <v>0</v>
      </c>
      <c r="Q130" s="16" t="n">
        <v>0</v>
      </c>
      <c r="R130" s="16" t="n">
        <v>0</v>
      </c>
      <c r="S130" s="16" t="n">
        <v>0</v>
      </c>
      <c r="T130" s="16" t="n">
        <v>0</v>
      </c>
      <c r="U130" s="16" t="n">
        <v>0</v>
      </c>
      <c r="V130" s="16" t="n">
        <v>0</v>
      </c>
      <c r="W130" s="16" t="n">
        <v>0</v>
      </c>
      <c r="X130" s="16" t="n">
        <v>0</v>
      </c>
      <c r="Y130" s="16" t="n">
        <v>0</v>
      </c>
      <c r="Z130" s="16" t="n">
        <v>0</v>
      </c>
      <c r="AA130" s="16" t="n">
        <v>0</v>
      </c>
      <c r="AB130" s="16" t="n">
        <v>0</v>
      </c>
      <c r="AC130" s="16" t="n">
        <v>0</v>
      </c>
      <c r="AD130" s="16" t="n">
        <v>0</v>
      </c>
      <c r="AE130" s="16" t="n">
        <v>0</v>
      </c>
      <c r="AF130" s="16" t="n">
        <v>0</v>
      </c>
      <c r="AG130" s="16" t="n">
        <v>0</v>
      </c>
      <c r="AH130" s="16" t="n">
        <v>0</v>
      </c>
      <c r="AI130" s="16" t="n">
        <v>0</v>
      </c>
      <c r="AJ130" s="16" t="n">
        <v>0</v>
      </c>
      <c r="AK130" s="16" t="n">
        <v>0</v>
      </c>
      <c r="AL130" s="16" t="n">
        <v>0</v>
      </c>
      <c r="AM130" s="16" t="n">
        <v>0</v>
      </c>
      <c r="AN130" s="16" t="n">
        <v>0</v>
      </c>
      <c r="AO130" s="16" t="n">
        <v>0</v>
      </c>
      <c r="AP130" s="16" t="n">
        <v>0</v>
      </c>
      <c r="AQ130" s="16" t="n">
        <v>0</v>
      </c>
      <c r="AR130" s="16" t="n">
        <v>0</v>
      </c>
      <c r="AS130" s="16" t="n">
        <v>0</v>
      </c>
      <c r="AT130" s="16" t="n">
        <v>0</v>
      </c>
      <c r="AU130" s="16" t="n">
        <v>0</v>
      </c>
      <c r="AV130" s="16" t="n">
        <v>0</v>
      </c>
      <c r="AW130" s="16" t="n">
        <v>0</v>
      </c>
      <c r="AX130" s="16" t="n">
        <v>0</v>
      </c>
      <c r="AY130" s="16" t="n">
        <v>0</v>
      </c>
      <c r="AZ130" s="16" t="n">
        <v>0</v>
      </c>
      <c r="BA130" s="16" t="n">
        <v>0</v>
      </c>
      <c r="BB130" s="16" t="n">
        <v>0</v>
      </c>
      <c r="BC130" s="16" t="n">
        <v>0</v>
      </c>
      <c r="BD130" s="16" t="n">
        <v>0</v>
      </c>
      <c r="BE130" s="16" t="n">
        <v>0</v>
      </c>
      <c r="BF130" s="16" t="n">
        <v>0</v>
      </c>
      <c r="BG130" s="16" t="n">
        <v>0</v>
      </c>
      <c r="BH130" s="16" t="n">
        <v>0</v>
      </c>
      <c r="BI130" s="16" t="n">
        <v>0</v>
      </c>
      <c r="BJ130" s="16" t="n">
        <v>0</v>
      </c>
      <c r="BK130" s="16" t="n">
        <v>0</v>
      </c>
      <c r="BL130" s="16" t="n">
        <v>0</v>
      </c>
      <c r="BM130" s="16" t="n">
        <v>0</v>
      </c>
      <c r="BN130" s="16" t="n">
        <v>0</v>
      </c>
      <c r="BO130" s="16" t="n">
        <v>0</v>
      </c>
      <c r="BP130" s="16" t="n">
        <v>0</v>
      </c>
      <c r="BQ130" s="16" t="n">
        <v>0</v>
      </c>
      <c r="BR130" s="16" t="n">
        <v>0</v>
      </c>
      <c r="BS130" s="16" t="n">
        <v>0</v>
      </c>
      <c r="BT130" s="16" t="n">
        <v>0</v>
      </c>
      <c r="BU130" s="16" t="n">
        <v>0</v>
      </c>
      <c r="BV130" s="16" t="n">
        <v>0</v>
      </c>
      <c r="BW130" s="16" t="n">
        <v>0</v>
      </c>
      <c r="BX130" s="16" t="n">
        <v>0</v>
      </c>
      <c r="BY130" s="16" t="n">
        <v>0</v>
      </c>
      <c r="BZ130" s="16" t="n">
        <v>0</v>
      </c>
      <c r="CA130" s="16" t="n">
        <v>0</v>
      </c>
      <c r="CB130" s="16" t="n">
        <v>0</v>
      </c>
      <c r="CC130" s="16" t="n">
        <v>0</v>
      </c>
      <c r="CD130" s="16" t="n">
        <v>0</v>
      </c>
      <c r="CE130" s="16" t="n">
        <v>0</v>
      </c>
      <c r="CF130" s="16" t="n">
        <v>0</v>
      </c>
      <c r="CG130" s="16" t="n">
        <v>0</v>
      </c>
      <c r="CH130" s="16" t="n">
        <v>0</v>
      </c>
      <c r="CI130" s="16" t="n">
        <v>0</v>
      </c>
      <c r="CJ130" s="16" t="n">
        <v>0</v>
      </c>
      <c r="CK130" s="16" t="n">
        <v>0</v>
      </c>
      <c r="CL130" s="16" t="n">
        <v>0</v>
      </c>
      <c r="CM130" s="16" t="n">
        <v>0</v>
      </c>
      <c r="CN130" s="16" t="n">
        <v>0</v>
      </c>
      <c r="CO130" s="16" t="n">
        <v>0</v>
      </c>
      <c r="CP130" s="16" t="n">
        <v>0</v>
      </c>
      <c r="CQ130" s="16" t="n">
        <v>0</v>
      </c>
      <c r="CR130" s="16" t="n">
        <v>0</v>
      </c>
      <c r="CS130" s="16" t="n">
        <v>0</v>
      </c>
      <c r="CT130" s="16" t="n">
        <v>0</v>
      </c>
      <c r="CU130" s="16" t="n">
        <v>0</v>
      </c>
      <c r="CV130" s="16" t="n">
        <v>0</v>
      </c>
      <c r="CW130" s="16" t="n">
        <v>0</v>
      </c>
      <c r="CX130" s="16" t="n">
        <v>0</v>
      </c>
      <c r="CY130" s="16" t="n">
        <v>0</v>
      </c>
      <c r="CZ130" s="16" t="n">
        <v>0</v>
      </c>
      <c r="DA130" s="16" t="n">
        <v>0</v>
      </c>
      <c r="DB130" s="16" t="n">
        <v>0</v>
      </c>
      <c r="DC130" s="16" t="n">
        <v>0</v>
      </c>
      <c r="DD130" s="16" t="n">
        <v>0</v>
      </c>
      <c r="DE130" s="16" t="n">
        <v>0</v>
      </c>
      <c r="DF130" s="16" t="n">
        <v>0</v>
      </c>
      <c r="DG130" s="16" t="n">
        <v>0</v>
      </c>
      <c r="DH130" s="16" t="n">
        <v>0</v>
      </c>
      <c r="DI130" s="16" t="n">
        <v>0</v>
      </c>
      <c r="DJ130" s="16" t="n">
        <v>0</v>
      </c>
      <c r="DK130" s="16" t="n">
        <v>0</v>
      </c>
      <c r="DL130" s="16" t="n">
        <v>0</v>
      </c>
      <c r="DM130" s="16" t="n">
        <v>0</v>
      </c>
      <c r="DN130" s="16" t="n">
        <v>0</v>
      </c>
      <c r="DO130" s="16" t="n">
        <v>0</v>
      </c>
      <c r="DP130" s="16" t="n">
        <v>0</v>
      </c>
      <c r="DQ130" s="16" t="n">
        <v>0</v>
      </c>
      <c r="DR130" s="16" t="n">
        <v>0</v>
      </c>
      <c r="DS130" s="16" t="n">
        <v>0</v>
      </c>
      <c r="DT130" s="16" t="n">
        <v>0</v>
      </c>
      <c r="DU130" s="16" t="n">
        <v>0</v>
      </c>
      <c r="DV130" s="16" t="n">
        <v>0</v>
      </c>
      <c r="DW130" s="16" t="n">
        <v>0</v>
      </c>
      <c r="DX130" s="16" t="n">
        <v>0</v>
      </c>
      <c r="DY130" s="16" t="n">
        <v>0</v>
      </c>
      <c r="DZ130" s="16" t="n">
        <v>0</v>
      </c>
      <c r="EA130" s="16" t="n">
        <v>0</v>
      </c>
      <c r="EB130" s="16" t="n">
        <v>0</v>
      </c>
      <c r="EC130" s="16" t="n">
        <v>0</v>
      </c>
      <c r="ED130" s="16" t="n">
        <v>0</v>
      </c>
      <c r="EE130" s="16" t="n">
        <v>0</v>
      </c>
      <c r="EF130" s="16" t="n">
        <v>0</v>
      </c>
    </row>
    <row r="131" customFormat="false" ht="15" hidden="false" customHeight="true" outlineLevel="0" collapsed="false">
      <c r="A131" s="9" t="s">
        <v>12</v>
      </c>
      <c r="B131" s="9" t="s">
        <v>22</v>
      </c>
      <c r="C131" s="9" t="s">
        <v>22</v>
      </c>
      <c r="D131" s="9" t="s">
        <v>336</v>
      </c>
      <c r="E131" s="9" t="s">
        <v>10</v>
      </c>
      <c r="F131" s="9" t="s">
        <v>83</v>
      </c>
      <c r="G131" s="16" t="n">
        <v>10</v>
      </c>
      <c r="H131" s="16" t="n">
        <v>10</v>
      </c>
      <c r="I131" s="16" t="n">
        <v>0</v>
      </c>
      <c r="J131" s="16" t="n">
        <v>10</v>
      </c>
      <c r="K131" s="16" t="n">
        <v>0</v>
      </c>
      <c r="L131" s="16" t="n">
        <v>0</v>
      </c>
      <c r="M131" s="16" t="n">
        <v>0</v>
      </c>
      <c r="N131" s="16" t="n">
        <v>0</v>
      </c>
      <c r="O131" s="16" t="n">
        <v>0</v>
      </c>
      <c r="P131" s="16" t="n">
        <v>0</v>
      </c>
      <c r="Q131" s="16" t="n">
        <v>0</v>
      </c>
      <c r="R131" s="16" t="n">
        <v>0</v>
      </c>
      <c r="S131" s="16" t="n">
        <v>0</v>
      </c>
      <c r="T131" s="16" t="n">
        <v>0</v>
      </c>
      <c r="U131" s="16" t="n">
        <v>0</v>
      </c>
      <c r="V131" s="16" t="n">
        <v>0</v>
      </c>
      <c r="W131" s="16" t="n">
        <v>0</v>
      </c>
      <c r="X131" s="16" t="n">
        <v>0</v>
      </c>
      <c r="Y131" s="16" t="n">
        <v>0</v>
      </c>
      <c r="Z131" s="16" t="n">
        <v>0</v>
      </c>
      <c r="AA131" s="16" t="n">
        <v>0</v>
      </c>
      <c r="AB131" s="16" t="n">
        <v>0</v>
      </c>
      <c r="AC131" s="16" t="n">
        <v>0</v>
      </c>
      <c r="AD131" s="16" t="n">
        <v>0</v>
      </c>
      <c r="AE131" s="16" t="n">
        <v>0</v>
      </c>
      <c r="AF131" s="16" t="n">
        <v>0</v>
      </c>
      <c r="AG131" s="16" t="n">
        <v>0</v>
      </c>
      <c r="AH131" s="16" t="n">
        <v>0</v>
      </c>
      <c r="AI131" s="16" t="n">
        <v>0</v>
      </c>
      <c r="AJ131" s="16" t="n">
        <v>0</v>
      </c>
      <c r="AK131" s="16" t="n">
        <v>0</v>
      </c>
      <c r="AL131" s="16" t="n">
        <v>0</v>
      </c>
      <c r="AM131" s="16" t="n">
        <v>0</v>
      </c>
      <c r="AN131" s="16" t="n">
        <v>0</v>
      </c>
      <c r="AO131" s="16" t="n">
        <v>0</v>
      </c>
      <c r="AP131" s="16" t="n">
        <v>0</v>
      </c>
      <c r="AQ131" s="16" t="n">
        <v>0</v>
      </c>
      <c r="AR131" s="16" t="n">
        <v>0</v>
      </c>
      <c r="AS131" s="16" t="n">
        <v>0</v>
      </c>
      <c r="AT131" s="16" t="n">
        <v>0</v>
      </c>
      <c r="AU131" s="16" t="n">
        <v>0</v>
      </c>
      <c r="AV131" s="16" t="n">
        <v>0</v>
      </c>
      <c r="AW131" s="16" t="n">
        <v>0</v>
      </c>
      <c r="AX131" s="16" t="n">
        <v>0</v>
      </c>
      <c r="AY131" s="16" t="n">
        <v>0</v>
      </c>
      <c r="AZ131" s="16" t="n">
        <v>0</v>
      </c>
      <c r="BA131" s="16" t="n">
        <v>0</v>
      </c>
      <c r="BB131" s="16" t="n">
        <v>0</v>
      </c>
      <c r="BC131" s="16" t="n">
        <v>0</v>
      </c>
      <c r="BD131" s="16" t="n">
        <v>0</v>
      </c>
      <c r="BE131" s="16" t="n">
        <v>0</v>
      </c>
      <c r="BF131" s="16" t="n">
        <v>0</v>
      </c>
      <c r="BG131" s="16" t="n">
        <v>0</v>
      </c>
      <c r="BH131" s="16" t="n">
        <v>0</v>
      </c>
      <c r="BI131" s="16" t="n">
        <v>0</v>
      </c>
      <c r="BJ131" s="16" t="n">
        <v>0</v>
      </c>
      <c r="BK131" s="16" t="n">
        <v>0</v>
      </c>
      <c r="BL131" s="16" t="n">
        <v>0</v>
      </c>
      <c r="BM131" s="16" t="n">
        <v>0</v>
      </c>
      <c r="BN131" s="16" t="n">
        <v>0</v>
      </c>
      <c r="BO131" s="16" t="n">
        <v>0</v>
      </c>
      <c r="BP131" s="16" t="n">
        <v>0</v>
      </c>
      <c r="BQ131" s="16" t="n">
        <v>0</v>
      </c>
      <c r="BR131" s="16" t="n">
        <v>0</v>
      </c>
      <c r="BS131" s="16" t="n">
        <v>0</v>
      </c>
      <c r="BT131" s="16" t="n">
        <v>0</v>
      </c>
      <c r="BU131" s="16" t="n">
        <v>0</v>
      </c>
      <c r="BV131" s="16" t="n">
        <v>0</v>
      </c>
      <c r="BW131" s="16" t="n">
        <v>0</v>
      </c>
      <c r="BX131" s="16" t="n">
        <v>0</v>
      </c>
      <c r="BY131" s="16" t="n">
        <v>0</v>
      </c>
      <c r="BZ131" s="16" t="n">
        <v>0</v>
      </c>
      <c r="CA131" s="16" t="n">
        <v>0</v>
      </c>
      <c r="CB131" s="16" t="n">
        <v>0</v>
      </c>
      <c r="CC131" s="16" t="n">
        <v>0</v>
      </c>
      <c r="CD131" s="16" t="n">
        <v>0</v>
      </c>
      <c r="CE131" s="16" t="n">
        <v>0</v>
      </c>
      <c r="CF131" s="16" t="n">
        <v>0</v>
      </c>
      <c r="CG131" s="16" t="n">
        <v>0</v>
      </c>
      <c r="CH131" s="16" t="n">
        <v>0</v>
      </c>
      <c r="CI131" s="16" t="n">
        <v>0</v>
      </c>
      <c r="CJ131" s="16" t="n">
        <v>0</v>
      </c>
      <c r="CK131" s="16" t="n">
        <v>0</v>
      </c>
      <c r="CL131" s="16" t="n">
        <v>0</v>
      </c>
      <c r="CM131" s="16" t="n">
        <v>0</v>
      </c>
      <c r="CN131" s="16" t="n">
        <v>0</v>
      </c>
      <c r="CO131" s="16" t="n">
        <v>0</v>
      </c>
      <c r="CP131" s="16" t="n">
        <v>0</v>
      </c>
      <c r="CQ131" s="16" t="n">
        <v>0</v>
      </c>
      <c r="CR131" s="16" t="n">
        <v>0</v>
      </c>
      <c r="CS131" s="16" t="n">
        <v>0</v>
      </c>
      <c r="CT131" s="16" t="n">
        <v>0</v>
      </c>
      <c r="CU131" s="16" t="n">
        <v>0</v>
      </c>
      <c r="CV131" s="16" t="n">
        <v>0</v>
      </c>
      <c r="CW131" s="16" t="n">
        <v>0</v>
      </c>
      <c r="CX131" s="16" t="n">
        <v>0</v>
      </c>
      <c r="CY131" s="16" t="n">
        <v>0</v>
      </c>
      <c r="CZ131" s="16" t="n">
        <v>0</v>
      </c>
      <c r="DA131" s="16" t="n">
        <v>0</v>
      </c>
      <c r="DB131" s="16" t="n">
        <v>0</v>
      </c>
      <c r="DC131" s="16" t="n">
        <v>0</v>
      </c>
      <c r="DD131" s="16" t="n">
        <v>0</v>
      </c>
      <c r="DE131" s="16" t="n">
        <v>0</v>
      </c>
      <c r="DF131" s="16" t="n">
        <v>0</v>
      </c>
      <c r="DG131" s="16" t="n">
        <v>0</v>
      </c>
      <c r="DH131" s="16" t="n">
        <v>0</v>
      </c>
      <c r="DI131" s="16" t="n">
        <v>0</v>
      </c>
      <c r="DJ131" s="16" t="n">
        <v>0</v>
      </c>
      <c r="DK131" s="16" t="n">
        <v>0</v>
      </c>
      <c r="DL131" s="16" t="n">
        <v>0</v>
      </c>
      <c r="DM131" s="16" t="n">
        <v>0</v>
      </c>
      <c r="DN131" s="16" t="n">
        <v>0</v>
      </c>
      <c r="DO131" s="16" t="n">
        <v>0</v>
      </c>
      <c r="DP131" s="16" t="n">
        <v>0</v>
      </c>
      <c r="DQ131" s="16" t="n">
        <v>0</v>
      </c>
      <c r="DR131" s="16" t="n">
        <v>0</v>
      </c>
      <c r="DS131" s="16" t="n">
        <v>0</v>
      </c>
      <c r="DT131" s="16" t="n">
        <v>0</v>
      </c>
      <c r="DU131" s="16" t="n">
        <v>0</v>
      </c>
      <c r="DV131" s="16" t="n">
        <v>0</v>
      </c>
      <c r="DW131" s="16" t="n">
        <v>0</v>
      </c>
      <c r="DX131" s="16" t="n">
        <v>0</v>
      </c>
      <c r="DY131" s="16" t="n">
        <v>0</v>
      </c>
      <c r="DZ131" s="16" t="n">
        <v>0</v>
      </c>
      <c r="EA131" s="16" t="n">
        <v>0</v>
      </c>
      <c r="EB131" s="16" t="n">
        <v>0</v>
      </c>
      <c r="EC131" s="16" t="n">
        <v>0</v>
      </c>
      <c r="ED131" s="16" t="n">
        <v>0</v>
      </c>
      <c r="EE131" s="16" t="n">
        <v>0</v>
      </c>
      <c r="EF131" s="16" t="n">
        <v>0</v>
      </c>
    </row>
    <row r="132" customFormat="false" ht="15" hidden="false" customHeight="true" outlineLevel="0" collapsed="false">
      <c r="A132" s="9" t="s">
        <v>12</v>
      </c>
      <c r="B132" s="9" t="s">
        <v>22</v>
      </c>
      <c r="C132" s="9" t="s">
        <v>22</v>
      </c>
      <c r="D132" s="9" t="s">
        <v>337</v>
      </c>
      <c r="E132" s="9" t="s">
        <v>10</v>
      </c>
      <c r="F132" s="9" t="s">
        <v>84</v>
      </c>
      <c r="G132" s="16" t="n">
        <v>0</v>
      </c>
      <c r="H132" s="16" t="n">
        <v>0</v>
      </c>
      <c r="I132" s="16" t="n">
        <v>0</v>
      </c>
      <c r="J132" s="16" t="n">
        <v>0</v>
      </c>
      <c r="K132" s="16" t="n">
        <v>0</v>
      </c>
      <c r="L132" s="16" t="n">
        <v>0</v>
      </c>
      <c r="M132" s="16" t="n">
        <v>0</v>
      </c>
      <c r="N132" s="16" t="n">
        <v>0</v>
      </c>
      <c r="O132" s="16" t="n">
        <v>0</v>
      </c>
      <c r="P132" s="16" t="n">
        <v>0</v>
      </c>
      <c r="Q132" s="16" t="n">
        <v>0</v>
      </c>
      <c r="R132" s="16" t="n">
        <v>0</v>
      </c>
      <c r="S132" s="16" t="n">
        <v>0</v>
      </c>
      <c r="T132" s="16" t="n">
        <v>0</v>
      </c>
      <c r="U132" s="16" t="n">
        <v>0</v>
      </c>
      <c r="V132" s="16" t="n">
        <v>0</v>
      </c>
      <c r="W132" s="16" t="n">
        <v>0</v>
      </c>
      <c r="X132" s="16" t="n">
        <v>0</v>
      </c>
      <c r="Y132" s="16" t="n">
        <v>0</v>
      </c>
      <c r="Z132" s="16" t="n">
        <v>0</v>
      </c>
      <c r="AA132" s="16" t="n">
        <v>0</v>
      </c>
      <c r="AB132" s="16" t="n">
        <v>0</v>
      </c>
      <c r="AC132" s="16" t="n">
        <v>0</v>
      </c>
      <c r="AD132" s="16" t="n">
        <v>0</v>
      </c>
      <c r="AE132" s="16" t="n">
        <v>0</v>
      </c>
      <c r="AF132" s="16" t="n">
        <v>0</v>
      </c>
      <c r="AG132" s="16" t="n">
        <v>0</v>
      </c>
      <c r="AH132" s="16" t="n">
        <v>0</v>
      </c>
      <c r="AI132" s="16" t="n">
        <v>0</v>
      </c>
      <c r="AJ132" s="16" t="n">
        <v>0</v>
      </c>
      <c r="AK132" s="16" t="n">
        <v>0</v>
      </c>
      <c r="AL132" s="16" t="n">
        <v>0</v>
      </c>
      <c r="AM132" s="16" t="n">
        <v>0</v>
      </c>
      <c r="AN132" s="16" t="n">
        <v>0</v>
      </c>
      <c r="AO132" s="16" t="n">
        <v>0</v>
      </c>
      <c r="AP132" s="16" t="n">
        <v>0</v>
      </c>
      <c r="AQ132" s="16" t="n">
        <v>0</v>
      </c>
      <c r="AR132" s="16" t="n">
        <v>0</v>
      </c>
      <c r="AS132" s="16" t="n">
        <v>0</v>
      </c>
      <c r="AT132" s="16" t="n">
        <v>0</v>
      </c>
      <c r="AU132" s="16" t="n">
        <v>0</v>
      </c>
      <c r="AV132" s="16" t="n">
        <v>0</v>
      </c>
      <c r="AW132" s="16" t="n">
        <v>0</v>
      </c>
      <c r="AX132" s="16" t="n">
        <v>0</v>
      </c>
      <c r="AY132" s="16" t="n">
        <v>0</v>
      </c>
      <c r="AZ132" s="16" t="n">
        <v>0</v>
      </c>
      <c r="BA132" s="16" t="n">
        <v>0</v>
      </c>
      <c r="BB132" s="16" t="n">
        <v>0</v>
      </c>
      <c r="BC132" s="16" t="n">
        <v>0</v>
      </c>
      <c r="BD132" s="16" t="n">
        <v>0</v>
      </c>
      <c r="BE132" s="16" t="n">
        <v>0</v>
      </c>
      <c r="BF132" s="16" t="n">
        <v>0</v>
      </c>
      <c r="BG132" s="16" t="n">
        <v>0</v>
      </c>
      <c r="BH132" s="16" t="n">
        <v>0</v>
      </c>
      <c r="BI132" s="16" t="n">
        <v>0</v>
      </c>
      <c r="BJ132" s="16" t="n">
        <v>0</v>
      </c>
      <c r="BK132" s="16" t="n">
        <v>0</v>
      </c>
      <c r="BL132" s="16" t="n">
        <v>0</v>
      </c>
      <c r="BM132" s="16" t="n">
        <v>0</v>
      </c>
      <c r="BN132" s="16" t="n">
        <v>0</v>
      </c>
      <c r="BO132" s="16" t="n">
        <v>0</v>
      </c>
      <c r="BP132" s="16" t="n">
        <v>0</v>
      </c>
      <c r="BQ132" s="16" t="n">
        <v>0</v>
      </c>
      <c r="BR132" s="16" t="n">
        <v>0</v>
      </c>
      <c r="BS132" s="16" t="n">
        <v>0</v>
      </c>
      <c r="BT132" s="16" t="n">
        <v>0</v>
      </c>
      <c r="BU132" s="16" t="n">
        <v>0</v>
      </c>
      <c r="BV132" s="16" t="n">
        <v>0</v>
      </c>
      <c r="BW132" s="16" t="n">
        <v>0</v>
      </c>
      <c r="BX132" s="16" t="n">
        <v>0</v>
      </c>
      <c r="BY132" s="16" t="n">
        <v>0</v>
      </c>
      <c r="BZ132" s="16" t="n">
        <v>0</v>
      </c>
      <c r="CA132" s="16" t="n">
        <v>0</v>
      </c>
      <c r="CB132" s="16" t="n">
        <v>0</v>
      </c>
      <c r="CC132" s="16" t="n">
        <v>0</v>
      </c>
      <c r="CD132" s="16" t="n">
        <v>0</v>
      </c>
      <c r="CE132" s="16" t="n">
        <v>0</v>
      </c>
      <c r="CF132" s="16" t="n">
        <v>0</v>
      </c>
      <c r="CG132" s="16" t="n">
        <v>0</v>
      </c>
      <c r="CH132" s="16" t="n">
        <v>0</v>
      </c>
      <c r="CI132" s="16" t="n">
        <v>0</v>
      </c>
      <c r="CJ132" s="16" t="n">
        <v>0</v>
      </c>
      <c r="CK132" s="16" t="n">
        <v>0</v>
      </c>
      <c r="CL132" s="16" t="n">
        <v>0</v>
      </c>
      <c r="CM132" s="16" t="n">
        <v>0</v>
      </c>
      <c r="CN132" s="16" t="n">
        <v>0</v>
      </c>
      <c r="CO132" s="16" t="n">
        <v>0</v>
      </c>
      <c r="CP132" s="16" t="n">
        <v>0</v>
      </c>
      <c r="CQ132" s="16" t="n">
        <v>0</v>
      </c>
      <c r="CR132" s="16" t="n">
        <v>0</v>
      </c>
      <c r="CS132" s="16" t="n">
        <v>0</v>
      </c>
      <c r="CT132" s="16" t="n">
        <v>0</v>
      </c>
      <c r="CU132" s="16" t="n">
        <v>0</v>
      </c>
      <c r="CV132" s="16" t="n">
        <v>0</v>
      </c>
      <c r="CW132" s="16" t="n">
        <v>0</v>
      </c>
      <c r="CX132" s="16" t="n">
        <v>0</v>
      </c>
      <c r="CY132" s="16" t="n">
        <v>0</v>
      </c>
      <c r="CZ132" s="16" t="n">
        <v>0</v>
      </c>
      <c r="DA132" s="16" t="n">
        <v>0</v>
      </c>
      <c r="DB132" s="16" t="n">
        <v>0</v>
      </c>
      <c r="DC132" s="16" t="n">
        <v>0</v>
      </c>
      <c r="DD132" s="16" t="n">
        <v>0</v>
      </c>
      <c r="DE132" s="16" t="n">
        <v>0</v>
      </c>
      <c r="DF132" s="16" t="n">
        <v>0</v>
      </c>
      <c r="DG132" s="16" t="n">
        <v>0</v>
      </c>
      <c r="DH132" s="16" t="n">
        <v>0</v>
      </c>
      <c r="DI132" s="16" t="n">
        <v>0</v>
      </c>
      <c r="DJ132" s="16" t="n">
        <v>0</v>
      </c>
      <c r="DK132" s="16" t="n">
        <v>0</v>
      </c>
      <c r="DL132" s="16" t="n">
        <v>0</v>
      </c>
      <c r="DM132" s="16" t="n">
        <v>0</v>
      </c>
      <c r="DN132" s="16" t="n">
        <v>0</v>
      </c>
      <c r="DO132" s="16" t="n">
        <v>0</v>
      </c>
      <c r="DP132" s="16" t="n">
        <v>0</v>
      </c>
      <c r="DQ132" s="16" t="n">
        <v>0</v>
      </c>
      <c r="DR132" s="16" t="n">
        <v>0</v>
      </c>
      <c r="DS132" s="16" t="n">
        <v>0</v>
      </c>
      <c r="DT132" s="16" t="n">
        <v>0</v>
      </c>
      <c r="DU132" s="16" t="n">
        <v>0</v>
      </c>
      <c r="DV132" s="16" t="n">
        <v>0</v>
      </c>
      <c r="DW132" s="16" t="n">
        <v>0</v>
      </c>
      <c r="DX132" s="16" t="n">
        <v>0</v>
      </c>
      <c r="DY132" s="16" t="n">
        <v>0</v>
      </c>
      <c r="DZ132" s="16" t="n">
        <v>0</v>
      </c>
      <c r="EA132" s="16" t="n">
        <v>0</v>
      </c>
      <c r="EB132" s="16" t="n">
        <v>0</v>
      </c>
      <c r="EC132" s="16" t="n">
        <v>0</v>
      </c>
      <c r="ED132" s="16" t="n">
        <v>0</v>
      </c>
      <c r="EE132" s="16" t="n">
        <v>0</v>
      </c>
      <c r="EF132" s="16" t="n">
        <v>0</v>
      </c>
    </row>
    <row r="133" customFormat="false" ht="15" hidden="false" customHeight="true" outlineLevel="0" collapsed="false">
      <c r="A133" s="9" t="s">
        <v>12</v>
      </c>
      <c r="B133" s="9" t="s">
        <v>22</v>
      </c>
      <c r="C133" s="9" t="s">
        <v>22</v>
      </c>
      <c r="D133" s="9" t="s">
        <v>336</v>
      </c>
      <c r="E133" s="9" t="s">
        <v>10</v>
      </c>
      <c r="F133" s="9" t="s">
        <v>84</v>
      </c>
      <c r="G133" s="16" t="n">
        <v>0</v>
      </c>
      <c r="H133" s="16" t="n">
        <v>10</v>
      </c>
      <c r="I133" s="16" t="n">
        <v>0</v>
      </c>
      <c r="J133" s="16" t="n">
        <v>10</v>
      </c>
      <c r="K133" s="16" t="n">
        <v>0</v>
      </c>
      <c r="L133" s="16" t="n">
        <v>0</v>
      </c>
      <c r="M133" s="16" t="n">
        <v>0</v>
      </c>
      <c r="N133" s="16" t="n">
        <v>0</v>
      </c>
      <c r="O133" s="16" t="n">
        <v>0</v>
      </c>
      <c r="P133" s="16" t="n">
        <v>0</v>
      </c>
      <c r="Q133" s="16" t="n">
        <v>0</v>
      </c>
      <c r="R133" s="16" t="n">
        <v>0</v>
      </c>
      <c r="S133" s="16" t="n">
        <v>0</v>
      </c>
      <c r="T133" s="16" t="n">
        <v>0</v>
      </c>
      <c r="U133" s="16" t="n">
        <v>0</v>
      </c>
      <c r="V133" s="16" t="n">
        <v>0</v>
      </c>
      <c r="W133" s="16" t="n">
        <v>0</v>
      </c>
      <c r="X133" s="16" t="n">
        <v>0</v>
      </c>
      <c r="Y133" s="16" t="n">
        <v>0</v>
      </c>
      <c r="Z133" s="16" t="n">
        <v>0</v>
      </c>
      <c r="AA133" s="16" t="n">
        <v>0</v>
      </c>
      <c r="AB133" s="16" t="n">
        <v>0</v>
      </c>
      <c r="AC133" s="16" t="n">
        <v>0</v>
      </c>
      <c r="AD133" s="16" t="n">
        <v>0</v>
      </c>
      <c r="AE133" s="16" t="n">
        <v>0</v>
      </c>
      <c r="AF133" s="16" t="n">
        <v>0</v>
      </c>
      <c r="AG133" s="16" t="n">
        <v>0</v>
      </c>
      <c r="AH133" s="16" t="n">
        <v>0</v>
      </c>
      <c r="AI133" s="16" t="n">
        <v>0</v>
      </c>
      <c r="AJ133" s="16" t="n">
        <v>0</v>
      </c>
      <c r="AK133" s="16" t="n">
        <v>0</v>
      </c>
      <c r="AL133" s="16" t="n">
        <v>0</v>
      </c>
      <c r="AM133" s="16" t="n">
        <v>0</v>
      </c>
      <c r="AN133" s="16" t="n">
        <v>0</v>
      </c>
      <c r="AO133" s="16" t="n">
        <v>0</v>
      </c>
      <c r="AP133" s="16" t="n">
        <v>0</v>
      </c>
      <c r="AQ133" s="16" t="n">
        <v>0</v>
      </c>
      <c r="AR133" s="16" t="n">
        <v>0</v>
      </c>
      <c r="AS133" s="16" t="n">
        <v>0</v>
      </c>
      <c r="AT133" s="16" t="n">
        <v>0</v>
      </c>
      <c r="AU133" s="16" t="n">
        <v>0</v>
      </c>
      <c r="AV133" s="16" t="n">
        <v>0</v>
      </c>
      <c r="AW133" s="16" t="n">
        <v>0</v>
      </c>
      <c r="AX133" s="16" t="n">
        <v>0</v>
      </c>
      <c r="AY133" s="16" t="n">
        <v>0</v>
      </c>
      <c r="AZ133" s="16" t="n">
        <v>0</v>
      </c>
      <c r="BA133" s="16" t="n">
        <v>0</v>
      </c>
      <c r="BB133" s="16" t="n">
        <v>0</v>
      </c>
      <c r="BC133" s="16" t="n">
        <v>0</v>
      </c>
      <c r="BD133" s="16" t="n">
        <v>0</v>
      </c>
      <c r="BE133" s="16" t="n">
        <v>0</v>
      </c>
      <c r="BF133" s="16" t="n">
        <v>0</v>
      </c>
      <c r="BG133" s="16" t="n">
        <v>0</v>
      </c>
      <c r="BH133" s="16" t="n">
        <v>0</v>
      </c>
      <c r="BI133" s="16" t="n">
        <v>0</v>
      </c>
      <c r="BJ133" s="16" t="n">
        <v>0</v>
      </c>
      <c r="BK133" s="16" t="n">
        <v>0</v>
      </c>
      <c r="BL133" s="16" t="n">
        <v>0</v>
      </c>
      <c r="BM133" s="16" t="n">
        <v>0</v>
      </c>
      <c r="BN133" s="16" t="n">
        <v>0</v>
      </c>
      <c r="BO133" s="16" t="n">
        <v>0</v>
      </c>
      <c r="BP133" s="16" t="n">
        <v>0</v>
      </c>
      <c r="BQ133" s="16" t="n">
        <v>0</v>
      </c>
      <c r="BR133" s="16" t="n">
        <v>0</v>
      </c>
      <c r="BS133" s="16" t="n">
        <v>0</v>
      </c>
      <c r="BT133" s="16" t="n">
        <v>0</v>
      </c>
      <c r="BU133" s="16" t="n">
        <v>0</v>
      </c>
      <c r="BV133" s="16" t="n">
        <v>0</v>
      </c>
      <c r="BW133" s="16" t="n">
        <v>0</v>
      </c>
      <c r="BX133" s="16" t="n">
        <v>0</v>
      </c>
      <c r="BY133" s="16" t="n">
        <v>0</v>
      </c>
      <c r="BZ133" s="16" t="n">
        <v>0</v>
      </c>
      <c r="CA133" s="16" t="n">
        <v>0</v>
      </c>
      <c r="CB133" s="16" t="n">
        <v>0</v>
      </c>
      <c r="CC133" s="16" t="n">
        <v>0</v>
      </c>
      <c r="CD133" s="16" t="n">
        <v>0</v>
      </c>
      <c r="CE133" s="16" t="n">
        <v>0</v>
      </c>
      <c r="CF133" s="16" t="n">
        <v>0</v>
      </c>
      <c r="CG133" s="16" t="n">
        <v>0</v>
      </c>
      <c r="CH133" s="16" t="n">
        <v>0</v>
      </c>
      <c r="CI133" s="16" t="n">
        <v>0</v>
      </c>
      <c r="CJ133" s="16" t="n">
        <v>0</v>
      </c>
      <c r="CK133" s="16" t="n">
        <v>0</v>
      </c>
      <c r="CL133" s="16" t="n">
        <v>0</v>
      </c>
      <c r="CM133" s="16" t="n">
        <v>0</v>
      </c>
      <c r="CN133" s="16" t="n">
        <v>0</v>
      </c>
      <c r="CO133" s="16" t="n">
        <v>0</v>
      </c>
      <c r="CP133" s="16" t="n">
        <v>0</v>
      </c>
      <c r="CQ133" s="16" t="n">
        <v>0</v>
      </c>
      <c r="CR133" s="16" t="n">
        <v>0</v>
      </c>
      <c r="CS133" s="16" t="n">
        <v>0</v>
      </c>
      <c r="CT133" s="16" t="n">
        <v>0</v>
      </c>
      <c r="CU133" s="16" t="n">
        <v>0</v>
      </c>
      <c r="CV133" s="16" t="n">
        <v>0</v>
      </c>
      <c r="CW133" s="16" t="n">
        <v>0</v>
      </c>
      <c r="CX133" s="16" t="n">
        <v>0</v>
      </c>
      <c r="CY133" s="16" t="n">
        <v>0</v>
      </c>
      <c r="CZ133" s="16" t="n">
        <v>0</v>
      </c>
      <c r="DA133" s="16" t="n">
        <v>0</v>
      </c>
      <c r="DB133" s="16" t="n">
        <v>0</v>
      </c>
      <c r="DC133" s="16" t="n">
        <v>0</v>
      </c>
      <c r="DD133" s="16" t="n">
        <v>0</v>
      </c>
      <c r="DE133" s="16" t="n">
        <v>0</v>
      </c>
      <c r="DF133" s="16" t="n">
        <v>0</v>
      </c>
      <c r="DG133" s="16" t="n">
        <v>0</v>
      </c>
      <c r="DH133" s="16" t="n">
        <v>0</v>
      </c>
      <c r="DI133" s="16" t="n">
        <v>0</v>
      </c>
      <c r="DJ133" s="16" t="n">
        <v>0</v>
      </c>
      <c r="DK133" s="16" t="n">
        <v>0</v>
      </c>
      <c r="DL133" s="16" t="n">
        <v>0</v>
      </c>
      <c r="DM133" s="16" t="n">
        <v>0</v>
      </c>
      <c r="DN133" s="16" t="n">
        <v>0</v>
      </c>
      <c r="DO133" s="16" t="n">
        <v>0</v>
      </c>
      <c r="DP133" s="16" t="n">
        <v>0</v>
      </c>
      <c r="DQ133" s="16" t="n">
        <v>0</v>
      </c>
      <c r="DR133" s="16" t="n">
        <v>0</v>
      </c>
      <c r="DS133" s="16" t="n">
        <v>0</v>
      </c>
      <c r="DT133" s="16" t="n">
        <v>0</v>
      </c>
      <c r="DU133" s="16" t="n">
        <v>0</v>
      </c>
      <c r="DV133" s="16" t="n">
        <v>0</v>
      </c>
      <c r="DW133" s="16" t="n">
        <v>0</v>
      </c>
      <c r="DX133" s="16" t="n">
        <v>0</v>
      </c>
      <c r="DY133" s="16" t="n">
        <v>0</v>
      </c>
      <c r="DZ133" s="16" t="n">
        <v>0</v>
      </c>
      <c r="EA133" s="16" t="n">
        <v>0</v>
      </c>
      <c r="EB133" s="16" t="n">
        <v>0</v>
      </c>
      <c r="EC133" s="16" t="n">
        <v>0</v>
      </c>
      <c r="ED133" s="16" t="n">
        <v>0</v>
      </c>
      <c r="EE133" s="16" t="n">
        <v>0</v>
      </c>
      <c r="EF133" s="16" t="n">
        <v>0</v>
      </c>
    </row>
    <row r="134" customFormat="false" ht="15" hidden="false" customHeight="true" outlineLevel="0" collapsed="false">
      <c r="A134" s="9" t="s">
        <v>12</v>
      </c>
      <c r="B134" s="9" t="s">
        <v>22</v>
      </c>
      <c r="C134" s="9" t="s">
        <v>22</v>
      </c>
      <c r="D134" s="9" t="s">
        <v>337</v>
      </c>
      <c r="E134" s="9" t="s">
        <v>10</v>
      </c>
      <c r="F134" s="9" t="s">
        <v>40</v>
      </c>
      <c r="G134" s="16" t="n">
        <v>0</v>
      </c>
      <c r="H134" s="16" t="n">
        <v>0</v>
      </c>
      <c r="I134" s="16" t="n">
        <v>0</v>
      </c>
      <c r="J134" s="16" t="n">
        <v>0</v>
      </c>
      <c r="K134" s="16" t="n">
        <v>0</v>
      </c>
      <c r="L134" s="16" t="n">
        <v>0</v>
      </c>
      <c r="M134" s="16" t="n">
        <v>0</v>
      </c>
      <c r="N134" s="16" t="n">
        <v>0</v>
      </c>
      <c r="O134" s="16" t="n">
        <v>0</v>
      </c>
      <c r="P134" s="16" t="n">
        <v>0</v>
      </c>
      <c r="Q134" s="16" t="n">
        <v>0</v>
      </c>
      <c r="R134" s="16" t="n">
        <v>0</v>
      </c>
      <c r="S134" s="16" t="n">
        <v>0</v>
      </c>
      <c r="T134" s="16" t="n">
        <v>0</v>
      </c>
      <c r="U134" s="16" t="n">
        <v>0</v>
      </c>
      <c r="V134" s="16" t="n">
        <v>0</v>
      </c>
      <c r="W134" s="16" t="n">
        <v>0</v>
      </c>
      <c r="X134" s="16" t="n">
        <v>0</v>
      </c>
      <c r="Y134" s="16" t="n">
        <v>0</v>
      </c>
      <c r="Z134" s="16" t="n">
        <v>0</v>
      </c>
      <c r="AA134" s="16" t="n">
        <v>0</v>
      </c>
      <c r="AB134" s="16" t="n">
        <v>0</v>
      </c>
      <c r="AC134" s="16" t="n">
        <v>0</v>
      </c>
      <c r="AD134" s="16" t="n">
        <v>0</v>
      </c>
      <c r="AE134" s="16" t="n">
        <v>0</v>
      </c>
      <c r="AF134" s="16" t="n">
        <v>0</v>
      </c>
      <c r="AG134" s="16" t="n">
        <v>0</v>
      </c>
      <c r="AH134" s="16" t="n">
        <v>0</v>
      </c>
      <c r="AI134" s="16" t="n">
        <v>0</v>
      </c>
      <c r="AJ134" s="16" t="n">
        <v>0</v>
      </c>
      <c r="AK134" s="16" t="n">
        <v>0</v>
      </c>
      <c r="AL134" s="16" t="n">
        <v>0</v>
      </c>
      <c r="AM134" s="16" t="n">
        <v>0</v>
      </c>
      <c r="AN134" s="16" t="n">
        <v>0</v>
      </c>
      <c r="AO134" s="16" t="n">
        <v>0</v>
      </c>
      <c r="AP134" s="16" t="n">
        <v>0</v>
      </c>
      <c r="AQ134" s="16" t="n">
        <v>0</v>
      </c>
      <c r="AR134" s="16" t="n">
        <v>0</v>
      </c>
      <c r="AS134" s="16" t="n">
        <v>0</v>
      </c>
      <c r="AT134" s="16" t="n">
        <v>0</v>
      </c>
      <c r="AU134" s="16" t="n">
        <v>0</v>
      </c>
      <c r="AV134" s="16" t="n">
        <v>0</v>
      </c>
      <c r="AW134" s="16" t="n">
        <v>0</v>
      </c>
      <c r="AX134" s="16" t="n">
        <v>0</v>
      </c>
      <c r="AY134" s="16" t="n">
        <v>0</v>
      </c>
      <c r="AZ134" s="16" t="n">
        <v>0</v>
      </c>
      <c r="BA134" s="16" t="n">
        <v>0</v>
      </c>
      <c r="BB134" s="16" t="n">
        <v>0</v>
      </c>
      <c r="BC134" s="16" t="n">
        <v>0</v>
      </c>
      <c r="BD134" s="16" t="n">
        <v>0</v>
      </c>
      <c r="BE134" s="16" t="n">
        <v>0</v>
      </c>
      <c r="BF134" s="16" t="n">
        <v>0</v>
      </c>
      <c r="BG134" s="16" t="n">
        <v>0</v>
      </c>
      <c r="BH134" s="16" t="n">
        <v>0</v>
      </c>
      <c r="BI134" s="16" t="n">
        <v>0</v>
      </c>
      <c r="BJ134" s="16" t="n">
        <v>0</v>
      </c>
      <c r="BK134" s="16" t="n">
        <v>0</v>
      </c>
      <c r="BL134" s="16" t="n">
        <v>0</v>
      </c>
      <c r="BM134" s="16" t="n">
        <v>0</v>
      </c>
      <c r="BN134" s="16" t="n">
        <v>0</v>
      </c>
      <c r="BO134" s="16" t="n">
        <v>0</v>
      </c>
      <c r="BP134" s="16" t="n">
        <v>0</v>
      </c>
      <c r="BQ134" s="16" t="n">
        <v>0</v>
      </c>
      <c r="BR134" s="16" t="n">
        <v>0</v>
      </c>
      <c r="BS134" s="16" t="n">
        <v>0</v>
      </c>
      <c r="BT134" s="16" t="n">
        <v>0</v>
      </c>
      <c r="BU134" s="16" t="n">
        <v>0</v>
      </c>
      <c r="BV134" s="16" t="n">
        <v>0</v>
      </c>
      <c r="BW134" s="16" t="n">
        <v>0</v>
      </c>
      <c r="BX134" s="16" t="n">
        <v>0</v>
      </c>
      <c r="BY134" s="16" t="n">
        <v>0</v>
      </c>
      <c r="BZ134" s="16" t="n">
        <v>0</v>
      </c>
      <c r="CA134" s="16" t="n">
        <v>0</v>
      </c>
      <c r="CB134" s="16" t="n">
        <v>0</v>
      </c>
      <c r="CC134" s="16" t="n">
        <v>0</v>
      </c>
      <c r="CD134" s="16" t="n">
        <v>0</v>
      </c>
      <c r="CE134" s="16" t="n">
        <v>0</v>
      </c>
      <c r="CF134" s="16" t="n">
        <v>0</v>
      </c>
      <c r="CG134" s="16" t="n">
        <v>0</v>
      </c>
      <c r="CH134" s="16" t="n">
        <v>0</v>
      </c>
      <c r="CI134" s="16" t="n">
        <v>0</v>
      </c>
      <c r="CJ134" s="16" t="n">
        <v>0</v>
      </c>
      <c r="CK134" s="16" t="n">
        <v>0</v>
      </c>
      <c r="CL134" s="16" t="n">
        <v>0</v>
      </c>
      <c r="CM134" s="16" t="n">
        <v>0</v>
      </c>
      <c r="CN134" s="16" t="n">
        <v>0</v>
      </c>
      <c r="CO134" s="16" t="n">
        <v>0</v>
      </c>
      <c r="CP134" s="16" t="n">
        <v>0</v>
      </c>
      <c r="CQ134" s="16" t="n">
        <v>0</v>
      </c>
      <c r="CR134" s="16" t="n">
        <v>0</v>
      </c>
      <c r="CS134" s="16" t="n">
        <v>0</v>
      </c>
      <c r="CT134" s="16" t="n">
        <v>0</v>
      </c>
      <c r="CU134" s="16" t="n">
        <v>0</v>
      </c>
      <c r="CV134" s="16" t="n">
        <v>0</v>
      </c>
      <c r="CW134" s="16" t="n">
        <v>0</v>
      </c>
      <c r="CX134" s="16" t="n">
        <v>0</v>
      </c>
      <c r="CY134" s="16" t="n">
        <v>0</v>
      </c>
      <c r="CZ134" s="16" t="n">
        <v>0</v>
      </c>
      <c r="DA134" s="16" t="n">
        <v>0</v>
      </c>
      <c r="DB134" s="16" t="n">
        <v>0</v>
      </c>
      <c r="DC134" s="16" t="n">
        <v>0</v>
      </c>
      <c r="DD134" s="16" t="n">
        <v>0</v>
      </c>
      <c r="DE134" s="16" t="n">
        <v>0</v>
      </c>
      <c r="DF134" s="16" t="n">
        <v>0</v>
      </c>
      <c r="DG134" s="16" t="n">
        <v>0</v>
      </c>
      <c r="DH134" s="16" t="n">
        <v>0</v>
      </c>
      <c r="DI134" s="16" t="n">
        <v>0</v>
      </c>
      <c r="DJ134" s="16" t="n">
        <v>0</v>
      </c>
      <c r="DK134" s="16" t="n">
        <v>0</v>
      </c>
      <c r="DL134" s="16" t="n">
        <v>0</v>
      </c>
      <c r="DM134" s="16" t="n">
        <v>0</v>
      </c>
      <c r="DN134" s="16" t="n">
        <v>0</v>
      </c>
      <c r="DO134" s="16" t="n">
        <v>0</v>
      </c>
      <c r="DP134" s="16" t="n">
        <v>0</v>
      </c>
      <c r="DQ134" s="16" t="n">
        <v>0</v>
      </c>
      <c r="DR134" s="16" t="n">
        <v>0</v>
      </c>
      <c r="DS134" s="16" t="n">
        <v>0</v>
      </c>
      <c r="DT134" s="16" t="n">
        <v>0</v>
      </c>
      <c r="DU134" s="16" t="n">
        <v>0</v>
      </c>
      <c r="DV134" s="16" t="n">
        <v>0</v>
      </c>
      <c r="DW134" s="16" t="n">
        <v>0</v>
      </c>
      <c r="DX134" s="16" t="n">
        <v>0</v>
      </c>
      <c r="DY134" s="16" t="n">
        <v>0</v>
      </c>
      <c r="DZ134" s="16" t="n">
        <v>0</v>
      </c>
      <c r="EA134" s="16" t="n">
        <v>0</v>
      </c>
      <c r="EB134" s="16" t="n">
        <v>0</v>
      </c>
      <c r="EC134" s="16" t="n">
        <v>0</v>
      </c>
      <c r="ED134" s="16" t="n">
        <v>0</v>
      </c>
      <c r="EE134" s="16" t="n">
        <v>0</v>
      </c>
      <c r="EF134" s="16" t="n">
        <v>0</v>
      </c>
    </row>
    <row r="135" customFormat="false" ht="15" hidden="false" customHeight="true" outlineLevel="0" collapsed="false">
      <c r="A135" s="9" t="s">
        <v>12</v>
      </c>
      <c r="B135" s="9" t="s">
        <v>22</v>
      </c>
      <c r="C135" s="9" t="s">
        <v>22</v>
      </c>
      <c r="D135" s="9" t="s">
        <v>336</v>
      </c>
      <c r="E135" s="9" t="s">
        <v>10</v>
      </c>
      <c r="F135" s="9" t="s">
        <v>40</v>
      </c>
      <c r="G135" s="16" t="n">
        <v>0</v>
      </c>
      <c r="H135" s="16" t="n">
        <v>28</v>
      </c>
      <c r="I135" s="16" t="n">
        <v>0</v>
      </c>
      <c r="J135" s="16" t="n">
        <v>28</v>
      </c>
      <c r="K135" s="16" t="n">
        <v>0</v>
      </c>
      <c r="L135" s="16" t="n">
        <v>0</v>
      </c>
      <c r="M135" s="16" t="n">
        <v>0</v>
      </c>
      <c r="N135" s="16" t="n">
        <v>0</v>
      </c>
      <c r="O135" s="16" t="n">
        <v>0</v>
      </c>
      <c r="P135" s="16" t="n">
        <v>0</v>
      </c>
      <c r="Q135" s="16" t="n">
        <v>0</v>
      </c>
      <c r="R135" s="16" t="n">
        <v>0</v>
      </c>
      <c r="S135" s="16" t="n">
        <v>0</v>
      </c>
      <c r="T135" s="16" t="n">
        <v>0</v>
      </c>
      <c r="U135" s="16" t="n">
        <v>0</v>
      </c>
      <c r="V135" s="16" t="n">
        <v>0</v>
      </c>
      <c r="W135" s="16" t="n">
        <v>0</v>
      </c>
      <c r="X135" s="16" t="n">
        <v>0</v>
      </c>
      <c r="Y135" s="16" t="n">
        <v>0</v>
      </c>
      <c r="Z135" s="16" t="n">
        <v>0</v>
      </c>
      <c r="AA135" s="16" t="n">
        <v>0</v>
      </c>
      <c r="AB135" s="16" t="n">
        <v>0</v>
      </c>
      <c r="AC135" s="16" t="n">
        <v>0</v>
      </c>
      <c r="AD135" s="16" t="n">
        <v>0</v>
      </c>
      <c r="AE135" s="16" t="n">
        <v>0</v>
      </c>
      <c r="AF135" s="16" t="n">
        <v>0</v>
      </c>
      <c r="AG135" s="16" t="n">
        <v>0</v>
      </c>
      <c r="AH135" s="16" t="n">
        <v>0</v>
      </c>
      <c r="AI135" s="16" t="n">
        <v>0</v>
      </c>
      <c r="AJ135" s="16" t="n">
        <v>0</v>
      </c>
      <c r="AK135" s="16" t="n">
        <v>0</v>
      </c>
      <c r="AL135" s="16" t="n">
        <v>0</v>
      </c>
      <c r="AM135" s="16" t="n">
        <v>0</v>
      </c>
      <c r="AN135" s="16" t="n">
        <v>0</v>
      </c>
      <c r="AO135" s="16" t="n">
        <v>0</v>
      </c>
      <c r="AP135" s="16" t="n">
        <v>0</v>
      </c>
      <c r="AQ135" s="16" t="n">
        <v>0</v>
      </c>
      <c r="AR135" s="16" t="n">
        <v>0</v>
      </c>
      <c r="AS135" s="16" t="n">
        <v>0</v>
      </c>
      <c r="AT135" s="16" t="n">
        <v>0</v>
      </c>
      <c r="AU135" s="16" t="n">
        <v>0</v>
      </c>
      <c r="AV135" s="16" t="n">
        <v>0</v>
      </c>
      <c r="AW135" s="16" t="n">
        <v>0</v>
      </c>
      <c r="AX135" s="16" t="n">
        <v>0</v>
      </c>
      <c r="AY135" s="16" t="n">
        <v>0</v>
      </c>
      <c r="AZ135" s="16" t="n">
        <v>0</v>
      </c>
      <c r="BA135" s="16" t="n">
        <v>0</v>
      </c>
      <c r="BB135" s="16" t="n">
        <v>0</v>
      </c>
      <c r="BC135" s="16" t="n">
        <v>0</v>
      </c>
      <c r="BD135" s="16" t="n">
        <v>0</v>
      </c>
      <c r="BE135" s="16" t="n">
        <v>0</v>
      </c>
      <c r="BF135" s="16" t="n">
        <v>0</v>
      </c>
      <c r="BG135" s="16" t="n">
        <v>0</v>
      </c>
      <c r="BH135" s="16" t="n">
        <v>0</v>
      </c>
      <c r="BI135" s="16" t="n">
        <v>0</v>
      </c>
      <c r="BJ135" s="16" t="n">
        <v>0</v>
      </c>
      <c r="BK135" s="16" t="n">
        <v>0</v>
      </c>
      <c r="BL135" s="16" t="n">
        <v>0</v>
      </c>
      <c r="BM135" s="16" t="n">
        <v>0</v>
      </c>
      <c r="BN135" s="16" t="n">
        <v>0</v>
      </c>
      <c r="BO135" s="16" t="n">
        <v>0</v>
      </c>
      <c r="BP135" s="16" t="n">
        <v>0</v>
      </c>
      <c r="BQ135" s="16" t="n">
        <v>0</v>
      </c>
      <c r="BR135" s="16" t="n">
        <v>0</v>
      </c>
      <c r="BS135" s="16" t="n">
        <v>0</v>
      </c>
      <c r="BT135" s="16" t="n">
        <v>0</v>
      </c>
      <c r="BU135" s="16" t="n">
        <v>0</v>
      </c>
      <c r="BV135" s="16" t="n">
        <v>0</v>
      </c>
      <c r="BW135" s="16" t="n">
        <v>0</v>
      </c>
      <c r="BX135" s="16" t="n">
        <v>0</v>
      </c>
      <c r="BY135" s="16" t="n">
        <v>0</v>
      </c>
      <c r="BZ135" s="16" t="n">
        <v>0</v>
      </c>
      <c r="CA135" s="16" t="n">
        <v>0</v>
      </c>
      <c r="CB135" s="16" t="n">
        <v>0</v>
      </c>
      <c r="CC135" s="16" t="n">
        <v>0</v>
      </c>
      <c r="CD135" s="16" t="n">
        <v>0</v>
      </c>
      <c r="CE135" s="16" t="n">
        <v>0</v>
      </c>
      <c r="CF135" s="16" t="n">
        <v>0</v>
      </c>
      <c r="CG135" s="16" t="n">
        <v>0</v>
      </c>
      <c r="CH135" s="16" t="n">
        <v>0</v>
      </c>
      <c r="CI135" s="16" t="n">
        <v>0</v>
      </c>
      <c r="CJ135" s="16" t="n">
        <v>0</v>
      </c>
      <c r="CK135" s="16" t="n">
        <v>0</v>
      </c>
      <c r="CL135" s="16" t="n">
        <v>0</v>
      </c>
      <c r="CM135" s="16" t="n">
        <v>0</v>
      </c>
      <c r="CN135" s="16" t="n">
        <v>0</v>
      </c>
      <c r="CO135" s="16" t="n">
        <v>0</v>
      </c>
      <c r="CP135" s="16" t="n">
        <v>0</v>
      </c>
      <c r="CQ135" s="16" t="n">
        <v>0</v>
      </c>
      <c r="CR135" s="16" t="n">
        <v>0</v>
      </c>
      <c r="CS135" s="16" t="n">
        <v>0</v>
      </c>
      <c r="CT135" s="16" t="n">
        <v>0</v>
      </c>
      <c r="CU135" s="16" t="n">
        <v>0</v>
      </c>
      <c r="CV135" s="16" t="n">
        <v>0</v>
      </c>
      <c r="CW135" s="16" t="n">
        <v>0</v>
      </c>
      <c r="CX135" s="16" t="n">
        <v>0</v>
      </c>
      <c r="CY135" s="16" t="n">
        <v>0</v>
      </c>
      <c r="CZ135" s="16" t="n">
        <v>0</v>
      </c>
      <c r="DA135" s="16" t="n">
        <v>0</v>
      </c>
      <c r="DB135" s="16" t="n">
        <v>0</v>
      </c>
      <c r="DC135" s="16" t="n">
        <v>0</v>
      </c>
      <c r="DD135" s="16" t="n">
        <v>0</v>
      </c>
      <c r="DE135" s="16" t="n">
        <v>0</v>
      </c>
      <c r="DF135" s="16" t="n">
        <v>0</v>
      </c>
      <c r="DG135" s="16" t="n">
        <v>0</v>
      </c>
      <c r="DH135" s="16" t="n">
        <v>0</v>
      </c>
      <c r="DI135" s="16" t="n">
        <v>0</v>
      </c>
      <c r="DJ135" s="16" t="n">
        <v>0</v>
      </c>
      <c r="DK135" s="16" t="n">
        <v>0</v>
      </c>
      <c r="DL135" s="16" t="n">
        <v>0</v>
      </c>
      <c r="DM135" s="16" t="n">
        <v>0</v>
      </c>
      <c r="DN135" s="16" t="n">
        <v>0</v>
      </c>
      <c r="DO135" s="16" t="n">
        <v>0</v>
      </c>
      <c r="DP135" s="16" t="n">
        <v>0</v>
      </c>
      <c r="DQ135" s="16" t="n">
        <v>0</v>
      </c>
      <c r="DR135" s="16" t="n">
        <v>0</v>
      </c>
      <c r="DS135" s="16" t="n">
        <v>0</v>
      </c>
      <c r="DT135" s="16" t="n">
        <v>0</v>
      </c>
      <c r="DU135" s="16" t="n">
        <v>0</v>
      </c>
      <c r="DV135" s="16" t="n">
        <v>0</v>
      </c>
      <c r="DW135" s="16" t="n">
        <v>0</v>
      </c>
      <c r="DX135" s="16" t="n">
        <v>0</v>
      </c>
      <c r="DY135" s="16" t="n">
        <v>0</v>
      </c>
      <c r="DZ135" s="16" t="n">
        <v>0</v>
      </c>
      <c r="EA135" s="16" t="n">
        <v>0</v>
      </c>
      <c r="EB135" s="16" t="n">
        <v>0</v>
      </c>
      <c r="EC135" s="16" t="n">
        <v>0</v>
      </c>
      <c r="ED135" s="16" t="n">
        <v>0</v>
      </c>
      <c r="EE135" s="16" t="n">
        <v>0</v>
      </c>
      <c r="EF135" s="16" t="n">
        <v>0</v>
      </c>
    </row>
    <row r="136" customFormat="false" ht="15" hidden="false" customHeight="true" outlineLevel="0" collapsed="false">
      <c r="A136" s="9" t="s">
        <v>12</v>
      </c>
      <c r="B136" s="9" t="s">
        <v>22</v>
      </c>
      <c r="C136" s="9" t="s">
        <v>22</v>
      </c>
      <c r="D136" s="9" t="s">
        <v>337</v>
      </c>
      <c r="E136" s="9" t="s">
        <v>10</v>
      </c>
      <c r="F136" s="9" t="s">
        <v>103</v>
      </c>
      <c r="G136" s="16" t="n">
        <v>0</v>
      </c>
      <c r="H136" s="16" t="n">
        <v>0</v>
      </c>
      <c r="I136" s="16" t="n">
        <v>192.5</v>
      </c>
      <c r="J136" s="16" t="n">
        <v>-192.5</v>
      </c>
      <c r="K136" s="16" t="n">
        <v>0</v>
      </c>
      <c r="L136" s="16" t="n">
        <v>0</v>
      </c>
      <c r="M136" s="16" t="n">
        <v>0</v>
      </c>
      <c r="N136" s="16" t="n">
        <v>0</v>
      </c>
      <c r="O136" s="16" t="n">
        <v>0</v>
      </c>
      <c r="P136" s="16" t="n">
        <v>0</v>
      </c>
      <c r="Q136" s="16" t="n">
        <v>0</v>
      </c>
      <c r="R136" s="16" t="n">
        <v>0</v>
      </c>
      <c r="S136" s="16" t="n">
        <v>0</v>
      </c>
      <c r="T136" s="16" t="n">
        <v>0</v>
      </c>
      <c r="U136" s="16" t="n">
        <v>0</v>
      </c>
      <c r="V136" s="16" t="n">
        <v>0</v>
      </c>
      <c r="W136" s="16" t="n">
        <v>0</v>
      </c>
      <c r="X136" s="16" t="n">
        <v>0</v>
      </c>
      <c r="Y136" s="16" t="n">
        <v>0</v>
      </c>
      <c r="Z136" s="16" t="n">
        <v>0</v>
      </c>
      <c r="AA136" s="16" t="n">
        <v>0</v>
      </c>
      <c r="AB136" s="16" t="n">
        <v>0</v>
      </c>
      <c r="AC136" s="16" t="n">
        <v>0</v>
      </c>
      <c r="AD136" s="16" t="n">
        <v>0</v>
      </c>
      <c r="AE136" s="16" t="n">
        <v>0</v>
      </c>
      <c r="AF136" s="16" t="n">
        <v>0</v>
      </c>
      <c r="AG136" s="16" t="n">
        <v>0</v>
      </c>
      <c r="AH136" s="16" t="n">
        <v>0</v>
      </c>
      <c r="AI136" s="16" t="n">
        <v>0</v>
      </c>
      <c r="AJ136" s="16" t="n">
        <v>11</v>
      </c>
      <c r="AK136" s="16" t="n">
        <v>19</v>
      </c>
      <c r="AL136" s="16" t="n">
        <v>15</v>
      </c>
      <c r="AM136" s="16" t="n">
        <v>15</v>
      </c>
      <c r="AN136" s="16" t="n">
        <v>6.5</v>
      </c>
      <c r="AO136" s="16" t="n">
        <v>11</v>
      </c>
      <c r="AP136" s="16" t="n">
        <v>10</v>
      </c>
      <c r="AQ136" s="16" t="n">
        <v>12</v>
      </c>
      <c r="AR136" s="16" t="n">
        <v>13</v>
      </c>
      <c r="AS136" s="16" t="n">
        <v>2.5</v>
      </c>
      <c r="AT136" s="16" t="n">
        <v>0</v>
      </c>
      <c r="AU136" s="16" t="n">
        <v>0</v>
      </c>
      <c r="AV136" s="16" t="n">
        <v>0</v>
      </c>
      <c r="AW136" s="16" t="n">
        <v>0</v>
      </c>
      <c r="AX136" s="16" t="n">
        <v>0</v>
      </c>
      <c r="AY136" s="16" t="n">
        <v>0</v>
      </c>
      <c r="AZ136" s="16" t="n">
        <v>0</v>
      </c>
      <c r="BA136" s="16" t="n">
        <v>0</v>
      </c>
      <c r="BB136" s="16" t="n">
        <v>0</v>
      </c>
      <c r="BC136" s="16" t="n">
        <v>0</v>
      </c>
      <c r="BD136" s="16" t="n">
        <v>0</v>
      </c>
      <c r="BE136" s="16" t="n">
        <v>0</v>
      </c>
      <c r="BF136" s="16" t="n">
        <v>0</v>
      </c>
      <c r="BG136" s="16" t="n">
        <v>0</v>
      </c>
      <c r="BH136" s="16" t="n">
        <v>0</v>
      </c>
      <c r="BI136" s="16" t="n">
        <v>0</v>
      </c>
      <c r="BJ136" s="16" t="n">
        <v>0</v>
      </c>
      <c r="BK136" s="16" t="n">
        <v>0</v>
      </c>
      <c r="BL136" s="16" t="n">
        <v>0</v>
      </c>
      <c r="BM136" s="16" t="n">
        <v>0</v>
      </c>
      <c r="BN136" s="16" t="n">
        <v>0</v>
      </c>
      <c r="BO136" s="16" t="n">
        <v>0</v>
      </c>
      <c r="BP136" s="16" t="n">
        <v>0</v>
      </c>
      <c r="BQ136" s="16" t="n">
        <v>0</v>
      </c>
      <c r="BR136" s="16" t="n">
        <v>0</v>
      </c>
      <c r="BS136" s="16" t="n">
        <v>0</v>
      </c>
      <c r="BT136" s="16" t="n">
        <v>0</v>
      </c>
      <c r="BU136" s="16" t="n">
        <v>0</v>
      </c>
      <c r="BV136" s="16" t="n">
        <v>0</v>
      </c>
      <c r="BW136" s="16" t="n">
        <v>0</v>
      </c>
      <c r="BX136" s="16" t="n">
        <v>0</v>
      </c>
      <c r="BY136" s="16" t="n">
        <v>0</v>
      </c>
      <c r="BZ136" s="16" t="n">
        <v>0</v>
      </c>
      <c r="CA136" s="16" t="n">
        <v>0</v>
      </c>
      <c r="CB136" s="16" t="n">
        <v>0</v>
      </c>
      <c r="CC136" s="16" t="n">
        <v>0</v>
      </c>
      <c r="CD136" s="16" t="n">
        <v>0</v>
      </c>
      <c r="CE136" s="16" t="n">
        <v>0</v>
      </c>
      <c r="CF136" s="16" t="n">
        <v>0</v>
      </c>
      <c r="CG136" s="16" t="n">
        <v>0</v>
      </c>
      <c r="CH136" s="16" t="n">
        <v>0</v>
      </c>
      <c r="CI136" s="16" t="n">
        <v>0</v>
      </c>
      <c r="CJ136" s="16" t="n">
        <v>0</v>
      </c>
      <c r="CK136" s="16" t="n">
        <v>0</v>
      </c>
      <c r="CL136" s="16" t="n">
        <v>0</v>
      </c>
      <c r="CM136" s="16" t="n">
        <v>0</v>
      </c>
      <c r="CN136" s="16" t="n">
        <v>0</v>
      </c>
      <c r="CO136" s="16" t="n">
        <v>0</v>
      </c>
      <c r="CP136" s="16" t="n">
        <v>0</v>
      </c>
      <c r="CQ136" s="16" t="n">
        <v>0</v>
      </c>
      <c r="CR136" s="16" t="n">
        <v>0</v>
      </c>
      <c r="CS136" s="16" t="n">
        <v>10</v>
      </c>
      <c r="CT136" s="16" t="n">
        <v>0</v>
      </c>
      <c r="CU136" s="16" t="n">
        <v>0</v>
      </c>
      <c r="CV136" s="16" t="n">
        <v>0</v>
      </c>
      <c r="CW136" s="16" t="n">
        <v>0</v>
      </c>
      <c r="CX136" s="16" t="n">
        <v>0</v>
      </c>
      <c r="CY136" s="16" t="n">
        <v>0</v>
      </c>
      <c r="CZ136" s="16" t="n">
        <v>0</v>
      </c>
      <c r="DA136" s="16" t="n">
        <v>0</v>
      </c>
      <c r="DB136" s="16" t="n">
        <v>5</v>
      </c>
      <c r="DC136" s="16" t="n">
        <v>5</v>
      </c>
      <c r="DD136" s="16" t="n">
        <v>10</v>
      </c>
      <c r="DE136" s="16" t="n">
        <v>10</v>
      </c>
      <c r="DF136" s="16" t="n">
        <v>0</v>
      </c>
      <c r="DG136" s="16" t="n">
        <v>0</v>
      </c>
      <c r="DH136" s="16" t="n">
        <v>0</v>
      </c>
      <c r="DI136" s="16" t="n">
        <v>0</v>
      </c>
      <c r="DJ136" s="16" t="n">
        <v>0</v>
      </c>
      <c r="DK136" s="16" t="n">
        <v>0</v>
      </c>
      <c r="DL136" s="16" t="n">
        <v>10</v>
      </c>
      <c r="DM136" s="16" t="n">
        <v>10</v>
      </c>
      <c r="DN136" s="16" t="n">
        <v>10</v>
      </c>
      <c r="DO136" s="16" t="n">
        <v>10</v>
      </c>
      <c r="DP136" s="16" t="n">
        <v>0</v>
      </c>
      <c r="DQ136" s="16" t="n">
        <v>0</v>
      </c>
      <c r="DR136" s="16" t="n">
        <v>0</v>
      </c>
      <c r="DS136" s="16" t="n">
        <v>0</v>
      </c>
      <c r="DT136" s="16" t="n">
        <v>0</v>
      </c>
      <c r="DU136" s="16" t="n">
        <v>0</v>
      </c>
      <c r="DV136" s="16" t="n">
        <v>0</v>
      </c>
      <c r="DW136" s="16" t="n">
        <v>0</v>
      </c>
      <c r="DX136" s="16" t="n">
        <v>0</v>
      </c>
      <c r="DY136" s="16" t="n">
        <v>0</v>
      </c>
      <c r="DZ136" s="16" t="n">
        <v>0</v>
      </c>
      <c r="EA136" s="16" t="n">
        <v>0</v>
      </c>
      <c r="EB136" s="16" t="n">
        <v>0</v>
      </c>
      <c r="EC136" s="16" t="n">
        <v>0</v>
      </c>
      <c r="ED136" s="16" t="n">
        <v>0</v>
      </c>
      <c r="EE136" s="16" t="n">
        <v>0</v>
      </c>
      <c r="EF136" s="16" t="n">
        <v>0</v>
      </c>
    </row>
    <row r="137" customFormat="false" ht="15" hidden="false" customHeight="true" outlineLevel="0" collapsed="false">
      <c r="A137" s="9" t="s">
        <v>12</v>
      </c>
      <c r="B137" s="9" t="s">
        <v>22</v>
      </c>
      <c r="C137" s="9" t="s">
        <v>22</v>
      </c>
      <c r="D137" s="9" t="s">
        <v>336</v>
      </c>
      <c r="E137" s="9" t="s">
        <v>10</v>
      </c>
      <c r="F137" s="9" t="s">
        <v>103</v>
      </c>
      <c r="G137" s="16" t="n">
        <v>180.5</v>
      </c>
      <c r="H137" s="16" t="n">
        <v>270.5</v>
      </c>
      <c r="I137" s="16" t="n">
        <v>109</v>
      </c>
      <c r="J137" s="16" t="n">
        <v>161.5</v>
      </c>
      <c r="K137" s="16" t="n">
        <v>0</v>
      </c>
      <c r="L137" s="16" t="n">
        <v>0</v>
      </c>
      <c r="M137" s="16" t="n">
        <v>0</v>
      </c>
      <c r="N137" s="16" t="n">
        <v>0</v>
      </c>
      <c r="O137" s="16" t="n">
        <v>0</v>
      </c>
      <c r="P137" s="16" t="n">
        <v>0</v>
      </c>
      <c r="Q137" s="16" t="n">
        <v>0</v>
      </c>
      <c r="R137" s="16" t="n">
        <v>0</v>
      </c>
      <c r="S137" s="16" t="n">
        <v>0</v>
      </c>
      <c r="T137" s="16" t="n">
        <v>0</v>
      </c>
      <c r="U137" s="16" t="n">
        <v>0</v>
      </c>
      <c r="V137" s="16" t="n">
        <v>0</v>
      </c>
      <c r="W137" s="16" t="n">
        <v>0</v>
      </c>
      <c r="X137" s="16" t="n">
        <v>0</v>
      </c>
      <c r="Y137" s="16" t="n">
        <v>0</v>
      </c>
      <c r="Z137" s="16" t="n">
        <v>0</v>
      </c>
      <c r="AA137" s="16" t="n">
        <v>0</v>
      </c>
      <c r="AB137" s="16" t="n">
        <v>0</v>
      </c>
      <c r="AC137" s="16" t="n">
        <v>7</v>
      </c>
      <c r="AD137" s="16" t="n">
        <v>7</v>
      </c>
      <c r="AE137" s="16" t="n">
        <v>11</v>
      </c>
      <c r="AF137" s="16" t="n">
        <v>16</v>
      </c>
      <c r="AG137" s="16" t="n">
        <v>25</v>
      </c>
      <c r="AH137" s="16" t="n">
        <v>18</v>
      </c>
      <c r="AI137" s="16" t="n">
        <v>18</v>
      </c>
      <c r="AJ137" s="16" t="n">
        <v>7</v>
      </c>
      <c r="AK137" s="16" t="n">
        <v>0</v>
      </c>
      <c r="AL137" s="16" t="n">
        <v>0</v>
      </c>
      <c r="AM137" s="16" t="n">
        <v>0</v>
      </c>
      <c r="AN137" s="16" t="n">
        <v>0</v>
      </c>
      <c r="AO137" s="16" t="n">
        <v>0</v>
      </c>
      <c r="AP137" s="16" t="n">
        <v>0</v>
      </c>
      <c r="AQ137" s="16" t="n">
        <v>0</v>
      </c>
      <c r="AR137" s="16" t="n">
        <v>0</v>
      </c>
      <c r="AS137" s="16" t="n">
        <v>0</v>
      </c>
      <c r="AT137" s="16" t="n">
        <v>0</v>
      </c>
      <c r="AU137" s="16" t="n">
        <v>0</v>
      </c>
      <c r="AV137" s="16" t="n">
        <v>0</v>
      </c>
      <c r="AW137" s="16" t="n">
        <v>0</v>
      </c>
      <c r="AX137" s="16" t="n">
        <v>0</v>
      </c>
      <c r="AY137" s="16" t="n">
        <v>0</v>
      </c>
      <c r="AZ137" s="16" t="n">
        <v>0</v>
      </c>
      <c r="BA137" s="16" t="n">
        <v>0</v>
      </c>
      <c r="BB137" s="16" t="n">
        <v>0</v>
      </c>
      <c r="BC137" s="16" t="n">
        <v>0</v>
      </c>
      <c r="BD137" s="16" t="n">
        <v>0</v>
      </c>
      <c r="BE137" s="16" t="n">
        <v>0</v>
      </c>
      <c r="BF137" s="16" t="n">
        <v>0</v>
      </c>
      <c r="BG137" s="16" t="n">
        <v>0</v>
      </c>
      <c r="BH137" s="16" t="n">
        <v>0</v>
      </c>
      <c r="BI137" s="16" t="n">
        <v>0</v>
      </c>
      <c r="BJ137" s="16" t="n">
        <v>0</v>
      </c>
      <c r="BK137" s="16" t="n">
        <v>0</v>
      </c>
      <c r="BL137" s="16" t="n">
        <v>0</v>
      </c>
      <c r="BM137" s="16" t="n">
        <v>0</v>
      </c>
      <c r="BN137" s="16" t="n">
        <v>0</v>
      </c>
      <c r="BO137" s="16" t="n">
        <v>0</v>
      </c>
      <c r="BP137" s="16" t="n">
        <v>0</v>
      </c>
      <c r="BQ137" s="16" t="n">
        <v>0</v>
      </c>
      <c r="BR137" s="16" t="n">
        <v>0</v>
      </c>
      <c r="BS137" s="16" t="n">
        <v>0</v>
      </c>
      <c r="BT137" s="16" t="n">
        <v>0</v>
      </c>
      <c r="BU137" s="16" t="n">
        <v>0</v>
      </c>
      <c r="BV137" s="16" t="n">
        <v>0</v>
      </c>
      <c r="BW137" s="16" t="n">
        <v>0</v>
      </c>
      <c r="BX137" s="16" t="n">
        <v>0</v>
      </c>
      <c r="BY137" s="16" t="n">
        <v>0</v>
      </c>
      <c r="BZ137" s="16" t="n">
        <v>0</v>
      </c>
      <c r="CA137" s="16" t="n">
        <v>0</v>
      </c>
      <c r="CB137" s="16" t="n">
        <v>0</v>
      </c>
      <c r="CC137" s="16" t="n">
        <v>0</v>
      </c>
      <c r="CD137" s="16" t="n">
        <v>0</v>
      </c>
      <c r="CE137" s="16" t="n">
        <v>0</v>
      </c>
      <c r="CF137" s="16" t="n">
        <v>0</v>
      </c>
      <c r="CG137" s="16" t="n">
        <v>0</v>
      </c>
      <c r="CH137" s="16" t="n">
        <v>0</v>
      </c>
      <c r="CI137" s="16" t="n">
        <v>0</v>
      </c>
      <c r="CJ137" s="16" t="n">
        <v>0</v>
      </c>
      <c r="CK137" s="16" t="n">
        <v>0</v>
      </c>
      <c r="CL137" s="16" t="n">
        <v>0</v>
      </c>
      <c r="CM137" s="16" t="n">
        <v>0</v>
      </c>
      <c r="CN137" s="16" t="n">
        <v>0</v>
      </c>
      <c r="CO137" s="16" t="n">
        <v>0</v>
      </c>
      <c r="CP137" s="16" t="n">
        <v>0</v>
      </c>
      <c r="CQ137" s="16" t="n">
        <v>0</v>
      </c>
      <c r="CR137" s="16" t="n">
        <v>0</v>
      </c>
      <c r="CS137" s="16" t="n">
        <v>0</v>
      </c>
      <c r="CT137" s="16" t="n">
        <v>0</v>
      </c>
      <c r="CU137" s="16" t="n">
        <v>0</v>
      </c>
      <c r="CV137" s="16" t="n">
        <v>0</v>
      </c>
      <c r="CW137" s="16" t="n">
        <v>0</v>
      </c>
      <c r="CX137" s="16" t="n">
        <v>0</v>
      </c>
      <c r="CY137" s="16" t="n">
        <v>0</v>
      </c>
      <c r="CZ137" s="16" t="n">
        <v>0</v>
      </c>
      <c r="DA137" s="16" t="n">
        <v>0</v>
      </c>
      <c r="DB137" s="16" t="n">
        <v>0</v>
      </c>
      <c r="DC137" s="16" t="n">
        <v>0</v>
      </c>
      <c r="DD137" s="16" t="n">
        <v>0</v>
      </c>
      <c r="DE137" s="16" t="n">
        <v>0</v>
      </c>
      <c r="DF137" s="16" t="n">
        <v>0</v>
      </c>
      <c r="DG137" s="16" t="n">
        <v>0</v>
      </c>
      <c r="DH137" s="16" t="n">
        <v>0</v>
      </c>
      <c r="DI137" s="16" t="n">
        <v>0</v>
      </c>
      <c r="DJ137" s="16" t="n">
        <v>0</v>
      </c>
      <c r="DK137" s="16" t="n">
        <v>0</v>
      </c>
      <c r="DL137" s="16" t="n">
        <v>0</v>
      </c>
      <c r="DM137" s="16" t="n">
        <v>0</v>
      </c>
      <c r="DN137" s="16" t="n">
        <v>0</v>
      </c>
      <c r="DO137" s="16" t="n">
        <v>0</v>
      </c>
      <c r="DP137" s="16" t="n">
        <v>0</v>
      </c>
      <c r="DQ137" s="16" t="n">
        <v>0</v>
      </c>
      <c r="DR137" s="16" t="n">
        <v>0</v>
      </c>
      <c r="DS137" s="16" t="n">
        <v>0</v>
      </c>
      <c r="DT137" s="16" t="n">
        <v>0</v>
      </c>
      <c r="DU137" s="16" t="n">
        <v>0</v>
      </c>
      <c r="DV137" s="16" t="n">
        <v>0</v>
      </c>
      <c r="DW137" s="16" t="n">
        <v>0</v>
      </c>
      <c r="DX137" s="16" t="n">
        <v>0</v>
      </c>
      <c r="DY137" s="16" t="n">
        <v>0</v>
      </c>
      <c r="DZ137" s="16" t="n">
        <v>0</v>
      </c>
      <c r="EA137" s="16" t="n">
        <v>0</v>
      </c>
      <c r="EB137" s="16" t="n">
        <v>0</v>
      </c>
      <c r="EC137" s="16" t="n">
        <v>0</v>
      </c>
      <c r="ED137" s="16" t="n">
        <v>0</v>
      </c>
      <c r="EE137" s="16" t="n">
        <v>0</v>
      </c>
      <c r="EF137" s="16" t="n">
        <v>0</v>
      </c>
    </row>
    <row r="138" customFormat="false" ht="15" hidden="false" customHeight="true" outlineLevel="0" collapsed="false">
      <c r="A138" s="9" t="s">
        <v>12</v>
      </c>
      <c r="B138" s="9" t="s">
        <v>22</v>
      </c>
      <c r="C138" s="9" t="s">
        <v>22</v>
      </c>
      <c r="D138" s="9" t="s">
        <v>337</v>
      </c>
      <c r="E138" s="9" t="s">
        <v>10</v>
      </c>
      <c r="F138" s="9" t="s">
        <v>99</v>
      </c>
      <c r="G138" s="16" t="n">
        <v>0</v>
      </c>
      <c r="H138" s="16" t="n">
        <v>0</v>
      </c>
      <c r="I138" s="16" t="n">
        <v>415</v>
      </c>
      <c r="J138" s="16" t="n">
        <v>-415</v>
      </c>
      <c r="K138" s="16" t="n">
        <v>0</v>
      </c>
      <c r="L138" s="16" t="n">
        <v>0</v>
      </c>
      <c r="M138" s="16" t="n">
        <v>0</v>
      </c>
      <c r="N138" s="16" t="n">
        <v>0</v>
      </c>
      <c r="O138" s="16" t="n">
        <v>0</v>
      </c>
      <c r="P138" s="16" t="n">
        <v>0</v>
      </c>
      <c r="Q138" s="16" t="n">
        <v>0</v>
      </c>
      <c r="R138" s="16" t="n">
        <v>0</v>
      </c>
      <c r="S138" s="16" t="n">
        <v>0</v>
      </c>
      <c r="T138" s="16" t="n">
        <v>0</v>
      </c>
      <c r="U138" s="16" t="n">
        <v>0</v>
      </c>
      <c r="V138" s="16" t="n">
        <v>0</v>
      </c>
      <c r="W138" s="16" t="n">
        <v>0</v>
      </c>
      <c r="X138" s="16" t="n">
        <v>0</v>
      </c>
      <c r="Y138" s="16" t="n">
        <v>0</v>
      </c>
      <c r="Z138" s="16" t="n">
        <v>0</v>
      </c>
      <c r="AA138" s="16" t="n">
        <v>0</v>
      </c>
      <c r="AB138" s="16" t="n">
        <v>0</v>
      </c>
      <c r="AC138" s="16" t="n">
        <v>0</v>
      </c>
      <c r="AD138" s="16" t="n">
        <v>0</v>
      </c>
      <c r="AE138" s="16" t="n">
        <v>0</v>
      </c>
      <c r="AF138" s="16" t="n">
        <v>0</v>
      </c>
      <c r="AG138" s="16" t="n">
        <v>0</v>
      </c>
      <c r="AH138" s="16" t="n">
        <v>0</v>
      </c>
      <c r="AI138" s="16" t="n">
        <v>0</v>
      </c>
      <c r="AJ138" s="16" t="n">
        <v>5</v>
      </c>
      <c r="AK138" s="16" t="n">
        <v>11.5</v>
      </c>
      <c r="AL138" s="16" t="n">
        <v>12.5</v>
      </c>
      <c r="AM138" s="16" t="n">
        <v>17</v>
      </c>
      <c r="AN138" s="16" t="n">
        <v>7.5</v>
      </c>
      <c r="AO138" s="16" t="n">
        <v>16</v>
      </c>
      <c r="AP138" s="16" t="n">
        <v>17.5</v>
      </c>
      <c r="AQ138" s="16" t="n">
        <v>7</v>
      </c>
      <c r="AR138" s="16" t="n">
        <v>8</v>
      </c>
      <c r="AS138" s="16" t="n">
        <v>1</v>
      </c>
      <c r="AT138" s="16" t="n">
        <v>0</v>
      </c>
      <c r="AU138" s="16" t="n">
        <v>0</v>
      </c>
      <c r="AV138" s="16" t="n">
        <v>0</v>
      </c>
      <c r="AW138" s="16" t="n">
        <v>0</v>
      </c>
      <c r="AX138" s="16" t="n">
        <v>0</v>
      </c>
      <c r="AY138" s="16" t="n">
        <v>0</v>
      </c>
      <c r="AZ138" s="16" t="n">
        <v>0</v>
      </c>
      <c r="BA138" s="16" t="n">
        <v>0</v>
      </c>
      <c r="BB138" s="16" t="n">
        <v>0</v>
      </c>
      <c r="BC138" s="16" t="n">
        <v>0</v>
      </c>
      <c r="BD138" s="16" t="n">
        <v>0</v>
      </c>
      <c r="BE138" s="16" t="n">
        <v>0</v>
      </c>
      <c r="BF138" s="16" t="n">
        <v>0</v>
      </c>
      <c r="BG138" s="16" t="n">
        <v>0</v>
      </c>
      <c r="BH138" s="16" t="n">
        <v>0</v>
      </c>
      <c r="BI138" s="16" t="n">
        <v>0</v>
      </c>
      <c r="BJ138" s="16" t="n">
        <v>0</v>
      </c>
      <c r="BK138" s="16" t="n">
        <v>0</v>
      </c>
      <c r="BL138" s="16" t="n">
        <v>0</v>
      </c>
      <c r="BM138" s="16" t="n">
        <v>0</v>
      </c>
      <c r="BN138" s="16" t="n">
        <v>0</v>
      </c>
      <c r="BO138" s="16" t="n">
        <v>0</v>
      </c>
      <c r="BP138" s="16" t="n">
        <v>0</v>
      </c>
      <c r="BQ138" s="16" t="n">
        <v>0</v>
      </c>
      <c r="BR138" s="16" t="n">
        <v>0</v>
      </c>
      <c r="BS138" s="16" t="n">
        <v>0</v>
      </c>
      <c r="BT138" s="16" t="n">
        <v>0</v>
      </c>
      <c r="BU138" s="16" t="n">
        <v>0</v>
      </c>
      <c r="BV138" s="16" t="n">
        <v>0</v>
      </c>
      <c r="BW138" s="16" t="n">
        <v>0</v>
      </c>
      <c r="BX138" s="16" t="n">
        <v>0</v>
      </c>
      <c r="BY138" s="16" t="n">
        <v>0</v>
      </c>
      <c r="BZ138" s="16" t="n">
        <v>0</v>
      </c>
      <c r="CA138" s="16" t="n">
        <v>0</v>
      </c>
      <c r="CB138" s="16" t="n">
        <v>0</v>
      </c>
      <c r="CC138" s="16" t="n">
        <v>0</v>
      </c>
      <c r="CD138" s="16" t="n">
        <v>0</v>
      </c>
      <c r="CE138" s="16" t="n">
        <v>0</v>
      </c>
      <c r="CF138" s="16" t="n">
        <v>0</v>
      </c>
      <c r="CG138" s="16" t="n">
        <v>0</v>
      </c>
      <c r="CH138" s="16" t="n">
        <v>0</v>
      </c>
      <c r="CI138" s="16" t="n">
        <v>0</v>
      </c>
      <c r="CJ138" s="16" t="n">
        <v>0</v>
      </c>
      <c r="CK138" s="16" t="n">
        <v>0</v>
      </c>
      <c r="CL138" s="16" t="n">
        <v>0</v>
      </c>
      <c r="CM138" s="16" t="n">
        <v>0</v>
      </c>
      <c r="CN138" s="16" t="n">
        <v>0</v>
      </c>
      <c r="CO138" s="16" t="n">
        <v>0</v>
      </c>
      <c r="CP138" s="16" t="n">
        <v>0</v>
      </c>
      <c r="CQ138" s="16" t="n">
        <v>0</v>
      </c>
      <c r="CR138" s="16" t="n">
        <v>0</v>
      </c>
      <c r="CS138" s="16" t="n">
        <v>5</v>
      </c>
      <c r="CT138" s="16" t="n">
        <v>5</v>
      </c>
      <c r="CU138" s="16" t="n">
        <v>5</v>
      </c>
      <c r="CV138" s="16" t="n">
        <v>0</v>
      </c>
      <c r="CW138" s="16" t="n">
        <v>0</v>
      </c>
      <c r="CX138" s="16" t="n">
        <v>0</v>
      </c>
      <c r="CY138" s="16" t="n">
        <v>10</v>
      </c>
      <c r="CZ138" s="16" t="n">
        <v>10</v>
      </c>
      <c r="DA138" s="16" t="n">
        <v>0</v>
      </c>
      <c r="DB138" s="16" t="n">
        <v>0</v>
      </c>
      <c r="DC138" s="16" t="n">
        <v>0</v>
      </c>
      <c r="DD138" s="16" t="n">
        <v>0</v>
      </c>
      <c r="DE138" s="16" t="n">
        <v>0</v>
      </c>
      <c r="DF138" s="16" t="n">
        <v>0</v>
      </c>
      <c r="DG138" s="16" t="n">
        <v>0</v>
      </c>
      <c r="DH138" s="16" t="n">
        <v>8</v>
      </c>
      <c r="DI138" s="16" t="n">
        <v>0</v>
      </c>
      <c r="DJ138" s="16" t="n">
        <v>0</v>
      </c>
      <c r="DK138" s="16" t="n">
        <v>15</v>
      </c>
      <c r="DL138" s="16" t="n">
        <v>20</v>
      </c>
      <c r="DM138" s="16" t="n">
        <v>35</v>
      </c>
      <c r="DN138" s="16" t="n">
        <v>40</v>
      </c>
      <c r="DO138" s="16" t="n">
        <v>40</v>
      </c>
      <c r="DP138" s="16" t="n">
        <v>40</v>
      </c>
      <c r="DQ138" s="16" t="n">
        <v>40</v>
      </c>
      <c r="DR138" s="16" t="n">
        <v>40</v>
      </c>
      <c r="DS138" s="16" t="n">
        <v>0</v>
      </c>
      <c r="DT138" s="16" t="n">
        <v>0</v>
      </c>
      <c r="DU138" s="16" t="n">
        <v>0</v>
      </c>
      <c r="DV138" s="16" t="n">
        <v>0</v>
      </c>
      <c r="DW138" s="16" t="n">
        <v>0</v>
      </c>
      <c r="DX138" s="16" t="n">
        <v>0</v>
      </c>
      <c r="DY138" s="16" t="n">
        <v>0</v>
      </c>
      <c r="DZ138" s="16" t="n">
        <v>0</v>
      </c>
      <c r="EA138" s="16" t="n">
        <v>0</v>
      </c>
      <c r="EB138" s="16" t="n">
        <v>0</v>
      </c>
      <c r="EC138" s="16" t="n">
        <v>0</v>
      </c>
      <c r="ED138" s="16" t="n">
        <v>0</v>
      </c>
      <c r="EE138" s="16" t="n">
        <v>0</v>
      </c>
      <c r="EF138" s="16" t="n">
        <v>0</v>
      </c>
    </row>
    <row r="139" customFormat="false" ht="15" hidden="false" customHeight="true" outlineLevel="0" collapsed="false">
      <c r="A139" s="9" t="s">
        <v>12</v>
      </c>
      <c r="B139" s="9" t="s">
        <v>22</v>
      </c>
      <c r="C139" s="9" t="s">
        <v>22</v>
      </c>
      <c r="D139" s="9" t="s">
        <v>336</v>
      </c>
      <c r="E139" s="9" t="s">
        <v>10</v>
      </c>
      <c r="F139" s="9" t="s">
        <v>99</v>
      </c>
      <c r="G139" s="16" t="n">
        <v>107</v>
      </c>
      <c r="H139" s="16" t="n">
        <v>405</v>
      </c>
      <c r="I139" s="16" t="n">
        <v>13</v>
      </c>
      <c r="J139" s="16" t="n">
        <v>392</v>
      </c>
      <c r="K139" s="16" t="n">
        <v>0</v>
      </c>
      <c r="L139" s="16" t="n">
        <v>0</v>
      </c>
      <c r="M139" s="16" t="n">
        <v>0</v>
      </c>
      <c r="N139" s="16" t="n">
        <v>0</v>
      </c>
      <c r="O139" s="16" t="n">
        <v>0</v>
      </c>
      <c r="P139" s="16" t="n">
        <v>0</v>
      </c>
      <c r="Q139" s="16" t="n">
        <v>0</v>
      </c>
      <c r="R139" s="16" t="n">
        <v>0</v>
      </c>
      <c r="S139" s="16" t="n">
        <v>0</v>
      </c>
      <c r="T139" s="16" t="n">
        <v>0</v>
      </c>
      <c r="U139" s="16" t="n">
        <v>0</v>
      </c>
      <c r="V139" s="16" t="n">
        <v>0</v>
      </c>
      <c r="W139" s="16" t="n">
        <v>0</v>
      </c>
      <c r="X139" s="16" t="n">
        <v>0</v>
      </c>
      <c r="Y139" s="16" t="n">
        <v>0</v>
      </c>
      <c r="Z139" s="16" t="n">
        <v>0</v>
      </c>
      <c r="AA139" s="16" t="n">
        <v>0</v>
      </c>
      <c r="AB139" s="16" t="n">
        <v>0</v>
      </c>
      <c r="AC139" s="16" t="n">
        <v>0</v>
      </c>
      <c r="AD139" s="16" t="n">
        <v>0</v>
      </c>
      <c r="AE139" s="16" t="n">
        <v>0</v>
      </c>
      <c r="AF139" s="16" t="n">
        <v>0</v>
      </c>
      <c r="AG139" s="16" t="n">
        <v>0</v>
      </c>
      <c r="AH139" s="16" t="n">
        <v>5</v>
      </c>
      <c r="AI139" s="16" t="n">
        <v>2</v>
      </c>
      <c r="AJ139" s="16" t="n">
        <v>6</v>
      </c>
      <c r="AK139" s="16" t="n">
        <v>0</v>
      </c>
      <c r="AL139" s="16" t="n">
        <v>0</v>
      </c>
      <c r="AM139" s="16" t="n">
        <v>0</v>
      </c>
      <c r="AN139" s="16" t="n">
        <v>0</v>
      </c>
      <c r="AO139" s="16" t="n">
        <v>0</v>
      </c>
      <c r="AP139" s="16" t="n">
        <v>0</v>
      </c>
      <c r="AQ139" s="16" t="n">
        <v>0</v>
      </c>
      <c r="AR139" s="16" t="n">
        <v>0</v>
      </c>
      <c r="AS139" s="16" t="n">
        <v>0</v>
      </c>
      <c r="AT139" s="16" t="n">
        <v>0</v>
      </c>
      <c r="AU139" s="16" t="n">
        <v>0</v>
      </c>
      <c r="AV139" s="16" t="n">
        <v>0</v>
      </c>
      <c r="AW139" s="16" t="n">
        <v>0</v>
      </c>
      <c r="AX139" s="16" t="n">
        <v>0</v>
      </c>
      <c r="AY139" s="16" t="n">
        <v>0</v>
      </c>
      <c r="AZ139" s="16" t="n">
        <v>0</v>
      </c>
      <c r="BA139" s="16" t="n">
        <v>0</v>
      </c>
      <c r="BB139" s="16" t="n">
        <v>0</v>
      </c>
      <c r="BC139" s="16" t="n">
        <v>0</v>
      </c>
      <c r="BD139" s="16" t="n">
        <v>0</v>
      </c>
      <c r="BE139" s="16" t="n">
        <v>0</v>
      </c>
      <c r="BF139" s="16" t="n">
        <v>0</v>
      </c>
      <c r="BG139" s="16" t="n">
        <v>0</v>
      </c>
      <c r="BH139" s="16" t="n">
        <v>0</v>
      </c>
      <c r="BI139" s="16" t="n">
        <v>0</v>
      </c>
      <c r="BJ139" s="16" t="n">
        <v>0</v>
      </c>
      <c r="BK139" s="16" t="n">
        <v>0</v>
      </c>
      <c r="BL139" s="16" t="n">
        <v>0</v>
      </c>
      <c r="BM139" s="16" t="n">
        <v>0</v>
      </c>
      <c r="BN139" s="16" t="n">
        <v>0</v>
      </c>
      <c r="BO139" s="16" t="n">
        <v>0</v>
      </c>
      <c r="BP139" s="16" t="n">
        <v>0</v>
      </c>
      <c r="BQ139" s="16" t="n">
        <v>0</v>
      </c>
      <c r="BR139" s="16" t="n">
        <v>0</v>
      </c>
      <c r="BS139" s="16" t="n">
        <v>0</v>
      </c>
      <c r="BT139" s="16" t="n">
        <v>0</v>
      </c>
      <c r="BU139" s="16" t="n">
        <v>0</v>
      </c>
      <c r="BV139" s="16" t="n">
        <v>0</v>
      </c>
      <c r="BW139" s="16" t="n">
        <v>0</v>
      </c>
      <c r="BX139" s="16" t="n">
        <v>0</v>
      </c>
      <c r="BY139" s="16" t="n">
        <v>0</v>
      </c>
      <c r="BZ139" s="16" t="n">
        <v>0</v>
      </c>
      <c r="CA139" s="16" t="n">
        <v>0</v>
      </c>
      <c r="CB139" s="16" t="n">
        <v>0</v>
      </c>
      <c r="CC139" s="16" t="n">
        <v>0</v>
      </c>
      <c r="CD139" s="16" t="n">
        <v>0</v>
      </c>
      <c r="CE139" s="16" t="n">
        <v>0</v>
      </c>
      <c r="CF139" s="16" t="n">
        <v>0</v>
      </c>
      <c r="CG139" s="16" t="n">
        <v>0</v>
      </c>
      <c r="CH139" s="16" t="n">
        <v>0</v>
      </c>
      <c r="CI139" s="16" t="n">
        <v>0</v>
      </c>
      <c r="CJ139" s="16" t="n">
        <v>0</v>
      </c>
      <c r="CK139" s="16" t="n">
        <v>0</v>
      </c>
      <c r="CL139" s="16" t="n">
        <v>0</v>
      </c>
      <c r="CM139" s="16" t="n">
        <v>0</v>
      </c>
      <c r="CN139" s="16" t="n">
        <v>0</v>
      </c>
      <c r="CO139" s="16" t="n">
        <v>0</v>
      </c>
      <c r="CP139" s="16" t="n">
        <v>0</v>
      </c>
      <c r="CQ139" s="16" t="n">
        <v>0</v>
      </c>
      <c r="CR139" s="16" t="n">
        <v>0</v>
      </c>
      <c r="CS139" s="16" t="n">
        <v>0</v>
      </c>
      <c r="CT139" s="16" t="n">
        <v>0</v>
      </c>
      <c r="CU139" s="16" t="n">
        <v>0</v>
      </c>
      <c r="CV139" s="16" t="n">
        <v>0</v>
      </c>
      <c r="CW139" s="16" t="n">
        <v>0</v>
      </c>
      <c r="CX139" s="16" t="n">
        <v>0</v>
      </c>
      <c r="CY139" s="16" t="n">
        <v>0</v>
      </c>
      <c r="CZ139" s="16" t="n">
        <v>0</v>
      </c>
      <c r="DA139" s="16" t="n">
        <v>0</v>
      </c>
      <c r="DB139" s="16" t="n">
        <v>0</v>
      </c>
      <c r="DC139" s="16" t="n">
        <v>0</v>
      </c>
      <c r="DD139" s="16" t="n">
        <v>0</v>
      </c>
      <c r="DE139" s="16" t="n">
        <v>0</v>
      </c>
      <c r="DF139" s="16" t="n">
        <v>0</v>
      </c>
      <c r="DG139" s="16" t="n">
        <v>0</v>
      </c>
      <c r="DH139" s="16" t="n">
        <v>0</v>
      </c>
      <c r="DI139" s="16" t="n">
        <v>0</v>
      </c>
      <c r="DJ139" s="16" t="n">
        <v>0</v>
      </c>
      <c r="DK139" s="16" t="n">
        <v>0</v>
      </c>
      <c r="DL139" s="16" t="n">
        <v>0</v>
      </c>
      <c r="DM139" s="16" t="n">
        <v>0</v>
      </c>
      <c r="DN139" s="16" t="n">
        <v>0</v>
      </c>
      <c r="DO139" s="16" t="n">
        <v>0</v>
      </c>
      <c r="DP139" s="16" t="n">
        <v>0</v>
      </c>
      <c r="DQ139" s="16" t="n">
        <v>0</v>
      </c>
      <c r="DR139" s="16" t="n">
        <v>0</v>
      </c>
      <c r="DS139" s="16" t="n">
        <v>0</v>
      </c>
      <c r="DT139" s="16" t="n">
        <v>0</v>
      </c>
      <c r="DU139" s="16" t="n">
        <v>0</v>
      </c>
      <c r="DV139" s="16" t="n">
        <v>0</v>
      </c>
      <c r="DW139" s="16" t="n">
        <v>0</v>
      </c>
      <c r="DX139" s="16" t="n">
        <v>0</v>
      </c>
      <c r="DY139" s="16" t="n">
        <v>0</v>
      </c>
      <c r="DZ139" s="16" t="n">
        <v>0</v>
      </c>
      <c r="EA139" s="16" t="n">
        <v>0</v>
      </c>
      <c r="EB139" s="16" t="n">
        <v>0</v>
      </c>
      <c r="EC139" s="16" t="n">
        <v>0</v>
      </c>
      <c r="ED139" s="16" t="n">
        <v>0</v>
      </c>
      <c r="EE139" s="16" t="n">
        <v>0</v>
      </c>
      <c r="EF139" s="16" t="n">
        <v>0</v>
      </c>
    </row>
    <row r="140" customFormat="false" ht="15" hidden="false" customHeight="true" outlineLevel="0" collapsed="false">
      <c r="A140" s="9" t="s">
        <v>12</v>
      </c>
      <c r="B140" s="9" t="s">
        <v>22</v>
      </c>
      <c r="C140" s="9" t="s">
        <v>22</v>
      </c>
      <c r="D140" s="9" t="s">
        <v>337</v>
      </c>
      <c r="E140" s="9" t="s">
        <v>10</v>
      </c>
      <c r="F140" s="9" t="s">
        <v>87</v>
      </c>
      <c r="G140" s="16" t="n">
        <v>0</v>
      </c>
      <c r="H140" s="16" t="n">
        <v>0</v>
      </c>
      <c r="I140" s="16" t="n">
        <v>2</v>
      </c>
      <c r="J140" s="16" t="n">
        <v>-2</v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  <c r="P140" s="16" t="n">
        <v>0</v>
      </c>
      <c r="Q140" s="16" t="n">
        <v>0</v>
      </c>
      <c r="R140" s="16" t="n">
        <v>0</v>
      </c>
      <c r="S140" s="16" t="n">
        <v>0</v>
      </c>
      <c r="T140" s="16" t="n">
        <v>0</v>
      </c>
      <c r="U140" s="16" t="n">
        <v>0</v>
      </c>
      <c r="V140" s="16" t="n">
        <v>0</v>
      </c>
      <c r="W140" s="16" t="n">
        <v>0</v>
      </c>
      <c r="X140" s="16" t="n">
        <v>0</v>
      </c>
      <c r="Y140" s="16" t="n">
        <v>0</v>
      </c>
      <c r="Z140" s="16" t="n">
        <v>0</v>
      </c>
      <c r="AA140" s="16" t="n">
        <v>0</v>
      </c>
      <c r="AB140" s="16" t="n">
        <v>0</v>
      </c>
      <c r="AC140" s="16" t="n">
        <v>0</v>
      </c>
      <c r="AD140" s="16" t="n">
        <v>0</v>
      </c>
      <c r="AE140" s="16" t="n">
        <v>0</v>
      </c>
      <c r="AF140" s="16" t="n">
        <v>0</v>
      </c>
      <c r="AG140" s="16" t="n">
        <v>0</v>
      </c>
      <c r="AH140" s="16" t="n">
        <v>0</v>
      </c>
      <c r="AI140" s="16" t="n">
        <v>0</v>
      </c>
      <c r="AJ140" s="16" t="n">
        <v>0</v>
      </c>
      <c r="AK140" s="16" t="n">
        <v>0</v>
      </c>
      <c r="AL140" s="16" t="n">
        <v>2</v>
      </c>
      <c r="AM140" s="16" t="n">
        <v>0</v>
      </c>
      <c r="AN140" s="16" t="n">
        <v>0</v>
      </c>
      <c r="AO140" s="16" t="n">
        <v>0</v>
      </c>
      <c r="AP140" s="16" t="n">
        <v>0</v>
      </c>
      <c r="AQ140" s="16" t="n">
        <v>0</v>
      </c>
      <c r="AR140" s="16" t="n">
        <v>0</v>
      </c>
      <c r="AS140" s="16" t="n">
        <v>0</v>
      </c>
      <c r="AT140" s="16" t="n">
        <v>0</v>
      </c>
      <c r="AU140" s="16" t="n">
        <v>0</v>
      </c>
      <c r="AV140" s="16" t="n">
        <v>0</v>
      </c>
      <c r="AW140" s="16" t="n">
        <v>0</v>
      </c>
      <c r="AX140" s="16" t="n">
        <v>0</v>
      </c>
      <c r="AY140" s="16" t="n">
        <v>0</v>
      </c>
      <c r="AZ140" s="16" t="n">
        <v>0</v>
      </c>
      <c r="BA140" s="16" t="n">
        <v>0</v>
      </c>
      <c r="BB140" s="16" t="n">
        <v>0</v>
      </c>
      <c r="BC140" s="16" t="n">
        <v>0</v>
      </c>
      <c r="BD140" s="16" t="n">
        <v>0</v>
      </c>
      <c r="BE140" s="16" t="n">
        <v>0</v>
      </c>
      <c r="BF140" s="16" t="n">
        <v>0</v>
      </c>
      <c r="BG140" s="16" t="n">
        <v>0</v>
      </c>
      <c r="BH140" s="16" t="n">
        <v>0</v>
      </c>
      <c r="BI140" s="16" t="n">
        <v>0</v>
      </c>
      <c r="BJ140" s="16" t="n">
        <v>0</v>
      </c>
      <c r="BK140" s="16" t="n">
        <v>0</v>
      </c>
      <c r="BL140" s="16" t="n">
        <v>0</v>
      </c>
      <c r="BM140" s="16" t="n">
        <v>0</v>
      </c>
      <c r="BN140" s="16" t="n">
        <v>0</v>
      </c>
      <c r="BO140" s="16" t="n">
        <v>0</v>
      </c>
      <c r="BP140" s="16" t="n">
        <v>0</v>
      </c>
      <c r="BQ140" s="16" t="n">
        <v>0</v>
      </c>
      <c r="BR140" s="16" t="n">
        <v>0</v>
      </c>
      <c r="BS140" s="16" t="n">
        <v>0</v>
      </c>
      <c r="BT140" s="16" t="n">
        <v>0</v>
      </c>
      <c r="BU140" s="16" t="n">
        <v>0</v>
      </c>
      <c r="BV140" s="16" t="n">
        <v>0</v>
      </c>
      <c r="BW140" s="16" t="n">
        <v>0</v>
      </c>
      <c r="BX140" s="16" t="n">
        <v>0</v>
      </c>
      <c r="BY140" s="16" t="n">
        <v>0</v>
      </c>
      <c r="BZ140" s="16" t="n">
        <v>0</v>
      </c>
      <c r="CA140" s="16" t="n">
        <v>0</v>
      </c>
      <c r="CB140" s="16" t="n">
        <v>0</v>
      </c>
      <c r="CC140" s="16" t="n">
        <v>0</v>
      </c>
      <c r="CD140" s="16" t="n">
        <v>0</v>
      </c>
      <c r="CE140" s="16" t="n">
        <v>0</v>
      </c>
      <c r="CF140" s="16" t="n">
        <v>0</v>
      </c>
      <c r="CG140" s="16" t="n">
        <v>0</v>
      </c>
      <c r="CH140" s="16" t="n">
        <v>0</v>
      </c>
      <c r="CI140" s="16" t="n">
        <v>0</v>
      </c>
      <c r="CJ140" s="16" t="n">
        <v>0</v>
      </c>
      <c r="CK140" s="16" t="n">
        <v>0</v>
      </c>
      <c r="CL140" s="16" t="n">
        <v>0</v>
      </c>
      <c r="CM140" s="16" t="n">
        <v>0</v>
      </c>
      <c r="CN140" s="16" t="n">
        <v>0</v>
      </c>
      <c r="CO140" s="16" t="n">
        <v>0</v>
      </c>
      <c r="CP140" s="16" t="n">
        <v>0</v>
      </c>
      <c r="CQ140" s="16" t="n">
        <v>0</v>
      </c>
      <c r="CR140" s="16" t="n">
        <v>0</v>
      </c>
      <c r="CS140" s="16" t="n">
        <v>0</v>
      </c>
      <c r="CT140" s="16" t="n">
        <v>0</v>
      </c>
      <c r="CU140" s="16" t="n">
        <v>0</v>
      </c>
      <c r="CV140" s="16" t="n">
        <v>0</v>
      </c>
      <c r="CW140" s="16" t="n">
        <v>0</v>
      </c>
      <c r="CX140" s="16" t="n">
        <v>0</v>
      </c>
      <c r="CY140" s="16" t="n">
        <v>0</v>
      </c>
      <c r="CZ140" s="16" t="n">
        <v>0</v>
      </c>
      <c r="DA140" s="16" t="n">
        <v>0</v>
      </c>
      <c r="DB140" s="16" t="n">
        <v>0</v>
      </c>
      <c r="DC140" s="16" t="n">
        <v>0</v>
      </c>
      <c r="DD140" s="16" t="n">
        <v>0</v>
      </c>
      <c r="DE140" s="16" t="n">
        <v>0</v>
      </c>
      <c r="DF140" s="16" t="n">
        <v>0</v>
      </c>
      <c r="DG140" s="16" t="n">
        <v>0</v>
      </c>
      <c r="DH140" s="16" t="n">
        <v>0</v>
      </c>
      <c r="DI140" s="16" t="n">
        <v>0</v>
      </c>
      <c r="DJ140" s="16" t="n">
        <v>0</v>
      </c>
      <c r="DK140" s="16" t="n">
        <v>0</v>
      </c>
      <c r="DL140" s="16" t="n">
        <v>0</v>
      </c>
      <c r="DM140" s="16" t="n">
        <v>0</v>
      </c>
      <c r="DN140" s="16" t="n">
        <v>0</v>
      </c>
      <c r="DO140" s="16" t="n">
        <v>0</v>
      </c>
      <c r="DP140" s="16" t="n">
        <v>0</v>
      </c>
      <c r="DQ140" s="16" t="n">
        <v>0</v>
      </c>
      <c r="DR140" s="16" t="n">
        <v>0</v>
      </c>
      <c r="DS140" s="16" t="n">
        <v>0</v>
      </c>
      <c r="DT140" s="16" t="n">
        <v>0</v>
      </c>
      <c r="DU140" s="16" t="n">
        <v>0</v>
      </c>
      <c r="DV140" s="16" t="n">
        <v>0</v>
      </c>
      <c r="DW140" s="16" t="n">
        <v>0</v>
      </c>
      <c r="DX140" s="16" t="n">
        <v>0</v>
      </c>
      <c r="DY140" s="16" t="n">
        <v>0</v>
      </c>
      <c r="DZ140" s="16" t="n">
        <v>0</v>
      </c>
      <c r="EA140" s="16" t="n">
        <v>0</v>
      </c>
      <c r="EB140" s="16" t="n">
        <v>0</v>
      </c>
      <c r="EC140" s="16" t="n">
        <v>0</v>
      </c>
      <c r="ED140" s="16" t="n">
        <v>0</v>
      </c>
      <c r="EE140" s="16" t="n">
        <v>0</v>
      </c>
      <c r="EF140" s="16" t="n">
        <v>0</v>
      </c>
    </row>
    <row r="141" customFormat="false" ht="15" hidden="false" customHeight="true" outlineLevel="0" collapsed="false">
      <c r="A141" s="9" t="s">
        <v>12</v>
      </c>
      <c r="B141" s="9" t="s">
        <v>20</v>
      </c>
      <c r="C141" s="9" t="s">
        <v>20</v>
      </c>
      <c r="D141" s="9" t="s">
        <v>338</v>
      </c>
      <c r="E141" s="9" t="s">
        <v>10</v>
      </c>
      <c r="F141" s="9" t="s">
        <v>82</v>
      </c>
      <c r="G141" s="16" t="n">
        <v>0</v>
      </c>
      <c r="H141" s="16" t="n">
        <v>0</v>
      </c>
      <c r="I141" s="16" t="n">
        <v>9</v>
      </c>
      <c r="J141" s="16" t="n">
        <v>-9</v>
      </c>
      <c r="K141" s="16" t="n">
        <v>0</v>
      </c>
      <c r="L141" s="16" t="n">
        <v>0</v>
      </c>
      <c r="M141" s="16" t="n">
        <v>0</v>
      </c>
      <c r="N141" s="16" t="n">
        <v>0</v>
      </c>
      <c r="O141" s="16" t="n">
        <v>0</v>
      </c>
      <c r="P141" s="16" t="n">
        <v>0</v>
      </c>
      <c r="Q141" s="16" t="n">
        <v>0</v>
      </c>
      <c r="R141" s="16" t="n">
        <v>0</v>
      </c>
      <c r="S141" s="16" t="n">
        <v>0</v>
      </c>
      <c r="T141" s="16" t="n">
        <v>0</v>
      </c>
      <c r="U141" s="16" t="n">
        <v>0</v>
      </c>
      <c r="V141" s="16" t="n">
        <v>0</v>
      </c>
      <c r="W141" s="16" t="n">
        <v>0</v>
      </c>
      <c r="X141" s="16" t="n">
        <v>0</v>
      </c>
      <c r="Y141" s="16" t="n">
        <v>0</v>
      </c>
      <c r="Z141" s="16" t="n">
        <v>2</v>
      </c>
      <c r="AA141" s="16" t="n">
        <v>7</v>
      </c>
      <c r="AB141" s="16" t="n">
        <v>0</v>
      </c>
      <c r="AC141" s="16" t="n">
        <v>0</v>
      </c>
      <c r="AD141" s="16" t="n">
        <v>0</v>
      </c>
      <c r="AE141" s="16" t="n">
        <v>0</v>
      </c>
      <c r="AF141" s="16" t="n">
        <v>0</v>
      </c>
      <c r="AG141" s="16" t="n">
        <v>0</v>
      </c>
      <c r="AH141" s="16" t="n">
        <v>0</v>
      </c>
      <c r="AI141" s="16" t="n">
        <v>0</v>
      </c>
      <c r="AJ141" s="16" t="n">
        <v>0</v>
      </c>
      <c r="AK141" s="16" t="n">
        <v>0</v>
      </c>
      <c r="AL141" s="16" t="n">
        <v>0</v>
      </c>
      <c r="AM141" s="16" t="n">
        <v>0</v>
      </c>
      <c r="AN141" s="16" t="n">
        <v>0</v>
      </c>
      <c r="AO141" s="16" t="n">
        <v>0</v>
      </c>
      <c r="AP141" s="16" t="n">
        <v>0</v>
      </c>
      <c r="AQ141" s="16" t="n">
        <v>0</v>
      </c>
      <c r="AR141" s="16" t="n">
        <v>0</v>
      </c>
      <c r="AS141" s="16" t="n">
        <v>0</v>
      </c>
      <c r="AT141" s="16" t="n">
        <v>0</v>
      </c>
      <c r="AU141" s="16" t="n">
        <v>0</v>
      </c>
      <c r="AV141" s="16" t="n">
        <v>0</v>
      </c>
      <c r="AW141" s="16" t="n">
        <v>0</v>
      </c>
      <c r="AX141" s="16" t="n">
        <v>0</v>
      </c>
      <c r="AY141" s="16" t="n">
        <v>0</v>
      </c>
      <c r="AZ141" s="16" t="n">
        <v>0</v>
      </c>
      <c r="BA141" s="16" t="n">
        <v>0</v>
      </c>
      <c r="BB141" s="16" t="n">
        <v>0</v>
      </c>
      <c r="BC141" s="16" t="n">
        <v>0</v>
      </c>
      <c r="BD141" s="16" t="n">
        <v>0</v>
      </c>
      <c r="BE141" s="16" t="n">
        <v>0</v>
      </c>
      <c r="BF141" s="16" t="n">
        <v>0</v>
      </c>
      <c r="BG141" s="16" t="n">
        <v>0</v>
      </c>
      <c r="BH141" s="16" t="n">
        <v>0</v>
      </c>
      <c r="BI141" s="16" t="n">
        <v>0</v>
      </c>
      <c r="BJ141" s="16" t="n">
        <v>0</v>
      </c>
      <c r="BK141" s="16" t="n">
        <v>0</v>
      </c>
      <c r="BL141" s="16" t="n">
        <v>0</v>
      </c>
      <c r="BM141" s="16" t="n">
        <v>0</v>
      </c>
      <c r="BN141" s="16" t="n">
        <v>0</v>
      </c>
      <c r="BO141" s="16" t="n">
        <v>0</v>
      </c>
      <c r="BP141" s="16" t="n">
        <v>0</v>
      </c>
      <c r="BQ141" s="16" t="n">
        <v>0</v>
      </c>
      <c r="BR141" s="16" t="n">
        <v>0</v>
      </c>
      <c r="BS141" s="16" t="n">
        <v>0</v>
      </c>
      <c r="BT141" s="16" t="n">
        <v>0</v>
      </c>
      <c r="BU141" s="16" t="n">
        <v>0</v>
      </c>
      <c r="BV141" s="16" t="n">
        <v>0</v>
      </c>
      <c r="BW141" s="16" t="n">
        <v>0</v>
      </c>
      <c r="BX141" s="16" t="n">
        <v>0</v>
      </c>
      <c r="BY141" s="16" t="n">
        <v>0</v>
      </c>
      <c r="BZ141" s="16" t="n">
        <v>0</v>
      </c>
      <c r="CA141" s="16" t="n">
        <v>0</v>
      </c>
      <c r="CB141" s="16" t="n">
        <v>0</v>
      </c>
      <c r="CC141" s="16" t="n">
        <v>0</v>
      </c>
      <c r="CD141" s="16" t="n">
        <v>0</v>
      </c>
      <c r="CE141" s="16" t="n">
        <v>0</v>
      </c>
      <c r="CF141" s="16" t="n">
        <v>0</v>
      </c>
      <c r="CG141" s="16" t="n">
        <v>0</v>
      </c>
      <c r="CH141" s="16" t="n">
        <v>0</v>
      </c>
      <c r="CI141" s="16" t="n">
        <v>0</v>
      </c>
      <c r="CJ141" s="16" t="n">
        <v>0</v>
      </c>
      <c r="CK141" s="16" t="n">
        <v>0</v>
      </c>
      <c r="CL141" s="16" t="n">
        <v>0</v>
      </c>
      <c r="CM141" s="16" t="n">
        <v>0</v>
      </c>
      <c r="CN141" s="16" t="n">
        <v>0</v>
      </c>
      <c r="CO141" s="16" t="n">
        <v>0</v>
      </c>
      <c r="CP141" s="16" t="n">
        <v>0</v>
      </c>
      <c r="CQ141" s="16" t="n">
        <v>0</v>
      </c>
      <c r="CR141" s="16" t="n">
        <v>0</v>
      </c>
      <c r="CS141" s="16" t="n">
        <v>0</v>
      </c>
      <c r="CT141" s="16" t="n">
        <v>0</v>
      </c>
      <c r="CU141" s="16" t="n">
        <v>0</v>
      </c>
      <c r="CV141" s="16" t="n">
        <v>0</v>
      </c>
      <c r="CW141" s="16" t="n">
        <v>0</v>
      </c>
      <c r="CX141" s="16" t="n">
        <v>0</v>
      </c>
      <c r="CY141" s="16" t="n">
        <v>0</v>
      </c>
      <c r="CZ141" s="16" t="n">
        <v>0</v>
      </c>
      <c r="DA141" s="16" t="n">
        <v>0</v>
      </c>
      <c r="DB141" s="16" t="n">
        <v>0</v>
      </c>
      <c r="DC141" s="16" t="n">
        <v>0</v>
      </c>
      <c r="DD141" s="16" t="n">
        <v>0</v>
      </c>
      <c r="DE141" s="16" t="n">
        <v>0</v>
      </c>
      <c r="DF141" s="16" t="n">
        <v>0</v>
      </c>
      <c r="DG141" s="16" t="n">
        <v>0</v>
      </c>
      <c r="DH141" s="16" t="n">
        <v>0</v>
      </c>
      <c r="DI141" s="16" t="n">
        <v>0</v>
      </c>
      <c r="DJ141" s="16" t="n">
        <v>0</v>
      </c>
      <c r="DK141" s="16" t="n">
        <v>0</v>
      </c>
      <c r="DL141" s="16" t="n">
        <v>0</v>
      </c>
      <c r="DM141" s="16" t="n">
        <v>0</v>
      </c>
      <c r="DN141" s="16" t="n">
        <v>0</v>
      </c>
      <c r="DO141" s="16" t="n">
        <v>0</v>
      </c>
      <c r="DP141" s="16" t="n">
        <v>0</v>
      </c>
      <c r="DQ141" s="16" t="n">
        <v>0</v>
      </c>
      <c r="DR141" s="16" t="n">
        <v>0</v>
      </c>
      <c r="DS141" s="16" t="n">
        <v>0</v>
      </c>
      <c r="DT141" s="16" t="n">
        <v>0</v>
      </c>
      <c r="DU141" s="16" t="n">
        <v>0</v>
      </c>
      <c r="DV141" s="16" t="n">
        <v>0</v>
      </c>
      <c r="DW141" s="16" t="n">
        <v>0</v>
      </c>
      <c r="DX141" s="16" t="n">
        <v>0</v>
      </c>
      <c r="DY141" s="16" t="n">
        <v>0</v>
      </c>
      <c r="DZ141" s="16" t="n">
        <v>0</v>
      </c>
      <c r="EA141" s="16" t="n">
        <v>0</v>
      </c>
      <c r="EB141" s="16" t="n">
        <v>0</v>
      </c>
      <c r="EC141" s="16" t="n">
        <v>0</v>
      </c>
      <c r="ED141" s="16" t="n">
        <v>0</v>
      </c>
      <c r="EE141" s="16" t="n">
        <v>0</v>
      </c>
      <c r="EF141" s="16" t="n">
        <v>0</v>
      </c>
    </row>
    <row r="142" customFormat="false" ht="15" hidden="false" customHeight="true" outlineLevel="0" collapsed="false">
      <c r="A142" s="9" t="s">
        <v>12</v>
      </c>
      <c r="B142" s="9" t="s">
        <v>20</v>
      </c>
      <c r="C142" s="9" t="s">
        <v>20</v>
      </c>
      <c r="D142" s="9" t="s">
        <v>338</v>
      </c>
      <c r="E142" s="9" t="s">
        <v>10</v>
      </c>
      <c r="F142" s="9" t="s">
        <v>82</v>
      </c>
      <c r="G142" s="16" t="n">
        <v>10</v>
      </c>
      <c r="H142" s="16" t="n">
        <v>10</v>
      </c>
      <c r="I142" s="16" t="n">
        <v>10</v>
      </c>
      <c r="J142" s="16" t="n">
        <v>0</v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6" t="n">
        <v>0</v>
      </c>
      <c r="Q142" s="16" t="n">
        <v>0</v>
      </c>
      <c r="R142" s="16" t="n">
        <v>0</v>
      </c>
      <c r="S142" s="16" t="n">
        <v>0</v>
      </c>
      <c r="T142" s="16" t="n">
        <v>0</v>
      </c>
      <c r="U142" s="16" t="n">
        <v>0</v>
      </c>
      <c r="V142" s="16" t="n">
        <v>0</v>
      </c>
      <c r="W142" s="16" t="n">
        <v>0</v>
      </c>
      <c r="X142" s="16" t="n">
        <v>0</v>
      </c>
      <c r="Y142" s="16" t="n">
        <v>0</v>
      </c>
      <c r="Z142" s="16" t="n">
        <v>0</v>
      </c>
      <c r="AA142" s="16" t="n">
        <v>0</v>
      </c>
      <c r="AB142" s="16" t="n">
        <v>10</v>
      </c>
      <c r="AC142" s="16" t="n">
        <v>0</v>
      </c>
      <c r="AD142" s="16" t="n">
        <v>0</v>
      </c>
      <c r="AE142" s="16" t="n">
        <v>0</v>
      </c>
      <c r="AF142" s="16" t="n">
        <v>0</v>
      </c>
      <c r="AG142" s="16" t="n">
        <v>0</v>
      </c>
      <c r="AH142" s="16" t="n">
        <v>0</v>
      </c>
      <c r="AI142" s="16" t="n">
        <v>0</v>
      </c>
      <c r="AJ142" s="16" t="n">
        <v>0</v>
      </c>
      <c r="AK142" s="16" t="n">
        <v>0</v>
      </c>
      <c r="AL142" s="16" t="n">
        <v>0</v>
      </c>
      <c r="AM142" s="16" t="n">
        <v>0</v>
      </c>
      <c r="AN142" s="16" t="n">
        <v>0</v>
      </c>
      <c r="AO142" s="16" t="n">
        <v>0</v>
      </c>
      <c r="AP142" s="16" t="n">
        <v>0</v>
      </c>
      <c r="AQ142" s="16" t="n">
        <v>0</v>
      </c>
      <c r="AR142" s="16" t="n">
        <v>0</v>
      </c>
      <c r="AS142" s="16" t="n">
        <v>0</v>
      </c>
      <c r="AT142" s="16" t="n">
        <v>0</v>
      </c>
      <c r="AU142" s="16" t="n">
        <v>0</v>
      </c>
      <c r="AV142" s="16" t="n">
        <v>0</v>
      </c>
      <c r="AW142" s="16" t="n">
        <v>0</v>
      </c>
      <c r="AX142" s="16" t="n">
        <v>0</v>
      </c>
      <c r="AY142" s="16" t="n">
        <v>0</v>
      </c>
      <c r="AZ142" s="16" t="n">
        <v>0</v>
      </c>
      <c r="BA142" s="16" t="n">
        <v>0</v>
      </c>
      <c r="BB142" s="16" t="n">
        <v>0</v>
      </c>
      <c r="BC142" s="16" t="n">
        <v>0</v>
      </c>
      <c r="BD142" s="16" t="n">
        <v>0</v>
      </c>
      <c r="BE142" s="16" t="n">
        <v>0</v>
      </c>
      <c r="BF142" s="16" t="n">
        <v>0</v>
      </c>
      <c r="BG142" s="16" t="n">
        <v>0</v>
      </c>
      <c r="BH142" s="16" t="n">
        <v>0</v>
      </c>
      <c r="BI142" s="16" t="n">
        <v>0</v>
      </c>
      <c r="BJ142" s="16" t="n">
        <v>0</v>
      </c>
      <c r="BK142" s="16" t="n">
        <v>0</v>
      </c>
      <c r="BL142" s="16" t="n">
        <v>0</v>
      </c>
      <c r="BM142" s="16" t="n">
        <v>0</v>
      </c>
      <c r="BN142" s="16" t="n">
        <v>0</v>
      </c>
      <c r="BO142" s="16" t="n">
        <v>0</v>
      </c>
      <c r="BP142" s="16" t="n">
        <v>0</v>
      </c>
      <c r="BQ142" s="16" t="n">
        <v>0</v>
      </c>
      <c r="BR142" s="16" t="n">
        <v>0</v>
      </c>
      <c r="BS142" s="16" t="n">
        <v>0</v>
      </c>
      <c r="BT142" s="16" t="n">
        <v>0</v>
      </c>
      <c r="BU142" s="16" t="n">
        <v>0</v>
      </c>
      <c r="BV142" s="16" t="n">
        <v>0</v>
      </c>
      <c r="BW142" s="16" t="n">
        <v>0</v>
      </c>
      <c r="BX142" s="16" t="n">
        <v>0</v>
      </c>
      <c r="BY142" s="16" t="n">
        <v>0</v>
      </c>
      <c r="BZ142" s="16" t="n">
        <v>0</v>
      </c>
      <c r="CA142" s="16" t="n">
        <v>0</v>
      </c>
      <c r="CB142" s="16" t="n">
        <v>0</v>
      </c>
      <c r="CC142" s="16" t="n">
        <v>0</v>
      </c>
      <c r="CD142" s="16" t="n">
        <v>0</v>
      </c>
      <c r="CE142" s="16" t="n">
        <v>0</v>
      </c>
      <c r="CF142" s="16" t="n">
        <v>0</v>
      </c>
      <c r="CG142" s="16" t="n">
        <v>0</v>
      </c>
      <c r="CH142" s="16" t="n">
        <v>0</v>
      </c>
      <c r="CI142" s="16" t="n">
        <v>0</v>
      </c>
      <c r="CJ142" s="16" t="n">
        <v>0</v>
      </c>
      <c r="CK142" s="16" t="n">
        <v>0</v>
      </c>
      <c r="CL142" s="16" t="n">
        <v>0</v>
      </c>
      <c r="CM142" s="16" t="n">
        <v>0</v>
      </c>
      <c r="CN142" s="16" t="n">
        <v>0</v>
      </c>
      <c r="CO142" s="16" t="n">
        <v>0</v>
      </c>
      <c r="CP142" s="16" t="n">
        <v>0</v>
      </c>
      <c r="CQ142" s="16" t="n">
        <v>0</v>
      </c>
      <c r="CR142" s="16" t="n">
        <v>0</v>
      </c>
      <c r="CS142" s="16" t="n">
        <v>0</v>
      </c>
      <c r="CT142" s="16" t="n">
        <v>0</v>
      </c>
      <c r="CU142" s="16" t="n">
        <v>0</v>
      </c>
      <c r="CV142" s="16" t="n">
        <v>0</v>
      </c>
      <c r="CW142" s="16" t="n">
        <v>0</v>
      </c>
      <c r="CX142" s="16" t="n">
        <v>0</v>
      </c>
      <c r="CY142" s="16" t="n">
        <v>0</v>
      </c>
      <c r="CZ142" s="16" t="n">
        <v>0</v>
      </c>
      <c r="DA142" s="16" t="n">
        <v>0</v>
      </c>
      <c r="DB142" s="16" t="n">
        <v>0</v>
      </c>
      <c r="DC142" s="16" t="n">
        <v>0</v>
      </c>
      <c r="DD142" s="16" t="n">
        <v>0</v>
      </c>
      <c r="DE142" s="16" t="n">
        <v>0</v>
      </c>
      <c r="DF142" s="16" t="n">
        <v>0</v>
      </c>
      <c r="DG142" s="16" t="n">
        <v>0</v>
      </c>
      <c r="DH142" s="16" t="n">
        <v>0</v>
      </c>
      <c r="DI142" s="16" t="n">
        <v>0</v>
      </c>
      <c r="DJ142" s="16" t="n">
        <v>0</v>
      </c>
      <c r="DK142" s="16" t="n">
        <v>0</v>
      </c>
      <c r="DL142" s="16" t="n">
        <v>0</v>
      </c>
      <c r="DM142" s="16" t="n">
        <v>0</v>
      </c>
      <c r="DN142" s="16" t="n">
        <v>0</v>
      </c>
      <c r="DO142" s="16" t="n">
        <v>0</v>
      </c>
      <c r="DP142" s="16" t="n">
        <v>0</v>
      </c>
      <c r="DQ142" s="16" t="n">
        <v>0</v>
      </c>
      <c r="DR142" s="16" t="n">
        <v>0</v>
      </c>
      <c r="DS142" s="16" t="n">
        <v>0</v>
      </c>
      <c r="DT142" s="16" t="n">
        <v>0</v>
      </c>
      <c r="DU142" s="16" t="n">
        <v>0</v>
      </c>
      <c r="DV142" s="16" t="n">
        <v>0</v>
      </c>
      <c r="DW142" s="16" t="n">
        <v>0</v>
      </c>
      <c r="DX142" s="16" t="n">
        <v>0</v>
      </c>
      <c r="DY142" s="16" t="n">
        <v>0</v>
      </c>
      <c r="DZ142" s="16" t="n">
        <v>0</v>
      </c>
      <c r="EA142" s="16" t="n">
        <v>0</v>
      </c>
      <c r="EB142" s="16" t="n">
        <v>0</v>
      </c>
      <c r="EC142" s="16" t="n">
        <v>0</v>
      </c>
      <c r="ED142" s="16" t="n">
        <v>0</v>
      </c>
      <c r="EE142" s="16" t="n">
        <v>0</v>
      </c>
      <c r="EF142" s="16" t="n">
        <v>0</v>
      </c>
    </row>
    <row r="143" customFormat="false" ht="15" hidden="false" customHeight="true" outlineLevel="0" collapsed="false">
      <c r="A143" s="9" t="s">
        <v>12</v>
      </c>
      <c r="B143" s="9" t="s">
        <v>20</v>
      </c>
      <c r="C143" s="9" t="s">
        <v>20</v>
      </c>
      <c r="D143" s="9" t="s">
        <v>337</v>
      </c>
      <c r="E143" s="9" t="s">
        <v>10</v>
      </c>
      <c r="F143" s="9" t="s">
        <v>82</v>
      </c>
      <c r="G143" s="16" t="n">
        <v>0</v>
      </c>
      <c r="H143" s="16" t="n">
        <v>0</v>
      </c>
      <c r="I143" s="16" t="n">
        <v>0</v>
      </c>
      <c r="J143" s="16" t="n">
        <v>0</v>
      </c>
      <c r="K143" s="16" t="n">
        <v>0</v>
      </c>
      <c r="L143" s="16" t="n">
        <v>0</v>
      </c>
      <c r="M143" s="16" t="n">
        <v>0</v>
      </c>
      <c r="N143" s="16" t="n">
        <v>0</v>
      </c>
      <c r="O143" s="16" t="n">
        <v>0</v>
      </c>
      <c r="P143" s="16" t="n">
        <v>0</v>
      </c>
      <c r="Q143" s="16" t="n">
        <v>0</v>
      </c>
      <c r="R143" s="16" t="n">
        <v>0</v>
      </c>
      <c r="S143" s="16" t="n">
        <v>0</v>
      </c>
      <c r="T143" s="16" t="n">
        <v>0</v>
      </c>
      <c r="U143" s="16" t="n">
        <v>0</v>
      </c>
      <c r="V143" s="16" t="n">
        <v>0</v>
      </c>
      <c r="W143" s="16" t="n">
        <v>0</v>
      </c>
      <c r="X143" s="16" t="n">
        <v>0</v>
      </c>
      <c r="Y143" s="16" t="n">
        <v>0</v>
      </c>
      <c r="Z143" s="16" t="n">
        <v>0</v>
      </c>
      <c r="AA143" s="16" t="n">
        <v>0</v>
      </c>
      <c r="AB143" s="16" t="n">
        <v>0</v>
      </c>
      <c r="AC143" s="16" t="n">
        <v>0</v>
      </c>
      <c r="AD143" s="16" t="n">
        <v>0</v>
      </c>
      <c r="AE143" s="16" t="n">
        <v>0</v>
      </c>
      <c r="AF143" s="16" t="n">
        <v>0</v>
      </c>
      <c r="AG143" s="16" t="n">
        <v>0</v>
      </c>
      <c r="AH143" s="16" t="n">
        <v>0</v>
      </c>
      <c r="AI143" s="16" t="n">
        <v>0</v>
      </c>
      <c r="AJ143" s="16" t="n">
        <v>0</v>
      </c>
      <c r="AK143" s="16" t="n">
        <v>0</v>
      </c>
      <c r="AL143" s="16" t="n">
        <v>0</v>
      </c>
      <c r="AM143" s="16" t="n">
        <v>0</v>
      </c>
      <c r="AN143" s="16" t="n">
        <v>0</v>
      </c>
      <c r="AO143" s="16" t="n">
        <v>0</v>
      </c>
      <c r="AP143" s="16" t="n">
        <v>0</v>
      </c>
      <c r="AQ143" s="16" t="n">
        <v>0</v>
      </c>
      <c r="AR143" s="16" t="n">
        <v>0</v>
      </c>
      <c r="AS143" s="16" t="n">
        <v>0</v>
      </c>
      <c r="AT143" s="16" t="n">
        <v>0</v>
      </c>
      <c r="AU143" s="16" t="n">
        <v>0</v>
      </c>
      <c r="AV143" s="16" t="n">
        <v>0</v>
      </c>
      <c r="AW143" s="16" t="n">
        <v>0</v>
      </c>
      <c r="AX143" s="16" t="n">
        <v>0</v>
      </c>
      <c r="AY143" s="16" t="n">
        <v>0</v>
      </c>
      <c r="AZ143" s="16" t="n">
        <v>0</v>
      </c>
      <c r="BA143" s="16" t="n">
        <v>0</v>
      </c>
      <c r="BB143" s="16" t="n">
        <v>0</v>
      </c>
      <c r="BC143" s="16" t="n">
        <v>0</v>
      </c>
      <c r="BD143" s="16" t="n">
        <v>0</v>
      </c>
      <c r="BE143" s="16" t="n">
        <v>0</v>
      </c>
      <c r="BF143" s="16" t="n">
        <v>0</v>
      </c>
      <c r="BG143" s="16" t="n">
        <v>0</v>
      </c>
      <c r="BH143" s="16" t="n">
        <v>0</v>
      </c>
      <c r="BI143" s="16" t="n">
        <v>0</v>
      </c>
      <c r="BJ143" s="16" t="n">
        <v>0</v>
      </c>
      <c r="BK143" s="16" t="n">
        <v>0</v>
      </c>
      <c r="BL143" s="16" t="n">
        <v>0</v>
      </c>
      <c r="BM143" s="16" t="n">
        <v>0</v>
      </c>
      <c r="BN143" s="16" t="n">
        <v>0</v>
      </c>
      <c r="BO143" s="16" t="n">
        <v>0</v>
      </c>
      <c r="BP143" s="16" t="n">
        <v>0</v>
      </c>
      <c r="BQ143" s="16" t="n">
        <v>0</v>
      </c>
      <c r="BR143" s="16" t="n">
        <v>0</v>
      </c>
      <c r="BS143" s="16" t="n">
        <v>0</v>
      </c>
      <c r="BT143" s="16" t="n">
        <v>0</v>
      </c>
      <c r="BU143" s="16" t="n">
        <v>0</v>
      </c>
      <c r="BV143" s="16" t="n">
        <v>0</v>
      </c>
      <c r="BW143" s="16" t="n">
        <v>0</v>
      </c>
      <c r="BX143" s="16" t="n">
        <v>0</v>
      </c>
      <c r="BY143" s="16" t="n">
        <v>0</v>
      </c>
      <c r="BZ143" s="16" t="n">
        <v>0</v>
      </c>
      <c r="CA143" s="16" t="n">
        <v>0</v>
      </c>
      <c r="CB143" s="16" t="n">
        <v>0</v>
      </c>
      <c r="CC143" s="16" t="n">
        <v>0</v>
      </c>
      <c r="CD143" s="16" t="n">
        <v>0</v>
      </c>
      <c r="CE143" s="16" t="n">
        <v>0</v>
      </c>
      <c r="CF143" s="16" t="n">
        <v>0</v>
      </c>
      <c r="CG143" s="16" t="n">
        <v>0</v>
      </c>
      <c r="CH143" s="16" t="n">
        <v>0</v>
      </c>
      <c r="CI143" s="16" t="n">
        <v>0</v>
      </c>
      <c r="CJ143" s="16" t="n">
        <v>0</v>
      </c>
      <c r="CK143" s="16" t="n">
        <v>0</v>
      </c>
      <c r="CL143" s="16" t="n">
        <v>0</v>
      </c>
      <c r="CM143" s="16" t="n">
        <v>0</v>
      </c>
      <c r="CN143" s="16" t="n">
        <v>0</v>
      </c>
      <c r="CO143" s="16" t="n">
        <v>0</v>
      </c>
      <c r="CP143" s="16" t="n">
        <v>0</v>
      </c>
      <c r="CQ143" s="16" t="n">
        <v>0</v>
      </c>
      <c r="CR143" s="16" t="n">
        <v>0</v>
      </c>
      <c r="CS143" s="16" t="n">
        <v>0</v>
      </c>
      <c r="CT143" s="16" t="n">
        <v>0</v>
      </c>
      <c r="CU143" s="16" t="n">
        <v>0</v>
      </c>
      <c r="CV143" s="16" t="n">
        <v>0</v>
      </c>
      <c r="CW143" s="16" t="n">
        <v>0</v>
      </c>
      <c r="CX143" s="16" t="n">
        <v>0</v>
      </c>
      <c r="CY143" s="16" t="n">
        <v>0</v>
      </c>
      <c r="CZ143" s="16" t="n">
        <v>0</v>
      </c>
      <c r="DA143" s="16" t="n">
        <v>0</v>
      </c>
      <c r="DB143" s="16" t="n">
        <v>0</v>
      </c>
      <c r="DC143" s="16" t="n">
        <v>0</v>
      </c>
      <c r="DD143" s="16" t="n">
        <v>0</v>
      </c>
      <c r="DE143" s="16" t="n">
        <v>0</v>
      </c>
      <c r="DF143" s="16" t="n">
        <v>0</v>
      </c>
      <c r="DG143" s="16" t="n">
        <v>0</v>
      </c>
      <c r="DH143" s="16" t="n">
        <v>0</v>
      </c>
      <c r="DI143" s="16" t="n">
        <v>0</v>
      </c>
      <c r="DJ143" s="16" t="n">
        <v>0</v>
      </c>
      <c r="DK143" s="16" t="n">
        <v>0</v>
      </c>
      <c r="DL143" s="16" t="n">
        <v>0</v>
      </c>
      <c r="DM143" s="16" t="n">
        <v>0</v>
      </c>
      <c r="DN143" s="16" t="n">
        <v>0</v>
      </c>
      <c r="DO143" s="16" t="n">
        <v>0</v>
      </c>
      <c r="DP143" s="16" t="n">
        <v>0</v>
      </c>
      <c r="DQ143" s="16" t="n">
        <v>0</v>
      </c>
      <c r="DR143" s="16" t="n">
        <v>0</v>
      </c>
      <c r="DS143" s="16" t="n">
        <v>0</v>
      </c>
      <c r="DT143" s="16" t="n">
        <v>0</v>
      </c>
      <c r="DU143" s="16" t="n">
        <v>0</v>
      </c>
      <c r="DV143" s="16" t="n">
        <v>0</v>
      </c>
      <c r="DW143" s="16" t="n">
        <v>0</v>
      </c>
      <c r="DX143" s="16" t="n">
        <v>0</v>
      </c>
      <c r="DY143" s="16" t="n">
        <v>0</v>
      </c>
      <c r="DZ143" s="16" t="n">
        <v>0</v>
      </c>
      <c r="EA143" s="16" t="n">
        <v>0</v>
      </c>
      <c r="EB143" s="16" t="n">
        <v>0</v>
      </c>
      <c r="EC143" s="16" t="n">
        <v>0</v>
      </c>
      <c r="ED143" s="16" t="n">
        <v>0</v>
      </c>
      <c r="EE143" s="16" t="n">
        <v>0</v>
      </c>
      <c r="EF143" s="16" t="n">
        <v>0</v>
      </c>
    </row>
    <row r="144" customFormat="false" ht="15" hidden="false" customHeight="true" outlineLevel="0" collapsed="false">
      <c r="A144" s="9" t="s">
        <v>12</v>
      </c>
      <c r="B144" s="9" t="s">
        <v>20</v>
      </c>
      <c r="C144" s="9" t="s">
        <v>20</v>
      </c>
      <c r="D144" s="9" t="s">
        <v>338</v>
      </c>
      <c r="E144" s="9" t="s">
        <v>10</v>
      </c>
      <c r="F144" s="9" t="s">
        <v>83</v>
      </c>
      <c r="G144" s="16" t="n">
        <v>8</v>
      </c>
      <c r="H144" s="16" t="n">
        <v>8</v>
      </c>
      <c r="I144" s="16" t="n">
        <v>0</v>
      </c>
      <c r="J144" s="16" t="n">
        <v>8</v>
      </c>
      <c r="K144" s="16" t="n">
        <v>0</v>
      </c>
      <c r="L144" s="16" t="n">
        <v>0</v>
      </c>
      <c r="M144" s="16" t="n">
        <v>0</v>
      </c>
      <c r="N144" s="16" t="n">
        <v>0</v>
      </c>
      <c r="O144" s="16" t="n">
        <v>0</v>
      </c>
      <c r="P144" s="16" t="n">
        <v>0</v>
      </c>
      <c r="Q144" s="16" t="n">
        <v>0</v>
      </c>
      <c r="R144" s="16" t="n">
        <v>0</v>
      </c>
      <c r="S144" s="16" t="n">
        <v>0</v>
      </c>
      <c r="T144" s="16" t="n">
        <v>0</v>
      </c>
      <c r="U144" s="16" t="n">
        <v>0</v>
      </c>
      <c r="V144" s="16" t="n">
        <v>0</v>
      </c>
      <c r="W144" s="16" t="n">
        <v>0</v>
      </c>
      <c r="X144" s="16" t="n">
        <v>0</v>
      </c>
      <c r="Y144" s="16" t="n">
        <v>0</v>
      </c>
      <c r="Z144" s="16" t="n">
        <v>0</v>
      </c>
      <c r="AA144" s="16" t="n">
        <v>0</v>
      </c>
      <c r="AB144" s="16" t="n">
        <v>0</v>
      </c>
      <c r="AC144" s="16" t="n">
        <v>0</v>
      </c>
      <c r="AD144" s="16" t="n">
        <v>0</v>
      </c>
      <c r="AE144" s="16" t="n">
        <v>0</v>
      </c>
      <c r="AF144" s="16" t="n">
        <v>0</v>
      </c>
      <c r="AG144" s="16" t="n">
        <v>0</v>
      </c>
      <c r="AH144" s="16" t="n">
        <v>0</v>
      </c>
      <c r="AI144" s="16" t="n">
        <v>0</v>
      </c>
      <c r="AJ144" s="16" t="n">
        <v>0</v>
      </c>
      <c r="AK144" s="16" t="n">
        <v>0</v>
      </c>
      <c r="AL144" s="16" t="n">
        <v>0</v>
      </c>
      <c r="AM144" s="16" t="n">
        <v>0</v>
      </c>
      <c r="AN144" s="16" t="n">
        <v>0</v>
      </c>
      <c r="AO144" s="16" t="n">
        <v>0</v>
      </c>
      <c r="AP144" s="16" t="n">
        <v>0</v>
      </c>
      <c r="AQ144" s="16" t="n">
        <v>0</v>
      </c>
      <c r="AR144" s="16" t="n">
        <v>0</v>
      </c>
      <c r="AS144" s="16" t="n">
        <v>0</v>
      </c>
      <c r="AT144" s="16" t="n">
        <v>0</v>
      </c>
      <c r="AU144" s="16" t="n">
        <v>0</v>
      </c>
      <c r="AV144" s="16" t="n">
        <v>0</v>
      </c>
      <c r="AW144" s="16" t="n">
        <v>0</v>
      </c>
      <c r="AX144" s="16" t="n">
        <v>0</v>
      </c>
      <c r="AY144" s="16" t="n">
        <v>0</v>
      </c>
      <c r="AZ144" s="16" t="n">
        <v>0</v>
      </c>
      <c r="BA144" s="16" t="n">
        <v>0</v>
      </c>
      <c r="BB144" s="16" t="n">
        <v>0</v>
      </c>
      <c r="BC144" s="16" t="n">
        <v>0</v>
      </c>
      <c r="BD144" s="16" t="n">
        <v>0</v>
      </c>
      <c r="BE144" s="16" t="n">
        <v>0</v>
      </c>
      <c r="BF144" s="16" t="n">
        <v>0</v>
      </c>
      <c r="BG144" s="16" t="n">
        <v>0</v>
      </c>
      <c r="BH144" s="16" t="n">
        <v>0</v>
      </c>
      <c r="BI144" s="16" t="n">
        <v>0</v>
      </c>
      <c r="BJ144" s="16" t="n">
        <v>0</v>
      </c>
      <c r="BK144" s="16" t="n">
        <v>0</v>
      </c>
      <c r="BL144" s="16" t="n">
        <v>0</v>
      </c>
      <c r="BM144" s="16" t="n">
        <v>0</v>
      </c>
      <c r="BN144" s="16" t="n">
        <v>0</v>
      </c>
      <c r="BO144" s="16" t="n">
        <v>0</v>
      </c>
      <c r="BP144" s="16" t="n">
        <v>0</v>
      </c>
      <c r="BQ144" s="16" t="n">
        <v>0</v>
      </c>
      <c r="BR144" s="16" t="n">
        <v>0</v>
      </c>
      <c r="BS144" s="16" t="n">
        <v>0</v>
      </c>
      <c r="BT144" s="16" t="n">
        <v>0</v>
      </c>
      <c r="BU144" s="16" t="n">
        <v>0</v>
      </c>
      <c r="BV144" s="16" t="n">
        <v>0</v>
      </c>
      <c r="BW144" s="16" t="n">
        <v>0</v>
      </c>
      <c r="BX144" s="16" t="n">
        <v>0</v>
      </c>
      <c r="BY144" s="16" t="n">
        <v>0</v>
      </c>
      <c r="BZ144" s="16" t="n">
        <v>0</v>
      </c>
      <c r="CA144" s="16" t="n">
        <v>0</v>
      </c>
      <c r="CB144" s="16" t="n">
        <v>0</v>
      </c>
      <c r="CC144" s="16" t="n">
        <v>0</v>
      </c>
      <c r="CD144" s="16" t="n">
        <v>0</v>
      </c>
      <c r="CE144" s="16" t="n">
        <v>0</v>
      </c>
      <c r="CF144" s="16" t="n">
        <v>0</v>
      </c>
      <c r="CG144" s="16" t="n">
        <v>0</v>
      </c>
      <c r="CH144" s="16" t="n">
        <v>0</v>
      </c>
      <c r="CI144" s="16" t="n">
        <v>0</v>
      </c>
      <c r="CJ144" s="16" t="n">
        <v>0</v>
      </c>
      <c r="CK144" s="16" t="n">
        <v>0</v>
      </c>
      <c r="CL144" s="16" t="n">
        <v>0</v>
      </c>
      <c r="CM144" s="16" t="n">
        <v>0</v>
      </c>
      <c r="CN144" s="16" t="n">
        <v>0</v>
      </c>
      <c r="CO144" s="16" t="n">
        <v>0</v>
      </c>
      <c r="CP144" s="16" t="n">
        <v>0</v>
      </c>
      <c r="CQ144" s="16" t="n">
        <v>0</v>
      </c>
      <c r="CR144" s="16" t="n">
        <v>0</v>
      </c>
      <c r="CS144" s="16" t="n">
        <v>0</v>
      </c>
      <c r="CT144" s="16" t="n">
        <v>0</v>
      </c>
      <c r="CU144" s="16" t="n">
        <v>0</v>
      </c>
      <c r="CV144" s="16" t="n">
        <v>0</v>
      </c>
      <c r="CW144" s="16" t="n">
        <v>0</v>
      </c>
      <c r="CX144" s="16" t="n">
        <v>0</v>
      </c>
      <c r="CY144" s="16" t="n">
        <v>0</v>
      </c>
      <c r="CZ144" s="16" t="n">
        <v>0</v>
      </c>
      <c r="DA144" s="16" t="n">
        <v>0</v>
      </c>
      <c r="DB144" s="16" t="n">
        <v>0</v>
      </c>
      <c r="DC144" s="16" t="n">
        <v>0</v>
      </c>
      <c r="DD144" s="16" t="n">
        <v>0</v>
      </c>
      <c r="DE144" s="16" t="n">
        <v>0</v>
      </c>
      <c r="DF144" s="16" t="n">
        <v>0</v>
      </c>
      <c r="DG144" s="16" t="n">
        <v>0</v>
      </c>
      <c r="DH144" s="16" t="n">
        <v>0</v>
      </c>
      <c r="DI144" s="16" t="n">
        <v>0</v>
      </c>
      <c r="DJ144" s="16" t="n">
        <v>0</v>
      </c>
      <c r="DK144" s="16" t="n">
        <v>0</v>
      </c>
      <c r="DL144" s="16" t="n">
        <v>0</v>
      </c>
      <c r="DM144" s="16" t="n">
        <v>0</v>
      </c>
      <c r="DN144" s="16" t="n">
        <v>0</v>
      </c>
      <c r="DO144" s="16" t="n">
        <v>0</v>
      </c>
      <c r="DP144" s="16" t="n">
        <v>0</v>
      </c>
      <c r="DQ144" s="16" t="n">
        <v>0</v>
      </c>
      <c r="DR144" s="16" t="n">
        <v>0</v>
      </c>
      <c r="DS144" s="16" t="n">
        <v>0</v>
      </c>
      <c r="DT144" s="16" t="n">
        <v>0</v>
      </c>
      <c r="DU144" s="16" t="n">
        <v>0</v>
      </c>
      <c r="DV144" s="16" t="n">
        <v>0</v>
      </c>
      <c r="DW144" s="16" t="n">
        <v>0</v>
      </c>
      <c r="DX144" s="16" t="n">
        <v>0</v>
      </c>
      <c r="DY144" s="16" t="n">
        <v>0</v>
      </c>
      <c r="DZ144" s="16" t="n">
        <v>0</v>
      </c>
      <c r="EA144" s="16" t="n">
        <v>0</v>
      </c>
      <c r="EB144" s="16" t="n">
        <v>0</v>
      </c>
      <c r="EC144" s="16" t="n">
        <v>0</v>
      </c>
      <c r="ED144" s="16" t="n">
        <v>0</v>
      </c>
      <c r="EE144" s="16" t="n">
        <v>0</v>
      </c>
      <c r="EF144" s="16" t="n">
        <v>0</v>
      </c>
    </row>
    <row r="145" customFormat="false" ht="15" hidden="false" customHeight="true" outlineLevel="0" collapsed="false">
      <c r="A145" s="9" t="s">
        <v>12</v>
      </c>
      <c r="B145" s="9" t="s">
        <v>20</v>
      </c>
      <c r="C145" s="9" t="s">
        <v>20</v>
      </c>
      <c r="D145" s="9" t="s">
        <v>337</v>
      </c>
      <c r="E145" s="9" t="s">
        <v>10</v>
      </c>
      <c r="F145" s="9" t="s">
        <v>83</v>
      </c>
      <c r="G145" s="16" t="n">
        <v>0</v>
      </c>
      <c r="H145" s="16" t="n">
        <v>0</v>
      </c>
      <c r="I145" s="16" t="n">
        <v>21</v>
      </c>
      <c r="J145" s="16" t="n">
        <v>-21</v>
      </c>
      <c r="K145" s="16" t="n">
        <v>0</v>
      </c>
      <c r="L145" s="16" t="n">
        <v>0</v>
      </c>
      <c r="M145" s="16" t="n">
        <v>0</v>
      </c>
      <c r="N145" s="16" t="n">
        <v>0</v>
      </c>
      <c r="O145" s="16" t="n">
        <v>0</v>
      </c>
      <c r="P145" s="16" t="n">
        <v>0</v>
      </c>
      <c r="Q145" s="16" t="n">
        <v>0</v>
      </c>
      <c r="R145" s="16" t="n">
        <v>0</v>
      </c>
      <c r="S145" s="16" t="n">
        <v>0</v>
      </c>
      <c r="T145" s="16" t="n">
        <v>0</v>
      </c>
      <c r="U145" s="16" t="n">
        <v>0</v>
      </c>
      <c r="V145" s="16" t="n">
        <v>0</v>
      </c>
      <c r="W145" s="16" t="n">
        <v>0</v>
      </c>
      <c r="X145" s="16" t="n">
        <v>0</v>
      </c>
      <c r="Y145" s="16" t="n">
        <v>0</v>
      </c>
      <c r="Z145" s="16" t="n">
        <v>0</v>
      </c>
      <c r="AA145" s="16" t="n">
        <v>0</v>
      </c>
      <c r="AB145" s="16" t="n">
        <v>0</v>
      </c>
      <c r="AC145" s="16" t="n">
        <v>0</v>
      </c>
      <c r="AD145" s="16" t="n">
        <v>0</v>
      </c>
      <c r="AE145" s="16" t="n">
        <v>0</v>
      </c>
      <c r="AF145" s="16" t="n">
        <v>0</v>
      </c>
      <c r="AG145" s="16" t="n">
        <v>0</v>
      </c>
      <c r="AH145" s="16" t="n">
        <v>0</v>
      </c>
      <c r="AI145" s="16" t="n">
        <v>0</v>
      </c>
      <c r="AJ145" s="16" t="n">
        <v>0</v>
      </c>
      <c r="AK145" s="16" t="n">
        <v>0</v>
      </c>
      <c r="AL145" s="16" t="n">
        <v>0</v>
      </c>
      <c r="AM145" s="16" t="n">
        <v>2</v>
      </c>
      <c r="AN145" s="16" t="n">
        <v>11</v>
      </c>
      <c r="AO145" s="16" t="n">
        <v>8</v>
      </c>
      <c r="AP145" s="16" t="n">
        <v>0</v>
      </c>
      <c r="AQ145" s="16" t="n">
        <v>0</v>
      </c>
      <c r="AR145" s="16" t="n">
        <v>0</v>
      </c>
      <c r="AS145" s="16" t="n">
        <v>0</v>
      </c>
      <c r="AT145" s="16" t="n">
        <v>0</v>
      </c>
      <c r="AU145" s="16" t="n">
        <v>0</v>
      </c>
      <c r="AV145" s="16" t="n">
        <v>0</v>
      </c>
      <c r="AW145" s="16" t="n">
        <v>0</v>
      </c>
      <c r="AX145" s="16" t="n">
        <v>0</v>
      </c>
      <c r="AY145" s="16" t="n">
        <v>0</v>
      </c>
      <c r="AZ145" s="16" t="n">
        <v>0</v>
      </c>
      <c r="BA145" s="16" t="n">
        <v>0</v>
      </c>
      <c r="BB145" s="16" t="n">
        <v>0</v>
      </c>
      <c r="BC145" s="16" t="n">
        <v>0</v>
      </c>
      <c r="BD145" s="16" t="n">
        <v>0</v>
      </c>
      <c r="BE145" s="16" t="n">
        <v>0</v>
      </c>
      <c r="BF145" s="16" t="n">
        <v>0</v>
      </c>
      <c r="BG145" s="16" t="n">
        <v>0</v>
      </c>
      <c r="BH145" s="16" t="n">
        <v>0</v>
      </c>
      <c r="BI145" s="16" t="n">
        <v>0</v>
      </c>
      <c r="BJ145" s="16" t="n">
        <v>0</v>
      </c>
      <c r="BK145" s="16" t="n">
        <v>0</v>
      </c>
      <c r="BL145" s="16" t="n">
        <v>0</v>
      </c>
      <c r="BM145" s="16" t="n">
        <v>0</v>
      </c>
      <c r="BN145" s="16" t="n">
        <v>0</v>
      </c>
      <c r="BO145" s="16" t="n">
        <v>0</v>
      </c>
      <c r="BP145" s="16" t="n">
        <v>0</v>
      </c>
      <c r="BQ145" s="16" t="n">
        <v>0</v>
      </c>
      <c r="BR145" s="16" t="n">
        <v>0</v>
      </c>
      <c r="BS145" s="16" t="n">
        <v>0</v>
      </c>
      <c r="BT145" s="16" t="n">
        <v>0</v>
      </c>
      <c r="BU145" s="16" t="n">
        <v>0</v>
      </c>
      <c r="BV145" s="16" t="n">
        <v>0</v>
      </c>
      <c r="BW145" s="16" t="n">
        <v>0</v>
      </c>
      <c r="BX145" s="16" t="n">
        <v>0</v>
      </c>
      <c r="BY145" s="16" t="n">
        <v>0</v>
      </c>
      <c r="BZ145" s="16" t="n">
        <v>0</v>
      </c>
      <c r="CA145" s="16" t="n">
        <v>0</v>
      </c>
      <c r="CB145" s="16" t="n">
        <v>0</v>
      </c>
      <c r="CC145" s="16" t="n">
        <v>0</v>
      </c>
      <c r="CD145" s="16" t="n">
        <v>0</v>
      </c>
      <c r="CE145" s="16" t="n">
        <v>0</v>
      </c>
      <c r="CF145" s="16" t="n">
        <v>0</v>
      </c>
      <c r="CG145" s="16" t="n">
        <v>0</v>
      </c>
      <c r="CH145" s="16" t="n">
        <v>0</v>
      </c>
      <c r="CI145" s="16" t="n">
        <v>0</v>
      </c>
      <c r="CJ145" s="16" t="n">
        <v>0</v>
      </c>
      <c r="CK145" s="16" t="n">
        <v>0</v>
      </c>
      <c r="CL145" s="16" t="n">
        <v>0</v>
      </c>
      <c r="CM145" s="16" t="n">
        <v>0</v>
      </c>
      <c r="CN145" s="16" t="n">
        <v>0</v>
      </c>
      <c r="CO145" s="16" t="n">
        <v>0</v>
      </c>
      <c r="CP145" s="16" t="n">
        <v>0</v>
      </c>
      <c r="CQ145" s="16" t="n">
        <v>0</v>
      </c>
      <c r="CR145" s="16" t="n">
        <v>0</v>
      </c>
      <c r="CS145" s="16" t="n">
        <v>0</v>
      </c>
      <c r="CT145" s="16" t="n">
        <v>0</v>
      </c>
      <c r="CU145" s="16" t="n">
        <v>0</v>
      </c>
      <c r="CV145" s="16" t="n">
        <v>0</v>
      </c>
      <c r="CW145" s="16" t="n">
        <v>0</v>
      </c>
      <c r="CX145" s="16" t="n">
        <v>0</v>
      </c>
      <c r="CY145" s="16" t="n">
        <v>0</v>
      </c>
      <c r="CZ145" s="16" t="n">
        <v>0</v>
      </c>
      <c r="DA145" s="16" t="n">
        <v>0</v>
      </c>
      <c r="DB145" s="16" t="n">
        <v>0</v>
      </c>
      <c r="DC145" s="16" t="n">
        <v>0</v>
      </c>
      <c r="DD145" s="16" t="n">
        <v>0</v>
      </c>
      <c r="DE145" s="16" t="n">
        <v>0</v>
      </c>
      <c r="DF145" s="16" t="n">
        <v>0</v>
      </c>
      <c r="DG145" s="16" t="n">
        <v>0</v>
      </c>
      <c r="DH145" s="16" t="n">
        <v>0</v>
      </c>
      <c r="DI145" s="16" t="n">
        <v>0</v>
      </c>
      <c r="DJ145" s="16" t="n">
        <v>0</v>
      </c>
      <c r="DK145" s="16" t="n">
        <v>0</v>
      </c>
      <c r="DL145" s="16" t="n">
        <v>0</v>
      </c>
      <c r="DM145" s="16" t="n">
        <v>0</v>
      </c>
      <c r="DN145" s="16" t="n">
        <v>0</v>
      </c>
      <c r="DO145" s="16" t="n">
        <v>0</v>
      </c>
      <c r="DP145" s="16" t="n">
        <v>0</v>
      </c>
      <c r="DQ145" s="16" t="n">
        <v>0</v>
      </c>
      <c r="DR145" s="16" t="n">
        <v>0</v>
      </c>
      <c r="DS145" s="16" t="n">
        <v>0</v>
      </c>
      <c r="DT145" s="16" t="n">
        <v>0</v>
      </c>
      <c r="DU145" s="16" t="n">
        <v>0</v>
      </c>
      <c r="DV145" s="16" t="n">
        <v>0</v>
      </c>
      <c r="DW145" s="16" t="n">
        <v>0</v>
      </c>
      <c r="DX145" s="16" t="n">
        <v>0</v>
      </c>
      <c r="DY145" s="16" t="n">
        <v>0</v>
      </c>
      <c r="DZ145" s="16" t="n">
        <v>0</v>
      </c>
      <c r="EA145" s="16" t="n">
        <v>0</v>
      </c>
      <c r="EB145" s="16" t="n">
        <v>0</v>
      </c>
      <c r="EC145" s="16" t="n">
        <v>0</v>
      </c>
      <c r="ED145" s="16" t="n">
        <v>0</v>
      </c>
      <c r="EE145" s="16" t="n">
        <v>0</v>
      </c>
      <c r="EF145" s="16" t="n">
        <v>0</v>
      </c>
    </row>
    <row r="146" customFormat="false" ht="15" hidden="false" customHeight="true" outlineLevel="0" collapsed="false">
      <c r="A146" s="9" t="s">
        <v>12</v>
      </c>
      <c r="B146" s="9" t="s">
        <v>20</v>
      </c>
      <c r="C146" s="9" t="s">
        <v>20</v>
      </c>
      <c r="D146" s="9" t="s">
        <v>338</v>
      </c>
      <c r="E146" s="9" t="s">
        <v>10</v>
      </c>
      <c r="F146" s="9" t="s">
        <v>84</v>
      </c>
      <c r="G146" s="16" t="n">
        <v>0</v>
      </c>
      <c r="H146" s="16" t="n">
        <v>8</v>
      </c>
      <c r="I146" s="16" t="n">
        <v>0</v>
      </c>
      <c r="J146" s="16" t="n">
        <v>8</v>
      </c>
      <c r="K146" s="16" t="n">
        <v>0</v>
      </c>
      <c r="L146" s="16" t="n">
        <v>0</v>
      </c>
      <c r="M146" s="16" t="n">
        <v>0</v>
      </c>
      <c r="N146" s="16" t="n">
        <v>0</v>
      </c>
      <c r="O146" s="16" t="n">
        <v>0</v>
      </c>
      <c r="P146" s="16" t="n">
        <v>0</v>
      </c>
      <c r="Q146" s="16" t="n">
        <v>0</v>
      </c>
      <c r="R146" s="16" t="n">
        <v>0</v>
      </c>
      <c r="S146" s="16" t="n">
        <v>0</v>
      </c>
      <c r="T146" s="16" t="n">
        <v>0</v>
      </c>
      <c r="U146" s="16" t="n">
        <v>0</v>
      </c>
      <c r="V146" s="16" t="n">
        <v>0</v>
      </c>
      <c r="W146" s="16" t="n">
        <v>0</v>
      </c>
      <c r="X146" s="16" t="n">
        <v>0</v>
      </c>
      <c r="Y146" s="16" t="n">
        <v>0</v>
      </c>
      <c r="Z146" s="16" t="n">
        <v>0</v>
      </c>
      <c r="AA146" s="16" t="n">
        <v>0</v>
      </c>
      <c r="AB146" s="16" t="n">
        <v>0</v>
      </c>
      <c r="AC146" s="16" t="n">
        <v>0</v>
      </c>
      <c r="AD146" s="16" t="n">
        <v>0</v>
      </c>
      <c r="AE146" s="16" t="n">
        <v>0</v>
      </c>
      <c r="AF146" s="16" t="n">
        <v>0</v>
      </c>
      <c r="AG146" s="16" t="n">
        <v>0</v>
      </c>
      <c r="AH146" s="16" t="n">
        <v>0</v>
      </c>
      <c r="AI146" s="16" t="n">
        <v>0</v>
      </c>
      <c r="AJ146" s="16" t="n">
        <v>0</v>
      </c>
      <c r="AK146" s="16" t="n">
        <v>0</v>
      </c>
      <c r="AL146" s="16" t="n">
        <v>0</v>
      </c>
      <c r="AM146" s="16" t="n">
        <v>0</v>
      </c>
      <c r="AN146" s="16" t="n">
        <v>0</v>
      </c>
      <c r="AO146" s="16" t="n">
        <v>0</v>
      </c>
      <c r="AP146" s="16" t="n">
        <v>0</v>
      </c>
      <c r="AQ146" s="16" t="n">
        <v>0</v>
      </c>
      <c r="AR146" s="16" t="n">
        <v>0</v>
      </c>
      <c r="AS146" s="16" t="n">
        <v>0</v>
      </c>
      <c r="AT146" s="16" t="n">
        <v>0</v>
      </c>
      <c r="AU146" s="16" t="n">
        <v>0</v>
      </c>
      <c r="AV146" s="16" t="n">
        <v>0</v>
      </c>
      <c r="AW146" s="16" t="n">
        <v>0</v>
      </c>
      <c r="AX146" s="16" t="n">
        <v>0</v>
      </c>
      <c r="AY146" s="16" t="n">
        <v>0</v>
      </c>
      <c r="AZ146" s="16" t="n">
        <v>0</v>
      </c>
      <c r="BA146" s="16" t="n">
        <v>0</v>
      </c>
      <c r="BB146" s="16" t="n">
        <v>0</v>
      </c>
      <c r="BC146" s="16" t="n">
        <v>0</v>
      </c>
      <c r="BD146" s="16" t="n">
        <v>0</v>
      </c>
      <c r="BE146" s="16" t="n">
        <v>0</v>
      </c>
      <c r="BF146" s="16" t="n">
        <v>0</v>
      </c>
      <c r="BG146" s="16" t="n">
        <v>0</v>
      </c>
      <c r="BH146" s="16" t="n">
        <v>0</v>
      </c>
      <c r="BI146" s="16" t="n">
        <v>0</v>
      </c>
      <c r="BJ146" s="16" t="n">
        <v>0</v>
      </c>
      <c r="BK146" s="16" t="n">
        <v>0</v>
      </c>
      <c r="BL146" s="16" t="n">
        <v>0</v>
      </c>
      <c r="BM146" s="16" t="n">
        <v>0</v>
      </c>
      <c r="BN146" s="16" t="n">
        <v>0</v>
      </c>
      <c r="BO146" s="16" t="n">
        <v>0</v>
      </c>
      <c r="BP146" s="16" t="n">
        <v>0</v>
      </c>
      <c r="BQ146" s="16" t="n">
        <v>0</v>
      </c>
      <c r="BR146" s="16" t="n">
        <v>0</v>
      </c>
      <c r="BS146" s="16" t="n">
        <v>0</v>
      </c>
      <c r="BT146" s="16" t="n">
        <v>0</v>
      </c>
      <c r="BU146" s="16" t="n">
        <v>0</v>
      </c>
      <c r="BV146" s="16" t="n">
        <v>0</v>
      </c>
      <c r="BW146" s="16" t="n">
        <v>0</v>
      </c>
      <c r="BX146" s="16" t="n">
        <v>0</v>
      </c>
      <c r="BY146" s="16" t="n">
        <v>0</v>
      </c>
      <c r="BZ146" s="16" t="n">
        <v>0</v>
      </c>
      <c r="CA146" s="16" t="n">
        <v>0</v>
      </c>
      <c r="CB146" s="16" t="n">
        <v>0</v>
      </c>
      <c r="CC146" s="16" t="n">
        <v>0</v>
      </c>
      <c r="CD146" s="16" t="n">
        <v>0</v>
      </c>
      <c r="CE146" s="16" t="n">
        <v>0</v>
      </c>
      <c r="CF146" s="16" t="n">
        <v>0</v>
      </c>
      <c r="CG146" s="16" t="n">
        <v>0</v>
      </c>
      <c r="CH146" s="16" t="n">
        <v>0</v>
      </c>
      <c r="CI146" s="16" t="n">
        <v>0</v>
      </c>
      <c r="CJ146" s="16" t="n">
        <v>0</v>
      </c>
      <c r="CK146" s="16" t="n">
        <v>0</v>
      </c>
      <c r="CL146" s="16" t="n">
        <v>0</v>
      </c>
      <c r="CM146" s="16" t="n">
        <v>0</v>
      </c>
      <c r="CN146" s="16" t="n">
        <v>0</v>
      </c>
      <c r="CO146" s="16" t="n">
        <v>0</v>
      </c>
      <c r="CP146" s="16" t="n">
        <v>0</v>
      </c>
      <c r="CQ146" s="16" t="n">
        <v>0</v>
      </c>
      <c r="CR146" s="16" t="n">
        <v>0</v>
      </c>
      <c r="CS146" s="16" t="n">
        <v>0</v>
      </c>
      <c r="CT146" s="16" t="n">
        <v>0</v>
      </c>
      <c r="CU146" s="16" t="n">
        <v>0</v>
      </c>
      <c r="CV146" s="16" t="n">
        <v>0</v>
      </c>
      <c r="CW146" s="16" t="n">
        <v>0</v>
      </c>
      <c r="CX146" s="16" t="n">
        <v>0</v>
      </c>
      <c r="CY146" s="16" t="n">
        <v>0</v>
      </c>
      <c r="CZ146" s="16" t="n">
        <v>0</v>
      </c>
      <c r="DA146" s="16" t="n">
        <v>0</v>
      </c>
      <c r="DB146" s="16" t="n">
        <v>0</v>
      </c>
      <c r="DC146" s="16" t="n">
        <v>0</v>
      </c>
      <c r="DD146" s="16" t="n">
        <v>0</v>
      </c>
      <c r="DE146" s="16" t="n">
        <v>0</v>
      </c>
      <c r="DF146" s="16" t="n">
        <v>0</v>
      </c>
      <c r="DG146" s="16" t="n">
        <v>0</v>
      </c>
      <c r="DH146" s="16" t="n">
        <v>0</v>
      </c>
      <c r="DI146" s="16" t="n">
        <v>0</v>
      </c>
      <c r="DJ146" s="16" t="n">
        <v>0</v>
      </c>
      <c r="DK146" s="16" t="n">
        <v>0</v>
      </c>
      <c r="DL146" s="16" t="n">
        <v>0</v>
      </c>
      <c r="DM146" s="16" t="n">
        <v>0</v>
      </c>
      <c r="DN146" s="16" t="n">
        <v>0</v>
      </c>
      <c r="DO146" s="16" t="n">
        <v>0</v>
      </c>
      <c r="DP146" s="16" t="n">
        <v>0</v>
      </c>
      <c r="DQ146" s="16" t="n">
        <v>0</v>
      </c>
      <c r="DR146" s="16" t="n">
        <v>0</v>
      </c>
      <c r="DS146" s="16" t="n">
        <v>0</v>
      </c>
      <c r="DT146" s="16" t="n">
        <v>0</v>
      </c>
      <c r="DU146" s="16" t="n">
        <v>0</v>
      </c>
      <c r="DV146" s="16" t="n">
        <v>0</v>
      </c>
      <c r="DW146" s="16" t="n">
        <v>0</v>
      </c>
      <c r="DX146" s="16" t="n">
        <v>0</v>
      </c>
      <c r="DY146" s="16" t="n">
        <v>0</v>
      </c>
      <c r="DZ146" s="16" t="n">
        <v>0</v>
      </c>
      <c r="EA146" s="16" t="n">
        <v>0</v>
      </c>
      <c r="EB146" s="16" t="n">
        <v>0</v>
      </c>
      <c r="EC146" s="16" t="n">
        <v>0</v>
      </c>
      <c r="ED146" s="16" t="n">
        <v>0</v>
      </c>
      <c r="EE146" s="16" t="n">
        <v>0</v>
      </c>
      <c r="EF146" s="16" t="n">
        <v>0</v>
      </c>
    </row>
    <row r="147" customFormat="false" ht="15" hidden="false" customHeight="true" outlineLevel="0" collapsed="false">
      <c r="A147" s="9" t="s">
        <v>12</v>
      </c>
      <c r="B147" s="9" t="s">
        <v>20</v>
      </c>
      <c r="C147" s="9" t="s">
        <v>20</v>
      </c>
      <c r="D147" s="9" t="s">
        <v>337</v>
      </c>
      <c r="E147" s="9" t="s">
        <v>10</v>
      </c>
      <c r="F147" s="9" t="s">
        <v>84</v>
      </c>
      <c r="G147" s="16" t="n">
        <v>0</v>
      </c>
      <c r="H147" s="16" t="n">
        <v>0</v>
      </c>
      <c r="I147" s="16" t="n">
        <v>8</v>
      </c>
      <c r="J147" s="16" t="n">
        <v>-8</v>
      </c>
      <c r="K147" s="16" t="n">
        <v>0</v>
      </c>
      <c r="L147" s="16" t="n">
        <v>0</v>
      </c>
      <c r="M147" s="16" t="n">
        <v>0</v>
      </c>
      <c r="N147" s="16" t="n">
        <v>0</v>
      </c>
      <c r="O147" s="16" t="n">
        <v>0</v>
      </c>
      <c r="P147" s="16" t="n">
        <v>0</v>
      </c>
      <c r="Q147" s="16" t="n">
        <v>0</v>
      </c>
      <c r="R147" s="16" t="n">
        <v>0</v>
      </c>
      <c r="S147" s="16" t="n">
        <v>0</v>
      </c>
      <c r="T147" s="16" t="n">
        <v>0</v>
      </c>
      <c r="U147" s="16" t="n">
        <v>0</v>
      </c>
      <c r="V147" s="16" t="n">
        <v>0</v>
      </c>
      <c r="W147" s="16" t="n">
        <v>0</v>
      </c>
      <c r="X147" s="16" t="n">
        <v>0</v>
      </c>
      <c r="Y147" s="16" t="n">
        <v>0</v>
      </c>
      <c r="Z147" s="16" t="n">
        <v>0</v>
      </c>
      <c r="AA147" s="16" t="n">
        <v>0</v>
      </c>
      <c r="AB147" s="16" t="n">
        <v>0</v>
      </c>
      <c r="AC147" s="16" t="n">
        <v>0</v>
      </c>
      <c r="AD147" s="16" t="n">
        <v>0</v>
      </c>
      <c r="AE147" s="16" t="n">
        <v>0</v>
      </c>
      <c r="AF147" s="16" t="n">
        <v>0</v>
      </c>
      <c r="AG147" s="16" t="n">
        <v>0</v>
      </c>
      <c r="AH147" s="16" t="n">
        <v>0</v>
      </c>
      <c r="AI147" s="16" t="n">
        <v>0</v>
      </c>
      <c r="AJ147" s="16" t="n">
        <v>0</v>
      </c>
      <c r="AK147" s="16" t="n">
        <v>0</v>
      </c>
      <c r="AL147" s="16" t="n">
        <v>0</v>
      </c>
      <c r="AM147" s="16" t="n">
        <v>0</v>
      </c>
      <c r="AN147" s="16" t="n">
        <v>0</v>
      </c>
      <c r="AO147" s="16" t="n">
        <v>0</v>
      </c>
      <c r="AP147" s="16" t="n">
        <v>0</v>
      </c>
      <c r="AQ147" s="16" t="n">
        <v>0</v>
      </c>
      <c r="AR147" s="16" t="n">
        <v>0</v>
      </c>
      <c r="AS147" s="16" t="n">
        <v>0</v>
      </c>
      <c r="AT147" s="16" t="n">
        <v>0</v>
      </c>
      <c r="AU147" s="16" t="n">
        <v>0</v>
      </c>
      <c r="AV147" s="16" t="n">
        <v>0</v>
      </c>
      <c r="AW147" s="16" t="n">
        <v>0</v>
      </c>
      <c r="AX147" s="16" t="n">
        <v>0</v>
      </c>
      <c r="AY147" s="16" t="n">
        <v>0</v>
      </c>
      <c r="AZ147" s="16" t="n">
        <v>0</v>
      </c>
      <c r="BA147" s="16" t="n">
        <v>0</v>
      </c>
      <c r="BB147" s="16" t="n">
        <v>0</v>
      </c>
      <c r="BC147" s="16" t="n">
        <v>0</v>
      </c>
      <c r="BD147" s="16" t="n">
        <v>0</v>
      </c>
      <c r="BE147" s="16" t="n">
        <v>0</v>
      </c>
      <c r="BF147" s="16" t="n">
        <v>0</v>
      </c>
      <c r="BG147" s="16" t="n">
        <v>0</v>
      </c>
      <c r="BH147" s="16" t="n">
        <v>0</v>
      </c>
      <c r="BI147" s="16" t="n">
        <v>0</v>
      </c>
      <c r="BJ147" s="16" t="n">
        <v>0</v>
      </c>
      <c r="BK147" s="16" t="n">
        <v>0</v>
      </c>
      <c r="BL147" s="16" t="n">
        <v>0</v>
      </c>
      <c r="BM147" s="16" t="n">
        <v>0</v>
      </c>
      <c r="BN147" s="16" t="n">
        <v>0</v>
      </c>
      <c r="BO147" s="16" t="n">
        <v>0</v>
      </c>
      <c r="BP147" s="16" t="n">
        <v>0</v>
      </c>
      <c r="BQ147" s="16" t="n">
        <v>0</v>
      </c>
      <c r="BR147" s="16" t="n">
        <v>0</v>
      </c>
      <c r="BS147" s="16" t="n">
        <v>0</v>
      </c>
      <c r="BT147" s="16" t="n">
        <v>0</v>
      </c>
      <c r="BU147" s="16" t="n">
        <v>0</v>
      </c>
      <c r="BV147" s="16" t="n">
        <v>0</v>
      </c>
      <c r="BW147" s="16" t="n">
        <v>0</v>
      </c>
      <c r="BX147" s="16" t="n">
        <v>0</v>
      </c>
      <c r="BY147" s="16" t="n">
        <v>0</v>
      </c>
      <c r="BZ147" s="16" t="n">
        <v>0</v>
      </c>
      <c r="CA147" s="16" t="n">
        <v>0</v>
      </c>
      <c r="CB147" s="16" t="n">
        <v>0</v>
      </c>
      <c r="CC147" s="16" t="n">
        <v>0</v>
      </c>
      <c r="CD147" s="16" t="n">
        <v>0</v>
      </c>
      <c r="CE147" s="16" t="n">
        <v>0</v>
      </c>
      <c r="CF147" s="16" t="n">
        <v>0</v>
      </c>
      <c r="CG147" s="16" t="n">
        <v>0</v>
      </c>
      <c r="CH147" s="16" t="n">
        <v>0</v>
      </c>
      <c r="CI147" s="16" t="n">
        <v>0</v>
      </c>
      <c r="CJ147" s="16" t="n">
        <v>0</v>
      </c>
      <c r="CK147" s="16" t="n">
        <v>0</v>
      </c>
      <c r="CL147" s="16" t="n">
        <v>0</v>
      </c>
      <c r="CM147" s="16" t="n">
        <v>0</v>
      </c>
      <c r="CN147" s="16" t="n">
        <v>0</v>
      </c>
      <c r="CO147" s="16" t="n">
        <v>0</v>
      </c>
      <c r="CP147" s="16" t="n">
        <v>0</v>
      </c>
      <c r="CQ147" s="16" t="n">
        <v>0</v>
      </c>
      <c r="CR147" s="16" t="n">
        <v>0</v>
      </c>
      <c r="CS147" s="16" t="n">
        <v>0</v>
      </c>
      <c r="CT147" s="16" t="n">
        <v>0</v>
      </c>
      <c r="CU147" s="16" t="n">
        <v>0</v>
      </c>
      <c r="CV147" s="16" t="n">
        <v>0</v>
      </c>
      <c r="CW147" s="16" t="n">
        <v>0</v>
      </c>
      <c r="CX147" s="16" t="n">
        <v>0</v>
      </c>
      <c r="CY147" s="16" t="n">
        <v>0</v>
      </c>
      <c r="CZ147" s="16" t="n">
        <v>4</v>
      </c>
      <c r="DA147" s="16" t="n">
        <v>4</v>
      </c>
      <c r="DB147" s="16" t="n">
        <v>0</v>
      </c>
      <c r="DC147" s="16" t="n">
        <v>0</v>
      </c>
      <c r="DD147" s="16" t="n">
        <v>0</v>
      </c>
      <c r="DE147" s="16" t="n">
        <v>0</v>
      </c>
      <c r="DF147" s="16" t="n">
        <v>0</v>
      </c>
      <c r="DG147" s="16" t="n">
        <v>0</v>
      </c>
      <c r="DH147" s="16" t="n">
        <v>0</v>
      </c>
      <c r="DI147" s="16" t="n">
        <v>0</v>
      </c>
      <c r="DJ147" s="16" t="n">
        <v>0</v>
      </c>
      <c r="DK147" s="16" t="n">
        <v>0</v>
      </c>
      <c r="DL147" s="16" t="n">
        <v>0</v>
      </c>
      <c r="DM147" s="16" t="n">
        <v>0</v>
      </c>
      <c r="DN147" s="16" t="n">
        <v>0</v>
      </c>
      <c r="DO147" s="16" t="n">
        <v>0</v>
      </c>
      <c r="DP147" s="16" t="n">
        <v>0</v>
      </c>
      <c r="DQ147" s="16" t="n">
        <v>0</v>
      </c>
      <c r="DR147" s="16" t="n">
        <v>0</v>
      </c>
      <c r="DS147" s="16" t="n">
        <v>0</v>
      </c>
      <c r="DT147" s="16" t="n">
        <v>0</v>
      </c>
      <c r="DU147" s="16" t="n">
        <v>0</v>
      </c>
      <c r="DV147" s="16" t="n">
        <v>0</v>
      </c>
      <c r="DW147" s="16" t="n">
        <v>0</v>
      </c>
      <c r="DX147" s="16" t="n">
        <v>0</v>
      </c>
      <c r="DY147" s="16" t="n">
        <v>0</v>
      </c>
      <c r="DZ147" s="16" t="n">
        <v>0</v>
      </c>
      <c r="EA147" s="16" t="n">
        <v>0</v>
      </c>
      <c r="EB147" s="16" t="n">
        <v>0</v>
      </c>
      <c r="EC147" s="16" t="n">
        <v>0</v>
      </c>
      <c r="ED147" s="16" t="n">
        <v>0</v>
      </c>
      <c r="EE147" s="16" t="n">
        <v>0</v>
      </c>
      <c r="EF147" s="16" t="n">
        <v>0</v>
      </c>
    </row>
    <row r="148" customFormat="false" ht="15" hidden="false" customHeight="true" outlineLevel="0" collapsed="false">
      <c r="A148" s="9" t="s">
        <v>12</v>
      </c>
      <c r="B148" s="9" t="s">
        <v>20</v>
      </c>
      <c r="C148" s="9" t="s">
        <v>20</v>
      </c>
      <c r="D148" s="9" t="s">
        <v>338</v>
      </c>
      <c r="E148" s="9" t="s">
        <v>10</v>
      </c>
      <c r="F148" s="9" t="s">
        <v>40</v>
      </c>
      <c r="G148" s="16" t="n">
        <v>0</v>
      </c>
      <c r="H148" s="16" t="n">
        <v>18</v>
      </c>
      <c r="I148" s="16" t="n">
        <v>0</v>
      </c>
      <c r="J148" s="16" t="n">
        <v>18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 customFormat="false" ht="15" hidden="false" customHeight="true" outlineLevel="0" collapsed="false">
      <c r="A149" s="9" t="s">
        <v>12</v>
      </c>
      <c r="B149" s="9" t="s">
        <v>20</v>
      </c>
      <c r="C149" s="9" t="s">
        <v>20</v>
      </c>
      <c r="D149" s="9" t="s">
        <v>337</v>
      </c>
      <c r="E149" s="9" t="s">
        <v>10</v>
      </c>
      <c r="F149" s="9" t="s">
        <v>40</v>
      </c>
      <c r="G149" s="16" t="n">
        <v>0</v>
      </c>
      <c r="H149" s="16" t="n">
        <v>0</v>
      </c>
      <c r="I149" s="16" t="n">
        <v>24</v>
      </c>
      <c r="J149" s="16" t="n">
        <v>-24</v>
      </c>
      <c r="K149" s="16" t="n">
        <v>0</v>
      </c>
      <c r="L149" s="16" t="n">
        <v>0</v>
      </c>
      <c r="M149" s="16" t="n">
        <v>0</v>
      </c>
      <c r="N149" s="16" t="n">
        <v>0</v>
      </c>
      <c r="O149" s="16" t="n">
        <v>0</v>
      </c>
      <c r="P149" s="16" t="n">
        <v>0</v>
      </c>
      <c r="Q149" s="16" t="n">
        <v>0</v>
      </c>
      <c r="R149" s="16" t="n">
        <v>0</v>
      </c>
      <c r="S149" s="16" t="n">
        <v>0</v>
      </c>
      <c r="T149" s="16" t="n">
        <v>0</v>
      </c>
      <c r="U149" s="16" t="n">
        <v>0</v>
      </c>
      <c r="V149" s="16" t="n">
        <v>0</v>
      </c>
      <c r="W149" s="16" t="n">
        <v>0</v>
      </c>
      <c r="X149" s="16" t="n">
        <v>0</v>
      </c>
      <c r="Y149" s="16" t="n">
        <v>0</v>
      </c>
      <c r="Z149" s="16" t="n">
        <v>0</v>
      </c>
      <c r="AA149" s="16" t="n">
        <v>0</v>
      </c>
      <c r="AB149" s="16" t="n">
        <v>0</v>
      </c>
      <c r="AC149" s="16" t="n">
        <v>0</v>
      </c>
      <c r="AD149" s="16" t="n">
        <v>0</v>
      </c>
      <c r="AE149" s="16" t="n">
        <v>0</v>
      </c>
      <c r="AF149" s="16" t="n">
        <v>0</v>
      </c>
      <c r="AG149" s="16" t="n">
        <v>0</v>
      </c>
      <c r="AH149" s="16" t="n">
        <v>0</v>
      </c>
      <c r="AI149" s="16" t="n">
        <v>0</v>
      </c>
      <c r="AJ149" s="16" t="n">
        <v>0</v>
      </c>
      <c r="AK149" s="16" t="n">
        <v>0</v>
      </c>
      <c r="AL149" s="16" t="n">
        <v>0</v>
      </c>
      <c r="AM149" s="16" t="n">
        <v>0</v>
      </c>
      <c r="AN149" s="16" t="n">
        <v>0</v>
      </c>
      <c r="AO149" s="16" t="n">
        <v>0</v>
      </c>
      <c r="AP149" s="16" t="n">
        <v>0</v>
      </c>
      <c r="AQ149" s="16" t="n">
        <v>0</v>
      </c>
      <c r="AR149" s="16" t="n">
        <v>0</v>
      </c>
      <c r="AS149" s="16" t="n">
        <v>0</v>
      </c>
      <c r="AT149" s="16" t="n">
        <v>0</v>
      </c>
      <c r="AU149" s="16" t="n">
        <v>0</v>
      </c>
      <c r="AV149" s="16" t="n">
        <v>0</v>
      </c>
      <c r="AW149" s="16" t="n">
        <v>0</v>
      </c>
      <c r="AX149" s="16" t="n">
        <v>0</v>
      </c>
      <c r="AY149" s="16" t="n">
        <v>0</v>
      </c>
      <c r="AZ149" s="16" t="n">
        <v>0</v>
      </c>
      <c r="BA149" s="16" t="n">
        <v>0</v>
      </c>
      <c r="BB149" s="16" t="n">
        <v>0</v>
      </c>
      <c r="BC149" s="16" t="n">
        <v>0</v>
      </c>
      <c r="BD149" s="16" t="n">
        <v>0</v>
      </c>
      <c r="BE149" s="16" t="n">
        <v>0</v>
      </c>
      <c r="BF149" s="16" t="n">
        <v>0</v>
      </c>
      <c r="BG149" s="16" t="n">
        <v>0</v>
      </c>
      <c r="BH149" s="16" t="n">
        <v>0</v>
      </c>
      <c r="BI149" s="16" t="n">
        <v>0</v>
      </c>
      <c r="BJ149" s="16" t="n">
        <v>0</v>
      </c>
      <c r="BK149" s="16" t="n">
        <v>0</v>
      </c>
      <c r="BL149" s="16" t="n">
        <v>0</v>
      </c>
      <c r="BM149" s="16" t="n">
        <v>0</v>
      </c>
      <c r="BN149" s="16" t="n">
        <v>0</v>
      </c>
      <c r="BO149" s="16" t="n">
        <v>0</v>
      </c>
      <c r="BP149" s="16" t="n">
        <v>0</v>
      </c>
      <c r="BQ149" s="16" t="n">
        <v>0</v>
      </c>
      <c r="BR149" s="16" t="n">
        <v>0</v>
      </c>
      <c r="BS149" s="16" t="n">
        <v>0</v>
      </c>
      <c r="BT149" s="16" t="n">
        <v>0</v>
      </c>
      <c r="BU149" s="16" t="n">
        <v>0</v>
      </c>
      <c r="BV149" s="16" t="n">
        <v>0</v>
      </c>
      <c r="BW149" s="16" t="n">
        <v>0</v>
      </c>
      <c r="BX149" s="16" t="n">
        <v>0</v>
      </c>
      <c r="BY149" s="16" t="n">
        <v>0</v>
      </c>
      <c r="BZ149" s="16" t="n">
        <v>0</v>
      </c>
      <c r="CA149" s="16" t="n">
        <v>0</v>
      </c>
      <c r="CB149" s="16" t="n">
        <v>0</v>
      </c>
      <c r="CC149" s="16" t="n">
        <v>0</v>
      </c>
      <c r="CD149" s="16" t="n">
        <v>0</v>
      </c>
      <c r="CE149" s="16" t="n">
        <v>0</v>
      </c>
      <c r="CF149" s="16" t="n">
        <v>0</v>
      </c>
      <c r="CG149" s="16" t="n">
        <v>0</v>
      </c>
      <c r="CH149" s="16" t="n">
        <v>0</v>
      </c>
      <c r="CI149" s="16" t="n">
        <v>0</v>
      </c>
      <c r="CJ149" s="16" t="n">
        <v>0</v>
      </c>
      <c r="CK149" s="16" t="n">
        <v>0</v>
      </c>
      <c r="CL149" s="16" t="n">
        <v>0</v>
      </c>
      <c r="CM149" s="16" t="n">
        <v>0</v>
      </c>
      <c r="CN149" s="16" t="n">
        <v>0</v>
      </c>
      <c r="CO149" s="16" t="n">
        <v>0</v>
      </c>
      <c r="CP149" s="16" t="n">
        <v>0</v>
      </c>
      <c r="CQ149" s="16" t="n">
        <v>0</v>
      </c>
      <c r="CR149" s="16" t="n">
        <v>0</v>
      </c>
      <c r="CS149" s="16" t="n">
        <v>0</v>
      </c>
      <c r="CT149" s="16" t="n">
        <v>0</v>
      </c>
      <c r="CU149" s="16" t="n">
        <v>0</v>
      </c>
      <c r="CV149" s="16" t="n">
        <v>0</v>
      </c>
      <c r="CW149" s="16" t="n">
        <v>0</v>
      </c>
      <c r="CX149" s="16" t="n">
        <v>0</v>
      </c>
      <c r="CY149" s="16" t="n">
        <v>0</v>
      </c>
      <c r="CZ149" s="16" t="n">
        <v>0</v>
      </c>
      <c r="DA149" s="16" t="n">
        <v>0</v>
      </c>
      <c r="DB149" s="16" t="n">
        <v>0</v>
      </c>
      <c r="DC149" s="16" t="n">
        <v>0</v>
      </c>
      <c r="DD149" s="16" t="n">
        <v>0</v>
      </c>
      <c r="DE149" s="16" t="n">
        <v>0</v>
      </c>
      <c r="DF149" s="16" t="n">
        <v>0</v>
      </c>
      <c r="DG149" s="16" t="n">
        <v>0</v>
      </c>
      <c r="DH149" s="16" t="n">
        <v>0</v>
      </c>
      <c r="DI149" s="16" t="n">
        <v>0</v>
      </c>
      <c r="DJ149" s="16" t="n">
        <v>0</v>
      </c>
      <c r="DK149" s="16" t="n">
        <v>0</v>
      </c>
      <c r="DL149" s="16" t="n">
        <v>0</v>
      </c>
      <c r="DM149" s="16" t="n">
        <v>0</v>
      </c>
      <c r="DN149" s="16" t="n">
        <v>0</v>
      </c>
      <c r="DO149" s="16" t="n">
        <v>8</v>
      </c>
      <c r="DP149" s="16" t="n">
        <v>0</v>
      </c>
      <c r="DQ149" s="16" t="n">
        <v>6</v>
      </c>
      <c r="DR149" s="16" t="n">
        <v>10</v>
      </c>
      <c r="DS149" s="16" t="n">
        <v>0</v>
      </c>
      <c r="DT149" s="16" t="n">
        <v>0</v>
      </c>
      <c r="DU149" s="16" t="n">
        <v>0</v>
      </c>
      <c r="DV149" s="16" t="n">
        <v>0</v>
      </c>
      <c r="DW149" s="16" t="n">
        <v>0</v>
      </c>
      <c r="DX149" s="16" t="n">
        <v>0</v>
      </c>
      <c r="DY149" s="16" t="n">
        <v>0</v>
      </c>
      <c r="DZ149" s="16" t="n">
        <v>0</v>
      </c>
      <c r="EA149" s="16" t="n">
        <v>0</v>
      </c>
      <c r="EB149" s="16" t="n">
        <v>0</v>
      </c>
      <c r="EC149" s="16" t="n">
        <v>0</v>
      </c>
      <c r="ED149" s="16" t="n">
        <v>0</v>
      </c>
      <c r="EE149" s="16" t="n">
        <v>0</v>
      </c>
      <c r="EF149" s="16" t="n">
        <v>0</v>
      </c>
    </row>
    <row r="150" customFormat="false" ht="15" hidden="false" customHeight="true" outlineLevel="0" collapsed="false">
      <c r="A150" s="9" t="s">
        <v>12</v>
      </c>
      <c r="B150" s="9" t="s">
        <v>20</v>
      </c>
      <c r="C150" s="9" t="s">
        <v>20</v>
      </c>
      <c r="D150" s="9" t="s">
        <v>338</v>
      </c>
      <c r="E150" s="9" t="s">
        <v>10</v>
      </c>
      <c r="F150" s="9" t="s">
        <v>85</v>
      </c>
      <c r="G150" s="16" t="n">
        <v>105</v>
      </c>
      <c r="H150" s="16" t="n">
        <v>353</v>
      </c>
      <c r="I150" s="16" t="n">
        <v>56.5</v>
      </c>
      <c r="J150" s="16" t="n">
        <v>296.5</v>
      </c>
      <c r="K150" s="16" t="n">
        <v>0</v>
      </c>
      <c r="L150" s="16" t="n">
        <v>0</v>
      </c>
      <c r="M150" s="16" t="n">
        <v>0</v>
      </c>
      <c r="N150" s="16" t="n">
        <v>0</v>
      </c>
      <c r="O150" s="16" t="n">
        <v>0</v>
      </c>
      <c r="P150" s="16" t="n">
        <v>0</v>
      </c>
      <c r="Q150" s="16" t="n">
        <v>0</v>
      </c>
      <c r="R150" s="16" t="n">
        <v>0</v>
      </c>
      <c r="S150" s="16" t="n">
        <v>0</v>
      </c>
      <c r="T150" s="16" t="n">
        <v>0</v>
      </c>
      <c r="U150" s="16" t="n">
        <v>0</v>
      </c>
      <c r="V150" s="16" t="n">
        <v>0</v>
      </c>
      <c r="W150" s="16" t="n">
        <v>0</v>
      </c>
      <c r="X150" s="16" t="n">
        <v>0</v>
      </c>
      <c r="Y150" s="16" t="n">
        <v>0</v>
      </c>
      <c r="Z150" s="16" t="n">
        <v>0</v>
      </c>
      <c r="AA150" s="16" t="n">
        <v>0</v>
      </c>
      <c r="AB150" s="16" t="n">
        <v>5</v>
      </c>
      <c r="AC150" s="16" t="n">
        <v>1</v>
      </c>
      <c r="AD150" s="16" t="n">
        <v>6</v>
      </c>
      <c r="AE150" s="16" t="n">
        <v>5</v>
      </c>
      <c r="AF150" s="16" t="n">
        <v>14</v>
      </c>
      <c r="AG150" s="16" t="n">
        <v>10</v>
      </c>
      <c r="AH150" s="16" t="n">
        <v>4.5</v>
      </c>
      <c r="AI150" s="16" t="n">
        <v>9</v>
      </c>
      <c r="AJ150" s="16" t="n">
        <v>2</v>
      </c>
      <c r="AK150" s="16" t="n">
        <v>0</v>
      </c>
      <c r="AL150" s="16" t="n">
        <v>0</v>
      </c>
      <c r="AM150" s="16" t="n">
        <v>0</v>
      </c>
      <c r="AN150" s="16" t="n">
        <v>0</v>
      </c>
      <c r="AO150" s="16" t="n">
        <v>0</v>
      </c>
      <c r="AP150" s="16" t="n">
        <v>0</v>
      </c>
      <c r="AQ150" s="16" t="n">
        <v>0</v>
      </c>
      <c r="AR150" s="16" t="n">
        <v>0</v>
      </c>
      <c r="AS150" s="16" t="n">
        <v>0</v>
      </c>
      <c r="AT150" s="16" t="n">
        <v>0</v>
      </c>
      <c r="AU150" s="16" t="n">
        <v>0</v>
      </c>
      <c r="AV150" s="16" t="n">
        <v>0</v>
      </c>
      <c r="AW150" s="16" t="n">
        <v>0</v>
      </c>
      <c r="AX150" s="16" t="n">
        <v>0</v>
      </c>
      <c r="AY150" s="16" t="n">
        <v>0</v>
      </c>
      <c r="AZ150" s="16" t="n">
        <v>0</v>
      </c>
      <c r="BA150" s="16" t="n">
        <v>0</v>
      </c>
      <c r="BB150" s="16" t="n">
        <v>0</v>
      </c>
      <c r="BC150" s="16" t="n">
        <v>0</v>
      </c>
      <c r="BD150" s="16" t="n">
        <v>0</v>
      </c>
      <c r="BE150" s="16" t="n">
        <v>0</v>
      </c>
      <c r="BF150" s="16" t="n">
        <v>0</v>
      </c>
      <c r="BG150" s="16" t="n">
        <v>0</v>
      </c>
      <c r="BH150" s="16" t="n">
        <v>0</v>
      </c>
      <c r="BI150" s="16" t="n">
        <v>0</v>
      </c>
      <c r="BJ150" s="16" t="n">
        <v>0</v>
      </c>
      <c r="BK150" s="16" t="n">
        <v>0</v>
      </c>
      <c r="BL150" s="16" t="n">
        <v>0</v>
      </c>
      <c r="BM150" s="16" t="n">
        <v>0</v>
      </c>
      <c r="BN150" s="16" t="n">
        <v>0</v>
      </c>
      <c r="BO150" s="16" t="n">
        <v>0</v>
      </c>
      <c r="BP150" s="16" t="n">
        <v>0</v>
      </c>
      <c r="BQ150" s="16" t="n">
        <v>0</v>
      </c>
      <c r="BR150" s="16" t="n">
        <v>0</v>
      </c>
      <c r="BS150" s="16" t="n">
        <v>0</v>
      </c>
      <c r="BT150" s="16" t="n">
        <v>0</v>
      </c>
      <c r="BU150" s="16" t="n">
        <v>0</v>
      </c>
      <c r="BV150" s="16" t="n">
        <v>0</v>
      </c>
      <c r="BW150" s="16" t="n">
        <v>0</v>
      </c>
      <c r="BX150" s="16" t="n">
        <v>0</v>
      </c>
      <c r="BY150" s="16" t="n">
        <v>0</v>
      </c>
      <c r="BZ150" s="16" t="n">
        <v>0</v>
      </c>
      <c r="CA150" s="16" t="n">
        <v>0</v>
      </c>
      <c r="CB150" s="16" t="n">
        <v>0</v>
      </c>
      <c r="CC150" s="16" t="n">
        <v>0</v>
      </c>
      <c r="CD150" s="16" t="n">
        <v>0</v>
      </c>
      <c r="CE150" s="16" t="n">
        <v>0</v>
      </c>
      <c r="CF150" s="16" t="n">
        <v>0</v>
      </c>
      <c r="CG150" s="16" t="n">
        <v>0</v>
      </c>
      <c r="CH150" s="16" t="n">
        <v>0</v>
      </c>
      <c r="CI150" s="16" t="n">
        <v>0</v>
      </c>
      <c r="CJ150" s="16" t="n">
        <v>0</v>
      </c>
      <c r="CK150" s="16" t="n">
        <v>0</v>
      </c>
      <c r="CL150" s="16" t="n">
        <v>0</v>
      </c>
      <c r="CM150" s="16" t="n">
        <v>0</v>
      </c>
      <c r="CN150" s="16" t="n">
        <v>0</v>
      </c>
      <c r="CO150" s="16" t="n">
        <v>0</v>
      </c>
      <c r="CP150" s="16" t="n">
        <v>0</v>
      </c>
      <c r="CQ150" s="16" t="n">
        <v>0</v>
      </c>
      <c r="CR150" s="16" t="n">
        <v>0</v>
      </c>
      <c r="CS150" s="16" t="n">
        <v>0</v>
      </c>
      <c r="CT150" s="16" t="n">
        <v>0</v>
      </c>
      <c r="CU150" s="16" t="n">
        <v>0</v>
      </c>
      <c r="CV150" s="16" t="n">
        <v>0</v>
      </c>
      <c r="CW150" s="16" t="n">
        <v>0</v>
      </c>
      <c r="CX150" s="16" t="n">
        <v>0</v>
      </c>
      <c r="CY150" s="16" t="n">
        <v>0</v>
      </c>
      <c r="CZ150" s="16" t="n">
        <v>0</v>
      </c>
      <c r="DA150" s="16" t="n">
        <v>0</v>
      </c>
      <c r="DB150" s="16" t="n">
        <v>0</v>
      </c>
      <c r="DC150" s="16" t="n">
        <v>0</v>
      </c>
      <c r="DD150" s="16" t="n">
        <v>0</v>
      </c>
      <c r="DE150" s="16" t="n">
        <v>0</v>
      </c>
      <c r="DF150" s="16" t="n">
        <v>0</v>
      </c>
      <c r="DG150" s="16" t="n">
        <v>0</v>
      </c>
      <c r="DH150" s="16" t="n">
        <v>0</v>
      </c>
      <c r="DI150" s="16" t="n">
        <v>0</v>
      </c>
      <c r="DJ150" s="16" t="n">
        <v>0</v>
      </c>
      <c r="DK150" s="16" t="n">
        <v>0</v>
      </c>
      <c r="DL150" s="16" t="n">
        <v>0</v>
      </c>
      <c r="DM150" s="16" t="n">
        <v>0</v>
      </c>
      <c r="DN150" s="16" t="n">
        <v>0</v>
      </c>
      <c r="DO150" s="16" t="n">
        <v>0</v>
      </c>
      <c r="DP150" s="16" t="n">
        <v>0</v>
      </c>
      <c r="DQ150" s="16" t="n">
        <v>0</v>
      </c>
      <c r="DR150" s="16" t="n">
        <v>0</v>
      </c>
      <c r="DS150" s="16" t="n">
        <v>0</v>
      </c>
      <c r="DT150" s="16" t="n">
        <v>0</v>
      </c>
      <c r="DU150" s="16" t="n">
        <v>0</v>
      </c>
      <c r="DV150" s="16" t="n">
        <v>0</v>
      </c>
      <c r="DW150" s="16" t="n">
        <v>0</v>
      </c>
      <c r="DX150" s="16" t="n">
        <v>0</v>
      </c>
      <c r="DY150" s="16" t="n">
        <v>0</v>
      </c>
      <c r="DZ150" s="16" t="n">
        <v>0</v>
      </c>
      <c r="EA150" s="16" t="n">
        <v>0</v>
      </c>
      <c r="EB150" s="16" t="n">
        <v>0</v>
      </c>
      <c r="EC150" s="16" t="n">
        <v>0</v>
      </c>
      <c r="ED150" s="16" t="n">
        <v>0</v>
      </c>
      <c r="EE150" s="16" t="n">
        <v>0</v>
      </c>
      <c r="EF150" s="16" t="n">
        <v>0</v>
      </c>
    </row>
    <row r="151" customFormat="false" ht="15" hidden="false" customHeight="true" outlineLevel="0" collapsed="false">
      <c r="A151" s="9" t="s">
        <v>12</v>
      </c>
      <c r="B151" s="9" t="s">
        <v>20</v>
      </c>
      <c r="C151" s="9" t="s">
        <v>20</v>
      </c>
      <c r="D151" s="9" t="s">
        <v>337</v>
      </c>
      <c r="E151" s="9" t="s">
        <v>10</v>
      </c>
      <c r="F151" s="9" t="s">
        <v>85</v>
      </c>
      <c r="G151" s="16" t="n">
        <v>0</v>
      </c>
      <c r="H151" s="16" t="n">
        <v>0</v>
      </c>
      <c r="I151" s="16" t="n">
        <v>420.5</v>
      </c>
      <c r="J151" s="16" t="n">
        <v>-420.5</v>
      </c>
      <c r="K151" s="16" t="n">
        <v>0</v>
      </c>
      <c r="L151" s="16" t="n">
        <v>0</v>
      </c>
      <c r="M151" s="16" t="n">
        <v>0</v>
      </c>
      <c r="N151" s="16" t="n">
        <v>0</v>
      </c>
      <c r="O151" s="16" t="n">
        <v>0</v>
      </c>
      <c r="P151" s="16" t="n">
        <v>0</v>
      </c>
      <c r="Q151" s="16" t="n">
        <v>0</v>
      </c>
      <c r="R151" s="16" t="n">
        <v>0</v>
      </c>
      <c r="S151" s="16" t="n">
        <v>0</v>
      </c>
      <c r="T151" s="16" t="n">
        <v>0</v>
      </c>
      <c r="U151" s="16" t="n">
        <v>0</v>
      </c>
      <c r="V151" s="16" t="n">
        <v>0</v>
      </c>
      <c r="W151" s="16" t="n">
        <v>0</v>
      </c>
      <c r="X151" s="16" t="n">
        <v>0</v>
      </c>
      <c r="Y151" s="16" t="n">
        <v>0</v>
      </c>
      <c r="Z151" s="16" t="n">
        <v>0</v>
      </c>
      <c r="AA151" s="16" t="n">
        <v>0</v>
      </c>
      <c r="AB151" s="16" t="n">
        <v>0</v>
      </c>
      <c r="AC151" s="16" t="n">
        <v>0</v>
      </c>
      <c r="AD151" s="16" t="n">
        <v>0</v>
      </c>
      <c r="AE151" s="16" t="n">
        <v>0</v>
      </c>
      <c r="AF151" s="16" t="n">
        <v>0</v>
      </c>
      <c r="AG151" s="16" t="n">
        <v>0</v>
      </c>
      <c r="AH151" s="16" t="n">
        <v>0</v>
      </c>
      <c r="AI151" s="16" t="n">
        <v>0</v>
      </c>
      <c r="AJ151" s="16" t="n">
        <v>3</v>
      </c>
      <c r="AK151" s="16" t="n">
        <v>6.5</v>
      </c>
      <c r="AL151" s="16" t="n">
        <v>8</v>
      </c>
      <c r="AM151" s="16" t="n">
        <v>6</v>
      </c>
      <c r="AN151" s="16" t="n">
        <v>1</v>
      </c>
      <c r="AO151" s="16" t="n">
        <v>1</v>
      </c>
      <c r="AP151" s="16" t="n">
        <v>18</v>
      </c>
      <c r="AQ151" s="16" t="n">
        <v>8.5</v>
      </c>
      <c r="AR151" s="16" t="n">
        <v>18</v>
      </c>
      <c r="AS151" s="16" t="n">
        <v>9.5</v>
      </c>
      <c r="AT151" s="16" t="n">
        <v>0</v>
      </c>
      <c r="AU151" s="16" t="n">
        <v>0</v>
      </c>
      <c r="AV151" s="16" t="n">
        <v>0</v>
      </c>
      <c r="AW151" s="16" t="n">
        <v>0</v>
      </c>
      <c r="AX151" s="16" t="n">
        <v>0</v>
      </c>
      <c r="AY151" s="16" t="n">
        <v>0</v>
      </c>
      <c r="AZ151" s="16" t="n">
        <v>0</v>
      </c>
      <c r="BA151" s="16" t="n">
        <v>0</v>
      </c>
      <c r="BB151" s="16" t="n">
        <v>0</v>
      </c>
      <c r="BC151" s="16" t="n">
        <v>0</v>
      </c>
      <c r="BD151" s="16" t="n">
        <v>0</v>
      </c>
      <c r="BE151" s="16" t="n">
        <v>0</v>
      </c>
      <c r="BF151" s="16" t="n">
        <v>0</v>
      </c>
      <c r="BG151" s="16" t="n">
        <v>0</v>
      </c>
      <c r="BH151" s="16" t="n">
        <v>0</v>
      </c>
      <c r="BI151" s="16" t="n">
        <v>0</v>
      </c>
      <c r="BJ151" s="16" t="n">
        <v>0</v>
      </c>
      <c r="BK151" s="16" t="n">
        <v>0</v>
      </c>
      <c r="BL151" s="16" t="n">
        <v>0</v>
      </c>
      <c r="BM151" s="16" t="n">
        <v>0</v>
      </c>
      <c r="BN151" s="16" t="n">
        <v>0</v>
      </c>
      <c r="BO151" s="16" t="n">
        <v>0</v>
      </c>
      <c r="BP151" s="16" t="n">
        <v>0</v>
      </c>
      <c r="BQ151" s="16" t="n">
        <v>0</v>
      </c>
      <c r="BR151" s="16" t="n">
        <v>0</v>
      </c>
      <c r="BS151" s="16" t="n">
        <v>0</v>
      </c>
      <c r="BT151" s="16" t="n">
        <v>0</v>
      </c>
      <c r="BU151" s="16" t="n">
        <v>0</v>
      </c>
      <c r="BV151" s="16" t="n">
        <v>0</v>
      </c>
      <c r="BW151" s="16" t="n">
        <v>0</v>
      </c>
      <c r="BX151" s="16" t="n">
        <v>0</v>
      </c>
      <c r="BY151" s="16" t="n">
        <v>0</v>
      </c>
      <c r="BZ151" s="16" t="n">
        <v>0</v>
      </c>
      <c r="CA151" s="16" t="n">
        <v>0</v>
      </c>
      <c r="CB151" s="16" t="n">
        <v>0</v>
      </c>
      <c r="CC151" s="16" t="n">
        <v>0</v>
      </c>
      <c r="CD151" s="16" t="n">
        <v>0</v>
      </c>
      <c r="CE151" s="16" t="n">
        <v>0</v>
      </c>
      <c r="CF151" s="16" t="n">
        <v>0</v>
      </c>
      <c r="CG151" s="16" t="n">
        <v>0</v>
      </c>
      <c r="CH151" s="16" t="n">
        <v>0</v>
      </c>
      <c r="CI151" s="16" t="n">
        <v>0</v>
      </c>
      <c r="CJ151" s="16" t="n">
        <v>0</v>
      </c>
      <c r="CK151" s="16" t="n">
        <v>0</v>
      </c>
      <c r="CL151" s="16" t="n">
        <v>0</v>
      </c>
      <c r="CM151" s="16" t="n">
        <v>0</v>
      </c>
      <c r="CN151" s="16" t="n">
        <v>0</v>
      </c>
      <c r="CO151" s="16" t="n">
        <v>0</v>
      </c>
      <c r="CP151" s="16" t="n">
        <v>0</v>
      </c>
      <c r="CQ151" s="16" t="n">
        <v>0</v>
      </c>
      <c r="CR151" s="16" t="n">
        <v>0</v>
      </c>
      <c r="CS151" s="16" t="n">
        <v>17.5</v>
      </c>
      <c r="CT151" s="16" t="n">
        <v>43.5</v>
      </c>
      <c r="CU151" s="16" t="n">
        <v>41.5</v>
      </c>
      <c r="CV151" s="16" t="n">
        <v>5.5</v>
      </c>
      <c r="CW151" s="16" t="n">
        <v>3.5</v>
      </c>
      <c r="CX151" s="16" t="n">
        <v>3.5</v>
      </c>
      <c r="CY151" s="16" t="n">
        <v>3.5</v>
      </c>
      <c r="CZ151" s="16" t="n">
        <v>3.5</v>
      </c>
      <c r="DA151" s="16" t="n">
        <v>3.5</v>
      </c>
      <c r="DB151" s="16" t="n">
        <v>5.5</v>
      </c>
      <c r="DC151" s="16" t="n">
        <v>3.5</v>
      </c>
      <c r="DD151" s="16" t="n">
        <v>11.5</v>
      </c>
      <c r="DE151" s="16" t="n">
        <v>42.5</v>
      </c>
      <c r="DF151" s="16" t="n">
        <v>40.5</v>
      </c>
      <c r="DG151" s="16" t="n">
        <v>11.5</v>
      </c>
      <c r="DH151" s="16" t="n">
        <v>0</v>
      </c>
      <c r="DI151" s="16" t="n">
        <v>0</v>
      </c>
      <c r="DJ151" s="16" t="n">
        <v>0</v>
      </c>
      <c r="DK151" s="16" t="n">
        <v>13.5</v>
      </c>
      <c r="DL151" s="16" t="n">
        <v>6.5</v>
      </c>
      <c r="DM151" s="16" t="n">
        <v>3.5</v>
      </c>
      <c r="DN151" s="16" t="n">
        <v>7.5</v>
      </c>
      <c r="DO151" s="16" t="n">
        <v>16.5</v>
      </c>
      <c r="DP151" s="16" t="n">
        <v>29.5</v>
      </c>
      <c r="DQ151" s="16" t="n">
        <v>21.5</v>
      </c>
      <c r="DR151" s="16" t="n">
        <v>11.5</v>
      </c>
      <c r="DS151" s="16" t="n">
        <v>0</v>
      </c>
      <c r="DT151" s="16" t="n">
        <v>0</v>
      </c>
      <c r="DU151" s="16" t="n">
        <v>0</v>
      </c>
      <c r="DV151" s="16" t="n">
        <v>0</v>
      </c>
      <c r="DW151" s="16" t="n">
        <v>0</v>
      </c>
      <c r="DX151" s="16" t="n">
        <v>0</v>
      </c>
      <c r="DY151" s="16" t="n">
        <v>0</v>
      </c>
      <c r="DZ151" s="16" t="n">
        <v>0</v>
      </c>
      <c r="EA151" s="16" t="n">
        <v>0</v>
      </c>
      <c r="EB151" s="16" t="n">
        <v>0</v>
      </c>
      <c r="EC151" s="16" t="n">
        <v>0</v>
      </c>
      <c r="ED151" s="16" t="n">
        <v>0</v>
      </c>
      <c r="EE151" s="16" t="n">
        <v>0</v>
      </c>
      <c r="EF151" s="16" t="n">
        <v>0</v>
      </c>
    </row>
    <row r="152" customFormat="false" ht="15" hidden="false" customHeight="true" outlineLevel="0" collapsed="false">
      <c r="A152" s="9" t="s">
        <v>12</v>
      </c>
      <c r="B152" s="9" t="s">
        <v>20</v>
      </c>
      <c r="C152" s="9" t="s">
        <v>20</v>
      </c>
      <c r="D152" s="9" t="s">
        <v>338</v>
      </c>
      <c r="E152" s="9" t="s">
        <v>10</v>
      </c>
      <c r="F152" s="9" t="s">
        <v>86</v>
      </c>
      <c r="G152" s="16" t="n">
        <v>0</v>
      </c>
      <c r="H152" s="16" t="n">
        <v>0</v>
      </c>
      <c r="I152" s="16" t="n">
        <v>42</v>
      </c>
      <c r="J152" s="16" t="n">
        <v>-42</v>
      </c>
      <c r="K152" s="16" t="n">
        <v>0</v>
      </c>
      <c r="L152" s="16" t="n">
        <v>0</v>
      </c>
      <c r="M152" s="16" t="n">
        <v>0</v>
      </c>
      <c r="N152" s="16" t="n">
        <v>0</v>
      </c>
      <c r="O152" s="16" t="n">
        <v>0</v>
      </c>
      <c r="P152" s="16" t="n">
        <v>0</v>
      </c>
      <c r="Q152" s="16" t="n">
        <v>0</v>
      </c>
      <c r="R152" s="16" t="n">
        <v>0</v>
      </c>
      <c r="S152" s="16" t="n">
        <v>0</v>
      </c>
      <c r="T152" s="16" t="n">
        <v>0</v>
      </c>
      <c r="U152" s="16" t="n">
        <v>0</v>
      </c>
      <c r="V152" s="16" t="n">
        <v>0</v>
      </c>
      <c r="W152" s="16" t="n">
        <v>0</v>
      </c>
      <c r="X152" s="16" t="n">
        <v>0</v>
      </c>
      <c r="Y152" s="16" t="n">
        <v>3</v>
      </c>
      <c r="Z152" s="16" t="n">
        <v>20</v>
      </c>
      <c r="AA152" s="16" t="n">
        <v>19</v>
      </c>
      <c r="AB152" s="16" t="n">
        <v>0</v>
      </c>
      <c r="AC152" s="16" t="n">
        <v>0</v>
      </c>
      <c r="AD152" s="16" t="n">
        <v>0</v>
      </c>
      <c r="AE152" s="16" t="n">
        <v>0</v>
      </c>
      <c r="AF152" s="16" t="n">
        <v>0</v>
      </c>
      <c r="AG152" s="16" t="n">
        <v>0</v>
      </c>
      <c r="AH152" s="16" t="n">
        <v>0</v>
      </c>
      <c r="AI152" s="16" t="n">
        <v>0</v>
      </c>
      <c r="AJ152" s="16" t="n">
        <v>0</v>
      </c>
      <c r="AK152" s="16" t="n">
        <v>0</v>
      </c>
      <c r="AL152" s="16" t="n">
        <v>0</v>
      </c>
      <c r="AM152" s="16" t="n">
        <v>0</v>
      </c>
      <c r="AN152" s="16" t="n">
        <v>0</v>
      </c>
      <c r="AO152" s="16" t="n">
        <v>0</v>
      </c>
      <c r="AP152" s="16" t="n">
        <v>0</v>
      </c>
      <c r="AQ152" s="16" t="n">
        <v>0</v>
      </c>
      <c r="AR152" s="16" t="n">
        <v>0</v>
      </c>
      <c r="AS152" s="16" t="n">
        <v>0</v>
      </c>
      <c r="AT152" s="16" t="n">
        <v>0</v>
      </c>
      <c r="AU152" s="16" t="n">
        <v>0</v>
      </c>
      <c r="AV152" s="16" t="n">
        <v>0</v>
      </c>
      <c r="AW152" s="16" t="n">
        <v>0</v>
      </c>
      <c r="AX152" s="16" t="n">
        <v>0</v>
      </c>
      <c r="AY152" s="16" t="n">
        <v>0</v>
      </c>
      <c r="AZ152" s="16" t="n">
        <v>0</v>
      </c>
      <c r="BA152" s="16" t="n">
        <v>0</v>
      </c>
      <c r="BB152" s="16" t="n">
        <v>0</v>
      </c>
      <c r="BC152" s="16" t="n">
        <v>0</v>
      </c>
      <c r="BD152" s="16" t="n">
        <v>0</v>
      </c>
      <c r="BE152" s="16" t="n">
        <v>0</v>
      </c>
      <c r="BF152" s="16" t="n">
        <v>0</v>
      </c>
      <c r="BG152" s="16" t="n">
        <v>0</v>
      </c>
      <c r="BH152" s="16" t="n">
        <v>0</v>
      </c>
      <c r="BI152" s="16" t="n">
        <v>0</v>
      </c>
      <c r="BJ152" s="16" t="n">
        <v>0</v>
      </c>
      <c r="BK152" s="16" t="n">
        <v>0</v>
      </c>
      <c r="BL152" s="16" t="n">
        <v>0</v>
      </c>
      <c r="BM152" s="16" t="n">
        <v>0</v>
      </c>
      <c r="BN152" s="16" t="n">
        <v>0</v>
      </c>
      <c r="BO152" s="16" t="n">
        <v>0</v>
      </c>
      <c r="BP152" s="16" t="n">
        <v>0</v>
      </c>
      <c r="BQ152" s="16" t="n">
        <v>0</v>
      </c>
      <c r="BR152" s="16" t="n">
        <v>0</v>
      </c>
      <c r="BS152" s="16" t="n">
        <v>0</v>
      </c>
      <c r="BT152" s="16" t="n">
        <v>0</v>
      </c>
      <c r="BU152" s="16" t="n">
        <v>0</v>
      </c>
      <c r="BV152" s="16" t="n">
        <v>0</v>
      </c>
      <c r="BW152" s="16" t="n">
        <v>0</v>
      </c>
      <c r="BX152" s="16" t="n">
        <v>0</v>
      </c>
      <c r="BY152" s="16" t="n">
        <v>0</v>
      </c>
      <c r="BZ152" s="16" t="n">
        <v>0</v>
      </c>
      <c r="CA152" s="16" t="n">
        <v>0</v>
      </c>
      <c r="CB152" s="16" t="n">
        <v>0</v>
      </c>
      <c r="CC152" s="16" t="n">
        <v>0</v>
      </c>
      <c r="CD152" s="16" t="n">
        <v>0</v>
      </c>
      <c r="CE152" s="16" t="n">
        <v>0</v>
      </c>
      <c r="CF152" s="16" t="n">
        <v>0</v>
      </c>
      <c r="CG152" s="16" t="n">
        <v>0</v>
      </c>
      <c r="CH152" s="16" t="n">
        <v>0</v>
      </c>
      <c r="CI152" s="16" t="n">
        <v>0</v>
      </c>
      <c r="CJ152" s="16" t="n">
        <v>0</v>
      </c>
      <c r="CK152" s="16" t="n">
        <v>0</v>
      </c>
      <c r="CL152" s="16" t="n">
        <v>0</v>
      </c>
      <c r="CM152" s="16" t="n">
        <v>0</v>
      </c>
      <c r="CN152" s="16" t="n">
        <v>0</v>
      </c>
      <c r="CO152" s="16" t="n">
        <v>0</v>
      </c>
      <c r="CP152" s="16" t="n">
        <v>0</v>
      </c>
      <c r="CQ152" s="16" t="n">
        <v>0</v>
      </c>
      <c r="CR152" s="16" t="n">
        <v>0</v>
      </c>
      <c r="CS152" s="16" t="n">
        <v>0</v>
      </c>
      <c r="CT152" s="16" t="n">
        <v>0</v>
      </c>
      <c r="CU152" s="16" t="n">
        <v>0</v>
      </c>
      <c r="CV152" s="16" t="n">
        <v>0</v>
      </c>
      <c r="CW152" s="16" t="n">
        <v>0</v>
      </c>
      <c r="CX152" s="16" t="n">
        <v>0</v>
      </c>
      <c r="CY152" s="16" t="n">
        <v>0</v>
      </c>
      <c r="CZ152" s="16" t="n">
        <v>0</v>
      </c>
      <c r="DA152" s="16" t="n">
        <v>0</v>
      </c>
      <c r="DB152" s="16" t="n">
        <v>0</v>
      </c>
      <c r="DC152" s="16" t="n">
        <v>0</v>
      </c>
      <c r="DD152" s="16" t="n">
        <v>0</v>
      </c>
      <c r="DE152" s="16" t="n">
        <v>0</v>
      </c>
      <c r="DF152" s="16" t="n">
        <v>0</v>
      </c>
      <c r="DG152" s="16" t="n">
        <v>0</v>
      </c>
      <c r="DH152" s="16" t="n">
        <v>0</v>
      </c>
      <c r="DI152" s="16" t="n">
        <v>0</v>
      </c>
      <c r="DJ152" s="16" t="n">
        <v>0</v>
      </c>
      <c r="DK152" s="16" t="n">
        <v>0</v>
      </c>
      <c r="DL152" s="16" t="n">
        <v>0</v>
      </c>
      <c r="DM152" s="16" t="n">
        <v>0</v>
      </c>
      <c r="DN152" s="16" t="n">
        <v>0</v>
      </c>
      <c r="DO152" s="16" t="n">
        <v>0</v>
      </c>
      <c r="DP152" s="16" t="n">
        <v>0</v>
      </c>
      <c r="DQ152" s="16" t="n">
        <v>0</v>
      </c>
      <c r="DR152" s="16" t="n">
        <v>0</v>
      </c>
      <c r="DS152" s="16" t="n">
        <v>0</v>
      </c>
      <c r="DT152" s="16" t="n">
        <v>0</v>
      </c>
      <c r="DU152" s="16" t="n">
        <v>0</v>
      </c>
      <c r="DV152" s="16" t="n">
        <v>0</v>
      </c>
      <c r="DW152" s="16" t="n">
        <v>0</v>
      </c>
      <c r="DX152" s="16" t="n">
        <v>0</v>
      </c>
      <c r="DY152" s="16" t="n">
        <v>0</v>
      </c>
      <c r="DZ152" s="16" t="n">
        <v>0</v>
      </c>
      <c r="EA152" s="16" t="n">
        <v>0</v>
      </c>
      <c r="EB152" s="16" t="n">
        <v>0</v>
      </c>
      <c r="EC152" s="16" t="n">
        <v>0</v>
      </c>
      <c r="ED152" s="16" t="n">
        <v>0</v>
      </c>
      <c r="EE152" s="16" t="n">
        <v>0</v>
      </c>
      <c r="EF152" s="16" t="n">
        <v>0</v>
      </c>
    </row>
    <row r="153" customFormat="false" ht="15" hidden="false" customHeight="true" outlineLevel="0" collapsed="false">
      <c r="A153" s="9" t="s">
        <v>12</v>
      </c>
      <c r="B153" s="9" t="s">
        <v>20</v>
      </c>
      <c r="C153" s="9" t="s">
        <v>20</v>
      </c>
      <c r="D153" s="9" t="s">
        <v>337</v>
      </c>
      <c r="E153" s="9" t="s">
        <v>10</v>
      </c>
      <c r="F153" s="9" t="s">
        <v>43</v>
      </c>
      <c r="G153" s="16" t="n">
        <v>0</v>
      </c>
      <c r="H153" s="16" t="n">
        <v>0</v>
      </c>
      <c r="I153" s="16" t="n">
        <v>140</v>
      </c>
      <c r="J153" s="16" t="n">
        <v>-140</v>
      </c>
      <c r="K153" s="16" t="n">
        <v>0</v>
      </c>
      <c r="L153" s="16" t="n">
        <v>0</v>
      </c>
      <c r="M153" s="16" t="n">
        <v>0</v>
      </c>
      <c r="N153" s="16" t="n">
        <v>0</v>
      </c>
      <c r="O153" s="16" t="n">
        <v>0</v>
      </c>
      <c r="P153" s="16" t="n">
        <v>0</v>
      </c>
      <c r="Q153" s="16" t="n">
        <v>0</v>
      </c>
      <c r="R153" s="16" t="n">
        <v>0</v>
      </c>
      <c r="S153" s="16" t="n">
        <v>0</v>
      </c>
      <c r="T153" s="16" t="n">
        <v>0</v>
      </c>
      <c r="U153" s="16" t="n">
        <v>0</v>
      </c>
      <c r="V153" s="16" t="n">
        <v>0</v>
      </c>
      <c r="W153" s="16" t="n">
        <v>0</v>
      </c>
      <c r="X153" s="16" t="n">
        <v>0</v>
      </c>
      <c r="Y153" s="16" t="n">
        <v>0</v>
      </c>
      <c r="Z153" s="16" t="n">
        <v>0</v>
      </c>
      <c r="AA153" s="16" t="n">
        <v>0</v>
      </c>
      <c r="AB153" s="16" t="n">
        <v>0</v>
      </c>
      <c r="AC153" s="16" t="n">
        <v>0</v>
      </c>
      <c r="AD153" s="16" t="n">
        <v>0</v>
      </c>
      <c r="AE153" s="16" t="n">
        <v>0</v>
      </c>
      <c r="AF153" s="16" t="n">
        <v>0</v>
      </c>
      <c r="AG153" s="16" t="n">
        <v>0</v>
      </c>
      <c r="AH153" s="16" t="n">
        <v>0</v>
      </c>
      <c r="AI153" s="16" t="n">
        <v>0</v>
      </c>
      <c r="AJ153" s="16" t="n">
        <v>0</v>
      </c>
      <c r="AK153" s="16" t="n">
        <v>0</v>
      </c>
      <c r="AL153" s="16" t="n">
        <v>0</v>
      </c>
      <c r="AM153" s="16" t="n">
        <v>0</v>
      </c>
      <c r="AN153" s="16" t="n">
        <v>0</v>
      </c>
      <c r="AO153" s="16" t="n">
        <v>0</v>
      </c>
      <c r="AP153" s="16" t="n">
        <v>1</v>
      </c>
      <c r="AQ153" s="16" t="n">
        <v>3.5</v>
      </c>
      <c r="AR153" s="16" t="n">
        <v>0.5</v>
      </c>
      <c r="AS153" s="16" t="n">
        <v>1</v>
      </c>
      <c r="AT153" s="16" t="n">
        <v>0</v>
      </c>
      <c r="AU153" s="16" t="n">
        <v>0</v>
      </c>
      <c r="AV153" s="16" t="n">
        <v>0</v>
      </c>
      <c r="AW153" s="16" t="n">
        <v>0</v>
      </c>
      <c r="AX153" s="16" t="n">
        <v>0</v>
      </c>
      <c r="AY153" s="16" t="n">
        <v>0</v>
      </c>
      <c r="AZ153" s="16" t="n">
        <v>0</v>
      </c>
      <c r="BA153" s="16" t="n">
        <v>0</v>
      </c>
      <c r="BB153" s="16" t="n">
        <v>0</v>
      </c>
      <c r="BC153" s="16" t="n">
        <v>0</v>
      </c>
      <c r="BD153" s="16" t="n">
        <v>0</v>
      </c>
      <c r="BE153" s="16" t="n">
        <v>0</v>
      </c>
      <c r="BF153" s="16" t="n">
        <v>0</v>
      </c>
      <c r="BG153" s="16" t="n">
        <v>0</v>
      </c>
      <c r="BH153" s="16" t="n">
        <v>0</v>
      </c>
      <c r="BI153" s="16" t="n">
        <v>0</v>
      </c>
      <c r="BJ153" s="16" t="n">
        <v>0</v>
      </c>
      <c r="BK153" s="16" t="n">
        <v>0</v>
      </c>
      <c r="BL153" s="16" t="n">
        <v>0</v>
      </c>
      <c r="BM153" s="16" t="n">
        <v>0</v>
      </c>
      <c r="BN153" s="16" t="n">
        <v>0</v>
      </c>
      <c r="BO153" s="16" t="n">
        <v>0</v>
      </c>
      <c r="BP153" s="16" t="n">
        <v>0</v>
      </c>
      <c r="BQ153" s="16" t="n">
        <v>0</v>
      </c>
      <c r="BR153" s="16" t="n">
        <v>0</v>
      </c>
      <c r="BS153" s="16" t="n">
        <v>0</v>
      </c>
      <c r="BT153" s="16" t="n">
        <v>0</v>
      </c>
      <c r="BU153" s="16" t="n">
        <v>0</v>
      </c>
      <c r="BV153" s="16" t="n">
        <v>0</v>
      </c>
      <c r="BW153" s="16" t="n">
        <v>0</v>
      </c>
      <c r="BX153" s="16" t="n">
        <v>0</v>
      </c>
      <c r="BY153" s="16" t="n">
        <v>0</v>
      </c>
      <c r="BZ153" s="16" t="n">
        <v>0</v>
      </c>
      <c r="CA153" s="16" t="n">
        <v>0</v>
      </c>
      <c r="CB153" s="16" t="n">
        <v>0</v>
      </c>
      <c r="CC153" s="16" t="n">
        <v>0</v>
      </c>
      <c r="CD153" s="16" t="n">
        <v>0</v>
      </c>
      <c r="CE153" s="16" t="n">
        <v>0</v>
      </c>
      <c r="CF153" s="16" t="n">
        <v>0</v>
      </c>
      <c r="CG153" s="16" t="n">
        <v>0</v>
      </c>
      <c r="CH153" s="16" t="n">
        <v>0</v>
      </c>
      <c r="CI153" s="16" t="n">
        <v>0</v>
      </c>
      <c r="CJ153" s="16" t="n">
        <v>0</v>
      </c>
      <c r="CK153" s="16" t="n">
        <v>0</v>
      </c>
      <c r="CL153" s="16" t="n">
        <v>0</v>
      </c>
      <c r="CM153" s="16" t="n">
        <v>0</v>
      </c>
      <c r="CN153" s="16" t="n">
        <v>0</v>
      </c>
      <c r="CO153" s="16" t="n">
        <v>0</v>
      </c>
      <c r="CP153" s="16" t="n">
        <v>0</v>
      </c>
      <c r="CQ153" s="16" t="n">
        <v>0</v>
      </c>
      <c r="CR153" s="16" t="n">
        <v>0</v>
      </c>
      <c r="CS153" s="16" t="n">
        <v>10</v>
      </c>
      <c r="CT153" s="16" t="n">
        <v>10</v>
      </c>
      <c r="CU153" s="16" t="n">
        <v>10</v>
      </c>
      <c r="CV153" s="16" t="n">
        <v>5</v>
      </c>
      <c r="CW153" s="16" t="n">
        <v>5</v>
      </c>
      <c r="CX153" s="16" t="n">
        <v>5</v>
      </c>
      <c r="CY153" s="16" t="n">
        <v>5</v>
      </c>
      <c r="CZ153" s="16" t="n">
        <v>5</v>
      </c>
      <c r="DA153" s="16" t="n">
        <v>5</v>
      </c>
      <c r="DB153" s="16" t="n">
        <v>5</v>
      </c>
      <c r="DC153" s="16" t="n">
        <v>10</v>
      </c>
      <c r="DD153" s="16" t="n">
        <v>10</v>
      </c>
      <c r="DE153" s="16" t="n">
        <v>10</v>
      </c>
      <c r="DF153" s="16" t="n">
        <v>10</v>
      </c>
      <c r="DG153" s="16" t="n">
        <v>10</v>
      </c>
      <c r="DH153" s="16" t="n">
        <v>10</v>
      </c>
      <c r="DI153" s="16" t="n">
        <v>10</v>
      </c>
      <c r="DJ153" s="16" t="n">
        <v>0</v>
      </c>
      <c r="DK153" s="16" t="n">
        <v>0</v>
      </c>
      <c r="DL153" s="16" t="n">
        <v>0</v>
      </c>
      <c r="DM153" s="16" t="n">
        <v>0</v>
      </c>
      <c r="DN153" s="16" t="n">
        <v>0</v>
      </c>
      <c r="DO153" s="16" t="n">
        <v>0</v>
      </c>
      <c r="DP153" s="16" t="n">
        <v>0</v>
      </c>
      <c r="DQ153" s="16" t="n">
        <v>0</v>
      </c>
      <c r="DR153" s="16" t="n">
        <v>0</v>
      </c>
      <c r="DS153" s="16" t="n">
        <v>0</v>
      </c>
      <c r="DT153" s="16" t="n">
        <v>0</v>
      </c>
      <c r="DU153" s="16" t="n">
        <v>0</v>
      </c>
      <c r="DV153" s="16" t="n">
        <v>0</v>
      </c>
      <c r="DW153" s="16" t="n">
        <v>0</v>
      </c>
      <c r="DX153" s="16" t="n">
        <v>0</v>
      </c>
      <c r="DY153" s="16" t="n">
        <v>0</v>
      </c>
      <c r="DZ153" s="16" t="n">
        <v>0</v>
      </c>
      <c r="EA153" s="16" t="n">
        <v>0</v>
      </c>
      <c r="EB153" s="16" t="n">
        <v>0</v>
      </c>
      <c r="EC153" s="16" t="n">
        <v>0</v>
      </c>
      <c r="ED153" s="16" t="n">
        <v>0</v>
      </c>
      <c r="EE153" s="16" t="n">
        <v>0</v>
      </c>
      <c r="EF153" s="16" t="n">
        <v>0</v>
      </c>
    </row>
    <row r="154" customFormat="false" ht="15" hidden="false" customHeight="true" outlineLevel="0" collapsed="false">
      <c r="A154" s="9" t="s">
        <v>12</v>
      </c>
      <c r="B154" s="9" t="s">
        <v>20</v>
      </c>
      <c r="C154" s="9" t="s">
        <v>20</v>
      </c>
      <c r="D154" s="9" t="s">
        <v>338</v>
      </c>
      <c r="E154" s="9" t="s">
        <v>10</v>
      </c>
      <c r="F154" s="9" t="s">
        <v>111</v>
      </c>
      <c r="G154" s="16" t="n">
        <v>19.5</v>
      </c>
      <c r="H154" s="16" t="n">
        <v>91.5</v>
      </c>
      <c r="I154" s="16" t="n">
        <v>1</v>
      </c>
      <c r="J154" s="16" t="n">
        <v>90.5</v>
      </c>
      <c r="K154" s="16" t="n">
        <v>0</v>
      </c>
      <c r="L154" s="16" t="n">
        <v>0</v>
      </c>
      <c r="M154" s="16" t="n">
        <v>0</v>
      </c>
      <c r="N154" s="16" t="n">
        <v>0</v>
      </c>
      <c r="O154" s="16" t="n">
        <v>0</v>
      </c>
      <c r="P154" s="16" t="n">
        <v>0</v>
      </c>
      <c r="Q154" s="16" t="n">
        <v>0</v>
      </c>
      <c r="R154" s="16" t="n">
        <v>0</v>
      </c>
      <c r="S154" s="16" t="n">
        <v>0</v>
      </c>
      <c r="T154" s="16" t="n">
        <v>0</v>
      </c>
      <c r="U154" s="16" t="n">
        <v>0</v>
      </c>
      <c r="V154" s="16" t="n">
        <v>0</v>
      </c>
      <c r="W154" s="16" t="n">
        <v>0</v>
      </c>
      <c r="X154" s="16" t="n">
        <v>0</v>
      </c>
      <c r="Y154" s="16" t="n">
        <v>0</v>
      </c>
      <c r="Z154" s="16" t="n">
        <v>0</v>
      </c>
      <c r="AA154" s="16" t="n">
        <v>0</v>
      </c>
      <c r="AB154" s="16" t="n">
        <v>0</v>
      </c>
      <c r="AC154" s="16" t="n">
        <v>0</v>
      </c>
      <c r="AD154" s="16" t="n">
        <v>0</v>
      </c>
      <c r="AE154" s="16" t="n">
        <v>0</v>
      </c>
      <c r="AF154" s="16" t="n">
        <v>0</v>
      </c>
      <c r="AG154" s="16" t="n">
        <v>0</v>
      </c>
      <c r="AH154" s="16" t="n">
        <v>0</v>
      </c>
      <c r="AI154" s="16" t="n">
        <v>1</v>
      </c>
      <c r="AJ154" s="16" t="n">
        <v>0</v>
      </c>
      <c r="AK154" s="16" t="n">
        <v>0</v>
      </c>
      <c r="AL154" s="16" t="n">
        <v>0</v>
      </c>
      <c r="AM154" s="16" t="n">
        <v>0</v>
      </c>
      <c r="AN154" s="16" t="n">
        <v>0</v>
      </c>
      <c r="AO154" s="16" t="n">
        <v>0</v>
      </c>
      <c r="AP154" s="16" t="n">
        <v>0</v>
      </c>
      <c r="AQ154" s="16" t="n">
        <v>0</v>
      </c>
      <c r="AR154" s="16" t="n">
        <v>0</v>
      </c>
      <c r="AS154" s="16" t="n">
        <v>0</v>
      </c>
      <c r="AT154" s="16" t="n">
        <v>0</v>
      </c>
      <c r="AU154" s="16" t="n">
        <v>0</v>
      </c>
      <c r="AV154" s="16" t="n">
        <v>0</v>
      </c>
      <c r="AW154" s="16" t="n">
        <v>0</v>
      </c>
      <c r="AX154" s="16" t="n">
        <v>0</v>
      </c>
      <c r="AY154" s="16" t="n">
        <v>0</v>
      </c>
      <c r="AZ154" s="16" t="n">
        <v>0</v>
      </c>
      <c r="BA154" s="16" t="n">
        <v>0</v>
      </c>
      <c r="BB154" s="16" t="n">
        <v>0</v>
      </c>
      <c r="BC154" s="16" t="n">
        <v>0</v>
      </c>
      <c r="BD154" s="16" t="n">
        <v>0</v>
      </c>
      <c r="BE154" s="16" t="n">
        <v>0</v>
      </c>
      <c r="BF154" s="16" t="n">
        <v>0</v>
      </c>
      <c r="BG154" s="16" t="n">
        <v>0</v>
      </c>
      <c r="BH154" s="16" t="n">
        <v>0</v>
      </c>
      <c r="BI154" s="16" t="n">
        <v>0</v>
      </c>
      <c r="BJ154" s="16" t="n">
        <v>0</v>
      </c>
      <c r="BK154" s="16" t="n">
        <v>0</v>
      </c>
      <c r="BL154" s="16" t="n">
        <v>0</v>
      </c>
      <c r="BM154" s="16" t="n">
        <v>0</v>
      </c>
      <c r="BN154" s="16" t="n">
        <v>0</v>
      </c>
      <c r="BO154" s="16" t="n">
        <v>0</v>
      </c>
      <c r="BP154" s="16" t="n">
        <v>0</v>
      </c>
      <c r="BQ154" s="16" t="n">
        <v>0</v>
      </c>
      <c r="BR154" s="16" t="n">
        <v>0</v>
      </c>
      <c r="BS154" s="16" t="n">
        <v>0</v>
      </c>
      <c r="BT154" s="16" t="n">
        <v>0</v>
      </c>
      <c r="BU154" s="16" t="n">
        <v>0</v>
      </c>
      <c r="BV154" s="16" t="n">
        <v>0</v>
      </c>
      <c r="BW154" s="16" t="n">
        <v>0</v>
      </c>
      <c r="BX154" s="16" t="n">
        <v>0</v>
      </c>
      <c r="BY154" s="16" t="n">
        <v>0</v>
      </c>
      <c r="BZ154" s="16" t="n">
        <v>0</v>
      </c>
      <c r="CA154" s="16" t="n">
        <v>0</v>
      </c>
      <c r="CB154" s="16" t="n">
        <v>0</v>
      </c>
      <c r="CC154" s="16" t="n">
        <v>0</v>
      </c>
      <c r="CD154" s="16" t="n">
        <v>0</v>
      </c>
      <c r="CE154" s="16" t="n">
        <v>0</v>
      </c>
      <c r="CF154" s="16" t="n">
        <v>0</v>
      </c>
      <c r="CG154" s="16" t="n">
        <v>0</v>
      </c>
      <c r="CH154" s="16" t="n">
        <v>0</v>
      </c>
      <c r="CI154" s="16" t="n">
        <v>0</v>
      </c>
      <c r="CJ154" s="16" t="n">
        <v>0</v>
      </c>
      <c r="CK154" s="16" t="n">
        <v>0</v>
      </c>
      <c r="CL154" s="16" t="n">
        <v>0</v>
      </c>
      <c r="CM154" s="16" t="n">
        <v>0</v>
      </c>
      <c r="CN154" s="16" t="n">
        <v>0</v>
      </c>
      <c r="CO154" s="16" t="n">
        <v>0</v>
      </c>
      <c r="CP154" s="16" t="n">
        <v>0</v>
      </c>
      <c r="CQ154" s="16" t="n">
        <v>0</v>
      </c>
      <c r="CR154" s="16" t="n">
        <v>0</v>
      </c>
      <c r="CS154" s="16" t="n">
        <v>0</v>
      </c>
      <c r="CT154" s="16" t="n">
        <v>0</v>
      </c>
      <c r="CU154" s="16" t="n">
        <v>0</v>
      </c>
      <c r="CV154" s="16" t="n">
        <v>0</v>
      </c>
      <c r="CW154" s="16" t="n">
        <v>0</v>
      </c>
      <c r="CX154" s="16" t="n">
        <v>0</v>
      </c>
      <c r="CY154" s="16" t="n">
        <v>0</v>
      </c>
      <c r="CZ154" s="16" t="n">
        <v>0</v>
      </c>
      <c r="DA154" s="16" t="n">
        <v>0</v>
      </c>
      <c r="DB154" s="16" t="n">
        <v>0</v>
      </c>
      <c r="DC154" s="16" t="n">
        <v>0</v>
      </c>
      <c r="DD154" s="16" t="n">
        <v>0</v>
      </c>
      <c r="DE154" s="16" t="n">
        <v>0</v>
      </c>
      <c r="DF154" s="16" t="n">
        <v>0</v>
      </c>
      <c r="DG154" s="16" t="n">
        <v>0</v>
      </c>
      <c r="DH154" s="16" t="n">
        <v>0</v>
      </c>
      <c r="DI154" s="16" t="n">
        <v>0</v>
      </c>
      <c r="DJ154" s="16" t="n">
        <v>0</v>
      </c>
      <c r="DK154" s="16" t="n">
        <v>0</v>
      </c>
      <c r="DL154" s="16" t="n">
        <v>0</v>
      </c>
      <c r="DM154" s="16" t="n">
        <v>0</v>
      </c>
      <c r="DN154" s="16" t="n">
        <v>0</v>
      </c>
      <c r="DO154" s="16" t="n">
        <v>0</v>
      </c>
      <c r="DP154" s="16" t="n">
        <v>0</v>
      </c>
      <c r="DQ154" s="16" t="n">
        <v>0</v>
      </c>
      <c r="DR154" s="16" t="n">
        <v>0</v>
      </c>
      <c r="DS154" s="16" t="n">
        <v>0</v>
      </c>
      <c r="DT154" s="16" t="n">
        <v>0</v>
      </c>
      <c r="DU154" s="16" t="n">
        <v>0</v>
      </c>
      <c r="DV154" s="16" t="n">
        <v>0</v>
      </c>
      <c r="DW154" s="16" t="n">
        <v>0</v>
      </c>
      <c r="DX154" s="16" t="n">
        <v>0</v>
      </c>
      <c r="DY154" s="16" t="n">
        <v>0</v>
      </c>
      <c r="DZ154" s="16" t="n">
        <v>0</v>
      </c>
      <c r="EA154" s="16" t="n">
        <v>0</v>
      </c>
      <c r="EB154" s="16" t="n">
        <v>0</v>
      </c>
      <c r="EC154" s="16" t="n">
        <v>0</v>
      </c>
      <c r="ED154" s="16" t="n">
        <v>0</v>
      </c>
      <c r="EE154" s="16" t="n">
        <v>0</v>
      </c>
      <c r="EF154" s="16" t="n">
        <v>0</v>
      </c>
    </row>
    <row r="155" customFormat="false" ht="15" hidden="false" customHeight="true" outlineLevel="0" collapsed="false">
      <c r="A155" s="9" t="s">
        <v>12</v>
      </c>
      <c r="B155" s="9" t="s">
        <v>20</v>
      </c>
      <c r="C155" s="9" t="s">
        <v>20</v>
      </c>
      <c r="D155" s="9" t="s">
        <v>337</v>
      </c>
      <c r="E155" s="9" t="s">
        <v>10</v>
      </c>
      <c r="F155" s="9" t="s">
        <v>111</v>
      </c>
      <c r="G155" s="16" t="n">
        <v>0</v>
      </c>
      <c r="H155" s="16" t="n">
        <v>0</v>
      </c>
      <c r="I155" s="16" t="n">
        <v>84.5</v>
      </c>
      <c r="J155" s="16" t="n">
        <v>-84.5</v>
      </c>
      <c r="K155" s="16" t="n">
        <v>0</v>
      </c>
      <c r="L155" s="16" t="n">
        <v>0</v>
      </c>
      <c r="M155" s="16" t="n">
        <v>0</v>
      </c>
      <c r="N155" s="16" t="n">
        <v>0</v>
      </c>
      <c r="O155" s="16" t="n">
        <v>0</v>
      </c>
      <c r="P155" s="16" t="n">
        <v>0</v>
      </c>
      <c r="Q155" s="16" t="n">
        <v>0</v>
      </c>
      <c r="R155" s="16" t="n">
        <v>0</v>
      </c>
      <c r="S155" s="16" t="n">
        <v>0</v>
      </c>
      <c r="T155" s="16" t="n">
        <v>0</v>
      </c>
      <c r="U155" s="16" t="n">
        <v>0</v>
      </c>
      <c r="V155" s="16" t="n">
        <v>0</v>
      </c>
      <c r="W155" s="16" t="n">
        <v>0</v>
      </c>
      <c r="X155" s="16" t="n">
        <v>0</v>
      </c>
      <c r="Y155" s="16" t="n">
        <v>0</v>
      </c>
      <c r="Z155" s="16" t="n">
        <v>0</v>
      </c>
      <c r="AA155" s="16" t="n">
        <v>0</v>
      </c>
      <c r="AB155" s="16" t="n">
        <v>0</v>
      </c>
      <c r="AC155" s="16" t="n">
        <v>0</v>
      </c>
      <c r="AD155" s="16" t="n">
        <v>0</v>
      </c>
      <c r="AE155" s="16" t="n">
        <v>0</v>
      </c>
      <c r="AF155" s="16" t="n">
        <v>0</v>
      </c>
      <c r="AG155" s="16" t="n">
        <v>0</v>
      </c>
      <c r="AH155" s="16" t="n">
        <v>0</v>
      </c>
      <c r="AI155" s="16" t="n">
        <v>0</v>
      </c>
      <c r="AJ155" s="16" t="n">
        <v>1</v>
      </c>
      <c r="AK155" s="16" t="n">
        <v>2</v>
      </c>
      <c r="AL155" s="16" t="n">
        <v>0</v>
      </c>
      <c r="AM155" s="16" t="n">
        <v>0.5</v>
      </c>
      <c r="AN155" s="16" t="n">
        <v>1</v>
      </c>
      <c r="AO155" s="16" t="n">
        <v>0</v>
      </c>
      <c r="AP155" s="16" t="n">
        <v>0</v>
      </c>
      <c r="AQ155" s="16" t="n">
        <v>3</v>
      </c>
      <c r="AR155" s="16" t="n">
        <v>4.5</v>
      </c>
      <c r="AS155" s="16" t="n">
        <v>2.5</v>
      </c>
      <c r="AT155" s="16" t="n">
        <v>0</v>
      </c>
      <c r="AU155" s="16" t="n">
        <v>0</v>
      </c>
      <c r="AV155" s="16" t="n">
        <v>0</v>
      </c>
      <c r="AW155" s="16" t="n">
        <v>0</v>
      </c>
      <c r="AX155" s="16" t="n">
        <v>0</v>
      </c>
      <c r="AY155" s="16" t="n">
        <v>0</v>
      </c>
      <c r="AZ155" s="16" t="n">
        <v>0</v>
      </c>
      <c r="BA155" s="16" t="n">
        <v>0</v>
      </c>
      <c r="BB155" s="16" t="n">
        <v>0</v>
      </c>
      <c r="BC155" s="16" t="n">
        <v>0</v>
      </c>
      <c r="BD155" s="16" t="n">
        <v>0</v>
      </c>
      <c r="BE155" s="16" t="n">
        <v>0</v>
      </c>
      <c r="BF155" s="16" t="n">
        <v>0</v>
      </c>
      <c r="BG155" s="16" t="n">
        <v>0</v>
      </c>
      <c r="BH155" s="16" t="n">
        <v>0</v>
      </c>
      <c r="BI155" s="16" t="n">
        <v>0</v>
      </c>
      <c r="BJ155" s="16" t="n">
        <v>0</v>
      </c>
      <c r="BK155" s="16" t="n">
        <v>0</v>
      </c>
      <c r="BL155" s="16" t="n">
        <v>0</v>
      </c>
      <c r="BM155" s="16" t="n">
        <v>0</v>
      </c>
      <c r="BN155" s="16" t="n">
        <v>0</v>
      </c>
      <c r="BO155" s="16" t="n">
        <v>0</v>
      </c>
      <c r="BP155" s="16" t="n">
        <v>0</v>
      </c>
      <c r="BQ155" s="16" t="n">
        <v>0</v>
      </c>
      <c r="BR155" s="16" t="n">
        <v>0</v>
      </c>
      <c r="BS155" s="16" t="n">
        <v>0</v>
      </c>
      <c r="BT155" s="16" t="n">
        <v>0</v>
      </c>
      <c r="BU155" s="16" t="n">
        <v>0</v>
      </c>
      <c r="BV155" s="16" t="n">
        <v>0</v>
      </c>
      <c r="BW155" s="16" t="n">
        <v>0</v>
      </c>
      <c r="BX155" s="16" t="n">
        <v>0</v>
      </c>
      <c r="BY155" s="16" t="n">
        <v>0</v>
      </c>
      <c r="BZ155" s="16" t="n">
        <v>0</v>
      </c>
      <c r="CA155" s="16" t="n">
        <v>0</v>
      </c>
      <c r="CB155" s="16" t="n">
        <v>0</v>
      </c>
      <c r="CC155" s="16" t="n">
        <v>0</v>
      </c>
      <c r="CD155" s="16" t="n">
        <v>0</v>
      </c>
      <c r="CE155" s="16" t="n">
        <v>0</v>
      </c>
      <c r="CF155" s="16" t="n">
        <v>0</v>
      </c>
      <c r="CG155" s="16" t="n">
        <v>0</v>
      </c>
      <c r="CH155" s="16" t="n">
        <v>0</v>
      </c>
      <c r="CI155" s="16" t="n">
        <v>0</v>
      </c>
      <c r="CJ155" s="16" t="n">
        <v>0</v>
      </c>
      <c r="CK155" s="16" t="n">
        <v>0</v>
      </c>
      <c r="CL155" s="16" t="n">
        <v>0</v>
      </c>
      <c r="CM155" s="16" t="n">
        <v>0</v>
      </c>
      <c r="CN155" s="16" t="n">
        <v>0</v>
      </c>
      <c r="CO155" s="16" t="n">
        <v>0</v>
      </c>
      <c r="CP155" s="16" t="n">
        <v>0</v>
      </c>
      <c r="CQ155" s="16" t="n">
        <v>0</v>
      </c>
      <c r="CR155" s="16" t="n">
        <v>0</v>
      </c>
      <c r="CS155" s="16" t="n">
        <v>2.5</v>
      </c>
      <c r="CT155" s="16" t="n">
        <v>2</v>
      </c>
      <c r="CU155" s="16" t="n">
        <v>4</v>
      </c>
      <c r="CV155" s="16" t="n">
        <v>4</v>
      </c>
      <c r="CW155" s="16" t="n">
        <v>4</v>
      </c>
      <c r="CX155" s="16" t="n">
        <v>0</v>
      </c>
      <c r="CY155" s="16" t="n">
        <v>0</v>
      </c>
      <c r="CZ155" s="16" t="n">
        <v>0</v>
      </c>
      <c r="DA155" s="16" t="n">
        <v>0</v>
      </c>
      <c r="DB155" s="16" t="n">
        <v>4</v>
      </c>
      <c r="DC155" s="16" t="n">
        <v>4</v>
      </c>
      <c r="DD155" s="16" t="n">
        <v>4</v>
      </c>
      <c r="DE155" s="16" t="n">
        <v>0</v>
      </c>
      <c r="DF155" s="16" t="n">
        <v>4</v>
      </c>
      <c r="DG155" s="16" t="n">
        <v>4</v>
      </c>
      <c r="DH155" s="16" t="n">
        <v>4</v>
      </c>
      <c r="DI155" s="16" t="n">
        <v>0</v>
      </c>
      <c r="DJ155" s="16" t="n">
        <v>0</v>
      </c>
      <c r="DK155" s="16" t="n">
        <v>0</v>
      </c>
      <c r="DL155" s="16" t="n">
        <v>4</v>
      </c>
      <c r="DM155" s="16" t="n">
        <v>10</v>
      </c>
      <c r="DN155" s="16" t="n">
        <v>10</v>
      </c>
      <c r="DO155" s="16" t="n">
        <v>8</v>
      </c>
      <c r="DP155" s="16" t="n">
        <v>0</v>
      </c>
      <c r="DQ155" s="16" t="n">
        <v>0</v>
      </c>
      <c r="DR155" s="16" t="n">
        <v>0</v>
      </c>
      <c r="DS155" s="16" t="n">
        <v>0</v>
      </c>
      <c r="DT155" s="16" t="n">
        <v>0</v>
      </c>
      <c r="DU155" s="16" t="n">
        <v>0</v>
      </c>
      <c r="DV155" s="16" t="n">
        <v>0</v>
      </c>
      <c r="DW155" s="16" t="n">
        <v>0</v>
      </c>
      <c r="DX155" s="16" t="n">
        <v>0</v>
      </c>
      <c r="DY155" s="16" t="n">
        <v>0</v>
      </c>
      <c r="DZ155" s="16" t="n">
        <v>0</v>
      </c>
      <c r="EA155" s="16" t="n">
        <v>0</v>
      </c>
      <c r="EB155" s="16" t="n">
        <v>0</v>
      </c>
      <c r="EC155" s="16" t="n">
        <v>0</v>
      </c>
      <c r="ED155" s="16" t="n">
        <v>0</v>
      </c>
      <c r="EE155" s="16" t="n">
        <v>0</v>
      </c>
      <c r="EF155" s="16" t="n">
        <v>0</v>
      </c>
    </row>
    <row r="156" customFormat="false" ht="15" hidden="false" customHeight="true" outlineLevel="0" collapsed="false">
      <c r="A156" s="9" t="s">
        <v>12</v>
      </c>
      <c r="B156" s="9" t="s">
        <v>20</v>
      </c>
      <c r="C156" s="9" t="s">
        <v>20</v>
      </c>
      <c r="D156" s="9" t="s">
        <v>338</v>
      </c>
      <c r="E156" s="9" t="s">
        <v>10</v>
      </c>
      <c r="F156" s="9" t="s">
        <v>100</v>
      </c>
      <c r="G156" s="16" t="n">
        <v>39</v>
      </c>
      <c r="H156" s="16" t="n">
        <v>286</v>
      </c>
      <c r="I156" s="16" t="n">
        <v>4</v>
      </c>
      <c r="J156" s="16" t="n">
        <v>282</v>
      </c>
      <c r="K156" s="16" t="n">
        <v>0</v>
      </c>
      <c r="L156" s="16" t="n">
        <v>0</v>
      </c>
      <c r="M156" s="16" t="n">
        <v>0</v>
      </c>
      <c r="N156" s="16" t="n">
        <v>0</v>
      </c>
      <c r="O156" s="16" t="n">
        <v>0</v>
      </c>
      <c r="P156" s="16" t="n">
        <v>0</v>
      </c>
      <c r="Q156" s="16" t="n">
        <v>0</v>
      </c>
      <c r="R156" s="16" t="n">
        <v>0</v>
      </c>
      <c r="S156" s="16" t="n">
        <v>0</v>
      </c>
      <c r="T156" s="16" t="n">
        <v>0</v>
      </c>
      <c r="U156" s="16" t="n">
        <v>0</v>
      </c>
      <c r="V156" s="16" t="n">
        <v>0</v>
      </c>
      <c r="W156" s="16" t="n">
        <v>0</v>
      </c>
      <c r="X156" s="16" t="n">
        <v>0</v>
      </c>
      <c r="Y156" s="16" t="n">
        <v>0</v>
      </c>
      <c r="Z156" s="16" t="n">
        <v>0</v>
      </c>
      <c r="AA156" s="16" t="n">
        <v>0</v>
      </c>
      <c r="AB156" s="16" t="n">
        <v>0</v>
      </c>
      <c r="AC156" s="16" t="n">
        <v>0</v>
      </c>
      <c r="AD156" s="16" t="n">
        <v>0</v>
      </c>
      <c r="AE156" s="16" t="n">
        <v>0</v>
      </c>
      <c r="AF156" s="16" t="n">
        <v>0</v>
      </c>
      <c r="AG156" s="16" t="n">
        <v>0</v>
      </c>
      <c r="AH156" s="16" t="n">
        <v>2</v>
      </c>
      <c r="AI156" s="16" t="n">
        <v>2</v>
      </c>
      <c r="AJ156" s="16" t="n">
        <v>0</v>
      </c>
      <c r="AK156" s="16" t="n">
        <v>0</v>
      </c>
      <c r="AL156" s="16" t="n">
        <v>0</v>
      </c>
      <c r="AM156" s="16" t="n">
        <v>0</v>
      </c>
      <c r="AN156" s="16" t="n">
        <v>0</v>
      </c>
      <c r="AO156" s="16" t="n">
        <v>0</v>
      </c>
      <c r="AP156" s="16" t="n">
        <v>0</v>
      </c>
      <c r="AQ156" s="16" t="n">
        <v>0</v>
      </c>
      <c r="AR156" s="16" t="n">
        <v>0</v>
      </c>
      <c r="AS156" s="16" t="n">
        <v>0</v>
      </c>
      <c r="AT156" s="16" t="n">
        <v>0</v>
      </c>
      <c r="AU156" s="16" t="n">
        <v>0</v>
      </c>
      <c r="AV156" s="16" t="n">
        <v>0</v>
      </c>
      <c r="AW156" s="16" t="n">
        <v>0</v>
      </c>
      <c r="AX156" s="16" t="n">
        <v>0</v>
      </c>
      <c r="AY156" s="16" t="n">
        <v>0</v>
      </c>
      <c r="AZ156" s="16" t="n">
        <v>0</v>
      </c>
      <c r="BA156" s="16" t="n">
        <v>0</v>
      </c>
      <c r="BB156" s="16" t="n">
        <v>0</v>
      </c>
      <c r="BC156" s="16" t="n">
        <v>0</v>
      </c>
      <c r="BD156" s="16" t="n">
        <v>0</v>
      </c>
      <c r="BE156" s="16" t="n">
        <v>0</v>
      </c>
      <c r="BF156" s="16" t="n">
        <v>0</v>
      </c>
      <c r="BG156" s="16" t="n">
        <v>0</v>
      </c>
      <c r="BH156" s="16" t="n">
        <v>0</v>
      </c>
      <c r="BI156" s="16" t="n">
        <v>0</v>
      </c>
      <c r="BJ156" s="16" t="n">
        <v>0</v>
      </c>
      <c r="BK156" s="16" t="n">
        <v>0</v>
      </c>
      <c r="BL156" s="16" t="n">
        <v>0</v>
      </c>
      <c r="BM156" s="16" t="n">
        <v>0</v>
      </c>
      <c r="BN156" s="16" t="n">
        <v>0</v>
      </c>
      <c r="BO156" s="16" t="n">
        <v>0</v>
      </c>
      <c r="BP156" s="16" t="n">
        <v>0</v>
      </c>
      <c r="BQ156" s="16" t="n">
        <v>0</v>
      </c>
      <c r="BR156" s="16" t="n">
        <v>0</v>
      </c>
      <c r="BS156" s="16" t="n">
        <v>0</v>
      </c>
      <c r="BT156" s="16" t="n">
        <v>0</v>
      </c>
      <c r="BU156" s="16" t="n">
        <v>0</v>
      </c>
      <c r="BV156" s="16" t="n">
        <v>0</v>
      </c>
      <c r="BW156" s="16" t="n">
        <v>0</v>
      </c>
      <c r="BX156" s="16" t="n">
        <v>0</v>
      </c>
      <c r="BY156" s="16" t="n">
        <v>0</v>
      </c>
      <c r="BZ156" s="16" t="n">
        <v>0</v>
      </c>
      <c r="CA156" s="16" t="n">
        <v>0</v>
      </c>
      <c r="CB156" s="16" t="n">
        <v>0</v>
      </c>
      <c r="CC156" s="16" t="n">
        <v>0</v>
      </c>
      <c r="CD156" s="16" t="n">
        <v>0</v>
      </c>
      <c r="CE156" s="16" t="n">
        <v>0</v>
      </c>
      <c r="CF156" s="16" t="n">
        <v>0</v>
      </c>
      <c r="CG156" s="16" t="n">
        <v>0</v>
      </c>
      <c r="CH156" s="16" t="n">
        <v>0</v>
      </c>
      <c r="CI156" s="16" t="n">
        <v>0</v>
      </c>
      <c r="CJ156" s="16" t="n">
        <v>0</v>
      </c>
      <c r="CK156" s="16" t="n">
        <v>0</v>
      </c>
      <c r="CL156" s="16" t="n">
        <v>0</v>
      </c>
      <c r="CM156" s="16" t="n">
        <v>0</v>
      </c>
      <c r="CN156" s="16" t="n">
        <v>0</v>
      </c>
      <c r="CO156" s="16" t="n">
        <v>0</v>
      </c>
      <c r="CP156" s="16" t="n">
        <v>0</v>
      </c>
      <c r="CQ156" s="16" t="n">
        <v>0</v>
      </c>
      <c r="CR156" s="16" t="n">
        <v>0</v>
      </c>
      <c r="CS156" s="16" t="n">
        <v>0</v>
      </c>
      <c r="CT156" s="16" t="n">
        <v>0</v>
      </c>
      <c r="CU156" s="16" t="n">
        <v>0</v>
      </c>
      <c r="CV156" s="16" t="n">
        <v>0</v>
      </c>
      <c r="CW156" s="16" t="n">
        <v>0</v>
      </c>
      <c r="CX156" s="16" t="n">
        <v>0</v>
      </c>
      <c r="CY156" s="16" t="n">
        <v>0</v>
      </c>
      <c r="CZ156" s="16" t="n">
        <v>0</v>
      </c>
      <c r="DA156" s="16" t="n">
        <v>0</v>
      </c>
      <c r="DB156" s="16" t="n">
        <v>0</v>
      </c>
      <c r="DC156" s="16" t="n">
        <v>0</v>
      </c>
      <c r="DD156" s="16" t="n">
        <v>0</v>
      </c>
      <c r="DE156" s="16" t="n">
        <v>0</v>
      </c>
      <c r="DF156" s="16" t="n">
        <v>0</v>
      </c>
      <c r="DG156" s="16" t="n">
        <v>0</v>
      </c>
      <c r="DH156" s="16" t="n">
        <v>0</v>
      </c>
      <c r="DI156" s="16" t="n">
        <v>0</v>
      </c>
      <c r="DJ156" s="16" t="n">
        <v>0</v>
      </c>
      <c r="DK156" s="16" t="n">
        <v>0</v>
      </c>
      <c r="DL156" s="16" t="n">
        <v>0</v>
      </c>
      <c r="DM156" s="16" t="n">
        <v>0</v>
      </c>
      <c r="DN156" s="16" t="n">
        <v>0</v>
      </c>
      <c r="DO156" s="16" t="n">
        <v>0</v>
      </c>
      <c r="DP156" s="16" t="n">
        <v>0</v>
      </c>
      <c r="DQ156" s="16" t="n">
        <v>0</v>
      </c>
      <c r="DR156" s="16" t="n">
        <v>0</v>
      </c>
      <c r="DS156" s="16" t="n">
        <v>0</v>
      </c>
      <c r="DT156" s="16" t="n">
        <v>0</v>
      </c>
      <c r="DU156" s="16" t="n">
        <v>0</v>
      </c>
      <c r="DV156" s="16" t="n">
        <v>0</v>
      </c>
      <c r="DW156" s="16" t="n">
        <v>0</v>
      </c>
      <c r="DX156" s="16" t="n">
        <v>0</v>
      </c>
      <c r="DY156" s="16" t="n">
        <v>0</v>
      </c>
      <c r="DZ156" s="16" t="n">
        <v>0</v>
      </c>
      <c r="EA156" s="16" t="n">
        <v>0</v>
      </c>
      <c r="EB156" s="16" t="n">
        <v>0</v>
      </c>
      <c r="EC156" s="16" t="n">
        <v>0</v>
      </c>
      <c r="ED156" s="16" t="n">
        <v>0</v>
      </c>
      <c r="EE156" s="16" t="n">
        <v>0</v>
      </c>
      <c r="EF156" s="16" t="n">
        <v>0</v>
      </c>
    </row>
    <row r="157" customFormat="false" ht="15" hidden="false" customHeight="true" outlineLevel="0" collapsed="false">
      <c r="A157" s="9" t="s">
        <v>12</v>
      </c>
      <c r="B157" s="9" t="s">
        <v>20</v>
      </c>
      <c r="C157" s="9" t="s">
        <v>20</v>
      </c>
      <c r="D157" s="9" t="s">
        <v>337</v>
      </c>
      <c r="E157" s="9" t="s">
        <v>10</v>
      </c>
      <c r="F157" s="9" t="s">
        <v>100</v>
      </c>
      <c r="G157" s="16" t="n">
        <v>0</v>
      </c>
      <c r="H157" s="16" t="n">
        <v>0</v>
      </c>
      <c r="I157" s="16" t="n">
        <v>312.5</v>
      </c>
      <c r="J157" s="16" t="n">
        <v>-312.5</v>
      </c>
      <c r="K157" s="16" t="n">
        <v>0</v>
      </c>
      <c r="L157" s="16" t="n">
        <v>0</v>
      </c>
      <c r="M157" s="16" t="n">
        <v>0</v>
      </c>
      <c r="N157" s="16" t="n">
        <v>0</v>
      </c>
      <c r="O157" s="16" t="n">
        <v>0</v>
      </c>
      <c r="P157" s="16" t="n">
        <v>0</v>
      </c>
      <c r="Q157" s="16" t="n">
        <v>0</v>
      </c>
      <c r="R157" s="16" t="n">
        <v>0</v>
      </c>
      <c r="S157" s="16" t="n">
        <v>0</v>
      </c>
      <c r="T157" s="16" t="n">
        <v>0</v>
      </c>
      <c r="U157" s="16" t="n">
        <v>0</v>
      </c>
      <c r="V157" s="16" t="n">
        <v>0</v>
      </c>
      <c r="W157" s="16" t="n">
        <v>0</v>
      </c>
      <c r="X157" s="16" t="n">
        <v>0</v>
      </c>
      <c r="Y157" s="16" t="n">
        <v>0</v>
      </c>
      <c r="Z157" s="16" t="n">
        <v>0</v>
      </c>
      <c r="AA157" s="16" t="n">
        <v>0</v>
      </c>
      <c r="AB157" s="16" t="n">
        <v>0</v>
      </c>
      <c r="AC157" s="16" t="n">
        <v>0</v>
      </c>
      <c r="AD157" s="16" t="n">
        <v>0</v>
      </c>
      <c r="AE157" s="16" t="n">
        <v>0</v>
      </c>
      <c r="AF157" s="16" t="n">
        <v>0</v>
      </c>
      <c r="AG157" s="16" t="n">
        <v>0</v>
      </c>
      <c r="AH157" s="16" t="n">
        <v>0</v>
      </c>
      <c r="AI157" s="16" t="n">
        <v>0</v>
      </c>
      <c r="AJ157" s="16" t="n">
        <v>0</v>
      </c>
      <c r="AK157" s="16" t="n">
        <v>3.5</v>
      </c>
      <c r="AL157" s="16" t="n">
        <v>5</v>
      </c>
      <c r="AM157" s="16" t="n">
        <v>12</v>
      </c>
      <c r="AN157" s="16" t="n">
        <v>8</v>
      </c>
      <c r="AO157" s="16" t="n">
        <v>21</v>
      </c>
      <c r="AP157" s="16" t="n">
        <v>11</v>
      </c>
      <c r="AQ157" s="16" t="n">
        <v>0</v>
      </c>
      <c r="AR157" s="16" t="n">
        <v>0</v>
      </c>
      <c r="AS157" s="16" t="n">
        <v>1</v>
      </c>
      <c r="AT157" s="16" t="n">
        <v>0</v>
      </c>
      <c r="AU157" s="16" t="n">
        <v>0</v>
      </c>
      <c r="AV157" s="16" t="n">
        <v>0</v>
      </c>
      <c r="AW157" s="16" t="n">
        <v>0</v>
      </c>
      <c r="AX157" s="16" t="n">
        <v>0</v>
      </c>
      <c r="AY157" s="16" t="n">
        <v>0</v>
      </c>
      <c r="AZ157" s="16" t="n">
        <v>0</v>
      </c>
      <c r="BA157" s="16" t="n">
        <v>0</v>
      </c>
      <c r="BB157" s="16" t="n">
        <v>0</v>
      </c>
      <c r="BC157" s="16" t="n">
        <v>0</v>
      </c>
      <c r="BD157" s="16" t="n">
        <v>0</v>
      </c>
      <c r="BE157" s="16" t="n">
        <v>0</v>
      </c>
      <c r="BF157" s="16" t="n">
        <v>0</v>
      </c>
      <c r="BG157" s="16" t="n">
        <v>0</v>
      </c>
      <c r="BH157" s="16" t="n">
        <v>0</v>
      </c>
      <c r="BI157" s="16" t="n">
        <v>0</v>
      </c>
      <c r="BJ157" s="16" t="n">
        <v>0</v>
      </c>
      <c r="BK157" s="16" t="n">
        <v>0</v>
      </c>
      <c r="BL157" s="16" t="n">
        <v>0</v>
      </c>
      <c r="BM157" s="16" t="n">
        <v>0</v>
      </c>
      <c r="BN157" s="16" t="n">
        <v>0</v>
      </c>
      <c r="BO157" s="16" t="n">
        <v>0</v>
      </c>
      <c r="BP157" s="16" t="n">
        <v>0</v>
      </c>
      <c r="BQ157" s="16" t="n">
        <v>0</v>
      </c>
      <c r="BR157" s="16" t="n">
        <v>0</v>
      </c>
      <c r="BS157" s="16" t="n">
        <v>0</v>
      </c>
      <c r="BT157" s="16" t="n">
        <v>0</v>
      </c>
      <c r="BU157" s="16" t="n">
        <v>0</v>
      </c>
      <c r="BV157" s="16" t="n">
        <v>0</v>
      </c>
      <c r="BW157" s="16" t="n">
        <v>0</v>
      </c>
      <c r="BX157" s="16" t="n">
        <v>0</v>
      </c>
      <c r="BY157" s="16" t="n">
        <v>0</v>
      </c>
      <c r="BZ157" s="16" t="n">
        <v>0</v>
      </c>
      <c r="CA157" s="16" t="n">
        <v>0</v>
      </c>
      <c r="CB157" s="16" t="n">
        <v>0</v>
      </c>
      <c r="CC157" s="16" t="n">
        <v>0</v>
      </c>
      <c r="CD157" s="16" t="n">
        <v>0</v>
      </c>
      <c r="CE157" s="16" t="n">
        <v>0</v>
      </c>
      <c r="CF157" s="16" t="n">
        <v>0</v>
      </c>
      <c r="CG157" s="16" t="n">
        <v>0</v>
      </c>
      <c r="CH157" s="16" t="n">
        <v>0</v>
      </c>
      <c r="CI157" s="16" t="n">
        <v>0</v>
      </c>
      <c r="CJ157" s="16" t="n">
        <v>0</v>
      </c>
      <c r="CK157" s="16" t="n">
        <v>0</v>
      </c>
      <c r="CL157" s="16" t="n">
        <v>0</v>
      </c>
      <c r="CM157" s="16" t="n">
        <v>0</v>
      </c>
      <c r="CN157" s="16" t="n">
        <v>0</v>
      </c>
      <c r="CO157" s="16" t="n">
        <v>0</v>
      </c>
      <c r="CP157" s="16" t="n">
        <v>0</v>
      </c>
      <c r="CQ157" s="16" t="n">
        <v>0</v>
      </c>
      <c r="CR157" s="16" t="n">
        <v>0</v>
      </c>
      <c r="CS157" s="16" t="n">
        <v>1</v>
      </c>
      <c r="CT157" s="16" t="n">
        <v>1</v>
      </c>
      <c r="CU157" s="16" t="n">
        <v>2</v>
      </c>
      <c r="CV157" s="16" t="n">
        <v>2</v>
      </c>
      <c r="CW157" s="16" t="n">
        <v>4</v>
      </c>
      <c r="CX157" s="16" t="n">
        <v>4</v>
      </c>
      <c r="CY157" s="16" t="n">
        <v>12</v>
      </c>
      <c r="CZ157" s="16" t="n">
        <v>20</v>
      </c>
      <c r="DA157" s="16" t="n">
        <v>12</v>
      </c>
      <c r="DB157" s="16" t="n">
        <v>0</v>
      </c>
      <c r="DC157" s="16" t="n">
        <v>0</v>
      </c>
      <c r="DD157" s="16" t="n">
        <v>0</v>
      </c>
      <c r="DE157" s="16" t="n">
        <v>0</v>
      </c>
      <c r="DF157" s="16" t="n">
        <v>0</v>
      </c>
      <c r="DG157" s="16" t="n">
        <v>0</v>
      </c>
      <c r="DH157" s="16" t="n">
        <v>3</v>
      </c>
      <c r="DI157" s="16" t="n">
        <v>0</v>
      </c>
      <c r="DJ157" s="16" t="n">
        <v>0</v>
      </c>
      <c r="DK157" s="16" t="n">
        <v>0</v>
      </c>
      <c r="DL157" s="16" t="n">
        <v>6</v>
      </c>
      <c r="DM157" s="16" t="n">
        <v>15</v>
      </c>
      <c r="DN157" s="16" t="n">
        <v>20</v>
      </c>
      <c r="DO157" s="16" t="n">
        <v>30</v>
      </c>
      <c r="DP157" s="16" t="n">
        <v>30</v>
      </c>
      <c r="DQ157" s="16" t="n">
        <v>45</v>
      </c>
      <c r="DR157" s="16" t="n">
        <v>45</v>
      </c>
      <c r="DS157" s="16" t="n">
        <v>0</v>
      </c>
      <c r="DT157" s="16" t="n">
        <v>0</v>
      </c>
      <c r="DU157" s="16" t="n">
        <v>0</v>
      </c>
      <c r="DV157" s="16" t="n">
        <v>0</v>
      </c>
      <c r="DW157" s="16" t="n">
        <v>0</v>
      </c>
      <c r="DX157" s="16" t="n">
        <v>0</v>
      </c>
      <c r="DY157" s="16" t="n">
        <v>0</v>
      </c>
      <c r="DZ157" s="16" t="n">
        <v>0</v>
      </c>
      <c r="EA157" s="16" t="n">
        <v>0</v>
      </c>
      <c r="EB157" s="16" t="n">
        <v>0</v>
      </c>
      <c r="EC157" s="16" t="n">
        <v>0</v>
      </c>
      <c r="ED157" s="16" t="n">
        <v>0</v>
      </c>
      <c r="EE157" s="16" t="n">
        <v>0</v>
      </c>
      <c r="EF157" s="16" t="n">
        <v>0</v>
      </c>
    </row>
    <row r="158" customFormat="false" ht="15" hidden="false" customHeight="true" outlineLevel="0" collapsed="false">
      <c r="A158" s="9" t="s">
        <v>12</v>
      </c>
      <c r="B158" s="9" t="s">
        <v>20</v>
      </c>
      <c r="C158" s="9" t="s">
        <v>20</v>
      </c>
      <c r="D158" s="9" t="s">
        <v>338</v>
      </c>
      <c r="E158" s="9" t="s">
        <v>10</v>
      </c>
      <c r="F158" s="9" t="s">
        <v>114</v>
      </c>
      <c r="G158" s="16" t="n">
        <v>0</v>
      </c>
      <c r="H158" s="16" t="n">
        <v>90</v>
      </c>
      <c r="I158" s="16" t="n">
        <v>0</v>
      </c>
      <c r="J158" s="16" t="n">
        <v>90</v>
      </c>
      <c r="K158" s="16" t="n">
        <v>0</v>
      </c>
      <c r="L158" s="16" t="n">
        <v>0</v>
      </c>
      <c r="M158" s="16" t="n">
        <v>0</v>
      </c>
      <c r="N158" s="16" t="n">
        <v>0</v>
      </c>
      <c r="O158" s="16" t="n">
        <v>0</v>
      </c>
      <c r="P158" s="16" t="n">
        <v>0</v>
      </c>
      <c r="Q158" s="16" t="n">
        <v>0</v>
      </c>
      <c r="R158" s="16" t="n">
        <v>0</v>
      </c>
      <c r="S158" s="16" t="n">
        <v>0</v>
      </c>
      <c r="T158" s="16" t="n">
        <v>0</v>
      </c>
      <c r="U158" s="16" t="n">
        <v>0</v>
      </c>
      <c r="V158" s="16" t="n">
        <v>0</v>
      </c>
      <c r="W158" s="16" t="n">
        <v>0</v>
      </c>
      <c r="X158" s="16" t="n">
        <v>0</v>
      </c>
      <c r="Y158" s="16" t="n">
        <v>0</v>
      </c>
      <c r="Z158" s="16" t="n">
        <v>0</v>
      </c>
      <c r="AA158" s="16" t="n">
        <v>0</v>
      </c>
      <c r="AB158" s="16" t="n">
        <v>0</v>
      </c>
      <c r="AC158" s="16" t="n">
        <v>0</v>
      </c>
      <c r="AD158" s="16" t="n">
        <v>0</v>
      </c>
      <c r="AE158" s="16" t="n">
        <v>0</v>
      </c>
      <c r="AF158" s="16" t="n">
        <v>0</v>
      </c>
      <c r="AG158" s="16" t="n">
        <v>0</v>
      </c>
      <c r="AH158" s="16" t="n">
        <v>0</v>
      </c>
      <c r="AI158" s="16" t="n">
        <v>0</v>
      </c>
      <c r="AJ158" s="16" t="n">
        <v>0</v>
      </c>
      <c r="AK158" s="16" t="n">
        <v>0</v>
      </c>
      <c r="AL158" s="16" t="n">
        <v>0</v>
      </c>
      <c r="AM158" s="16" t="n">
        <v>0</v>
      </c>
      <c r="AN158" s="16" t="n">
        <v>0</v>
      </c>
      <c r="AO158" s="16" t="n">
        <v>0</v>
      </c>
      <c r="AP158" s="16" t="n">
        <v>0</v>
      </c>
      <c r="AQ158" s="16" t="n">
        <v>0</v>
      </c>
      <c r="AR158" s="16" t="n">
        <v>0</v>
      </c>
      <c r="AS158" s="16" t="n">
        <v>0</v>
      </c>
      <c r="AT158" s="16" t="n">
        <v>0</v>
      </c>
      <c r="AU158" s="16" t="n">
        <v>0</v>
      </c>
      <c r="AV158" s="16" t="n">
        <v>0</v>
      </c>
      <c r="AW158" s="16" t="n">
        <v>0</v>
      </c>
      <c r="AX158" s="16" t="n">
        <v>0</v>
      </c>
      <c r="AY158" s="16" t="n">
        <v>0</v>
      </c>
      <c r="AZ158" s="16" t="n">
        <v>0</v>
      </c>
      <c r="BA158" s="16" t="n">
        <v>0</v>
      </c>
      <c r="BB158" s="16" t="n">
        <v>0</v>
      </c>
      <c r="BC158" s="16" t="n">
        <v>0</v>
      </c>
      <c r="BD158" s="16" t="n">
        <v>0</v>
      </c>
      <c r="BE158" s="16" t="n">
        <v>0</v>
      </c>
      <c r="BF158" s="16" t="n">
        <v>0</v>
      </c>
      <c r="BG158" s="16" t="n">
        <v>0</v>
      </c>
      <c r="BH158" s="16" t="n">
        <v>0</v>
      </c>
      <c r="BI158" s="16" t="n">
        <v>0</v>
      </c>
      <c r="BJ158" s="16" t="n">
        <v>0</v>
      </c>
      <c r="BK158" s="16" t="n">
        <v>0</v>
      </c>
      <c r="BL158" s="16" t="n">
        <v>0</v>
      </c>
      <c r="BM158" s="16" t="n">
        <v>0</v>
      </c>
      <c r="BN158" s="16" t="n">
        <v>0</v>
      </c>
      <c r="BO158" s="16" t="n">
        <v>0</v>
      </c>
      <c r="BP158" s="16" t="n">
        <v>0</v>
      </c>
      <c r="BQ158" s="16" t="n">
        <v>0</v>
      </c>
      <c r="BR158" s="16" t="n">
        <v>0</v>
      </c>
      <c r="BS158" s="16" t="n">
        <v>0</v>
      </c>
      <c r="BT158" s="16" t="n">
        <v>0</v>
      </c>
      <c r="BU158" s="16" t="n">
        <v>0</v>
      </c>
      <c r="BV158" s="16" t="n">
        <v>0</v>
      </c>
      <c r="BW158" s="16" t="n">
        <v>0</v>
      </c>
      <c r="BX158" s="16" t="n">
        <v>0</v>
      </c>
      <c r="BY158" s="16" t="n">
        <v>0</v>
      </c>
      <c r="BZ158" s="16" t="n">
        <v>0</v>
      </c>
      <c r="CA158" s="16" t="n">
        <v>0</v>
      </c>
      <c r="CB158" s="16" t="n">
        <v>0</v>
      </c>
      <c r="CC158" s="16" t="n">
        <v>0</v>
      </c>
      <c r="CD158" s="16" t="n">
        <v>0</v>
      </c>
      <c r="CE158" s="16" t="n">
        <v>0</v>
      </c>
      <c r="CF158" s="16" t="n">
        <v>0</v>
      </c>
      <c r="CG158" s="16" t="n">
        <v>0</v>
      </c>
      <c r="CH158" s="16" t="n">
        <v>0</v>
      </c>
      <c r="CI158" s="16" t="n">
        <v>0</v>
      </c>
      <c r="CJ158" s="16" t="n">
        <v>0</v>
      </c>
      <c r="CK158" s="16" t="n">
        <v>0</v>
      </c>
      <c r="CL158" s="16" t="n">
        <v>0</v>
      </c>
      <c r="CM158" s="16" t="n">
        <v>0</v>
      </c>
      <c r="CN158" s="16" t="n">
        <v>0</v>
      </c>
      <c r="CO158" s="16" t="n">
        <v>0</v>
      </c>
      <c r="CP158" s="16" t="n">
        <v>0</v>
      </c>
      <c r="CQ158" s="16" t="n">
        <v>0</v>
      </c>
      <c r="CR158" s="16" t="n">
        <v>0</v>
      </c>
      <c r="CS158" s="16" t="n">
        <v>0</v>
      </c>
      <c r="CT158" s="16" t="n">
        <v>0</v>
      </c>
      <c r="CU158" s="16" t="n">
        <v>0</v>
      </c>
      <c r="CV158" s="16" t="n">
        <v>0</v>
      </c>
      <c r="CW158" s="16" t="n">
        <v>0</v>
      </c>
      <c r="CX158" s="16" t="n">
        <v>0</v>
      </c>
      <c r="CY158" s="16" t="n">
        <v>0</v>
      </c>
      <c r="CZ158" s="16" t="n">
        <v>0</v>
      </c>
      <c r="DA158" s="16" t="n">
        <v>0</v>
      </c>
      <c r="DB158" s="16" t="n">
        <v>0</v>
      </c>
      <c r="DC158" s="16" t="n">
        <v>0</v>
      </c>
      <c r="DD158" s="16" t="n">
        <v>0</v>
      </c>
      <c r="DE158" s="16" t="n">
        <v>0</v>
      </c>
      <c r="DF158" s="16" t="n">
        <v>0</v>
      </c>
      <c r="DG158" s="16" t="n">
        <v>0</v>
      </c>
      <c r="DH158" s="16" t="n">
        <v>0</v>
      </c>
      <c r="DI158" s="16" t="n">
        <v>0</v>
      </c>
      <c r="DJ158" s="16" t="n">
        <v>0</v>
      </c>
      <c r="DK158" s="16" t="n">
        <v>0</v>
      </c>
      <c r="DL158" s="16" t="n">
        <v>0</v>
      </c>
      <c r="DM158" s="16" t="n">
        <v>0</v>
      </c>
      <c r="DN158" s="16" t="n">
        <v>0</v>
      </c>
      <c r="DO158" s="16" t="n">
        <v>0</v>
      </c>
      <c r="DP158" s="16" t="n">
        <v>0</v>
      </c>
      <c r="DQ158" s="16" t="n">
        <v>0</v>
      </c>
      <c r="DR158" s="16" t="n">
        <v>0</v>
      </c>
      <c r="DS158" s="16" t="n">
        <v>0</v>
      </c>
      <c r="DT158" s="16" t="n">
        <v>0</v>
      </c>
      <c r="DU158" s="16" t="n">
        <v>0</v>
      </c>
      <c r="DV158" s="16" t="n">
        <v>0</v>
      </c>
      <c r="DW158" s="16" t="n">
        <v>0</v>
      </c>
      <c r="DX158" s="16" t="n">
        <v>0</v>
      </c>
      <c r="DY158" s="16" t="n">
        <v>0</v>
      </c>
      <c r="DZ158" s="16" t="n">
        <v>0</v>
      </c>
      <c r="EA158" s="16" t="n">
        <v>0</v>
      </c>
      <c r="EB158" s="16" t="n">
        <v>0</v>
      </c>
      <c r="EC158" s="16" t="n">
        <v>0</v>
      </c>
      <c r="ED158" s="16" t="n">
        <v>0</v>
      </c>
      <c r="EE158" s="16" t="n">
        <v>0</v>
      </c>
      <c r="EF158" s="16" t="n">
        <v>0</v>
      </c>
    </row>
    <row r="159" customFormat="false" ht="15" hidden="false" customHeight="true" outlineLevel="0" collapsed="false">
      <c r="A159" s="9" t="s">
        <v>12</v>
      </c>
      <c r="B159" s="9" t="s">
        <v>20</v>
      </c>
      <c r="C159" s="9" t="s">
        <v>20</v>
      </c>
      <c r="D159" s="9" t="s">
        <v>337</v>
      </c>
      <c r="E159" s="9" t="s">
        <v>10</v>
      </c>
      <c r="F159" s="9" t="s">
        <v>114</v>
      </c>
      <c r="G159" s="16" t="n">
        <v>0</v>
      </c>
      <c r="H159" s="16" t="n">
        <v>0</v>
      </c>
      <c r="I159" s="16" t="n">
        <v>90</v>
      </c>
      <c r="J159" s="16" t="n">
        <v>-90</v>
      </c>
      <c r="K159" s="16" t="n">
        <v>0</v>
      </c>
      <c r="L159" s="16" t="n">
        <v>0</v>
      </c>
      <c r="M159" s="16" t="n">
        <v>0</v>
      </c>
      <c r="N159" s="16" t="n">
        <v>0</v>
      </c>
      <c r="O159" s="16" t="n">
        <v>0</v>
      </c>
      <c r="P159" s="16" t="n">
        <v>0</v>
      </c>
      <c r="Q159" s="16" t="n">
        <v>0</v>
      </c>
      <c r="R159" s="16" t="n">
        <v>0</v>
      </c>
      <c r="S159" s="16" t="n">
        <v>0</v>
      </c>
      <c r="T159" s="16" t="n">
        <v>0</v>
      </c>
      <c r="U159" s="16" t="n">
        <v>0</v>
      </c>
      <c r="V159" s="16" t="n">
        <v>0</v>
      </c>
      <c r="W159" s="16" t="n">
        <v>0</v>
      </c>
      <c r="X159" s="16" t="n">
        <v>0</v>
      </c>
      <c r="Y159" s="16" t="n">
        <v>0</v>
      </c>
      <c r="Z159" s="16" t="n">
        <v>0</v>
      </c>
      <c r="AA159" s="16" t="n">
        <v>0</v>
      </c>
      <c r="AB159" s="16" t="n">
        <v>0</v>
      </c>
      <c r="AC159" s="16" t="n">
        <v>0</v>
      </c>
      <c r="AD159" s="16" t="n">
        <v>0</v>
      </c>
      <c r="AE159" s="16" t="n">
        <v>0</v>
      </c>
      <c r="AF159" s="16" t="n">
        <v>0</v>
      </c>
      <c r="AG159" s="16" t="n">
        <v>0</v>
      </c>
      <c r="AH159" s="16" t="n">
        <v>0</v>
      </c>
      <c r="AI159" s="16" t="n">
        <v>0</v>
      </c>
      <c r="AJ159" s="16" t="n">
        <v>0</v>
      </c>
      <c r="AK159" s="16" t="n">
        <v>0</v>
      </c>
      <c r="AL159" s="16" t="n">
        <v>0</v>
      </c>
      <c r="AM159" s="16" t="n">
        <v>0</v>
      </c>
      <c r="AN159" s="16" t="n">
        <v>0</v>
      </c>
      <c r="AO159" s="16" t="n">
        <v>0</v>
      </c>
      <c r="AP159" s="16" t="n">
        <v>0</v>
      </c>
      <c r="AQ159" s="16" t="n">
        <v>0</v>
      </c>
      <c r="AR159" s="16" t="n">
        <v>0</v>
      </c>
      <c r="AS159" s="16" t="n">
        <v>0</v>
      </c>
      <c r="AT159" s="16" t="n">
        <v>0</v>
      </c>
      <c r="AU159" s="16" t="n">
        <v>0</v>
      </c>
      <c r="AV159" s="16" t="n">
        <v>0</v>
      </c>
      <c r="AW159" s="16" t="n">
        <v>0</v>
      </c>
      <c r="AX159" s="16" t="n">
        <v>0</v>
      </c>
      <c r="AY159" s="16" t="n">
        <v>0</v>
      </c>
      <c r="AZ159" s="16" t="n">
        <v>0</v>
      </c>
      <c r="BA159" s="16" t="n">
        <v>0</v>
      </c>
      <c r="BB159" s="16" t="n">
        <v>0</v>
      </c>
      <c r="BC159" s="16" t="n">
        <v>0</v>
      </c>
      <c r="BD159" s="16" t="n">
        <v>0</v>
      </c>
      <c r="BE159" s="16" t="n">
        <v>0</v>
      </c>
      <c r="BF159" s="16" t="n">
        <v>0</v>
      </c>
      <c r="BG159" s="16" t="n">
        <v>0</v>
      </c>
      <c r="BH159" s="16" t="n">
        <v>0</v>
      </c>
      <c r="BI159" s="16" t="n">
        <v>0</v>
      </c>
      <c r="BJ159" s="16" t="n">
        <v>0</v>
      </c>
      <c r="BK159" s="16" t="n">
        <v>0</v>
      </c>
      <c r="BL159" s="16" t="n">
        <v>0</v>
      </c>
      <c r="BM159" s="16" t="n">
        <v>0</v>
      </c>
      <c r="BN159" s="16" t="n">
        <v>0</v>
      </c>
      <c r="BO159" s="16" t="n">
        <v>0</v>
      </c>
      <c r="BP159" s="16" t="n">
        <v>0</v>
      </c>
      <c r="BQ159" s="16" t="n">
        <v>0</v>
      </c>
      <c r="BR159" s="16" t="n">
        <v>0</v>
      </c>
      <c r="BS159" s="16" t="n">
        <v>0</v>
      </c>
      <c r="BT159" s="16" t="n">
        <v>0</v>
      </c>
      <c r="BU159" s="16" t="n">
        <v>0</v>
      </c>
      <c r="BV159" s="16" t="n">
        <v>0</v>
      </c>
      <c r="BW159" s="16" t="n">
        <v>0</v>
      </c>
      <c r="BX159" s="16" t="n">
        <v>0</v>
      </c>
      <c r="BY159" s="16" t="n">
        <v>0</v>
      </c>
      <c r="BZ159" s="16" t="n">
        <v>0</v>
      </c>
      <c r="CA159" s="16" t="n">
        <v>0</v>
      </c>
      <c r="CB159" s="16" t="n">
        <v>0</v>
      </c>
      <c r="CC159" s="16" t="n">
        <v>0</v>
      </c>
      <c r="CD159" s="16" t="n">
        <v>0</v>
      </c>
      <c r="CE159" s="16" t="n">
        <v>0</v>
      </c>
      <c r="CF159" s="16" t="n">
        <v>0</v>
      </c>
      <c r="CG159" s="16" t="n">
        <v>0</v>
      </c>
      <c r="CH159" s="16" t="n">
        <v>0</v>
      </c>
      <c r="CI159" s="16" t="n">
        <v>0</v>
      </c>
      <c r="CJ159" s="16" t="n">
        <v>0</v>
      </c>
      <c r="CK159" s="16" t="n">
        <v>0</v>
      </c>
      <c r="CL159" s="16" t="n">
        <v>0</v>
      </c>
      <c r="CM159" s="16" t="n">
        <v>0</v>
      </c>
      <c r="CN159" s="16" t="n">
        <v>0</v>
      </c>
      <c r="CO159" s="16" t="n">
        <v>0</v>
      </c>
      <c r="CP159" s="16" t="n">
        <v>0</v>
      </c>
      <c r="CQ159" s="16" t="n">
        <v>0</v>
      </c>
      <c r="CR159" s="16" t="n">
        <v>0</v>
      </c>
      <c r="CS159" s="16" t="n">
        <v>0</v>
      </c>
      <c r="CT159" s="16" t="n">
        <v>0</v>
      </c>
      <c r="CU159" s="16" t="n">
        <v>0</v>
      </c>
      <c r="CV159" s="16" t="n">
        <v>0</v>
      </c>
      <c r="CW159" s="16" t="n">
        <v>0</v>
      </c>
      <c r="CX159" s="16" t="n">
        <v>0</v>
      </c>
      <c r="CY159" s="16" t="n">
        <v>0</v>
      </c>
      <c r="CZ159" s="16" t="n">
        <v>0</v>
      </c>
      <c r="DA159" s="16" t="n">
        <v>0</v>
      </c>
      <c r="DB159" s="16" t="n">
        <v>0</v>
      </c>
      <c r="DC159" s="16" t="n">
        <v>0</v>
      </c>
      <c r="DD159" s="16" t="n">
        <v>0</v>
      </c>
      <c r="DE159" s="16" t="n">
        <v>0</v>
      </c>
      <c r="DF159" s="16" t="n">
        <v>0</v>
      </c>
      <c r="DG159" s="16" t="n">
        <v>0</v>
      </c>
      <c r="DH159" s="16" t="n">
        <v>0</v>
      </c>
      <c r="DI159" s="16" t="n">
        <v>0</v>
      </c>
      <c r="DJ159" s="16" t="n">
        <v>0</v>
      </c>
      <c r="DK159" s="16" t="n">
        <v>0</v>
      </c>
      <c r="DL159" s="16" t="n">
        <v>0</v>
      </c>
      <c r="DM159" s="16" t="n">
        <v>0</v>
      </c>
      <c r="DN159" s="16" t="n">
        <v>0</v>
      </c>
      <c r="DO159" s="16" t="n">
        <v>0</v>
      </c>
      <c r="DP159" s="16" t="n">
        <v>0</v>
      </c>
      <c r="DQ159" s="16" t="n">
        <v>0</v>
      </c>
      <c r="DR159" s="16" t="n">
        <v>0</v>
      </c>
      <c r="DS159" s="16" t="n">
        <v>30</v>
      </c>
      <c r="DT159" s="16" t="n">
        <v>30</v>
      </c>
      <c r="DU159" s="16" t="n">
        <v>30</v>
      </c>
      <c r="DV159" s="16" t="n">
        <v>0</v>
      </c>
      <c r="DW159" s="16" t="n">
        <v>0</v>
      </c>
      <c r="DX159" s="16" t="n">
        <v>0</v>
      </c>
      <c r="DY159" s="16" t="n">
        <v>0</v>
      </c>
      <c r="DZ159" s="16" t="n">
        <v>0</v>
      </c>
      <c r="EA159" s="16" t="n">
        <v>0</v>
      </c>
      <c r="EB159" s="16" t="n">
        <v>0</v>
      </c>
      <c r="EC159" s="16" t="n">
        <v>0</v>
      </c>
      <c r="ED159" s="16" t="n">
        <v>0</v>
      </c>
      <c r="EE159" s="16" t="n">
        <v>0</v>
      </c>
      <c r="EF159" s="16" t="n">
        <v>0</v>
      </c>
    </row>
    <row r="160" customFormat="false" ht="15" hidden="false" customHeight="true" outlineLevel="0" collapsed="false">
      <c r="A160" s="9" t="s">
        <v>12</v>
      </c>
      <c r="B160" s="9" t="s">
        <v>20</v>
      </c>
      <c r="C160" s="9" t="s">
        <v>20</v>
      </c>
      <c r="D160" s="9" t="s">
        <v>338</v>
      </c>
      <c r="E160" s="9" t="s">
        <v>10</v>
      </c>
      <c r="F160" s="9" t="s">
        <v>87</v>
      </c>
      <c r="G160" s="16" t="n">
        <v>12</v>
      </c>
      <c r="H160" s="16" t="n">
        <v>12</v>
      </c>
      <c r="I160" s="16" t="n">
        <v>0</v>
      </c>
      <c r="J160" s="16" t="n">
        <v>12</v>
      </c>
      <c r="K160" s="16" t="n">
        <v>0</v>
      </c>
      <c r="L160" s="16" t="n">
        <v>0</v>
      </c>
      <c r="M160" s="16" t="n">
        <v>0</v>
      </c>
      <c r="N160" s="16" t="n">
        <v>0</v>
      </c>
      <c r="O160" s="16" t="n">
        <v>0</v>
      </c>
      <c r="P160" s="16" t="n">
        <v>0</v>
      </c>
      <c r="Q160" s="16" t="n">
        <v>0</v>
      </c>
      <c r="R160" s="16" t="n">
        <v>0</v>
      </c>
      <c r="S160" s="16" t="n">
        <v>0</v>
      </c>
      <c r="T160" s="16" t="n">
        <v>0</v>
      </c>
      <c r="U160" s="16" t="n">
        <v>0</v>
      </c>
      <c r="V160" s="16" t="n">
        <v>0</v>
      </c>
      <c r="W160" s="16" t="n">
        <v>0</v>
      </c>
      <c r="X160" s="16" t="n">
        <v>0</v>
      </c>
      <c r="Y160" s="16" t="n">
        <v>0</v>
      </c>
      <c r="Z160" s="16" t="n">
        <v>0</v>
      </c>
      <c r="AA160" s="16" t="n">
        <v>0</v>
      </c>
      <c r="AB160" s="16" t="n">
        <v>0</v>
      </c>
      <c r="AC160" s="16" t="n">
        <v>0</v>
      </c>
      <c r="AD160" s="16" t="n">
        <v>0</v>
      </c>
      <c r="AE160" s="16" t="n">
        <v>0</v>
      </c>
      <c r="AF160" s="16" t="n">
        <v>0</v>
      </c>
      <c r="AG160" s="16" t="n">
        <v>0</v>
      </c>
      <c r="AH160" s="16" t="n">
        <v>0</v>
      </c>
      <c r="AI160" s="16" t="n">
        <v>0</v>
      </c>
      <c r="AJ160" s="16" t="n">
        <v>0</v>
      </c>
      <c r="AK160" s="16" t="n">
        <v>0</v>
      </c>
      <c r="AL160" s="16" t="n">
        <v>0</v>
      </c>
      <c r="AM160" s="16" t="n">
        <v>0</v>
      </c>
      <c r="AN160" s="16" t="n">
        <v>0</v>
      </c>
      <c r="AO160" s="16" t="n">
        <v>0</v>
      </c>
      <c r="AP160" s="16" t="n">
        <v>0</v>
      </c>
      <c r="AQ160" s="16" t="n">
        <v>0</v>
      </c>
      <c r="AR160" s="16" t="n">
        <v>0</v>
      </c>
      <c r="AS160" s="16" t="n">
        <v>0</v>
      </c>
      <c r="AT160" s="16" t="n">
        <v>0</v>
      </c>
      <c r="AU160" s="16" t="n">
        <v>0</v>
      </c>
      <c r="AV160" s="16" t="n">
        <v>0</v>
      </c>
      <c r="AW160" s="16" t="n">
        <v>0</v>
      </c>
      <c r="AX160" s="16" t="n">
        <v>0</v>
      </c>
      <c r="AY160" s="16" t="n">
        <v>0</v>
      </c>
      <c r="AZ160" s="16" t="n">
        <v>0</v>
      </c>
      <c r="BA160" s="16" t="n">
        <v>0</v>
      </c>
      <c r="BB160" s="16" t="n">
        <v>0</v>
      </c>
      <c r="BC160" s="16" t="n">
        <v>0</v>
      </c>
      <c r="BD160" s="16" t="n">
        <v>0</v>
      </c>
      <c r="BE160" s="16" t="n">
        <v>0</v>
      </c>
      <c r="BF160" s="16" t="n">
        <v>0</v>
      </c>
      <c r="BG160" s="16" t="n">
        <v>0</v>
      </c>
      <c r="BH160" s="16" t="n">
        <v>0</v>
      </c>
      <c r="BI160" s="16" t="n">
        <v>0</v>
      </c>
      <c r="BJ160" s="16" t="n">
        <v>0</v>
      </c>
      <c r="BK160" s="16" t="n">
        <v>0</v>
      </c>
      <c r="BL160" s="16" t="n">
        <v>0</v>
      </c>
      <c r="BM160" s="16" t="n">
        <v>0</v>
      </c>
      <c r="BN160" s="16" t="n">
        <v>0</v>
      </c>
      <c r="BO160" s="16" t="n">
        <v>0</v>
      </c>
      <c r="BP160" s="16" t="n">
        <v>0</v>
      </c>
      <c r="BQ160" s="16" t="n">
        <v>0</v>
      </c>
      <c r="BR160" s="16" t="n">
        <v>0</v>
      </c>
      <c r="BS160" s="16" t="n">
        <v>0</v>
      </c>
      <c r="BT160" s="16" t="n">
        <v>0</v>
      </c>
      <c r="BU160" s="16" t="n">
        <v>0</v>
      </c>
      <c r="BV160" s="16" t="n">
        <v>0</v>
      </c>
      <c r="BW160" s="16" t="n">
        <v>0</v>
      </c>
      <c r="BX160" s="16" t="n">
        <v>0</v>
      </c>
      <c r="BY160" s="16" t="n">
        <v>0</v>
      </c>
      <c r="BZ160" s="16" t="n">
        <v>0</v>
      </c>
      <c r="CA160" s="16" t="n">
        <v>0</v>
      </c>
      <c r="CB160" s="16" t="n">
        <v>0</v>
      </c>
      <c r="CC160" s="16" t="n">
        <v>0</v>
      </c>
      <c r="CD160" s="16" t="n">
        <v>0</v>
      </c>
      <c r="CE160" s="16" t="n">
        <v>0</v>
      </c>
      <c r="CF160" s="16" t="n">
        <v>0</v>
      </c>
      <c r="CG160" s="16" t="n">
        <v>0</v>
      </c>
      <c r="CH160" s="16" t="n">
        <v>0</v>
      </c>
      <c r="CI160" s="16" t="n">
        <v>0</v>
      </c>
      <c r="CJ160" s="16" t="n">
        <v>0</v>
      </c>
      <c r="CK160" s="16" t="n">
        <v>0</v>
      </c>
      <c r="CL160" s="16" t="n">
        <v>0</v>
      </c>
      <c r="CM160" s="16" t="n">
        <v>0</v>
      </c>
      <c r="CN160" s="16" t="n">
        <v>0</v>
      </c>
      <c r="CO160" s="16" t="n">
        <v>0</v>
      </c>
      <c r="CP160" s="16" t="n">
        <v>0</v>
      </c>
      <c r="CQ160" s="16" t="n">
        <v>0</v>
      </c>
      <c r="CR160" s="16" t="n">
        <v>0</v>
      </c>
      <c r="CS160" s="16" t="n">
        <v>0</v>
      </c>
      <c r="CT160" s="16" t="n">
        <v>0</v>
      </c>
      <c r="CU160" s="16" t="n">
        <v>0</v>
      </c>
      <c r="CV160" s="16" t="n">
        <v>0</v>
      </c>
      <c r="CW160" s="16" t="n">
        <v>0</v>
      </c>
      <c r="CX160" s="16" t="n">
        <v>0</v>
      </c>
      <c r="CY160" s="16" t="n">
        <v>0</v>
      </c>
      <c r="CZ160" s="16" t="n">
        <v>0</v>
      </c>
      <c r="DA160" s="16" t="n">
        <v>0</v>
      </c>
      <c r="DB160" s="16" t="n">
        <v>0</v>
      </c>
      <c r="DC160" s="16" t="n">
        <v>0</v>
      </c>
      <c r="DD160" s="16" t="n">
        <v>0</v>
      </c>
      <c r="DE160" s="16" t="n">
        <v>0</v>
      </c>
      <c r="DF160" s="16" t="n">
        <v>0</v>
      </c>
      <c r="DG160" s="16" t="n">
        <v>0</v>
      </c>
      <c r="DH160" s="16" t="n">
        <v>0</v>
      </c>
      <c r="DI160" s="16" t="n">
        <v>0</v>
      </c>
      <c r="DJ160" s="16" t="n">
        <v>0</v>
      </c>
      <c r="DK160" s="16" t="n">
        <v>0</v>
      </c>
      <c r="DL160" s="16" t="n">
        <v>0</v>
      </c>
      <c r="DM160" s="16" t="n">
        <v>0</v>
      </c>
      <c r="DN160" s="16" t="n">
        <v>0</v>
      </c>
      <c r="DO160" s="16" t="n">
        <v>0</v>
      </c>
      <c r="DP160" s="16" t="n">
        <v>0</v>
      </c>
      <c r="DQ160" s="16" t="n">
        <v>0</v>
      </c>
      <c r="DR160" s="16" t="n">
        <v>0</v>
      </c>
      <c r="DS160" s="16" t="n">
        <v>0</v>
      </c>
      <c r="DT160" s="16" t="n">
        <v>0</v>
      </c>
      <c r="DU160" s="16" t="n">
        <v>0</v>
      </c>
      <c r="DV160" s="16" t="n">
        <v>0</v>
      </c>
      <c r="DW160" s="16" t="n">
        <v>0</v>
      </c>
      <c r="DX160" s="16" t="n">
        <v>0</v>
      </c>
      <c r="DY160" s="16" t="n">
        <v>0</v>
      </c>
      <c r="DZ160" s="16" t="n">
        <v>0</v>
      </c>
      <c r="EA160" s="16" t="n">
        <v>0</v>
      </c>
      <c r="EB160" s="16" t="n">
        <v>0</v>
      </c>
      <c r="EC160" s="16" t="n">
        <v>0</v>
      </c>
      <c r="ED160" s="16" t="n">
        <v>0</v>
      </c>
      <c r="EE160" s="16" t="n">
        <v>0</v>
      </c>
      <c r="EF160" s="16" t="n">
        <v>0</v>
      </c>
    </row>
    <row r="161" customFormat="false" ht="15" hidden="false" customHeight="true" outlineLevel="0" collapsed="false">
      <c r="A161" s="9" t="s">
        <v>12</v>
      </c>
      <c r="B161" s="9" t="s">
        <v>20</v>
      </c>
      <c r="C161" s="9" t="s">
        <v>20</v>
      </c>
      <c r="D161" s="9" t="s">
        <v>337</v>
      </c>
      <c r="E161" s="9" t="s">
        <v>10</v>
      </c>
      <c r="F161" s="9" t="s">
        <v>87</v>
      </c>
      <c r="G161" s="16" t="n">
        <v>0</v>
      </c>
      <c r="H161" s="16" t="n">
        <v>0</v>
      </c>
      <c r="I161" s="16" t="n">
        <v>32</v>
      </c>
      <c r="J161" s="16" t="n">
        <v>-32</v>
      </c>
      <c r="K161" s="16" t="n">
        <v>0</v>
      </c>
      <c r="L161" s="16" t="n">
        <v>0</v>
      </c>
      <c r="M161" s="16" t="n">
        <v>0</v>
      </c>
      <c r="N161" s="16" t="n">
        <v>0</v>
      </c>
      <c r="O161" s="16" t="n">
        <v>0</v>
      </c>
      <c r="P161" s="16" t="n">
        <v>0</v>
      </c>
      <c r="Q161" s="16" t="n">
        <v>0</v>
      </c>
      <c r="R161" s="16" t="n">
        <v>0</v>
      </c>
      <c r="S161" s="16" t="n">
        <v>0</v>
      </c>
      <c r="T161" s="16" t="n">
        <v>0</v>
      </c>
      <c r="U161" s="16" t="n">
        <v>0</v>
      </c>
      <c r="V161" s="16" t="n">
        <v>0</v>
      </c>
      <c r="W161" s="16" t="n">
        <v>0</v>
      </c>
      <c r="X161" s="16" t="n">
        <v>0</v>
      </c>
      <c r="Y161" s="16" t="n">
        <v>0</v>
      </c>
      <c r="Z161" s="16" t="n">
        <v>0</v>
      </c>
      <c r="AA161" s="16" t="n">
        <v>0</v>
      </c>
      <c r="AB161" s="16" t="n">
        <v>0</v>
      </c>
      <c r="AC161" s="16" t="n">
        <v>0</v>
      </c>
      <c r="AD161" s="16" t="n">
        <v>0</v>
      </c>
      <c r="AE161" s="16" t="n">
        <v>0</v>
      </c>
      <c r="AF161" s="16" t="n">
        <v>0</v>
      </c>
      <c r="AG161" s="16" t="n">
        <v>0</v>
      </c>
      <c r="AH161" s="16" t="n">
        <v>0</v>
      </c>
      <c r="AI161" s="16" t="n">
        <v>0</v>
      </c>
      <c r="AJ161" s="16" t="n">
        <v>0</v>
      </c>
      <c r="AK161" s="16" t="n">
        <v>0</v>
      </c>
      <c r="AL161" s="16" t="n">
        <v>3</v>
      </c>
      <c r="AM161" s="16" t="n">
        <v>10</v>
      </c>
      <c r="AN161" s="16" t="n">
        <v>15</v>
      </c>
      <c r="AO161" s="16" t="n">
        <v>4</v>
      </c>
      <c r="AP161" s="16" t="n">
        <v>0</v>
      </c>
      <c r="AQ161" s="16" t="n">
        <v>0</v>
      </c>
      <c r="AR161" s="16" t="n">
        <v>0</v>
      </c>
      <c r="AS161" s="16" t="n">
        <v>0</v>
      </c>
      <c r="AT161" s="16" t="n">
        <v>0</v>
      </c>
      <c r="AU161" s="16" t="n">
        <v>0</v>
      </c>
      <c r="AV161" s="16" t="n">
        <v>0</v>
      </c>
      <c r="AW161" s="16" t="n">
        <v>0</v>
      </c>
      <c r="AX161" s="16" t="n">
        <v>0</v>
      </c>
      <c r="AY161" s="16" t="n">
        <v>0</v>
      </c>
      <c r="AZ161" s="16" t="n">
        <v>0</v>
      </c>
      <c r="BA161" s="16" t="n">
        <v>0</v>
      </c>
      <c r="BB161" s="16" t="n">
        <v>0</v>
      </c>
      <c r="BC161" s="16" t="n">
        <v>0</v>
      </c>
      <c r="BD161" s="16" t="n">
        <v>0</v>
      </c>
      <c r="BE161" s="16" t="n">
        <v>0</v>
      </c>
      <c r="BF161" s="16" t="n">
        <v>0</v>
      </c>
      <c r="BG161" s="16" t="n">
        <v>0</v>
      </c>
      <c r="BH161" s="16" t="n">
        <v>0</v>
      </c>
      <c r="BI161" s="16" t="n">
        <v>0</v>
      </c>
      <c r="BJ161" s="16" t="n">
        <v>0</v>
      </c>
      <c r="BK161" s="16" t="n">
        <v>0</v>
      </c>
      <c r="BL161" s="16" t="n">
        <v>0</v>
      </c>
      <c r="BM161" s="16" t="n">
        <v>0</v>
      </c>
      <c r="BN161" s="16" t="n">
        <v>0</v>
      </c>
      <c r="BO161" s="16" t="n">
        <v>0</v>
      </c>
      <c r="BP161" s="16" t="n">
        <v>0</v>
      </c>
      <c r="BQ161" s="16" t="n">
        <v>0</v>
      </c>
      <c r="BR161" s="16" t="n">
        <v>0</v>
      </c>
      <c r="BS161" s="16" t="n">
        <v>0</v>
      </c>
      <c r="BT161" s="16" t="n">
        <v>0</v>
      </c>
      <c r="BU161" s="16" t="n">
        <v>0</v>
      </c>
      <c r="BV161" s="16" t="n">
        <v>0</v>
      </c>
      <c r="BW161" s="16" t="n">
        <v>0</v>
      </c>
      <c r="BX161" s="16" t="n">
        <v>0</v>
      </c>
      <c r="BY161" s="16" t="n">
        <v>0</v>
      </c>
      <c r="BZ161" s="16" t="n">
        <v>0</v>
      </c>
      <c r="CA161" s="16" t="n">
        <v>0</v>
      </c>
      <c r="CB161" s="16" t="n">
        <v>0</v>
      </c>
      <c r="CC161" s="16" t="n">
        <v>0</v>
      </c>
      <c r="CD161" s="16" t="n">
        <v>0</v>
      </c>
      <c r="CE161" s="16" t="n">
        <v>0</v>
      </c>
      <c r="CF161" s="16" t="n">
        <v>0</v>
      </c>
      <c r="CG161" s="16" t="n">
        <v>0</v>
      </c>
      <c r="CH161" s="16" t="n">
        <v>0</v>
      </c>
      <c r="CI161" s="16" t="n">
        <v>0</v>
      </c>
      <c r="CJ161" s="16" t="n">
        <v>0</v>
      </c>
      <c r="CK161" s="16" t="n">
        <v>0</v>
      </c>
      <c r="CL161" s="16" t="n">
        <v>0</v>
      </c>
      <c r="CM161" s="16" t="n">
        <v>0</v>
      </c>
      <c r="CN161" s="16" t="n">
        <v>0</v>
      </c>
      <c r="CO161" s="16" t="n">
        <v>0</v>
      </c>
      <c r="CP161" s="16" t="n">
        <v>0</v>
      </c>
      <c r="CQ161" s="16" t="n">
        <v>0</v>
      </c>
      <c r="CR161" s="16" t="n">
        <v>0</v>
      </c>
      <c r="CS161" s="16" t="n">
        <v>0</v>
      </c>
      <c r="CT161" s="16" t="n">
        <v>0</v>
      </c>
      <c r="CU161" s="16" t="n">
        <v>0</v>
      </c>
      <c r="CV161" s="16" t="n">
        <v>0</v>
      </c>
      <c r="CW161" s="16" t="n">
        <v>0</v>
      </c>
      <c r="CX161" s="16" t="n">
        <v>0</v>
      </c>
      <c r="CY161" s="16" t="n">
        <v>0</v>
      </c>
      <c r="CZ161" s="16" t="n">
        <v>0</v>
      </c>
      <c r="DA161" s="16" t="n">
        <v>0</v>
      </c>
      <c r="DB161" s="16" t="n">
        <v>0</v>
      </c>
      <c r="DC161" s="16" t="n">
        <v>0</v>
      </c>
      <c r="DD161" s="16" t="n">
        <v>0</v>
      </c>
      <c r="DE161" s="16" t="n">
        <v>0</v>
      </c>
      <c r="DF161" s="16" t="n">
        <v>0</v>
      </c>
      <c r="DG161" s="16" t="n">
        <v>0</v>
      </c>
      <c r="DH161" s="16" t="n">
        <v>0</v>
      </c>
      <c r="DI161" s="16" t="n">
        <v>0</v>
      </c>
      <c r="DJ161" s="16" t="n">
        <v>0</v>
      </c>
      <c r="DK161" s="16" t="n">
        <v>0</v>
      </c>
      <c r="DL161" s="16" t="n">
        <v>0</v>
      </c>
      <c r="DM161" s="16" t="n">
        <v>0</v>
      </c>
      <c r="DN161" s="16" t="n">
        <v>0</v>
      </c>
      <c r="DO161" s="16" t="n">
        <v>0</v>
      </c>
      <c r="DP161" s="16" t="n">
        <v>0</v>
      </c>
      <c r="DQ161" s="16" t="n">
        <v>0</v>
      </c>
      <c r="DR161" s="16" t="n">
        <v>0</v>
      </c>
      <c r="DS161" s="16" t="n">
        <v>0</v>
      </c>
      <c r="DT161" s="16" t="n">
        <v>0</v>
      </c>
      <c r="DU161" s="16" t="n">
        <v>0</v>
      </c>
      <c r="DV161" s="16" t="n">
        <v>0</v>
      </c>
      <c r="DW161" s="16" t="n">
        <v>0</v>
      </c>
      <c r="DX161" s="16" t="n">
        <v>0</v>
      </c>
      <c r="DY161" s="16" t="n">
        <v>0</v>
      </c>
      <c r="DZ161" s="16" t="n">
        <v>0</v>
      </c>
      <c r="EA161" s="16" t="n">
        <v>0</v>
      </c>
      <c r="EB161" s="16" t="n">
        <v>0</v>
      </c>
      <c r="EC161" s="16" t="n">
        <v>0</v>
      </c>
      <c r="ED161" s="16" t="n">
        <v>0</v>
      </c>
      <c r="EE161" s="16" t="n">
        <v>0</v>
      </c>
      <c r="EF161" s="16" t="n">
        <v>0</v>
      </c>
    </row>
    <row r="162" customFormat="false" ht="15" hidden="false" customHeight="true" outlineLevel="0" collapsed="false">
      <c r="A162" s="9" t="s">
        <v>12</v>
      </c>
      <c r="B162" s="9" t="s">
        <v>20</v>
      </c>
      <c r="C162" s="9" t="s">
        <v>20</v>
      </c>
      <c r="D162" s="9" t="s">
        <v>338</v>
      </c>
      <c r="E162" s="9" t="s">
        <v>10</v>
      </c>
      <c r="F162" s="9" t="s">
        <v>88</v>
      </c>
      <c r="G162" s="16" t="n">
        <v>0</v>
      </c>
      <c r="H162" s="16" t="n">
        <v>12</v>
      </c>
      <c r="I162" s="16" t="n">
        <v>0</v>
      </c>
      <c r="J162" s="16" t="n">
        <v>12</v>
      </c>
      <c r="K162" s="16" t="n">
        <v>0</v>
      </c>
      <c r="L162" s="16" t="n">
        <v>0</v>
      </c>
      <c r="M162" s="16" t="n">
        <v>0</v>
      </c>
      <c r="N162" s="16" t="n">
        <v>0</v>
      </c>
      <c r="O162" s="16" t="n">
        <v>0</v>
      </c>
      <c r="P162" s="16" t="n">
        <v>0</v>
      </c>
      <c r="Q162" s="16" t="n">
        <v>0</v>
      </c>
      <c r="R162" s="16" t="n">
        <v>0</v>
      </c>
      <c r="S162" s="16" t="n">
        <v>0</v>
      </c>
      <c r="T162" s="16" t="n">
        <v>0</v>
      </c>
      <c r="U162" s="16" t="n">
        <v>0</v>
      </c>
      <c r="V162" s="16" t="n">
        <v>0</v>
      </c>
      <c r="W162" s="16" t="n">
        <v>0</v>
      </c>
      <c r="X162" s="16" t="n">
        <v>0</v>
      </c>
      <c r="Y162" s="16" t="n">
        <v>0</v>
      </c>
      <c r="Z162" s="16" t="n">
        <v>0</v>
      </c>
      <c r="AA162" s="16" t="n">
        <v>0</v>
      </c>
      <c r="AB162" s="16" t="n">
        <v>0</v>
      </c>
      <c r="AC162" s="16" t="n">
        <v>0</v>
      </c>
      <c r="AD162" s="16" t="n">
        <v>0</v>
      </c>
      <c r="AE162" s="16" t="n">
        <v>0</v>
      </c>
      <c r="AF162" s="16" t="n">
        <v>0</v>
      </c>
      <c r="AG162" s="16" t="n">
        <v>0</v>
      </c>
      <c r="AH162" s="16" t="n">
        <v>0</v>
      </c>
      <c r="AI162" s="16" t="n">
        <v>0</v>
      </c>
      <c r="AJ162" s="16" t="n">
        <v>0</v>
      </c>
      <c r="AK162" s="16" t="n">
        <v>0</v>
      </c>
      <c r="AL162" s="16" t="n">
        <v>0</v>
      </c>
      <c r="AM162" s="16" t="n">
        <v>0</v>
      </c>
      <c r="AN162" s="16" t="n">
        <v>0</v>
      </c>
      <c r="AO162" s="16" t="n">
        <v>0</v>
      </c>
      <c r="AP162" s="16" t="n">
        <v>0</v>
      </c>
      <c r="AQ162" s="16" t="n">
        <v>0</v>
      </c>
      <c r="AR162" s="16" t="n">
        <v>0</v>
      </c>
      <c r="AS162" s="16" t="n">
        <v>0</v>
      </c>
      <c r="AT162" s="16" t="n">
        <v>0</v>
      </c>
      <c r="AU162" s="16" t="n">
        <v>0</v>
      </c>
      <c r="AV162" s="16" t="n">
        <v>0</v>
      </c>
      <c r="AW162" s="16" t="n">
        <v>0</v>
      </c>
      <c r="AX162" s="16" t="n">
        <v>0</v>
      </c>
      <c r="AY162" s="16" t="n">
        <v>0</v>
      </c>
      <c r="AZ162" s="16" t="n">
        <v>0</v>
      </c>
      <c r="BA162" s="16" t="n">
        <v>0</v>
      </c>
      <c r="BB162" s="16" t="n">
        <v>0</v>
      </c>
      <c r="BC162" s="16" t="n">
        <v>0</v>
      </c>
      <c r="BD162" s="16" t="n">
        <v>0</v>
      </c>
      <c r="BE162" s="16" t="n">
        <v>0</v>
      </c>
      <c r="BF162" s="16" t="n">
        <v>0</v>
      </c>
      <c r="BG162" s="16" t="n">
        <v>0</v>
      </c>
      <c r="BH162" s="16" t="n">
        <v>0</v>
      </c>
      <c r="BI162" s="16" t="n">
        <v>0</v>
      </c>
      <c r="BJ162" s="16" t="n">
        <v>0</v>
      </c>
      <c r="BK162" s="16" t="n">
        <v>0</v>
      </c>
      <c r="BL162" s="16" t="n">
        <v>0</v>
      </c>
      <c r="BM162" s="16" t="n">
        <v>0</v>
      </c>
      <c r="BN162" s="16" t="n">
        <v>0</v>
      </c>
      <c r="BO162" s="16" t="n">
        <v>0</v>
      </c>
      <c r="BP162" s="16" t="n">
        <v>0</v>
      </c>
      <c r="BQ162" s="16" t="n">
        <v>0</v>
      </c>
      <c r="BR162" s="16" t="n">
        <v>0</v>
      </c>
      <c r="BS162" s="16" t="n">
        <v>0</v>
      </c>
      <c r="BT162" s="16" t="n">
        <v>0</v>
      </c>
      <c r="BU162" s="16" t="n">
        <v>0</v>
      </c>
      <c r="BV162" s="16" t="n">
        <v>0</v>
      </c>
      <c r="BW162" s="16" t="n">
        <v>0</v>
      </c>
      <c r="BX162" s="16" t="n">
        <v>0</v>
      </c>
      <c r="BY162" s="16" t="n">
        <v>0</v>
      </c>
      <c r="BZ162" s="16" t="n">
        <v>0</v>
      </c>
      <c r="CA162" s="16" t="n">
        <v>0</v>
      </c>
      <c r="CB162" s="16" t="n">
        <v>0</v>
      </c>
      <c r="CC162" s="16" t="n">
        <v>0</v>
      </c>
      <c r="CD162" s="16" t="n">
        <v>0</v>
      </c>
      <c r="CE162" s="16" t="n">
        <v>0</v>
      </c>
      <c r="CF162" s="16" t="n">
        <v>0</v>
      </c>
      <c r="CG162" s="16" t="n">
        <v>0</v>
      </c>
      <c r="CH162" s="16" t="n">
        <v>0</v>
      </c>
      <c r="CI162" s="16" t="n">
        <v>0</v>
      </c>
      <c r="CJ162" s="16" t="n">
        <v>0</v>
      </c>
      <c r="CK162" s="16" t="n">
        <v>0</v>
      </c>
      <c r="CL162" s="16" t="n">
        <v>0</v>
      </c>
      <c r="CM162" s="16" t="n">
        <v>0</v>
      </c>
      <c r="CN162" s="16" t="n">
        <v>0</v>
      </c>
      <c r="CO162" s="16" t="n">
        <v>0</v>
      </c>
      <c r="CP162" s="16" t="n">
        <v>0</v>
      </c>
      <c r="CQ162" s="16" t="n">
        <v>0</v>
      </c>
      <c r="CR162" s="16" t="n">
        <v>0</v>
      </c>
      <c r="CS162" s="16" t="n">
        <v>0</v>
      </c>
      <c r="CT162" s="16" t="n">
        <v>0</v>
      </c>
      <c r="CU162" s="16" t="n">
        <v>0</v>
      </c>
      <c r="CV162" s="16" t="n">
        <v>0</v>
      </c>
      <c r="CW162" s="16" t="n">
        <v>0</v>
      </c>
      <c r="CX162" s="16" t="n">
        <v>0</v>
      </c>
      <c r="CY162" s="16" t="n">
        <v>0</v>
      </c>
      <c r="CZ162" s="16" t="n">
        <v>0</v>
      </c>
      <c r="DA162" s="16" t="n">
        <v>0</v>
      </c>
      <c r="DB162" s="16" t="n">
        <v>0</v>
      </c>
      <c r="DC162" s="16" t="n">
        <v>0</v>
      </c>
      <c r="DD162" s="16" t="n">
        <v>0</v>
      </c>
      <c r="DE162" s="16" t="n">
        <v>0</v>
      </c>
      <c r="DF162" s="16" t="n">
        <v>0</v>
      </c>
      <c r="DG162" s="16" t="n">
        <v>0</v>
      </c>
      <c r="DH162" s="16" t="n">
        <v>0</v>
      </c>
      <c r="DI162" s="16" t="n">
        <v>0</v>
      </c>
      <c r="DJ162" s="16" t="n">
        <v>0</v>
      </c>
      <c r="DK162" s="16" t="n">
        <v>0</v>
      </c>
      <c r="DL162" s="16" t="n">
        <v>0</v>
      </c>
      <c r="DM162" s="16" t="n">
        <v>0</v>
      </c>
      <c r="DN162" s="16" t="n">
        <v>0</v>
      </c>
      <c r="DO162" s="16" t="n">
        <v>0</v>
      </c>
      <c r="DP162" s="16" t="n">
        <v>0</v>
      </c>
      <c r="DQ162" s="16" t="n">
        <v>0</v>
      </c>
      <c r="DR162" s="16" t="n">
        <v>0</v>
      </c>
      <c r="DS162" s="16" t="n">
        <v>0</v>
      </c>
      <c r="DT162" s="16" t="n">
        <v>0</v>
      </c>
      <c r="DU162" s="16" t="n">
        <v>0</v>
      </c>
      <c r="DV162" s="16" t="n">
        <v>0</v>
      </c>
      <c r="DW162" s="16" t="n">
        <v>0</v>
      </c>
      <c r="DX162" s="16" t="n">
        <v>0</v>
      </c>
      <c r="DY162" s="16" t="n">
        <v>0</v>
      </c>
      <c r="DZ162" s="16" t="n">
        <v>0</v>
      </c>
      <c r="EA162" s="16" t="n">
        <v>0</v>
      </c>
      <c r="EB162" s="16" t="n">
        <v>0</v>
      </c>
      <c r="EC162" s="16" t="n">
        <v>0</v>
      </c>
      <c r="ED162" s="16" t="n">
        <v>0</v>
      </c>
      <c r="EE162" s="16" t="n">
        <v>0</v>
      </c>
      <c r="EF162" s="16" t="n">
        <v>0</v>
      </c>
    </row>
    <row r="163" customFormat="false" ht="15" hidden="false" customHeight="true" outlineLevel="0" collapsed="false">
      <c r="A163" s="9" t="s">
        <v>12</v>
      </c>
      <c r="B163" s="9" t="s">
        <v>20</v>
      </c>
      <c r="C163" s="9" t="s">
        <v>20</v>
      </c>
      <c r="D163" s="9" t="s">
        <v>337</v>
      </c>
      <c r="E163" s="9" t="s">
        <v>10</v>
      </c>
      <c r="F163" s="9" t="s">
        <v>88</v>
      </c>
      <c r="G163" s="16" t="n">
        <v>0</v>
      </c>
      <c r="H163" s="16" t="n">
        <v>0</v>
      </c>
      <c r="I163" s="16" t="n">
        <v>12</v>
      </c>
      <c r="J163" s="16" t="n">
        <v>-12</v>
      </c>
      <c r="K163" s="16" t="n">
        <v>0</v>
      </c>
      <c r="L163" s="16" t="n">
        <v>0</v>
      </c>
      <c r="M163" s="16" t="n">
        <v>0</v>
      </c>
      <c r="N163" s="16" t="n">
        <v>0</v>
      </c>
      <c r="O163" s="16" t="n">
        <v>0</v>
      </c>
      <c r="P163" s="16" t="n">
        <v>0</v>
      </c>
      <c r="Q163" s="16" t="n">
        <v>0</v>
      </c>
      <c r="R163" s="16" t="n">
        <v>0</v>
      </c>
      <c r="S163" s="16" t="n">
        <v>0</v>
      </c>
      <c r="T163" s="16" t="n">
        <v>0</v>
      </c>
      <c r="U163" s="16" t="n">
        <v>0</v>
      </c>
      <c r="V163" s="16" t="n">
        <v>0</v>
      </c>
      <c r="W163" s="16" t="n">
        <v>0</v>
      </c>
      <c r="X163" s="16" t="n">
        <v>0</v>
      </c>
      <c r="Y163" s="16" t="n">
        <v>0</v>
      </c>
      <c r="Z163" s="16" t="n">
        <v>0</v>
      </c>
      <c r="AA163" s="16" t="n">
        <v>0</v>
      </c>
      <c r="AB163" s="16" t="n">
        <v>0</v>
      </c>
      <c r="AC163" s="16" t="n">
        <v>0</v>
      </c>
      <c r="AD163" s="16" t="n">
        <v>0</v>
      </c>
      <c r="AE163" s="16" t="n">
        <v>0</v>
      </c>
      <c r="AF163" s="16" t="n">
        <v>0</v>
      </c>
      <c r="AG163" s="16" t="n">
        <v>0</v>
      </c>
      <c r="AH163" s="16" t="n">
        <v>0</v>
      </c>
      <c r="AI163" s="16" t="n">
        <v>0</v>
      </c>
      <c r="AJ163" s="16" t="n">
        <v>0</v>
      </c>
      <c r="AK163" s="16" t="n">
        <v>0</v>
      </c>
      <c r="AL163" s="16" t="n">
        <v>0</v>
      </c>
      <c r="AM163" s="16" t="n">
        <v>0</v>
      </c>
      <c r="AN163" s="16" t="n">
        <v>0</v>
      </c>
      <c r="AO163" s="16" t="n">
        <v>0</v>
      </c>
      <c r="AP163" s="16" t="n">
        <v>0</v>
      </c>
      <c r="AQ163" s="16" t="n">
        <v>0</v>
      </c>
      <c r="AR163" s="16" t="n">
        <v>0</v>
      </c>
      <c r="AS163" s="16" t="n">
        <v>0</v>
      </c>
      <c r="AT163" s="16" t="n">
        <v>0</v>
      </c>
      <c r="AU163" s="16" t="n">
        <v>0</v>
      </c>
      <c r="AV163" s="16" t="n">
        <v>0</v>
      </c>
      <c r="AW163" s="16" t="n">
        <v>0</v>
      </c>
      <c r="AX163" s="16" t="n">
        <v>0</v>
      </c>
      <c r="AY163" s="16" t="n">
        <v>0</v>
      </c>
      <c r="AZ163" s="16" t="n">
        <v>0</v>
      </c>
      <c r="BA163" s="16" t="n">
        <v>0</v>
      </c>
      <c r="BB163" s="16" t="n">
        <v>0</v>
      </c>
      <c r="BC163" s="16" t="n">
        <v>0</v>
      </c>
      <c r="BD163" s="16" t="n">
        <v>0</v>
      </c>
      <c r="BE163" s="16" t="n">
        <v>0</v>
      </c>
      <c r="BF163" s="16" t="n">
        <v>0</v>
      </c>
      <c r="BG163" s="16" t="n">
        <v>0</v>
      </c>
      <c r="BH163" s="16" t="n">
        <v>0</v>
      </c>
      <c r="BI163" s="16" t="n">
        <v>0</v>
      </c>
      <c r="BJ163" s="16" t="n">
        <v>0</v>
      </c>
      <c r="BK163" s="16" t="n">
        <v>0</v>
      </c>
      <c r="BL163" s="16" t="n">
        <v>0</v>
      </c>
      <c r="BM163" s="16" t="n">
        <v>0</v>
      </c>
      <c r="BN163" s="16" t="n">
        <v>0</v>
      </c>
      <c r="BO163" s="16" t="n">
        <v>0</v>
      </c>
      <c r="BP163" s="16" t="n">
        <v>0</v>
      </c>
      <c r="BQ163" s="16" t="n">
        <v>0</v>
      </c>
      <c r="BR163" s="16" t="n">
        <v>0</v>
      </c>
      <c r="BS163" s="16" t="n">
        <v>0</v>
      </c>
      <c r="BT163" s="16" t="n">
        <v>0</v>
      </c>
      <c r="BU163" s="16" t="n">
        <v>0</v>
      </c>
      <c r="BV163" s="16" t="n">
        <v>0</v>
      </c>
      <c r="BW163" s="16" t="n">
        <v>0</v>
      </c>
      <c r="BX163" s="16" t="n">
        <v>0</v>
      </c>
      <c r="BY163" s="16" t="n">
        <v>0</v>
      </c>
      <c r="BZ163" s="16" t="n">
        <v>0</v>
      </c>
      <c r="CA163" s="16" t="n">
        <v>0</v>
      </c>
      <c r="CB163" s="16" t="n">
        <v>0</v>
      </c>
      <c r="CC163" s="16" t="n">
        <v>0</v>
      </c>
      <c r="CD163" s="16" t="n">
        <v>0</v>
      </c>
      <c r="CE163" s="16" t="n">
        <v>0</v>
      </c>
      <c r="CF163" s="16" t="n">
        <v>0</v>
      </c>
      <c r="CG163" s="16" t="n">
        <v>0</v>
      </c>
      <c r="CH163" s="16" t="n">
        <v>0</v>
      </c>
      <c r="CI163" s="16" t="n">
        <v>0</v>
      </c>
      <c r="CJ163" s="16" t="n">
        <v>0</v>
      </c>
      <c r="CK163" s="16" t="n">
        <v>0</v>
      </c>
      <c r="CL163" s="16" t="n">
        <v>0</v>
      </c>
      <c r="CM163" s="16" t="n">
        <v>0</v>
      </c>
      <c r="CN163" s="16" t="n">
        <v>0</v>
      </c>
      <c r="CO163" s="16" t="n">
        <v>0</v>
      </c>
      <c r="CP163" s="16" t="n">
        <v>0</v>
      </c>
      <c r="CQ163" s="16" t="n">
        <v>0</v>
      </c>
      <c r="CR163" s="16" t="n">
        <v>0</v>
      </c>
      <c r="CS163" s="16" t="n">
        <v>0</v>
      </c>
      <c r="CT163" s="16" t="n">
        <v>0</v>
      </c>
      <c r="CU163" s="16" t="n">
        <v>0</v>
      </c>
      <c r="CV163" s="16" t="n">
        <v>0</v>
      </c>
      <c r="CW163" s="16" t="n">
        <v>0</v>
      </c>
      <c r="CX163" s="16" t="n">
        <v>0</v>
      </c>
      <c r="CY163" s="16" t="n">
        <v>0</v>
      </c>
      <c r="CZ163" s="16" t="n">
        <v>6</v>
      </c>
      <c r="DA163" s="16" t="n">
        <v>6</v>
      </c>
      <c r="DB163" s="16" t="n">
        <v>0</v>
      </c>
      <c r="DC163" s="16" t="n">
        <v>0</v>
      </c>
      <c r="DD163" s="16" t="n">
        <v>0</v>
      </c>
      <c r="DE163" s="16" t="n">
        <v>0</v>
      </c>
      <c r="DF163" s="16" t="n">
        <v>0</v>
      </c>
      <c r="DG163" s="16" t="n">
        <v>0</v>
      </c>
      <c r="DH163" s="16" t="n">
        <v>0</v>
      </c>
      <c r="DI163" s="16" t="n">
        <v>0</v>
      </c>
      <c r="DJ163" s="16" t="n">
        <v>0</v>
      </c>
      <c r="DK163" s="16" t="n">
        <v>0</v>
      </c>
      <c r="DL163" s="16" t="n">
        <v>0</v>
      </c>
      <c r="DM163" s="16" t="n">
        <v>0</v>
      </c>
      <c r="DN163" s="16" t="n">
        <v>0</v>
      </c>
      <c r="DO163" s="16" t="n">
        <v>0</v>
      </c>
      <c r="DP163" s="16" t="n">
        <v>0</v>
      </c>
      <c r="DQ163" s="16" t="n">
        <v>0</v>
      </c>
      <c r="DR163" s="16" t="n">
        <v>0</v>
      </c>
      <c r="DS163" s="16" t="n">
        <v>0</v>
      </c>
      <c r="DT163" s="16" t="n">
        <v>0</v>
      </c>
      <c r="DU163" s="16" t="n">
        <v>0</v>
      </c>
      <c r="DV163" s="16" t="n">
        <v>0</v>
      </c>
      <c r="DW163" s="16" t="n">
        <v>0</v>
      </c>
      <c r="DX163" s="16" t="n">
        <v>0</v>
      </c>
      <c r="DY163" s="16" t="n">
        <v>0</v>
      </c>
      <c r="DZ163" s="16" t="n">
        <v>0</v>
      </c>
      <c r="EA163" s="16" t="n">
        <v>0</v>
      </c>
      <c r="EB163" s="16" t="n">
        <v>0</v>
      </c>
      <c r="EC163" s="16" t="n">
        <v>0</v>
      </c>
      <c r="ED163" s="16" t="n">
        <v>0</v>
      </c>
      <c r="EE163" s="16" t="n">
        <v>0</v>
      </c>
      <c r="EF163" s="16" t="n">
        <v>0</v>
      </c>
    </row>
    <row r="164" customFormat="false" ht="15" hidden="false" customHeight="true" outlineLevel="0" collapsed="false">
      <c r="A164" s="9" t="s">
        <v>12</v>
      </c>
      <c r="B164" s="9" t="s">
        <v>23</v>
      </c>
      <c r="C164" s="9" t="s">
        <v>23</v>
      </c>
      <c r="D164" s="9" t="s">
        <v>338</v>
      </c>
      <c r="E164" s="9" t="s">
        <v>10</v>
      </c>
      <c r="F164" s="9" t="s">
        <v>80</v>
      </c>
      <c r="G164" s="16" t="n">
        <v>11</v>
      </c>
      <c r="H164" s="16" t="n">
        <v>86</v>
      </c>
      <c r="I164" s="16" t="n">
        <v>4</v>
      </c>
      <c r="J164" s="16" t="n">
        <v>82</v>
      </c>
      <c r="K164" s="16" t="n">
        <v>0</v>
      </c>
      <c r="L164" s="16" t="n">
        <v>0</v>
      </c>
      <c r="M164" s="16" t="n">
        <v>0</v>
      </c>
      <c r="N164" s="16" t="n">
        <v>0</v>
      </c>
      <c r="O164" s="16" t="n">
        <v>0</v>
      </c>
      <c r="P164" s="16" t="n">
        <v>0</v>
      </c>
      <c r="Q164" s="16" t="n">
        <v>0</v>
      </c>
      <c r="R164" s="16" t="n">
        <v>0</v>
      </c>
      <c r="S164" s="16" t="n">
        <v>0</v>
      </c>
      <c r="T164" s="16" t="n">
        <v>0</v>
      </c>
      <c r="U164" s="16" t="n">
        <v>0</v>
      </c>
      <c r="V164" s="16" t="n">
        <v>0</v>
      </c>
      <c r="W164" s="16" t="n">
        <v>0</v>
      </c>
      <c r="X164" s="16" t="n">
        <v>0</v>
      </c>
      <c r="Y164" s="16" t="n">
        <v>0</v>
      </c>
      <c r="Z164" s="16" t="n">
        <v>0</v>
      </c>
      <c r="AA164" s="16" t="n">
        <v>0</v>
      </c>
      <c r="AB164" s="16" t="n">
        <v>0</v>
      </c>
      <c r="AC164" s="16" t="n">
        <v>0</v>
      </c>
      <c r="AD164" s="16" t="n">
        <v>0</v>
      </c>
      <c r="AE164" s="16" t="n">
        <v>4</v>
      </c>
      <c r="AF164" s="16" t="n">
        <v>0</v>
      </c>
      <c r="AG164" s="16" t="n">
        <v>0</v>
      </c>
      <c r="AH164" s="16" t="n">
        <v>0</v>
      </c>
      <c r="AI164" s="16" t="n">
        <v>0</v>
      </c>
      <c r="AJ164" s="16" t="n">
        <v>0</v>
      </c>
      <c r="AK164" s="16" t="n">
        <v>0</v>
      </c>
      <c r="AL164" s="16" t="n">
        <v>0</v>
      </c>
      <c r="AM164" s="16" t="n">
        <v>0</v>
      </c>
      <c r="AN164" s="16" t="n">
        <v>0</v>
      </c>
      <c r="AO164" s="16" t="n">
        <v>0</v>
      </c>
      <c r="AP164" s="16" t="n">
        <v>0</v>
      </c>
      <c r="AQ164" s="16" t="n">
        <v>0</v>
      </c>
      <c r="AR164" s="16" t="n">
        <v>0</v>
      </c>
      <c r="AS164" s="16" t="n">
        <v>0</v>
      </c>
      <c r="AT164" s="16" t="n">
        <v>0</v>
      </c>
      <c r="AU164" s="16" t="n">
        <v>0</v>
      </c>
      <c r="AV164" s="16" t="n">
        <v>0</v>
      </c>
      <c r="AW164" s="16" t="n">
        <v>0</v>
      </c>
      <c r="AX164" s="16" t="n">
        <v>0</v>
      </c>
      <c r="AY164" s="16" t="n">
        <v>0</v>
      </c>
      <c r="AZ164" s="16" t="n">
        <v>0</v>
      </c>
      <c r="BA164" s="16" t="n">
        <v>0</v>
      </c>
      <c r="BB164" s="16" t="n">
        <v>0</v>
      </c>
      <c r="BC164" s="16" t="n">
        <v>0</v>
      </c>
      <c r="BD164" s="16" t="n">
        <v>0</v>
      </c>
      <c r="BE164" s="16" t="n">
        <v>0</v>
      </c>
      <c r="BF164" s="16" t="n">
        <v>0</v>
      </c>
      <c r="BG164" s="16" t="n">
        <v>0</v>
      </c>
      <c r="BH164" s="16" t="n">
        <v>0</v>
      </c>
      <c r="BI164" s="16" t="n">
        <v>0</v>
      </c>
      <c r="BJ164" s="16" t="n">
        <v>0</v>
      </c>
      <c r="BK164" s="16" t="n">
        <v>0</v>
      </c>
      <c r="BL164" s="16" t="n">
        <v>0</v>
      </c>
      <c r="BM164" s="16" t="n">
        <v>0</v>
      </c>
      <c r="BN164" s="16" t="n">
        <v>0</v>
      </c>
      <c r="BO164" s="16" t="n">
        <v>0</v>
      </c>
      <c r="BP164" s="16" t="n">
        <v>0</v>
      </c>
      <c r="BQ164" s="16" t="n">
        <v>0</v>
      </c>
      <c r="BR164" s="16" t="n">
        <v>0</v>
      </c>
      <c r="BS164" s="16" t="n">
        <v>0</v>
      </c>
      <c r="BT164" s="16" t="n">
        <v>0</v>
      </c>
      <c r="BU164" s="16" t="n">
        <v>0</v>
      </c>
      <c r="BV164" s="16" t="n">
        <v>0</v>
      </c>
      <c r="BW164" s="16" t="n">
        <v>0</v>
      </c>
      <c r="BX164" s="16" t="n">
        <v>0</v>
      </c>
      <c r="BY164" s="16" t="n">
        <v>0</v>
      </c>
      <c r="BZ164" s="16" t="n">
        <v>0</v>
      </c>
      <c r="CA164" s="16" t="n">
        <v>0</v>
      </c>
      <c r="CB164" s="16" t="n">
        <v>0</v>
      </c>
      <c r="CC164" s="16" t="n">
        <v>0</v>
      </c>
      <c r="CD164" s="16" t="n">
        <v>0</v>
      </c>
      <c r="CE164" s="16" t="n">
        <v>0</v>
      </c>
      <c r="CF164" s="16" t="n">
        <v>0</v>
      </c>
      <c r="CG164" s="16" t="n">
        <v>0</v>
      </c>
      <c r="CH164" s="16" t="n">
        <v>0</v>
      </c>
      <c r="CI164" s="16" t="n">
        <v>0</v>
      </c>
      <c r="CJ164" s="16" t="n">
        <v>0</v>
      </c>
      <c r="CK164" s="16" t="n">
        <v>0</v>
      </c>
      <c r="CL164" s="16" t="n">
        <v>0</v>
      </c>
      <c r="CM164" s="16" t="n">
        <v>0</v>
      </c>
      <c r="CN164" s="16" t="n">
        <v>0</v>
      </c>
      <c r="CO164" s="16" t="n">
        <v>0</v>
      </c>
      <c r="CP164" s="16" t="n">
        <v>0</v>
      </c>
      <c r="CQ164" s="16" t="n">
        <v>0</v>
      </c>
      <c r="CR164" s="16" t="n">
        <v>0</v>
      </c>
      <c r="CS164" s="16" t="n">
        <v>0</v>
      </c>
      <c r="CT164" s="16" t="n">
        <v>0</v>
      </c>
      <c r="CU164" s="16" t="n">
        <v>0</v>
      </c>
      <c r="CV164" s="16" t="n">
        <v>0</v>
      </c>
      <c r="CW164" s="16" t="n">
        <v>0</v>
      </c>
      <c r="CX164" s="16" t="n">
        <v>0</v>
      </c>
      <c r="CY164" s="16" t="n">
        <v>0</v>
      </c>
      <c r="CZ164" s="16" t="n">
        <v>0</v>
      </c>
      <c r="DA164" s="16" t="n">
        <v>0</v>
      </c>
      <c r="DB164" s="16" t="n">
        <v>0</v>
      </c>
      <c r="DC164" s="16" t="n">
        <v>0</v>
      </c>
      <c r="DD164" s="16" t="n">
        <v>0</v>
      </c>
      <c r="DE164" s="16" t="n">
        <v>0</v>
      </c>
      <c r="DF164" s="16" t="n">
        <v>0</v>
      </c>
      <c r="DG164" s="16" t="n">
        <v>0</v>
      </c>
      <c r="DH164" s="16" t="n">
        <v>0</v>
      </c>
      <c r="DI164" s="16" t="n">
        <v>0</v>
      </c>
      <c r="DJ164" s="16" t="n">
        <v>0</v>
      </c>
      <c r="DK164" s="16" t="n">
        <v>0</v>
      </c>
      <c r="DL164" s="16" t="n">
        <v>0</v>
      </c>
      <c r="DM164" s="16" t="n">
        <v>0</v>
      </c>
      <c r="DN164" s="16" t="n">
        <v>0</v>
      </c>
      <c r="DO164" s="16" t="n">
        <v>0</v>
      </c>
      <c r="DP164" s="16" t="n">
        <v>0</v>
      </c>
      <c r="DQ164" s="16" t="n">
        <v>0</v>
      </c>
      <c r="DR164" s="16" t="n">
        <v>0</v>
      </c>
      <c r="DS164" s="16" t="n">
        <v>0</v>
      </c>
      <c r="DT164" s="16" t="n">
        <v>0</v>
      </c>
      <c r="DU164" s="16" t="n">
        <v>0</v>
      </c>
      <c r="DV164" s="16" t="n">
        <v>0</v>
      </c>
      <c r="DW164" s="16" t="n">
        <v>0</v>
      </c>
      <c r="DX164" s="16" t="n">
        <v>0</v>
      </c>
      <c r="DY164" s="16" t="n">
        <v>0</v>
      </c>
      <c r="DZ164" s="16" t="n">
        <v>0</v>
      </c>
      <c r="EA164" s="16" t="n">
        <v>0</v>
      </c>
      <c r="EB164" s="16" t="n">
        <v>0</v>
      </c>
      <c r="EC164" s="16" t="n">
        <v>0</v>
      </c>
      <c r="ED164" s="16" t="n">
        <v>0</v>
      </c>
      <c r="EE164" s="16" t="n">
        <v>0</v>
      </c>
      <c r="EF164" s="16" t="n">
        <v>0</v>
      </c>
    </row>
    <row r="165" customFormat="false" ht="15" hidden="false" customHeight="true" outlineLevel="0" collapsed="false">
      <c r="A165" s="9" t="s">
        <v>12</v>
      </c>
      <c r="B165" s="9" t="s">
        <v>23</v>
      </c>
      <c r="C165" s="9" t="s">
        <v>23</v>
      </c>
      <c r="D165" s="9" t="s">
        <v>337</v>
      </c>
      <c r="E165" s="9" t="s">
        <v>10</v>
      </c>
      <c r="F165" s="9" t="s">
        <v>80</v>
      </c>
      <c r="G165" s="16" t="n">
        <v>0</v>
      </c>
      <c r="H165" s="16" t="n">
        <v>0</v>
      </c>
      <c r="I165" s="16" t="n">
        <v>75</v>
      </c>
      <c r="J165" s="16" t="n">
        <v>-75</v>
      </c>
      <c r="K165" s="16" t="n">
        <v>0</v>
      </c>
      <c r="L165" s="16" t="n">
        <v>0</v>
      </c>
      <c r="M165" s="16" t="n">
        <v>0</v>
      </c>
      <c r="N165" s="16" t="n">
        <v>0</v>
      </c>
      <c r="O165" s="16" t="n">
        <v>0</v>
      </c>
      <c r="P165" s="16" t="n">
        <v>0</v>
      </c>
      <c r="Q165" s="16" t="n">
        <v>0</v>
      </c>
      <c r="R165" s="16" t="n">
        <v>0</v>
      </c>
      <c r="S165" s="16" t="n">
        <v>0</v>
      </c>
      <c r="T165" s="16" t="n">
        <v>0</v>
      </c>
      <c r="U165" s="16" t="n">
        <v>0</v>
      </c>
      <c r="V165" s="16" t="n">
        <v>0</v>
      </c>
      <c r="W165" s="16" t="n">
        <v>0</v>
      </c>
      <c r="X165" s="16" t="n">
        <v>0</v>
      </c>
      <c r="Y165" s="16" t="n">
        <v>0</v>
      </c>
      <c r="Z165" s="16" t="n">
        <v>0</v>
      </c>
      <c r="AA165" s="16" t="n">
        <v>0</v>
      </c>
      <c r="AB165" s="16" t="n">
        <v>0</v>
      </c>
      <c r="AC165" s="16" t="n">
        <v>0</v>
      </c>
      <c r="AD165" s="16" t="n">
        <v>0</v>
      </c>
      <c r="AE165" s="16" t="n">
        <v>0</v>
      </c>
      <c r="AF165" s="16" t="n">
        <v>0</v>
      </c>
      <c r="AG165" s="16" t="n">
        <v>0</v>
      </c>
      <c r="AH165" s="16" t="n">
        <v>0</v>
      </c>
      <c r="AI165" s="16" t="n">
        <v>0</v>
      </c>
      <c r="AJ165" s="16" t="n">
        <v>0</v>
      </c>
      <c r="AK165" s="16" t="n">
        <v>0</v>
      </c>
      <c r="AL165" s="16" t="n">
        <v>0</v>
      </c>
      <c r="AM165" s="16" t="n">
        <v>0</v>
      </c>
      <c r="AN165" s="16" t="n">
        <v>0</v>
      </c>
      <c r="AO165" s="16" t="n">
        <v>0</v>
      </c>
      <c r="AP165" s="16" t="n">
        <v>0</v>
      </c>
      <c r="AQ165" s="16" t="n">
        <v>0</v>
      </c>
      <c r="AR165" s="16" t="n">
        <v>0</v>
      </c>
      <c r="AS165" s="16" t="n">
        <v>0</v>
      </c>
      <c r="AT165" s="16" t="n">
        <v>0</v>
      </c>
      <c r="AU165" s="16" t="n">
        <v>0</v>
      </c>
      <c r="AV165" s="16" t="n">
        <v>0</v>
      </c>
      <c r="AW165" s="16" t="n">
        <v>0</v>
      </c>
      <c r="AX165" s="16" t="n">
        <v>0</v>
      </c>
      <c r="AY165" s="16" t="n">
        <v>0</v>
      </c>
      <c r="AZ165" s="16" t="n">
        <v>0</v>
      </c>
      <c r="BA165" s="16" t="n">
        <v>0</v>
      </c>
      <c r="BB165" s="16" t="n">
        <v>0</v>
      </c>
      <c r="BC165" s="16" t="n">
        <v>0</v>
      </c>
      <c r="BD165" s="16" t="n">
        <v>0</v>
      </c>
      <c r="BE165" s="16" t="n">
        <v>0</v>
      </c>
      <c r="BF165" s="16" t="n">
        <v>0</v>
      </c>
      <c r="BG165" s="16" t="n">
        <v>0</v>
      </c>
      <c r="BH165" s="16" t="n">
        <v>0</v>
      </c>
      <c r="BI165" s="16" t="n">
        <v>0</v>
      </c>
      <c r="BJ165" s="16" t="n">
        <v>0</v>
      </c>
      <c r="BK165" s="16" t="n">
        <v>0</v>
      </c>
      <c r="BL165" s="16" t="n">
        <v>0</v>
      </c>
      <c r="BM165" s="16" t="n">
        <v>0</v>
      </c>
      <c r="BN165" s="16" t="n">
        <v>0</v>
      </c>
      <c r="BO165" s="16" t="n">
        <v>0</v>
      </c>
      <c r="BP165" s="16" t="n">
        <v>0</v>
      </c>
      <c r="BQ165" s="16" t="n">
        <v>0</v>
      </c>
      <c r="BR165" s="16" t="n">
        <v>0</v>
      </c>
      <c r="BS165" s="16" t="n">
        <v>0</v>
      </c>
      <c r="BT165" s="16" t="n">
        <v>0</v>
      </c>
      <c r="BU165" s="16" t="n">
        <v>0</v>
      </c>
      <c r="BV165" s="16" t="n">
        <v>0</v>
      </c>
      <c r="BW165" s="16" t="n">
        <v>0</v>
      </c>
      <c r="BX165" s="16" t="n">
        <v>0</v>
      </c>
      <c r="BY165" s="16" t="n">
        <v>0</v>
      </c>
      <c r="BZ165" s="16" t="n">
        <v>0</v>
      </c>
      <c r="CA165" s="16" t="n">
        <v>0</v>
      </c>
      <c r="CB165" s="16" t="n">
        <v>0</v>
      </c>
      <c r="CC165" s="16" t="n">
        <v>0</v>
      </c>
      <c r="CD165" s="16" t="n">
        <v>0</v>
      </c>
      <c r="CE165" s="16" t="n">
        <v>0</v>
      </c>
      <c r="CF165" s="16" t="n">
        <v>0</v>
      </c>
      <c r="CG165" s="16" t="n">
        <v>0</v>
      </c>
      <c r="CH165" s="16" t="n">
        <v>0</v>
      </c>
      <c r="CI165" s="16" t="n">
        <v>0</v>
      </c>
      <c r="CJ165" s="16" t="n">
        <v>0</v>
      </c>
      <c r="CK165" s="16" t="n">
        <v>0</v>
      </c>
      <c r="CL165" s="16" t="n">
        <v>0</v>
      </c>
      <c r="CM165" s="16" t="n">
        <v>0</v>
      </c>
      <c r="CN165" s="16" t="n">
        <v>0</v>
      </c>
      <c r="CO165" s="16" t="n">
        <v>0</v>
      </c>
      <c r="CP165" s="16" t="n">
        <v>0</v>
      </c>
      <c r="CQ165" s="16" t="n">
        <v>0</v>
      </c>
      <c r="CR165" s="16" t="n">
        <v>0</v>
      </c>
      <c r="CS165" s="16" t="n">
        <v>0</v>
      </c>
      <c r="CT165" s="16" t="n">
        <v>1</v>
      </c>
      <c r="CU165" s="16" t="n">
        <v>0</v>
      </c>
      <c r="CV165" s="16" t="n">
        <v>0</v>
      </c>
      <c r="CW165" s="16" t="n">
        <v>2</v>
      </c>
      <c r="CX165" s="16" t="n">
        <v>0</v>
      </c>
      <c r="CY165" s="16" t="n">
        <v>2</v>
      </c>
      <c r="CZ165" s="16" t="n">
        <v>6</v>
      </c>
      <c r="DA165" s="16" t="n">
        <v>4</v>
      </c>
      <c r="DB165" s="16" t="n">
        <v>0</v>
      </c>
      <c r="DC165" s="16" t="n">
        <v>0</v>
      </c>
      <c r="DD165" s="16" t="n">
        <v>0</v>
      </c>
      <c r="DE165" s="16" t="n">
        <v>0</v>
      </c>
      <c r="DF165" s="16" t="n">
        <v>0</v>
      </c>
      <c r="DG165" s="16" t="n">
        <v>2</v>
      </c>
      <c r="DH165" s="16" t="n">
        <v>2</v>
      </c>
      <c r="DI165" s="16" t="n">
        <v>0</v>
      </c>
      <c r="DJ165" s="16" t="n">
        <v>0</v>
      </c>
      <c r="DK165" s="16" t="n">
        <v>3</v>
      </c>
      <c r="DL165" s="16" t="n">
        <v>5</v>
      </c>
      <c r="DM165" s="16" t="n">
        <v>4</v>
      </c>
      <c r="DN165" s="16" t="n">
        <v>2</v>
      </c>
      <c r="DO165" s="16" t="n">
        <v>0</v>
      </c>
      <c r="DP165" s="16" t="n">
        <v>0</v>
      </c>
      <c r="DQ165" s="16" t="n">
        <v>0</v>
      </c>
      <c r="DR165" s="16" t="n">
        <v>0</v>
      </c>
      <c r="DS165" s="16" t="n">
        <v>10</v>
      </c>
      <c r="DT165" s="16" t="n">
        <v>17</v>
      </c>
      <c r="DU165" s="16" t="n">
        <v>15</v>
      </c>
      <c r="DV165" s="16" t="n">
        <v>0</v>
      </c>
      <c r="DW165" s="16" t="n">
        <v>0</v>
      </c>
      <c r="DX165" s="16" t="n">
        <v>0</v>
      </c>
      <c r="DY165" s="16" t="n">
        <v>0</v>
      </c>
      <c r="DZ165" s="16" t="n">
        <v>0</v>
      </c>
      <c r="EA165" s="16" t="n">
        <v>0</v>
      </c>
      <c r="EB165" s="16" t="n">
        <v>0</v>
      </c>
      <c r="EC165" s="16" t="n">
        <v>0</v>
      </c>
      <c r="ED165" s="16" t="n">
        <v>0</v>
      </c>
      <c r="EE165" s="16" t="n">
        <v>0</v>
      </c>
      <c r="EF165" s="16" t="n">
        <v>0</v>
      </c>
    </row>
    <row r="166" customFormat="false" ht="15" hidden="false" customHeight="true" outlineLevel="0" collapsed="false">
      <c r="A166" s="9" t="s">
        <v>12</v>
      </c>
      <c r="B166" s="9" t="s">
        <v>23</v>
      </c>
      <c r="C166" s="9" t="s">
        <v>23</v>
      </c>
      <c r="D166" s="9" t="s">
        <v>338</v>
      </c>
      <c r="E166" s="9" t="s">
        <v>10</v>
      </c>
      <c r="F166" s="9" t="s">
        <v>81</v>
      </c>
      <c r="G166" s="16" t="n">
        <v>6.6</v>
      </c>
      <c r="H166" s="16" t="n">
        <v>29.5</v>
      </c>
      <c r="I166" s="16" t="n">
        <v>0</v>
      </c>
      <c r="J166" s="16" t="n">
        <v>29.5</v>
      </c>
      <c r="K166" s="16" t="n">
        <v>0</v>
      </c>
      <c r="L166" s="16" t="n">
        <v>0</v>
      </c>
      <c r="M166" s="16" t="n">
        <v>0</v>
      </c>
      <c r="N166" s="16" t="n">
        <v>0</v>
      </c>
      <c r="O166" s="16" t="n">
        <v>0</v>
      </c>
      <c r="P166" s="16" t="n">
        <v>0</v>
      </c>
      <c r="Q166" s="16" t="n">
        <v>0</v>
      </c>
      <c r="R166" s="16" t="n">
        <v>0</v>
      </c>
      <c r="S166" s="16" t="n">
        <v>0</v>
      </c>
      <c r="T166" s="16" t="n">
        <v>0</v>
      </c>
      <c r="U166" s="16" t="n">
        <v>0</v>
      </c>
      <c r="V166" s="16" t="n">
        <v>0</v>
      </c>
      <c r="W166" s="16" t="n">
        <v>0</v>
      </c>
      <c r="X166" s="16" t="n">
        <v>0</v>
      </c>
      <c r="Y166" s="16" t="n">
        <v>0</v>
      </c>
      <c r="Z166" s="16" t="n">
        <v>0</v>
      </c>
      <c r="AA166" s="16" t="n">
        <v>0</v>
      </c>
      <c r="AB166" s="16" t="n">
        <v>0</v>
      </c>
      <c r="AC166" s="16" t="n">
        <v>0</v>
      </c>
      <c r="AD166" s="16" t="n">
        <v>0</v>
      </c>
      <c r="AE166" s="16" t="n">
        <v>0</v>
      </c>
      <c r="AF166" s="16" t="n">
        <v>0</v>
      </c>
      <c r="AG166" s="16" t="n">
        <v>0</v>
      </c>
      <c r="AH166" s="16" t="n">
        <v>0</v>
      </c>
      <c r="AI166" s="16" t="n">
        <v>0</v>
      </c>
      <c r="AJ166" s="16" t="n">
        <v>0</v>
      </c>
      <c r="AK166" s="16" t="n">
        <v>0</v>
      </c>
      <c r="AL166" s="16" t="n">
        <v>0</v>
      </c>
      <c r="AM166" s="16" t="n">
        <v>0</v>
      </c>
      <c r="AN166" s="16" t="n">
        <v>0</v>
      </c>
      <c r="AO166" s="16" t="n">
        <v>0</v>
      </c>
      <c r="AP166" s="16" t="n">
        <v>0</v>
      </c>
      <c r="AQ166" s="16" t="n">
        <v>0</v>
      </c>
      <c r="AR166" s="16" t="n">
        <v>0</v>
      </c>
      <c r="AS166" s="16" t="n">
        <v>0</v>
      </c>
      <c r="AT166" s="16" t="n">
        <v>0</v>
      </c>
      <c r="AU166" s="16" t="n">
        <v>0</v>
      </c>
      <c r="AV166" s="16" t="n">
        <v>0</v>
      </c>
      <c r="AW166" s="16" t="n">
        <v>0</v>
      </c>
      <c r="AX166" s="16" t="n">
        <v>0</v>
      </c>
      <c r="AY166" s="16" t="n">
        <v>0</v>
      </c>
      <c r="AZ166" s="16" t="n">
        <v>0</v>
      </c>
      <c r="BA166" s="16" t="n">
        <v>0</v>
      </c>
      <c r="BB166" s="16" t="n">
        <v>0</v>
      </c>
      <c r="BC166" s="16" t="n">
        <v>0</v>
      </c>
      <c r="BD166" s="16" t="n">
        <v>0</v>
      </c>
      <c r="BE166" s="16" t="n">
        <v>0</v>
      </c>
      <c r="BF166" s="16" t="n">
        <v>0</v>
      </c>
      <c r="BG166" s="16" t="n">
        <v>0</v>
      </c>
      <c r="BH166" s="16" t="n">
        <v>0</v>
      </c>
      <c r="BI166" s="16" t="n">
        <v>0</v>
      </c>
      <c r="BJ166" s="16" t="n">
        <v>0</v>
      </c>
      <c r="BK166" s="16" t="n">
        <v>0</v>
      </c>
      <c r="BL166" s="16" t="n">
        <v>0</v>
      </c>
      <c r="BM166" s="16" t="n">
        <v>0</v>
      </c>
      <c r="BN166" s="16" t="n">
        <v>0</v>
      </c>
      <c r="BO166" s="16" t="n">
        <v>0</v>
      </c>
      <c r="BP166" s="16" t="n">
        <v>0</v>
      </c>
      <c r="BQ166" s="16" t="n">
        <v>0</v>
      </c>
      <c r="BR166" s="16" t="n">
        <v>0</v>
      </c>
      <c r="BS166" s="16" t="n">
        <v>0</v>
      </c>
      <c r="BT166" s="16" t="n">
        <v>0</v>
      </c>
      <c r="BU166" s="16" t="n">
        <v>0</v>
      </c>
      <c r="BV166" s="16" t="n">
        <v>0</v>
      </c>
      <c r="BW166" s="16" t="n">
        <v>0</v>
      </c>
      <c r="BX166" s="16" t="n">
        <v>0</v>
      </c>
      <c r="BY166" s="16" t="n">
        <v>0</v>
      </c>
      <c r="BZ166" s="16" t="n">
        <v>0</v>
      </c>
      <c r="CA166" s="16" t="n">
        <v>0</v>
      </c>
      <c r="CB166" s="16" t="n">
        <v>0</v>
      </c>
      <c r="CC166" s="16" t="n">
        <v>0</v>
      </c>
      <c r="CD166" s="16" t="n">
        <v>0</v>
      </c>
      <c r="CE166" s="16" t="n">
        <v>0</v>
      </c>
      <c r="CF166" s="16" t="n">
        <v>0</v>
      </c>
      <c r="CG166" s="16" t="n">
        <v>0</v>
      </c>
      <c r="CH166" s="16" t="n">
        <v>0</v>
      </c>
      <c r="CI166" s="16" t="n">
        <v>0</v>
      </c>
      <c r="CJ166" s="16" t="n">
        <v>0</v>
      </c>
      <c r="CK166" s="16" t="n">
        <v>0</v>
      </c>
      <c r="CL166" s="16" t="n">
        <v>0</v>
      </c>
      <c r="CM166" s="16" t="n">
        <v>0</v>
      </c>
      <c r="CN166" s="16" t="n">
        <v>0</v>
      </c>
      <c r="CO166" s="16" t="n">
        <v>0</v>
      </c>
      <c r="CP166" s="16" t="n">
        <v>0</v>
      </c>
      <c r="CQ166" s="16" t="n">
        <v>0</v>
      </c>
      <c r="CR166" s="16" t="n">
        <v>0</v>
      </c>
      <c r="CS166" s="16" t="n">
        <v>0</v>
      </c>
      <c r="CT166" s="16" t="n">
        <v>0</v>
      </c>
      <c r="CU166" s="16" t="n">
        <v>0</v>
      </c>
      <c r="CV166" s="16" t="n">
        <v>0</v>
      </c>
      <c r="CW166" s="16" t="n">
        <v>0</v>
      </c>
      <c r="CX166" s="16" t="n">
        <v>0</v>
      </c>
      <c r="CY166" s="16" t="n">
        <v>0</v>
      </c>
      <c r="CZ166" s="16" t="n">
        <v>0</v>
      </c>
      <c r="DA166" s="16" t="n">
        <v>0</v>
      </c>
      <c r="DB166" s="16" t="n">
        <v>0</v>
      </c>
      <c r="DC166" s="16" t="n">
        <v>0</v>
      </c>
      <c r="DD166" s="16" t="n">
        <v>0</v>
      </c>
      <c r="DE166" s="16" t="n">
        <v>0</v>
      </c>
      <c r="DF166" s="16" t="n">
        <v>0</v>
      </c>
      <c r="DG166" s="16" t="n">
        <v>0</v>
      </c>
      <c r="DH166" s="16" t="n">
        <v>0</v>
      </c>
      <c r="DI166" s="16" t="n">
        <v>0</v>
      </c>
      <c r="DJ166" s="16" t="n">
        <v>0</v>
      </c>
      <c r="DK166" s="16" t="n">
        <v>0</v>
      </c>
      <c r="DL166" s="16" t="n">
        <v>0</v>
      </c>
      <c r="DM166" s="16" t="n">
        <v>0</v>
      </c>
      <c r="DN166" s="16" t="n">
        <v>0</v>
      </c>
      <c r="DO166" s="16" t="n">
        <v>0</v>
      </c>
      <c r="DP166" s="16" t="n">
        <v>0</v>
      </c>
      <c r="DQ166" s="16" t="n">
        <v>0</v>
      </c>
      <c r="DR166" s="16" t="n">
        <v>0</v>
      </c>
      <c r="DS166" s="16" t="n">
        <v>0</v>
      </c>
      <c r="DT166" s="16" t="n">
        <v>0</v>
      </c>
      <c r="DU166" s="16" t="n">
        <v>0</v>
      </c>
      <c r="DV166" s="16" t="n">
        <v>0</v>
      </c>
      <c r="DW166" s="16" t="n">
        <v>0</v>
      </c>
      <c r="DX166" s="16" t="n">
        <v>0</v>
      </c>
      <c r="DY166" s="16" t="n">
        <v>0</v>
      </c>
      <c r="DZ166" s="16" t="n">
        <v>0</v>
      </c>
      <c r="EA166" s="16" t="n">
        <v>0</v>
      </c>
      <c r="EB166" s="16" t="n">
        <v>0</v>
      </c>
      <c r="EC166" s="16" t="n">
        <v>0</v>
      </c>
      <c r="ED166" s="16" t="n">
        <v>0</v>
      </c>
      <c r="EE166" s="16" t="n">
        <v>0</v>
      </c>
      <c r="EF166" s="16" t="n">
        <v>0</v>
      </c>
    </row>
    <row r="167" customFormat="false" ht="15" hidden="false" customHeight="true" outlineLevel="0" collapsed="false">
      <c r="A167" s="9" t="s">
        <v>12</v>
      </c>
      <c r="B167" s="9" t="s">
        <v>23</v>
      </c>
      <c r="C167" s="9" t="s">
        <v>23</v>
      </c>
      <c r="D167" s="9" t="s">
        <v>337</v>
      </c>
      <c r="E167" s="9" t="s">
        <v>10</v>
      </c>
      <c r="F167" s="9" t="s">
        <v>81</v>
      </c>
      <c r="G167" s="16" t="n">
        <v>0</v>
      </c>
      <c r="H167" s="16" t="n">
        <v>0</v>
      </c>
      <c r="I167" s="16" t="n">
        <v>22.7</v>
      </c>
      <c r="J167" s="16" t="n">
        <v>-22.7</v>
      </c>
      <c r="K167" s="16" t="n">
        <v>0</v>
      </c>
      <c r="L167" s="16" t="n">
        <v>0</v>
      </c>
      <c r="M167" s="16" t="n">
        <v>0</v>
      </c>
      <c r="N167" s="16" t="n">
        <v>0</v>
      </c>
      <c r="O167" s="16" t="n">
        <v>0</v>
      </c>
      <c r="P167" s="16" t="n">
        <v>0</v>
      </c>
      <c r="Q167" s="16" t="n">
        <v>0</v>
      </c>
      <c r="R167" s="16" t="n">
        <v>0</v>
      </c>
      <c r="S167" s="16" t="n">
        <v>0</v>
      </c>
      <c r="T167" s="16" t="n">
        <v>0</v>
      </c>
      <c r="U167" s="16" t="n">
        <v>0</v>
      </c>
      <c r="V167" s="16" t="n">
        <v>0</v>
      </c>
      <c r="W167" s="16" t="n">
        <v>0</v>
      </c>
      <c r="X167" s="16" t="n">
        <v>0</v>
      </c>
      <c r="Y167" s="16" t="n">
        <v>0</v>
      </c>
      <c r="Z167" s="16" t="n">
        <v>0</v>
      </c>
      <c r="AA167" s="16" t="n">
        <v>0</v>
      </c>
      <c r="AB167" s="16" t="n">
        <v>0</v>
      </c>
      <c r="AC167" s="16" t="n">
        <v>0</v>
      </c>
      <c r="AD167" s="16" t="n">
        <v>0</v>
      </c>
      <c r="AE167" s="16" t="n">
        <v>0</v>
      </c>
      <c r="AF167" s="16" t="n">
        <v>0</v>
      </c>
      <c r="AG167" s="16" t="n">
        <v>0</v>
      </c>
      <c r="AH167" s="16" t="n">
        <v>0</v>
      </c>
      <c r="AI167" s="16" t="n">
        <v>0</v>
      </c>
      <c r="AJ167" s="16" t="n">
        <v>0</v>
      </c>
      <c r="AK167" s="16" t="n">
        <v>0</v>
      </c>
      <c r="AL167" s="16" t="n">
        <v>0</v>
      </c>
      <c r="AM167" s="16" t="n">
        <v>0</v>
      </c>
      <c r="AN167" s="16" t="n">
        <v>0</v>
      </c>
      <c r="AO167" s="16" t="n">
        <v>0</v>
      </c>
      <c r="AP167" s="16" t="n">
        <v>0</v>
      </c>
      <c r="AQ167" s="16" t="n">
        <v>0</v>
      </c>
      <c r="AR167" s="16" t="n">
        <v>0</v>
      </c>
      <c r="AS167" s="16" t="n">
        <v>0</v>
      </c>
      <c r="AT167" s="16" t="n">
        <v>0</v>
      </c>
      <c r="AU167" s="16" t="n">
        <v>0</v>
      </c>
      <c r="AV167" s="16" t="n">
        <v>0</v>
      </c>
      <c r="AW167" s="16" t="n">
        <v>0</v>
      </c>
      <c r="AX167" s="16" t="n">
        <v>0</v>
      </c>
      <c r="AY167" s="16" t="n">
        <v>0</v>
      </c>
      <c r="AZ167" s="16" t="n">
        <v>0</v>
      </c>
      <c r="BA167" s="16" t="n">
        <v>0</v>
      </c>
      <c r="BB167" s="16" t="n">
        <v>0</v>
      </c>
      <c r="BC167" s="16" t="n">
        <v>0</v>
      </c>
      <c r="BD167" s="16" t="n">
        <v>0</v>
      </c>
      <c r="BE167" s="16" t="n">
        <v>0</v>
      </c>
      <c r="BF167" s="16" t="n">
        <v>0</v>
      </c>
      <c r="BG167" s="16" t="n">
        <v>0</v>
      </c>
      <c r="BH167" s="16" t="n">
        <v>0</v>
      </c>
      <c r="BI167" s="16" t="n">
        <v>0</v>
      </c>
      <c r="BJ167" s="16" t="n">
        <v>0</v>
      </c>
      <c r="BK167" s="16" t="n">
        <v>0</v>
      </c>
      <c r="BL167" s="16" t="n">
        <v>0</v>
      </c>
      <c r="BM167" s="16" t="n">
        <v>0</v>
      </c>
      <c r="BN167" s="16" t="n">
        <v>0</v>
      </c>
      <c r="BO167" s="16" t="n">
        <v>0</v>
      </c>
      <c r="BP167" s="16" t="n">
        <v>0</v>
      </c>
      <c r="BQ167" s="16" t="n">
        <v>0</v>
      </c>
      <c r="BR167" s="16" t="n">
        <v>0</v>
      </c>
      <c r="BS167" s="16" t="n">
        <v>0</v>
      </c>
      <c r="BT167" s="16" t="n">
        <v>0</v>
      </c>
      <c r="BU167" s="16" t="n">
        <v>0</v>
      </c>
      <c r="BV167" s="16" t="n">
        <v>0</v>
      </c>
      <c r="BW167" s="16" t="n">
        <v>0</v>
      </c>
      <c r="BX167" s="16" t="n">
        <v>0</v>
      </c>
      <c r="BY167" s="16" t="n">
        <v>0</v>
      </c>
      <c r="BZ167" s="16" t="n">
        <v>0</v>
      </c>
      <c r="CA167" s="16" t="n">
        <v>0</v>
      </c>
      <c r="CB167" s="16" t="n">
        <v>0</v>
      </c>
      <c r="CC167" s="16" t="n">
        <v>0</v>
      </c>
      <c r="CD167" s="16" t="n">
        <v>0</v>
      </c>
      <c r="CE167" s="16" t="n">
        <v>0</v>
      </c>
      <c r="CF167" s="16" t="n">
        <v>0</v>
      </c>
      <c r="CG167" s="16" t="n">
        <v>0</v>
      </c>
      <c r="CH167" s="16" t="n">
        <v>0</v>
      </c>
      <c r="CI167" s="16" t="n">
        <v>0</v>
      </c>
      <c r="CJ167" s="16" t="n">
        <v>0</v>
      </c>
      <c r="CK167" s="16" t="n">
        <v>0</v>
      </c>
      <c r="CL167" s="16" t="n">
        <v>0</v>
      </c>
      <c r="CM167" s="16" t="n">
        <v>0</v>
      </c>
      <c r="CN167" s="16" t="n">
        <v>0</v>
      </c>
      <c r="CO167" s="16" t="n">
        <v>0</v>
      </c>
      <c r="CP167" s="16" t="n">
        <v>0</v>
      </c>
      <c r="CQ167" s="16" t="n">
        <v>0</v>
      </c>
      <c r="CR167" s="16" t="n">
        <v>0</v>
      </c>
      <c r="CS167" s="16" t="n">
        <v>0.614035</v>
      </c>
      <c r="CT167" s="16" t="n">
        <v>0.614035</v>
      </c>
      <c r="CU167" s="16" t="n">
        <v>0.614035</v>
      </c>
      <c r="CV167" s="16" t="n">
        <v>0.614035</v>
      </c>
      <c r="CW167" s="16" t="n">
        <v>0.614035</v>
      </c>
      <c r="CX167" s="16" t="n">
        <v>0.614035</v>
      </c>
      <c r="CY167" s="16" t="n">
        <v>0.614035</v>
      </c>
      <c r="CZ167" s="16" t="n">
        <v>0.614035</v>
      </c>
      <c r="DA167" s="16" t="n">
        <v>0.614035</v>
      </c>
      <c r="DB167" s="16" t="n">
        <v>0.614035</v>
      </c>
      <c r="DC167" s="16" t="n">
        <v>0.614035</v>
      </c>
      <c r="DD167" s="16" t="n">
        <v>0.614035</v>
      </c>
      <c r="DE167" s="16" t="n">
        <v>0.614035</v>
      </c>
      <c r="DF167" s="16" t="n">
        <v>0.614035</v>
      </c>
      <c r="DG167" s="16" t="n">
        <v>0.614035</v>
      </c>
      <c r="DH167" s="16" t="n">
        <v>0.614035</v>
      </c>
      <c r="DI167" s="16" t="n">
        <v>0.614035</v>
      </c>
      <c r="DJ167" s="16" t="n">
        <v>0.8</v>
      </c>
      <c r="DK167" s="16" t="n">
        <v>1.5</v>
      </c>
      <c r="DL167" s="16" t="n">
        <v>1.5</v>
      </c>
      <c r="DM167" s="16" t="n">
        <v>1.5</v>
      </c>
      <c r="DN167" s="16" t="n">
        <v>1.5</v>
      </c>
      <c r="DO167" s="16" t="n">
        <v>1</v>
      </c>
      <c r="DP167" s="16" t="n">
        <v>1.5</v>
      </c>
      <c r="DQ167" s="16" t="n">
        <v>1.5</v>
      </c>
      <c r="DR167" s="16" t="n">
        <v>1.5</v>
      </c>
      <c r="DS167" s="16" t="n">
        <v>0</v>
      </c>
      <c r="DT167" s="16" t="n">
        <v>0</v>
      </c>
      <c r="DU167" s="16" t="n">
        <v>0</v>
      </c>
      <c r="DV167" s="16" t="n">
        <v>0</v>
      </c>
      <c r="DW167" s="16" t="n">
        <v>0</v>
      </c>
      <c r="DX167" s="16" t="n">
        <v>0</v>
      </c>
      <c r="DY167" s="16" t="n">
        <v>0</v>
      </c>
      <c r="DZ167" s="16" t="n">
        <v>0</v>
      </c>
      <c r="EA167" s="16" t="n">
        <v>0</v>
      </c>
      <c r="EB167" s="16" t="n">
        <v>0</v>
      </c>
      <c r="EC167" s="16" t="n">
        <v>0</v>
      </c>
      <c r="ED167" s="16" t="n">
        <v>0</v>
      </c>
      <c r="EE167" s="16" t="n">
        <v>0</v>
      </c>
      <c r="EF167" s="16" t="n">
        <v>0</v>
      </c>
    </row>
    <row r="168" customFormat="false" ht="15" hidden="false" customHeight="true" outlineLevel="0" collapsed="false">
      <c r="A168" s="9" t="s">
        <v>12</v>
      </c>
      <c r="B168" s="9" t="s">
        <v>23</v>
      </c>
      <c r="C168" s="9" t="s">
        <v>23</v>
      </c>
      <c r="D168" s="9" t="s">
        <v>338</v>
      </c>
      <c r="E168" s="9" t="s">
        <v>10</v>
      </c>
      <c r="F168" s="9" t="s">
        <v>102</v>
      </c>
      <c r="G168" s="16" t="n">
        <v>31</v>
      </c>
      <c r="H168" s="16" t="n">
        <v>278</v>
      </c>
      <c r="I168" s="16" t="n">
        <v>0</v>
      </c>
      <c r="J168" s="16" t="n">
        <v>278</v>
      </c>
      <c r="K168" s="16" t="n">
        <v>0</v>
      </c>
      <c r="L168" s="16" t="n">
        <v>0</v>
      </c>
      <c r="M168" s="16" t="n">
        <v>0</v>
      </c>
      <c r="N168" s="16" t="n">
        <v>0</v>
      </c>
      <c r="O168" s="16" t="n">
        <v>0</v>
      </c>
      <c r="P168" s="16" t="n">
        <v>0</v>
      </c>
      <c r="Q168" s="16" t="n">
        <v>0</v>
      </c>
      <c r="R168" s="16" t="n">
        <v>0</v>
      </c>
      <c r="S168" s="16" t="n">
        <v>0</v>
      </c>
      <c r="T168" s="16" t="n">
        <v>0</v>
      </c>
      <c r="U168" s="16" t="n">
        <v>0</v>
      </c>
      <c r="V168" s="16" t="n">
        <v>0</v>
      </c>
      <c r="W168" s="16" t="n">
        <v>0</v>
      </c>
      <c r="X168" s="16" t="n">
        <v>0</v>
      </c>
      <c r="Y168" s="16" t="n">
        <v>0</v>
      </c>
      <c r="Z168" s="16" t="n">
        <v>0</v>
      </c>
      <c r="AA168" s="16" t="n">
        <v>0</v>
      </c>
      <c r="AB168" s="16" t="n">
        <v>0</v>
      </c>
      <c r="AC168" s="16" t="n">
        <v>0</v>
      </c>
      <c r="AD168" s="16" t="n">
        <v>0</v>
      </c>
      <c r="AE168" s="16" t="n">
        <v>0</v>
      </c>
      <c r="AF168" s="16" t="n">
        <v>0</v>
      </c>
      <c r="AG168" s="16" t="n">
        <v>0</v>
      </c>
      <c r="AH168" s="16" t="n">
        <v>0</v>
      </c>
      <c r="AI168" s="16" t="n">
        <v>0</v>
      </c>
      <c r="AJ168" s="16" t="n">
        <v>0</v>
      </c>
      <c r="AK168" s="16" t="n">
        <v>0</v>
      </c>
      <c r="AL168" s="16" t="n">
        <v>0</v>
      </c>
      <c r="AM168" s="16" t="n">
        <v>0</v>
      </c>
      <c r="AN168" s="16" t="n">
        <v>0</v>
      </c>
      <c r="AO168" s="16" t="n">
        <v>0</v>
      </c>
      <c r="AP168" s="16" t="n">
        <v>0</v>
      </c>
      <c r="AQ168" s="16" t="n">
        <v>0</v>
      </c>
      <c r="AR168" s="16" t="n">
        <v>0</v>
      </c>
      <c r="AS168" s="16" t="n">
        <v>0</v>
      </c>
      <c r="AT168" s="16" t="n">
        <v>0</v>
      </c>
      <c r="AU168" s="16" t="n">
        <v>0</v>
      </c>
      <c r="AV168" s="16" t="n">
        <v>0</v>
      </c>
      <c r="AW168" s="16" t="n">
        <v>0</v>
      </c>
      <c r="AX168" s="16" t="n">
        <v>0</v>
      </c>
      <c r="AY168" s="16" t="n">
        <v>0</v>
      </c>
      <c r="AZ168" s="16" t="n">
        <v>0</v>
      </c>
      <c r="BA168" s="16" t="n">
        <v>0</v>
      </c>
      <c r="BB168" s="16" t="n">
        <v>0</v>
      </c>
      <c r="BC168" s="16" t="n">
        <v>0</v>
      </c>
      <c r="BD168" s="16" t="n">
        <v>0</v>
      </c>
      <c r="BE168" s="16" t="n">
        <v>0</v>
      </c>
      <c r="BF168" s="16" t="n">
        <v>0</v>
      </c>
      <c r="BG168" s="16" t="n">
        <v>0</v>
      </c>
      <c r="BH168" s="16" t="n">
        <v>0</v>
      </c>
      <c r="BI168" s="16" t="n">
        <v>0</v>
      </c>
      <c r="BJ168" s="16" t="n">
        <v>0</v>
      </c>
      <c r="BK168" s="16" t="n">
        <v>0</v>
      </c>
      <c r="BL168" s="16" t="n">
        <v>0</v>
      </c>
      <c r="BM168" s="16" t="n">
        <v>0</v>
      </c>
      <c r="BN168" s="16" t="n">
        <v>0</v>
      </c>
      <c r="BO168" s="16" t="n">
        <v>0</v>
      </c>
      <c r="BP168" s="16" t="n">
        <v>0</v>
      </c>
      <c r="BQ168" s="16" t="n">
        <v>0</v>
      </c>
      <c r="BR168" s="16" t="n">
        <v>0</v>
      </c>
      <c r="BS168" s="16" t="n">
        <v>0</v>
      </c>
      <c r="BT168" s="16" t="n">
        <v>0</v>
      </c>
      <c r="BU168" s="16" t="n">
        <v>0</v>
      </c>
      <c r="BV168" s="16" t="n">
        <v>0</v>
      </c>
      <c r="BW168" s="16" t="n">
        <v>0</v>
      </c>
      <c r="BX168" s="16" t="n">
        <v>0</v>
      </c>
      <c r="BY168" s="16" t="n">
        <v>0</v>
      </c>
      <c r="BZ168" s="16" t="n">
        <v>0</v>
      </c>
      <c r="CA168" s="16" t="n">
        <v>0</v>
      </c>
      <c r="CB168" s="16" t="n">
        <v>0</v>
      </c>
      <c r="CC168" s="16" t="n">
        <v>0</v>
      </c>
      <c r="CD168" s="16" t="n">
        <v>0</v>
      </c>
      <c r="CE168" s="16" t="n">
        <v>0</v>
      </c>
      <c r="CF168" s="16" t="n">
        <v>0</v>
      </c>
      <c r="CG168" s="16" t="n">
        <v>0</v>
      </c>
      <c r="CH168" s="16" t="n">
        <v>0</v>
      </c>
      <c r="CI168" s="16" t="n">
        <v>0</v>
      </c>
      <c r="CJ168" s="16" t="n">
        <v>0</v>
      </c>
      <c r="CK168" s="16" t="n">
        <v>0</v>
      </c>
      <c r="CL168" s="16" t="n">
        <v>0</v>
      </c>
      <c r="CM168" s="16" t="n">
        <v>0</v>
      </c>
      <c r="CN168" s="16" t="n">
        <v>0</v>
      </c>
      <c r="CO168" s="16" t="n">
        <v>0</v>
      </c>
      <c r="CP168" s="16" t="n">
        <v>0</v>
      </c>
      <c r="CQ168" s="16" t="n">
        <v>0</v>
      </c>
      <c r="CR168" s="16" t="n">
        <v>0</v>
      </c>
      <c r="CS168" s="16" t="n">
        <v>0</v>
      </c>
      <c r="CT168" s="16" t="n">
        <v>0</v>
      </c>
      <c r="CU168" s="16" t="n">
        <v>0</v>
      </c>
      <c r="CV168" s="16" t="n">
        <v>0</v>
      </c>
      <c r="CW168" s="16" t="n">
        <v>0</v>
      </c>
      <c r="CX168" s="16" t="n">
        <v>0</v>
      </c>
      <c r="CY168" s="16" t="n">
        <v>0</v>
      </c>
      <c r="CZ168" s="16" t="n">
        <v>0</v>
      </c>
      <c r="DA168" s="16" t="n">
        <v>0</v>
      </c>
      <c r="DB168" s="16" t="n">
        <v>0</v>
      </c>
      <c r="DC168" s="16" t="n">
        <v>0</v>
      </c>
      <c r="DD168" s="16" t="n">
        <v>0</v>
      </c>
      <c r="DE168" s="16" t="n">
        <v>0</v>
      </c>
      <c r="DF168" s="16" t="n">
        <v>0</v>
      </c>
      <c r="DG168" s="16" t="n">
        <v>0</v>
      </c>
      <c r="DH168" s="16" t="n">
        <v>0</v>
      </c>
      <c r="DI168" s="16" t="n">
        <v>0</v>
      </c>
      <c r="DJ168" s="16" t="n">
        <v>0</v>
      </c>
      <c r="DK168" s="16" t="n">
        <v>0</v>
      </c>
      <c r="DL168" s="16" t="n">
        <v>0</v>
      </c>
      <c r="DM168" s="16" t="n">
        <v>0</v>
      </c>
      <c r="DN168" s="16" t="n">
        <v>0</v>
      </c>
      <c r="DO168" s="16" t="n">
        <v>0</v>
      </c>
      <c r="DP168" s="16" t="n">
        <v>0</v>
      </c>
      <c r="DQ168" s="16" t="n">
        <v>0</v>
      </c>
      <c r="DR168" s="16" t="n">
        <v>0</v>
      </c>
      <c r="DS168" s="16" t="n">
        <v>0</v>
      </c>
      <c r="DT168" s="16" t="n">
        <v>0</v>
      </c>
      <c r="DU168" s="16" t="n">
        <v>0</v>
      </c>
      <c r="DV168" s="16" t="n">
        <v>0</v>
      </c>
      <c r="DW168" s="16" t="n">
        <v>0</v>
      </c>
      <c r="DX168" s="16" t="n">
        <v>0</v>
      </c>
      <c r="DY168" s="16" t="n">
        <v>0</v>
      </c>
      <c r="DZ168" s="16" t="n">
        <v>0</v>
      </c>
      <c r="EA168" s="16" t="n">
        <v>0</v>
      </c>
      <c r="EB168" s="16" t="n">
        <v>0</v>
      </c>
      <c r="EC168" s="16" t="n">
        <v>0</v>
      </c>
      <c r="ED168" s="16" t="n">
        <v>0</v>
      </c>
      <c r="EE168" s="16" t="n">
        <v>0</v>
      </c>
      <c r="EF168" s="16" t="n">
        <v>0</v>
      </c>
    </row>
    <row r="169" customFormat="false" ht="15" hidden="false" customHeight="true" outlineLevel="0" collapsed="false">
      <c r="A169" s="9" t="s">
        <v>12</v>
      </c>
      <c r="B169" s="9" t="s">
        <v>23</v>
      </c>
      <c r="C169" s="9" t="s">
        <v>23</v>
      </c>
      <c r="D169" s="9" t="s">
        <v>338</v>
      </c>
      <c r="E169" s="9" t="s">
        <v>10</v>
      </c>
      <c r="F169" s="9" t="s">
        <v>102</v>
      </c>
      <c r="G169" s="16" t="n">
        <v>0</v>
      </c>
      <c r="H169" s="16" t="n">
        <v>0</v>
      </c>
      <c r="I169" s="16" t="n">
        <v>0</v>
      </c>
      <c r="J169" s="16" t="n">
        <v>0</v>
      </c>
      <c r="K169" s="16" t="n">
        <v>0</v>
      </c>
      <c r="L169" s="16" t="n">
        <v>0</v>
      </c>
      <c r="M169" s="16" t="n">
        <v>0</v>
      </c>
      <c r="N169" s="16" t="n">
        <v>0</v>
      </c>
      <c r="O169" s="16" t="n">
        <v>0</v>
      </c>
      <c r="P169" s="16" t="n">
        <v>0</v>
      </c>
      <c r="Q169" s="16" t="n">
        <v>0</v>
      </c>
      <c r="R169" s="16" t="n">
        <v>0</v>
      </c>
      <c r="S169" s="16" t="n">
        <v>0</v>
      </c>
      <c r="T169" s="16" t="n">
        <v>0</v>
      </c>
      <c r="U169" s="16" t="n">
        <v>0</v>
      </c>
      <c r="V169" s="16" t="n">
        <v>0</v>
      </c>
      <c r="W169" s="16" t="n">
        <v>0</v>
      </c>
      <c r="X169" s="16" t="n">
        <v>0</v>
      </c>
      <c r="Y169" s="16" t="n">
        <v>0</v>
      </c>
      <c r="Z169" s="16" t="n">
        <v>0</v>
      </c>
      <c r="AA169" s="16" t="n">
        <v>0</v>
      </c>
      <c r="AB169" s="16" t="n">
        <v>0</v>
      </c>
      <c r="AC169" s="16" t="n">
        <v>0</v>
      </c>
      <c r="AD169" s="16" t="n">
        <v>0</v>
      </c>
      <c r="AE169" s="16" t="n">
        <v>0</v>
      </c>
      <c r="AF169" s="16" t="n">
        <v>0</v>
      </c>
      <c r="AG169" s="16" t="n">
        <v>0</v>
      </c>
      <c r="AH169" s="16" t="n">
        <v>0</v>
      </c>
      <c r="AI169" s="16" t="n">
        <v>0</v>
      </c>
      <c r="AJ169" s="16" t="n">
        <v>0</v>
      </c>
      <c r="AK169" s="16" t="n">
        <v>0</v>
      </c>
      <c r="AL169" s="16" t="n">
        <v>0</v>
      </c>
      <c r="AM169" s="16" t="n">
        <v>0</v>
      </c>
      <c r="AN169" s="16" t="n">
        <v>0</v>
      </c>
      <c r="AO169" s="16" t="n">
        <v>0</v>
      </c>
      <c r="AP169" s="16" t="n">
        <v>0</v>
      </c>
      <c r="AQ169" s="16" t="n">
        <v>0</v>
      </c>
      <c r="AR169" s="16" t="n">
        <v>0</v>
      </c>
      <c r="AS169" s="16" t="n">
        <v>0</v>
      </c>
      <c r="AT169" s="16" t="n">
        <v>0</v>
      </c>
      <c r="AU169" s="16" t="n">
        <v>0</v>
      </c>
      <c r="AV169" s="16" t="n">
        <v>0</v>
      </c>
      <c r="AW169" s="16" t="n">
        <v>0</v>
      </c>
      <c r="AX169" s="16" t="n">
        <v>0</v>
      </c>
      <c r="AY169" s="16" t="n">
        <v>0</v>
      </c>
      <c r="AZ169" s="16" t="n">
        <v>0</v>
      </c>
      <c r="BA169" s="16" t="n">
        <v>0</v>
      </c>
      <c r="BB169" s="16" t="n">
        <v>0</v>
      </c>
      <c r="BC169" s="16" t="n">
        <v>0</v>
      </c>
      <c r="BD169" s="16" t="n">
        <v>0</v>
      </c>
      <c r="BE169" s="16" t="n">
        <v>0</v>
      </c>
      <c r="BF169" s="16" t="n">
        <v>0</v>
      </c>
      <c r="BG169" s="16" t="n">
        <v>0</v>
      </c>
      <c r="BH169" s="16" t="n">
        <v>0</v>
      </c>
      <c r="BI169" s="16" t="n">
        <v>0</v>
      </c>
      <c r="BJ169" s="16" t="n">
        <v>0</v>
      </c>
      <c r="BK169" s="16" t="n">
        <v>0</v>
      </c>
      <c r="BL169" s="16" t="n">
        <v>0</v>
      </c>
      <c r="BM169" s="16" t="n">
        <v>0</v>
      </c>
      <c r="BN169" s="16" t="n">
        <v>0</v>
      </c>
      <c r="BO169" s="16" t="n">
        <v>0</v>
      </c>
      <c r="BP169" s="16" t="n">
        <v>0</v>
      </c>
      <c r="BQ169" s="16" t="n">
        <v>0</v>
      </c>
      <c r="BR169" s="16" t="n">
        <v>0</v>
      </c>
      <c r="BS169" s="16" t="n">
        <v>0</v>
      </c>
      <c r="BT169" s="16" t="n">
        <v>0</v>
      </c>
      <c r="BU169" s="16" t="n">
        <v>0</v>
      </c>
      <c r="BV169" s="16" t="n">
        <v>0</v>
      </c>
      <c r="BW169" s="16" t="n">
        <v>0</v>
      </c>
      <c r="BX169" s="16" t="n">
        <v>0</v>
      </c>
      <c r="BY169" s="16" t="n">
        <v>0</v>
      </c>
      <c r="BZ169" s="16" t="n">
        <v>0</v>
      </c>
      <c r="CA169" s="16" t="n">
        <v>0</v>
      </c>
      <c r="CB169" s="16" t="n">
        <v>0</v>
      </c>
      <c r="CC169" s="16" t="n">
        <v>0</v>
      </c>
      <c r="CD169" s="16" t="n">
        <v>0</v>
      </c>
      <c r="CE169" s="16" t="n">
        <v>0</v>
      </c>
      <c r="CF169" s="16" t="n">
        <v>0</v>
      </c>
      <c r="CG169" s="16" t="n">
        <v>0</v>
      </c>
      <c r="CH169" s="16" t="n">
        <v>0</v>
      </c>
      <c r="CI169" s="16" t="n">
        <v>0</v>
      </c>
      <c r="CJ169" s="16" t="n">
        <v>0</v>
      </c>
      <c r="CK169" s="16" t="n">
        <v>0</v>
      </c>
      <c r="CL169" s="16" t="n">
        <v>0</v>
      </c>
      <c r="CM169" s="16" t="n">
        <v>0</v>
      </c>
      <c r="CN169" s="16" t="n">
        <v>0</v>
      </c>
      <c r="CO169" s="16" t="n">
        <v>0</v>
      </c>
      <c r="CP169" s="16" t="n">
        <v>0</v>
      </c>
      <c r="CQ169" s="16" t="n">
        <v>0</v>
      </c>
      <c r="CR169" s="16" t="n">
        <v>0</v>
      </c>
      <c r="CS169" s="16" t="n">
        <v>0</v>
      </c>
      <c r="CT169" s="16" t="n">
        <v>0</v>
      </c>
      <c r="CU169" s="16" t="n">
        <v>0</v>
      </c>
      <c r="CV169" s="16" t="n">
        <v>0</v>
      </c>
      <c r="CW169" s="16" t="n">
        <v>0</v>
      </c>
      <c r="CX169" s="16" t="n">
        <v>0</v>
      </c>
      <c r="CY169" s="16" t="n">
        <v>0</v>
      </c>
      <c r="CZ169" s="16" t="n">
        <v>0</v>
      </c>
      <c r="DA169" s="16" t="n">
        <v>0</v>
      </c>
      <c r="DB169" s="16" t="n">
        <v>0</v>
      </c>
      <c r="DC169" s="16" t="n">
        <v>0</v>
      </c>
      <c r="DD169" s="16" t="n">
        <v>0</v>
      </c>
      <c r="DE169" s="16" t="n">
        <v>0</v>
      </c>
      <c r="DF169" s="16" t="n">
        <v>0</v>
      </c>
      <c r="DG169" s="16" t="n">
        <v>0</v>
      </c>
      <c r="DH169" s="16" t="n">
        <v>0</v>
      </c>
      <c r="DI169" s="16" t="n">
        <v>0</v>
      </c>
      <c r="DJ169" s="16" t="n">
        <v>0</v>
      </c>
      <c r="DK169" s="16" t="n">
        <v>0</v>
      </c>
      <c r="DL169" s="16" t="n">
        <v>0</v>
      </c>
      <c r="DM169" s="16" t="n">
        <v>0</v>
      </c>
      <c r="DN169" s="16" t="n">
        <v>0</v>
      </c>
      <c r="DO169" s="16" t="n">
        <v>0</v>
      </c>
      <c r="DP169" s="16" t="n">
        <v>0</v>
      </c>
      <c r="DQ169" s="16" t="n">
        <v>0</v>
      </c>
      <c r="DR169" s="16" t="n">
        <v>0</v>
      </c>
      <c r="DS169" s="16" t="n">
        <v>0</v>
      </c>
      <c r="DT169" s="16" t="n">
        <v>0</v>
      </c>
      <c r="DU169" s="16" t="n">
        <v>0</v>
      </c>
      <c r="DV169" s="16" t="n">
        <v>0</v>
      </c>
      <c r="DW169" s="16" t="n">
        <v>0</v>
      </c>
      <c r="DX169" s="16" t="n">
        <v>0</v>
      </c>
      <c r="DY169" s="16" t="n">
        <v>0</v>
      </c>
      <c r="DZ169" s="16" t="n">
        <v>0</v>
      </c>
      <c r="EA169" s="16" t="n">
        <v>0</v>
      </c>
      <c r="EB169" s="16" t="n">
        <v>0</v>
      </c>
      <c r="EC169" s="16" t="n">
        <v>0</v>
      </c>
      <c r="ED169" s="16" t="n">
        <v>0</v>
      </c>
      <c r="EE169" s="16" t="n">
        <v>0</v>
      </c>
      <c r="EF169" s="16" t="n">
        <v>0</v>
      </c>
    </row>
    <row r="170" customFormat="false" ht="15" hidden="false" customHeight="true" outlineLevel="0" collapsed="false">
      <c r="A170" s="9" t="s">
        <v>12</v>
      </c>
      <c r="B170" s="9" t="s">
        <v>23</v>
      </c>
      <c r="C170" s="9" t="s">
        <v>23</v>
      </c>
      <c r="D170" s="9" t="s">
        <v>337</v>
      </c>
      <c r="E170" s="9" t="s">
        <v>10</v>
      </c>
      <c r="F170" s="9" t="s">
        <v>102</v>
      </c>
      <c r="G170" s="16" t="n">
        <v>0</v>
      </c>
      <c r="H170" s="16" t="n">
        <v>0</v>
      </c>
      <c r="I170" s="16" t="n">
        <v>270</v>
      </c>
      <c r="J170" s="16" t="n">
        <v>-270</v>
      </c>
      <c r="K170" s="16" t="n">
        <v>0</v>
      </c>
      <c r="L170" s="16" t="n">
        <v>0</v>
      </c>
      <c r="M170" s="16" t="n">
        <v>0</v>
      </c>
      <c r="N170" s="16" t="n">
        <v>0</v>
      </c>
      <c r="O170" s="16" t="n">
        <v>0</v>
      </c>
      <c r="P170" s="16" t="n">
        <v>0</v>
      </c>
      <c r="Q170" s="16" t="n">
        <v>0</v>
      </c>
      <c r="R170" s="16" t="n">
        <v>0</v>
      </c>
      <c r="S170" s="16" t="n">
        <v>0</v>
      </c>
      <c r="T170" s="16" t="n">
        <v>0</v>
      </c>
      <c r="U170" s="16" t="n">
        <v>0</v>
      </c>
      <c r="V170" s="16" t="n">
        <v>0</v>
      </c>
      <c r="W170" s="16" t="n">
        <v>0</v>
      </c>
      <c r="X170" s="16" t="n">
        <v>0</v>
      </c>
      <c r="Y170" s="16" t="n">
        <v>0</v>
      </c>
      <c r="Z170" s="16" t="n">
        <v>0</v>
      </c>
      <c r="AA170" s="16" t="n">
        <v>0</v>
      </c>
      <c r="AB170" s="16" t="n">
        <v>0</v>
      </c>
      <c r="AC170" s="16" t="n">
        <v>0</v>
      </c>
      <c r="AD170" s="16" t="n">
        <v>0</v>
      </c>
      <c r="AE170" s="16" t="n">
        <v>0</v>
      </c>
      <c r="AF170" s="16" t="n">
        <v>0</v>
      </c>
      <c r="AG170" s="16" t="n">
        <v>0</v>
      </c>
      <c r="AH170" s="16" t="n">
        <v>0</v>
      </c>
      <c r="AI170" s="16" t="n">
        <v>0</v>
      </c>
      <c r="AJ170" s="16" t="n">
        <v>0</v>
      </c>
      <c r="AK170" s="16" t="n">
        <v>0</v>
      </c>
      <c r="AL170" s="16" t="n">
        <v>0</v>
      </c>
      <c r="AM170" s="16" t="n">
        <v>0</v>
      </c>
      <c r="AN170" s="16" t="n">
        <v>0</v>
      </c>
      <c r="AO170" s="16" t="n">
        <v>0</v>
      </c>
      <c r="AP170" s="16" t="n">
        <v>0</v>
      </c>
      <c r="AQ170" s="16" t="n">
        <v>0</v>
      </c>
      <c r="AR170" s="16" t="n">
        <v>0</v>
      </c>
      <c r="AS170" s="16" t="n">
        <v>0</v>
      </c>
      <c r="AT170" s="16" t="n">
        <v>0</v>
      </c>
      <c r="AU170" s="16" t="n">
        <v>0</v>
      </c>
      <c r="AV170" s="16" t="n">
        <v>0</v>
      </c>
      <c r="AW170" s="16" t="n">
        <v>0</v>
      </c>
      <c r="AX170" s="16" t="n">
        <v>0</v>
      </c>
      <c r="AY170" s="16" t="n">
        <v>0</v>
      </c>
      <c r="AZ170" s="16" t="n">
        <v>0</v>
      </c>
      <c r="BA170" s="16" t="n">
        <v>0</v>
      </c>
      <c r="BB170" s="16" t="n">
        <v>0</v>
      </c>
      <c r="BC170" s="16" t="n">
        <v>0</v>
      </c>
      <c r="BD170" s="16" t="n">
        <v>0</v>
      </c>
      <c r="BE170" s="16" t="n">
        <v>0</v>
      </c>
      <c r="BF170" s="16" t="n">
        <v>0</v>
      </c>
      <c r="BG170" s="16" t="n">
        <v>0</v>
      </c>
      <c r="BH170" s="16" t="n">
        <v>0</v>
      </c>
      <c r="BI170" s="16" t="n">
        <v>0</v>
      </c>
      <c r="BJ170" s="16" t="n">
        <v>0</v>
      </c>
      <c r="BK170" s="16" t="n">
        <v>0</v>
      </c>
      <c r="BL170" s="16" t="n">
        <v>0</v>
      </c>
      <c r="BM170" s="16" t="n">
        <v>0</v>
      </c>
      <c r="BN170" s="16" t="n">
        <v>0</v>
      </c>
      <c r="BO170" s="16" t="n">
        <v>0</v>
      </c>
      <c r="BP170" s="16" t="n">
        <v>0</v>
      </c>
      <c r="BQ170" s="16" t="n">
        <v>0</v>
      </c>
      <c r="BR170" s="16" t="n">
        <v>0</v>
      </c>
      <c r="BS170" s="16" t="n">
        <v>0</v>
      </c>
      <c r="BT170" s="16" t="n">
        <v>0</v>
      </c>
      <c r="BU170" s="16" t="n">
        <v>0</v>
      </c>
      <c r="BV170" s="16" t="n">
        <v>0</v>
      </c>
      <c r="BW170" s="16" t="n">
        <v>0</v>
      </c>
      <c r="BX170" s="16" t="n">
        <v>0</v>
      </c>
      <c r="BY170" s="16" t="n">
        <v>0</v>
      </c>
      <c r="BZ170" s="16" t="n">
        <v>0</v>
      </c>
      <c r="CA170" s="16" t="n">
        <v>0</v>
      </c>
      <c r="CB170" s="16" t="n">
        <v>0</v>
      </c>
      <c r="CC170" s="16" t="n">
        <v>0</v>
      </c>
      <c r="CD170" s="16" t="n">
        <v>0</v>
      </c>
      <c r="CE170" s="16" t="n">
        <v>0</v>
      </c>
      <c r="CF170" s="16" t="n">
        <v>0</v>
      </c>
      <c r="CG170" s="16" t="n">
        <v>0</v>
      </c>
      <c r="CH170" s="16" t="n">
        <v>0</v>
      </c>
      <c r="CI170" s="16" t="n">
        <v>0</v>
      </c>
      <c r="CJ170" s="16" t="n">
        <v>0</v>
      </c>
      <c r="CK170" s="16" t="n">
        <v>0</v>
      </c>
      <c r="CL170" s="16" t="n">
        <v>0</v>
      </c>
      <c r="CM170" s="16" t="n">
        <v>0</v>
      </c>
      <c r="CN170" s="16" t="n">
        <v>0</v>
      </c>
      <c r="CO170" s="16" t="n">
        <v>0</v>
      </c>
      <c r="CP170" s="16" t="n">
        <v>0</v>
      </c>
      <c r="CQ170" s="16" t="n">
        <v>0</v>
      </c>
      <c r="CR170" s="16" t="n">
        <v>0</v>
      </c>
      <c r="CS170" s="16" t="n">
        <v>0</v>
      </c>
      <c r="CT170" s="16" t="n">
        <v>13</v>
      </c>
      <c r="CU170" s="16" t="n">
        <v>18</v>
      </c>
      <c r="CV170" s="16" t="n">
        <v>18</v>
      </c>
      <c r="CW170" s="16" t="n">
        <v>17</v>
      </c>
      <c r="CX170" s="16" t="n">
        <v>7</v>
      </c>
      <c r="CY170" s="16" t="n">
        <v>7</v>
      </c>
      <c r="CZ170" s="16" t="n">
        <v>10</v>
      </c>
      <c r="DA170" s="16" t="n">
        <v>10</v>
      </c>
      <c r="DB170" s="16" t="n">
        <v>7</v>
      </c>
      <c r="DC170" s="16" t="n">
        <v>8</v>
      </c>
      <c r="DD170" s="16" t="n">
        <v>10</v>
      </c>
      <c r="DE170" s="16" t="n">
        <v>8</v>
      </c>
      <c r="DF170" s="16" t="n">
        <v>4</v>
      </c>
      <c r="DG170" s="16" t="n">
        <v>10</v>
      </c>
      <c r="DH170" s="16" t="n">
        <v>7</v>
      </c>
      <c r="DI170" s="16" t="n">
        <v>0</v>
      </c>
      <c r="DJ170" s="16" t="n">
        <v>0</v>
      </c>
      <c r="DK170" s="16" t="n">
        <v>7</v>
      </c>
      <c r="DL170" s="16" t="n">
        <v>10</v>
      </c>
      <c r="DM170" s="16" t="n">
        <v>18</v>
      </c>
      <c r="DN170" s="16" t="n">
        <v>20</v>
      </c>
      <c r="DO170" s="16" t="n">
        <v>20</v>
      </c>
      <c r="DP170" s="16" t="n">
        <v>20</v>
      </c>
      <c r="DQ170" s="16" t="n">
        <v>15</v>
      </c>
      <c r="DR170" s="16" t="n">
        <v>6</v>
      </c>
      <c r="DS170" s="16" t="n">
        <v>0</v>
      </c>
      <c r="DT170" s="16" t="n">
        <v>0</v>
      </c>
      <c r="DU170" s="16" t="n">
        <v>0</v>
      </c>
      <c r="DV170" s="16" t="n">
        <v>0</v>
      </c>
      <c r="DW170" s="16" t="n">
        <v>0</v>
      </c>
      <c r="DX170" s="16" t="n">
        <v>0</v>
      </c>
      <c r="DY170" s="16" t="n">
        <v>0</v>
      </c>
      <c r="DZ170" s="16" t="n">
        <v>0</v>
      </c>
      <c r="EA170" s="16" t="n">
        <v>0</v>
      </c>
      <c r="EB170" s="16" t="n">
        <v>0</v>
      </c>
      <c r="EC170" s="16" t="n">
        <v>0</v>
      </c>
      <c r="ED170" s="16" t="n">
        <v>0</v>
      </c>
      <c r="EE170" s="16" t="n">
        <v>0</v>
      </c>
      <c r="EF170" s="16" t="n">
        <v>0</v>
      </c>
    </row>
    <row r="171" customFormat="false" ht="15" hidden="false" customHeight="true" outlineLevel="0" collapsed="false">
      <c r="A171" s="9" t="s">
        <v>12</v>
      </c>
      <c r="B171" s="9" t="s">
        <v>23</v>
      </c>
      <c r="C171" s="9" t="s">
        <v>23</v>
      </c>
      <c r="D171" s="9" t="s">
        <v>338</v>
      </c>
      <c r="E171" s="9" t="s">
        <v>10</v>
      </c>
      <c r="F171" s="9" t="s">
        <v>82</v>
      </c>
      <c r="G171" s="16" t="n">
        <v>0</v>
      </c>
      <c r="H171" s="16" t="n">
        <v>0</v>
      </c>
      <c r="I171" s="16" t="n">
        <v>7</v>
      </c>
      <c r="J171" s="16" t="n">
        <v>-7</v>
      </c>
      <c r="K171" s="16" t="n">
        <v>0</v>
      </c>
      <c r="L171" s="16" t="n">
        <v>0</v>
      </c>
      <c r="M171" s="16" t="n">
        <v>0</v>
      </c>
      <c r="N171" s="16" t="n">
        <v>0</v>
      </c>
      <c r="O171" s="16" t="n">
        <v>0</v>
      </c>
      <c r="P171" s="16" t="n">
        <v>0</v>
      </c>
      <c r="Q171" s="16" t="n">
        <v>0</v>
      </c>
      <c r="R171" s="16" t="n">
        <v>0</v>
      </c>
      <c r="S171" s="16" t="n">
        <v>0</v>
      </c>
      <c r="T171" s="16" t="n">
        <v>0</v>
      </c>
      <c r="U171" s="16" t="n">
        <v>0</v>
      </c>
      <c r="V171" s="16" t="n">
        <v>0</v>
      </c>
      <c r="W171" s="16" t="n">
        <v>0</v>
      </c>
      <c r="X171" s="16" t="n">
        <v>0</v>
      </c>
      <c r="Y171" s="16" t="n">
        <v>0</v>
      </c>
      <c r="Z171" s="16" t="n">
        <v>0</v>
      </c>
      <c r="AA171" s="16" t="n">
        <v>7</v>
      </c>
      <c r="AB171" s="16" t="n">
        <v>0</v>
      </c>
      <c r="AC171" s="16" t="n">
        <v>0</v>
      </c>
      <c r="AD171" s="16" t="n">
        <v>0</v>
      </c>
      <c r="AE171" s="16" t="n">
        <v>0</v>
      </c>
      <c r="AF171" s="16" t="n">
        <v>0</v>
      </c>
      <c r="AG171" s="16" t="n">
        <v>0</v>
      </c>
      <c r="AH171" s="16" t="n">
        <v>0</v>
      </c>
      <c r="AI171" s="16" t="n">
        <v>0</v>
      </c>
      <c r="AJ171" s="16" t="n">
        <v>0</v>
      </c>
      <c r="AK171" s="16" t="n">
        <v>0</v>
      </c>
      <c r="AL171" s="16" t="n">
        <v>0</v>
      </c>
      <c r="AM171" s="16" t="n">
        <v>0</v>
      </c>
      <c r="AN171" s="16" t="n">
        <v>0</v>
      </c>
      <c r="AO171" s="16" t="n">
        <v>0</v>
      </c>
      <c r="AP171" s="16" t="n">
        <v>0</v>
      </c>
      <c r="AQ171" s="16" t="n">
        <v>0</v>
      </c>
      <c r="AR171" s="16" t="n">
        <v>0</v>
      </c>
      <c r="AS171" s="16" t="n">
        <v>0</v>
      </c>
      <c r="AT171" s="16" t="n">
        <v>0</v>
      </c>
      <c r="AU171" s="16" t="n">
        <v>0</v>
      </c>
      <c r="AV171" s="16" t="n">
        <v>0</v>
      </c>
      <c r="AW171" s="16" t="n">
        <v>0</v>
      </c>
      <c r="AX171" s="16" t="n">
        <v>0</v>
      </c>
      <c r="AY171" s="16" t="n">
        <v>0</v>
      </c>
      <c r="AZ171" s="16" t="n">
        <v>0</v>
      </c>
      <c r="BA171" s="16" t="n">
        <v>0</v>
      </c>
      <c r="BB171" s="16" t="n">
        <v>0</v>
      </c>
      <c r="BC171" s="16" t="n">
        <v>0</v>
      </c>
      <c r="BD171" s="16" t="n">
        <v>0</v>
      </c>
      <c r="BE171" s="16" t="n">
        <v>0</v>
      </c>
      <c r="BF171" s="16" t="n">
        <v>0</v>
      </c>
      <c r="BG171" s="16" t="n">
        <v>0</v>
      </c>
      <c r="BH171" s="16" t="n">
        <v>0</v>
      </c>
      <c r="BI171" s="16" t="n">
        <v>0</v>
      </c>
      <c r="BJ171" s="16" t="n">
        <v>0</v>
      </c>
      <c r="BK171" s="16" t="n">
        <v>0</v>
      </c>
      <c r="BL171" s="16" t="n">
        <v>0</v>
      </c>
      <c r="BM171" s="16" t="n">
        <v>0</v>
      </c>
      <c r="BN171" s="16" t="n">
        <v>0</v>
      </c>
      <c r="BO171" s="16" t="n">
        <v>0</v>
      </c>
      <c r="BP171" s="16" t="n">
        <v>0</v>
      </c>
      <c r="BQ171" s="16" t="n">
        <v>0</v>
      </c>
      <c r="BR171" s="16" t="n">
        <v>0</v>
      </c>
      <c r="BS171" s="16" t="n">
        <v>0</v>
      </c>
      <c r="BT171" s="16" t="n">
        <v>0</v>
      </c>
      <c r="BU171" s="16" t="n">
        <v>0</v>
      </c>
      <c r="BV171" s="16" t="n">
        <v>0</v>
      </c>
      <c r="BW171" s="16" t="n">
        <v>0</v>
      </c>
      <c r="BX171" s="16" t="n">
        <v>0</v>
      </c>
      <c r="BY171" s="16" t="n">
        <v>0</v>
      </c>
      <c r="BZ171" s="16" t="n">
        <v>0</v>
      </c>
      <c r="CA171" s="16" t="n">
        <v>0</v>
      </c>
      <c r="CB171" s="16" t="n">
        <v>0</v>
      </c>
      <c r="CC171" s="16" t="n">
        <v>0</v>
      </c>
      <c r="CD171" s="16" t="n">
        <v>0</v>
      </c>
      <c r="CE171" s="16" t="n">
        <v>0</v>
      </c>
      <c r="CF171" s="16" t="n">
        <v>0</v>
      </c>
      <c r="CG171" s="16" t="n">
        <v>0</v>
      </c>
      <c r="CH171" s="16" t="n">
        <v>0</v>
      </c>
      <c r="CI171" s="16" t="n">
        <v>0</v>
      </c>
      <c r="CJ171" s="16" t="n">
        <v>0</v>
      </c>
      <c r="CK171" s="16" t="n">
        <v>0</v>
      </c>
      <c r="CL171" s="16" t="n">
        <v>0</v>
      </c>
      <c r="CM171" s="16" t="n">
        <v>0</v>
      </c>
      <c r="CN171" s="16" t="n">
        <v>0</v>
      </c>
      <c r="CO171" s="16" t="n">
        <v>0</v>
      </c>
      <c r="CP171" s="16" t="n">
        <v>0</v>
      </c>
      <c r="CQ171" s="16" t="n">
        <v>0</v>
      </c>
      <c r="CR171" s="16" t="n">
        <v>0</v>
      </c>
      <c r="CS171" s="16" t="n">
        <v>0</v>
      </c>
      <c r="CT171" s="16" t="n">
        <v>0</v>
      </c>
      <c r="CU171" s="16" t="n">
        <v>0</v>
      </c>
      <c r="CV171" s="16" t="n">
        <v>0</v>
      </c>
      <c r="CW171" s="16" t="n">
        <v>0</v>
      </c>
      <c r="CX171" s="16" t="n">
        <v>0</v>
      </c>
      <c r="CY171" s="16" t="n">
        <v>0</v>
      </c>
      <c r="CZ171" s="16" t="n">
        <v>0</v>
      </c>
      <c r="DA171" s="16" t="n">
        <v>0</v>
      </c>
      <c r="DB171" s="16" t="n">
        <v>0</v>
      </c>
      <c r="DC171" s="16" t="n">
        <v>0</v>
      </c>
      <c r="DD171" s="16" t="n">
        <v>0</v>
      </c>
      <c r="DE171" s="16" t="n">
        <v>0</v>
      </c>
      <c r="DF171" s="16" t="n">
        <v>0</v>
      </c>
      <c r="DG171" s="16" t="n">
        <v>0</v>
      </c>
      <c r="DH171" s="16" t="n">
        <v>0</v>
      </c>
      <c r="DI171" s="16" t="n">
        <v>0</v>
      </c>
      <c r="DJ171" s="16" t="n">
        <v>0</v>
      </c>
      <c r="DK171" s="16" t="n">
        <v>0</v>
      </c>
      <c r="DL171" s="16" t="n">
        <v>0</v>
      </c>
      <c r="DM171" s="16" t="n">
        <v>0</v>
      </c>
      <c r="DN171" s="16" t="n">
        <v>0</v>
      </c>
      <c r="DO171" s="16" t="n">
        <v>0</v>
      </c>
      <c r="DP171" s="16" t="n">
        <v>0</v>
      </c>
      <c r="DQ171" s="16" t="n">
        <v>0</v>
      </c>
      <c r="DR171" s="16" t="n">
        <v>0</v>
      </c>
      <c r="DS171" s="16" t="n">
        <v>0</v>
      </c>
      <c r="DT171" s="16" t="n">
        <v>0</v>
      </c>
      <c r="DU171" s="16" t="n">
        <v>0</v>
      </c>
      <c r="DV171" s="16" t="n">
        <v>0</v>
      </c>
      <c r="DW171" s="16" t="n">
        <v>0</v>
      </c>
      <c r="DX171" s="16" t="n">
        <v>0</v>
      </c>
      <c r="DY171" s="16" t="n">
        <v>0</v>
      </c>
      <c r="DZ171" s="16" t="n">
        <v>0</v>
      </c>
      <c r="EA171" s="16" t="n">
        <v>0</v>
      </c>
      <c r="EB171" s="16" t="n">
        <v>0</v>
      </c>
      <c r="EC171" s="16" t="n">
        <v>0</v>
      </c>
      <c r="ED171" s="16" t="n">
        <v>0</v>
      </c>
      <c r="EE171" s="16" t="n">
        <v>0</v>
      </c>
      <c r="EF171" s="16" t="n">
        <v>0</v>
      </c>
    </row>
    <row r="172" customFormat="false" ht="15" hidden="false" customHeight="true" outlineLevel="0" collapsed="false">
      <c r="A172" s="9" t="s">
        <v>12</v>
      </c>
      <c r="B172" s="9" t="s">
        <v>23</v>
      </c>
      <c r="C172" s="9" t="s">
        <v>23</v>
      </c>
      <c r="D172" s="9" t="s">
        <v>338</v>
      </c>
      <c r="E172" s="9" t="s">
        <v>10</v>
      </c>
      <c r="F172" s="9" t="s">
        <v>82</v>
      </c>
      <c r="G172" s="16" t="n">
        <v>15</v>
      </c>
      <c r="H172" s="16" t="n">
        <v>15</v>
      </c>
      <c r="I172" s="16" t="n">
        <v>15</v>
      </c>
      <c r="J172" s="16" t="n">
        <v>0</v>
      </c>
      <c r="K172" s="16" t="n">
        <v>0</v>
      </c>
      <c r="L172" s="16" t="n">
        <v>0</v>
      </c>
      <c r="M172" s="16" t="n">
        <v>0</v>
      </c>
      <c r="N172" s="16" t="n">
        <v>0</v>
      </c>
      <c r="O172" s="16" t="n">
        <v>0</v>
      </c>
      <c r="P172" s="16" t="n">
        <v>0</v>
      </c>
      <c r="Q172" s="16" t="n">
        <v>0</v>
      </c>
      <c r="R172" s="16" t="n">
        <v>0</v>
      </c>
      <c r="S172" s="16" t="n">
        <v>0</v>
      </c>
      <c r="T172" s="16" t="n">
        <v>0</v>
      </c>
      <c r="U172" s="16" t="n">
        <v>0</v>
      </c>
      <c r="V172" s="16" t="n">
        <v>0</v>
      </c>
      <c r="W172" s="16" t="n">
        <v>0</v>
      </c>
      <c r="X172" s="16" t="n">
        <v>0</v>
      </c>
      <c r="Y172" s="16" t="n">
        <v>0</v>
      </c>
      <c r="Z172" s="16" t="n">
        <v>0</v>
      </c>
      <c r="AA172" s="16" t="n">
        <v>0</v>
      </c>
      <c r="AB172" s="16" t="n">
        <v>15</v>
      </c>
      <c r="AC172" s="16" t="n">
        <v>0</v>
      </c>
      <c r="AD172" s="16" t="n">
        <v>0</v>
      </c>
      <c r="AE172" s="16" t="n">
        <v>0</v>
      </c>
      <c r="AF172" s="16" t="n">
        <v>0</v>
      </c>
      <c r="AG172" s="16" t="n">
        <v>0</v>
      </c>
      <c r="AH172" s="16" t="n">
        <v>0</v>
      </c>
      <c r="AI172" s="16" t="n">
        <v>0</v>
      </c>
      <c r="AJ172" s="16" t="n">
        <v>0</v>
      </c>
      <c r="AK172" s="16" t="n">
        <v>0</v>
      </c>
      <c r="AL172" s="16" t="n">
        <v>0</v>
      </c>
      <c r="AM172" s="16" t="n">
        <v>0</v>
      </c>
      <c r="AN172" s="16" t="n">
        <v>0</v>
      </c>
      <c r="AO172" s="16" t="n">
        <v>0</v>
      </c>
      <c r="AP172" s="16" t="n">
        <v>0</v>
      </c>
      <c r="AQ172" s="16" t="n">
        <v>0</v>
      </c>
      <c r="AR172" s="16" t="n">
        <v>0</v>
      </c>
      <c r="AS172" s="16" t="n">
        <v>0</v>
      </c>
      <c r="AT172" s="16" t="n">
        <v>0</v>
      </c>
      <c r="AU172" s="16" t="n">
        <v>0</v>
      </c>
      <c r="AV172" s="16" t="n">
        <v>0</v>
      </c>
      <c r="AW172" s="16" t="n">
        <v>0</v>
      </c>
      <c r="AX172" s="16" t="n">
        <v>0</v>
      </c>
      <c r="AY172" s="16" t="n">
        <v>0</v>
      </c>
      <c r="AZ172" s="16" t="n">
        <v>0</v>
      </c>
      <c r="BA172" s="16" t="n">
        <v>0</v>
      </c>
      <c r="BB172" s="16" t="n">
        <v>0</v>
      </c>
      <c r="BC172" s="16" t="n">
        <v>0</v>
      </c>
      <c r="BD172" s="16" t="n">
        <v>0</v>
      </c>
      <c r="BE172" s="16" t="n">
        <v>0</v>
      </c>
      <c r="BF172" s="16" t="n">
        <v>0</v>
      </c>
      <c r="BG172" s="16" t="n">
        <v>0</v>
      </c>
      <c r="BH172" s="16" t="n">
        <v>0</v>
      </c>
      <c r="BI172" s="16" t="n">
        <v>0</v>
      </c>
      <c r="BJ172" s="16" t="n">
        <v>0</v>
      </c>
      <c r="BK172" s="16" t="n">
        <v>0</v>
      </c>
      <c r="BL172" s="16" t="n">
        <v>0</v>
      </c>
      <c r="BM172" s="16" t="n">
        <v>0</v>
      </c>
      <c r="BN172" s="16" t="n">
        <v>0</v>
      </c>
      <c r="BO172" s="16" t="n">
        <v>0</v>
      </c>
      <c r="BP172" s="16" t="n">
        <v>0</v>
      </c>
      <c r="BQ172" s="16" t="n">
        <v>0</v>
      </c>
      <c r="BR172" s="16" t="n">
        <v>0</v>
      </c>
      <c r="BS172" s="16" t="n">
        <v>0</v>
      </c>
      <c r="BT172" s="16" t="n">
        <v>0</v>
      </c>
      <c r="BU172" s="16" t="n">
        <v>0</v>
      </c>
      <c r="BV172" s="16" t="n">
        <v>0</v>
      </c>
      <c r="BW172" s="16" t="n">
        <v>0</v>
      </c>
      <c r="BX172" s="16" t="n">
        <v>0</v>
      </c>
      <c r="BY172" s="16" t="n">
        <v>0</v>
      </c>
      <c r="BZ172" s="16" t="n">
        <v>0</v>
      </c>
      <c r="CA172" s="16" t="n">
        <v>0</v>
      </c>
      <c r="CB172" s="16" t="n">
        <v>0</v>
      </c>
      <c r="CC172" s="16" t="n">
        <v>0</v>
      </c>
      <c r="CD172" s="16" t="n">
        <v>0</v>
      </c>
      <c r="CE172" s="16" t="n">
        <v>0</v>
      </c>
      <c r="CF172" s="16" t="n">
        <v>0</v>
      </c>
      <c r="CG172" s="16" t="n">
        <v>0</v>
      </c>
      <c r="CH172" s="16" t="n">
        <v>0</v>
      </c>
      <c r="CI172" s="16" t="n">
        <v>0</v>
      </c>
      <c r="CJ172" s="16" t="n">
        <v>0</v>
      </c>
      <c r="CK172" s="16" t="n">
        <v>0</v>
      </c>
      <c r="CL172" s="16" t="n">
        <v>0</v>
      </c>
      <c r="CM172" s="16" t="n">
        <v>0</v>
      </c>
      <c r="CN172" s="16" t="n">
        <v>0</v>
      </c>
      <c r="CO172" s="16" t="n">
        <v>0</v>
      </c>
      <c r="CP172" s="16" t="n">
        <v>0</v>
      </c>
      <c r="CQ172" s="16" t="n">
        <v>0</v>
      </c>
      <c r="CR172" s="16" t="n">
        <v>0</v>
      </c>
      <c r="CS172" s="16" t="n">
        <v>0</v>
      </c>
      <c r="CT172" s="16" t="n">
        <v>0</v>
      </c>
      <c r="CU172" s="16" t="n">
        <v>0</v>
      </c>
      <c r="CV172" s="16" t="n">
        <v>0</v>
      </c>
      <c r="CW172" s="16" t="n">
        <v>0</v>
      </c>
      <c r="CX172" s="16" t="n">
        <v>0</v>
      </c>
      <c r="CY172" s="16" t="n">
        <v>0</v>
      </c>
      <c r="CZ172" s="16" t="n">
        <v>0</v>
      </c>
      <c r="DA172" s="16" t="n">
        <v>0</v>
      </c>
      <c r="DB172" s="16" t="n">
        <v>0</v>
      </c>
      <c r="DC172" s="16" t="n">
        <v>0</v>
      </c>
      <c r="DD172" s="16" t="n">
        <v>0</v>
      </c>
      <c r="DE172" s="16" t="n">
        <v>0</v>
      </c>
      <c r="DF172" s="16" t="n">
        <v>0</v>
      </c>
      <c r="DG172" s="16" t="n">
        <v>0</v>
      </c>
      <c r="DH172" s="16" t="n">
        <v>0</v>
      </c>
      <c r="DI172" s="16" t="n">
        <v>0</v>
      </c>
      <c r="DJ172" s="16" t="n">
        <v>0</v>
      </c>
      <c r="DK172" s="16" t="n">
        <v>0</v>
      </c>
      <c r="DL172" s="16" t="n">
        <v>0</v>
      </c>
      <c r="DM172" s="16" t="n">
        <v>0</v>
      </c>
      <c r="DN172" s="16" t="n">
        <v>0</v>
      </c>
      <c r="DO172" s="16" t="n">
        <v>0</v>
      </c>
      <c r="DP172" s="16" t="n">
        <v>0</v>
      </c>
      <c r="DQ172" s="16" t="n">
        <v>0</v>
      </c>
      <c r="DR172" s="16" t="n">
        <v>0</v>
      </c>
      <c r="DS172" s="16" t="n">
        <v>0</v>
      </c>
      <c r="DT172" s="16" t="n">
        <v>0</v>
      </c>
      <c r="DU172" s="16" t="n">
        <v>0</v>
      </c>
      <c r="DV172" s="16" t="n">
        <v>0</v>
      </c>
      <c r="DW172" s="16" t="n">
        <v>0</v>
      </c>
      <c r="DX172" s="16" t="n">
        <v>0</v>
      </c>
      <c r="DY172" s="16" t="n">
        <v>0</v>
      </c>
      <c r="DZ172" s="16" t="n">
        <v>0</v>
      </c>
      <c r="EA172" s="16" t="n">
        <v>0</v>
      </c>
      <c r="EB172" s="16" t="n">
        <v>0</v>
      </c>
      <c r="EC172" s="16" t="n">
        <v>0</v>
      </c>
      <c r="ED172" s="16" t="n">
        <v>0</v>
      </c>
      <c r="EE172" s="16" t="n">
        <v>0</v>
      </c>
      <c r="EF172" s="16" t="n">
        <v>0</v>
      </c>
    </row>
    <row r="173" customFormat="false" ht="15" hidden="false" customHeight="true" outlineLevel="0" collapsed="false">
      <c r="A173" s="9" t="s">
        <v>12</v>
      </c>
      <c r="B173" s="9" t="s">
        <v>23</v>
      </c>
      <c r="C173" s="9" t="s">
        <v>23</v>
      </c>
      <c r="D173" s="9" t="s">
        <v>337</v>
      </c>
      <c r="E173" s="9" t="s">
        <v>10</v>
      </c>
      <c r="F173" s="9" t="s">
        <v>82</v>
      </c>
      <c r="G173" s="16" t="n">
        <v>0</v>
      </c>
      <c r="H173" s="16" t="n">
        <v>0</v>
      </c>
      <c r="I173" s="16" t="n">
        <v>0</v>
      </c>
      <c r="J173" s="16" t="n">
        <v>0</v>
      </c>
      <c r="K173" s="16" t="n">
        <v>0</v>
      </c>
      <c r="L173" s="16" t="n">
        <v>0</v>
      </c>
      <c r="M173" s="16" t="n">
        <v>0</v>
      </c>
      <c r="N173" s="16" t="n">
        <v>0</v>
      </c>
      <c r="O173" s="16" t="n">
        <v>0</v>
      </c>
      <c r="P173" s="16" t="n">
        <v>0</v>
      </c>
      <c r="Q173" s="16" t="n">
        <v>0</v>
      </c>
      <c r="R173" s="16" t="n">
        <v>0</v>
      </c>
      <c r="S173" s="16" t="n">
        <v>0</v>
      </c>
      <c r="T173" s="16" t="n">
        <v>0</v>
      </c>
      <c r="U173" s="16" t="n">
        <v>0</v>
      </c>
      <c r="V173" s="16" t="n">
        <v>0</v>
      </c>
      <c r="W173" s="16" t="n">
        <v>0</v>
      </c>
      <c r="X173" s="16" t="n">
        <v>0</v>
      </c>
      <c r="Y173" s="16" t="n">
        <v>0</v>
      </c>
      <c r="Z173" s="16" t="n">
        <v>0</v>
      </c>
      <c r="AA173" s="16" t="n">
        <v>0</v>
      </c>
      <c r="AB173" s="16" t="n">
        <v>0</v>
      </c>
      <c r="AC173" s="16" t="n">
        <v>0</v>
      </c>
      <c r="AD173" s="16" t="n">
        <v>0</v>
      </c>
      <c r="AE173" s="16" t="n">
        <v>0</v>
      </c>
      <c r="AF173" s="16" t="n">
        <v>0</v>
      </c>
      <c r="AG173" s="16" t="n">
        <v>0</v>
      </c>
      <c r="AH173" s="16" t="n">
        <v>0</v>
      </c>
      <c r="AI173" s="16" t="n">
        <v>0</v>
      </c>
      <c r="AJ173" s="16" t="n">
        <v>0</v>
      </c>
      <c r="AK173" s="16" t="n">
        <v>0</v>
      </c>
      <c r="AL173" s="16" t="n">
        <v>0</v>
      </c>
      <c r="AM173" s="16" t="n">
        <v>0</v>
      </c>
      <c r="AN173" s="16" t="n">
        <v>0</v>
      </c>
      <c r="AO173" s="16" t="n">
        <v>0</v>
      </c>
      <c r="AP173" s="16" t="n">
        <v>0</v>
      </c>
      <c r="AQ173" s="16" t="n">
        <v>0</v>
      </c>
      <c r="AR173" s="16" t="n">
        <v>0</v>
      </c>
      <c r="AS173" s="16" t="n">
        <v>0</v>
      </c>
      <c r="AT173" s="16" t="n">
        <v>0</v>
      </c>
      <c r="AU173" s="16" t="n">
        <v>0</v>
      </c>
      <c r="AV173" s="16" t="n">
        <v>0</v>
      </c>
      <c r="AW173" s="16" t="n">
        <v>0</v>
      </c>
      <c r="AX173" s="16" t="n">
        <v>0</v>
      </c>
      <c r="AY173" s="16" t="n">
        <v>0</v>
      </c>
      <c r="AZ173" s="16" t="n">
        <v>0</v>
      </c>
      <c r="BA173" s="16" t="n">
        <v>0</v>
      </c>
      <c r="BB173" s="16" t="n">
        <v>0</v>
      </c>
      <c r="BC173" s="16" t="n">
        <v>0</v>
      </c>
      <c r="BD173" s="16" t="n">
        <v>0</v>
      </c>
      <c r="BE173" s="16" t="n">
        <v>0</v>
      </c>
      <c r="BF173" s="16" t="n">
        <v>0</v>
      </c>
      <c r="BG173" s="16" t="n">
        <v>0</v>
      </c>
      <c r="BH173" s="16" t="n">
        <v>0</v>
      </c>
      <c r="BI173" s="16" t="n">
        <v>0</v>
      </c>
      <c r="BJ173" s="16" t="n">
        <v>0</v>
      </c>
      <c r="BK173" s="16" t="n">
        <v>0</v>
      </c>
      <c r="BL173" s="16" t="n">
        <v>0</v>
      </c>
      <c r="BM173" s="16" t="n">
        <v>0</v>
      </c>
      <c r="BN173" s="16" t="n">
        <v>0</v>
      </c>
      <c r="BO173" s="16" t="n">
        <v>0</v>
      </c>
      <c r="BP173" s="16" t="n">
        <v>0</v>
      </c>
      <c r="BQ173" s="16" t="n">
        <v>0</v>
      </c>
      <c r="BR173" s="16" t="n">
        <v>0</v>
      </c>
      <c r="BS173" s="16" t="n">
        <v>0</v>
      </c>
      <c r="BT173" s="16" t="n">
        <v>0</v>
      </c>
      <c r="BU173" s="16" t="n">
        <v>0</v>
      </c>
      <c r="BV173" s="16" t="n">
        <v>0</v>
      </c>
      <c r="BW173" s="16" t="n">
        <v>0</v>
      </c>
      <c r="BX173" s="16" t="n">
        <v>0</v>
      </c>
      <c r="BY173" s="16" t="n">
        <v>0</v>
      </c>
      <c r="BZ173" s="16" t="n">
        <v>0</v>
      </c>
      <c r="CA173" s="16" t="n">
        <v>0</v>
      </c>
      <c r="CB173" s="16" t="n">
        <v>0</v>
      </c>
      <c r="CC173" s="16" t="n">
        <v>0</v>
      </c>
      <c r="CD173" s="16" t="n">
        <v>0</v>
      </c>
      <c r="CE173" s="16" t="n">
        <v>0</v>
      </c>
      <c r="CF173" s="16" t="n">
        <v>0</v>
      </c>
      <c r="CG173" s="16" t="n">
        <v>0</v>
      </c>
      <c r="CH173" s="16" t="n">
        <v>0</v>
      </c>
      <c r="CI173" s="16" t="n">
        <v>0</v>
      </c>
      <c r="CJ173" s="16" t="n">
        <v>0</v>
      </c>
      <c r="CK173" s="16" t="n">
        <v>0</v>
      </c>
      <c r="CL173" s="16" t="n">
        <v>0</v>
      </c>
      <c r="CM173" s="16" t="n">
        <v>0</v>
      </c>
      <c r="CN173" s="16" t="n">
        <v>0</v>
      </c>
      <c r="CO173" s="16" t="n">
        <v>0</v>
      </c>
      <c r="CP173" s="16" t="n">
        <v>0</v>
      </c>
      <c r="CQ173" s="16" t="n">
        <v>0</v>
      </c>
      <c r="CR173" s="16" t="n">
        <v>0</v>
      </c>
      <c r="CS173" s="16" t="n">
        <v>0</v>
      </c>
      <c r="CT173" s="16" t="n">
        <v>0</v>
      </c>
      <c r="CU173" s="16" t="n">
        <v>0</v>
      </c>
      <c r="CV173" s="16" t="n">
        <v>0</v>
      </c>
      <c r="CW173" s="16" t="n">
        <v>0</v>
      </c>
      <c r="CX173" s="16" t="n">
        <v>0</v>
      </c>
      <c r="CY173" s="16" t="n">
        <v>0</v>
      </c>
      <c r="CZ173" s="16" t="n">
        <v>0</v>
      </c>
      <c r="DA173" s="16" t="n">
        <v>0</v>
      </c>
      <c r="DB173" s="16" t="n">
        <v>0</v>
      </c>
      <c r="DC173" s="16" t="n">
        <v>0</v>
      </c>
      <c r="DD173" s="16" t="n">
        <v>0</v>
      </c>
      <c r="DE173" s="16" t="n">
        <v>0</v>
      </c>
      <c r="DF173" s="16" t="n">
        <v>0</v>
      </c>
      <c r="DG173" s="16" t="n">
        <v>0</v>
      </c>
      <c r="DH173" s="16" t="n">
        <v>0</v>
      </c>
      <c r="DI173" s="16" t="n">
        <v>0</v>
      </c>
      <c r="DJ173" s="16" t="n">
        <v>0</v>
      </c>
      <c r="DK173" s="16" t="n">
        <v>0</v>
      </c>
      <c r="DL173" s="16" t="n">
        <v>0</v>
      </c>
      <c r="DM173" s="16" t="n">
        <v>0</v>
      </c>
      <c r="DN173" s="16" t="n">
        <v>0</v>
      </c>
      <c r="DO173" s="16" t="n">
        <v>0</v>
      </c>
      <c r="DP173" s="16" t="n">
        <v>0</v>
      </c>
      <c r="DQ173" s="16" t="n">
        <v>0</v>
      </c>
      <c r="DR173" s="16" t="n">
        <v>0</v>
      </c>
      <c r="DS173" s="16" t="n">
        <v>0</v>
      </c>
      <c r="DT173" s="16" t="n">
        <v>0</v>
      </c>
      <c r="DU173" s="16" t="n">
        <v>0</v>
      </c>
      <c r="DV173" s="16" t="n">
        <v>0</v>
      </c>
      <c r="DW173" s="16" t="n">
        <v>0</v>
      </c>
      <c r="DX173" s="16" t="n">
        <v>0</v>
      </c>
      <c r="DY173" s="16" t="n">
        <v>0</v>
      </c>
      <c r="DZ173" s="16" t="n">
        <v>0</v>
      </c>
      <c r="EA173" s="16" t="n">
        <v>0</v>
      </c>
      <c r="EB173" s="16" t="n">
        <v>0</v>
      </c>
      <c r="EC173" s="16" t="n">
        <v>0</v>
      </c>
      <c r="ED173" s="16" t="n">
        <v>0</v>
      </c>
      <c r="EE173" s="16" t="n">
        <v>0</v>
      </c>
      <c r="EF173" s="16" t="n">
        <v>0</v>
      </c>
    </row>
    <row r="174" customFormat="false" ht="15" hidden="false" customHeight="true" outlineLevel="0" collapsed="false">
      <c r="A174" s="9" t="s">
        <v>12</v>
      </c>
      <c r="B174" s="9" t="s">
        <v>23</v>
      </c>
      <c r="C174" s="9" t="s">
        <v>23</v>
      </c>
      <c r="D174" s="9" t="s">
        <v>338</v>
      </c>
      <c r="E174" s="9" t="s">
        <v>10</v>
      </c>
      <c r="F174" s="9" t="s">
        <v>83</v>
      </c>
      <c r="G174" s="16" t="n">
        <v>10</v>
      </c>
      <c r="H174" s="16" t="n">
        <v>10</v>
      </c>
      <c r="I174" s="16" t="n">
        <v>0</v>
      </c>
      <c r="J174" s="16" t="n">
        <v>10</v>
      </c>
      <c r="K174" s="16" t="n">
        <v>0</v>
      </c>
      <c r="L174" s="16" t="n">
        <v>0</v>
      </c>
      <c r="M174" s="16" t="n">
        <v>0</v>
      </c>
      <c r="N174" s="16" t="n">
        <v>0</v>
      </c>
      <c r="O174" s="16" t="n">
        <v>0</v>
      </c>
      <c r="P174" s="16" t="n">
        <v>0</v>
      </c>
      <c r="Q174" s="16" t="n">
        <v>0</v>
      </c>
      <c r="R174" s="16" t="n">
        <v>0</v>
      </c>
      <c r="S174" s="16" t="n">
        <v>0</v>
      </c>
      <c r="T174" s="16" t="n">
        <v>0</v>
      </c>
      <c r="U174" s="16" t="n">
        <v>0</v>
      </c>
      <c r="V174" s="16" t="n">
        <v>0</v>
      </c>
      <c r="W174" s="16" t="n">
        <v>0</v>
      </c>
      <c r="X174" s="16" t="n">
        <v>0</v>
      </c>
      <c r="Y174" s="16" t="n">
        <v>0</v>
      </c>
      <c r="Z174" s="16" t="n">
        <v>0</v>
      </c>
      <c r="AA174" s="16" t="n">
        <v>0</v>
      </c>
      <c r="AB174" s="16" t="n">
        <v>0</v>
      </c>
      <c r="AC174" s="16" t="n">
        <v>0</v>
      </c>
      <c r="AD174" s="16" t="n">
        <v>0</v>
      </c>
      <c r="AE174" s="16" t="n">
        <v>0</v>
      </c>
      <c r="AF174" s="16" t="n">
        <v>0</v>
      </c>
      <c r="AG174" s="16" t="n">
        <v>0</v>
      </c>
      <c r="AH174" s="16" t="n">
        <v>0</v>
      </c>
      <c r="AI174" s="16" t="n">
        <v>0</v>
      </c>
      <c r="AJ174" s="16" t="n">
        <v>0</v>
      </c>
      <c r="AK174" s="16" t="n">
        <v>0</v>
      </c>
      <c r="AL174" s="16" t="n">
        <v>0</v>
      </c>
      <c r="AM174" s="16" t="n">
        <v>0</v>
      </c>
      <c r="AN174" s="16" t="n">
        <v>0</v>
      </c>
      <c r="AO174" s="16" t="n">
        <v>0</v>
      </c>
      <c r="AP174" s="16" t="n">
        <v>0</v>
      </c>
      <c r="AQ174" s="16" t="n">
        <v>0</v>
      </c>
      <c r="AR174" s="16" t="n">
        <v>0</v>
      </c>
      <c r="AS174" s="16" t="n">
        <v>0</v>
      </c>
      <c r="AT174" s="16" t="n">
        <v>0</v>
      </c>
      <c r="AU174" s="16" t="n">
        <v>0</v>
      </c>
      <c r="AV174" s="16" t="n">
        <v>0</v>
      </c>
      <c r="AW174" s="16" t="n">
        <v>0</v>
      </c>
      <c r="AX174" s="16" t="n">
        <v>0</v>
      </c>
      <c r="AY174" s="16" t="n">
        <v>0</v>
      </c>
      <c r="AZ174" s="16" t="n">
        <v>0</v>
      </c>
      <c r="BA174" s="16" t="n">
        <v>0</v>
      </c>
      <c r="BB174" s="16" t="n">
        <v>0</v>
      </c>
      <c r="BC174" s="16" t="n">
        <v>0</v>
      </c>
      <c r="BD174" s="16" t="n">
        <v>0</v>
      </c>
      <c r="BE174" s="16" t="n">
        <v>0</v>
      </c>
      <c r="BF174" s="16" t="n">
        <v>0</v>
      </c>
      <c r="BG174" s="16" t="n">
        <v>0</v>
      </c>
      <c r="BH174" s="16" t="n">
        <v>0</v>
      </c>
      <c r="BI174" s="16" t="n">
        <v>0</v>
      </c>
      <c r="BJ174" s="16" t="n">
        <v>0</v>
      </c>
      <c r="BK174" s="16" t="n">
        <v>0</v>
      </c>
      <c r="BL174" s="16" t="n">
        <v>0</v>
      </c>
      <c r="BM174" s="16" t="n">
        <v>0</v>
      </c>
      <c r="BN174" s="16" t="n">
        <v>0</v>
      </c>
      <c r="BO174" s="16" t="n">
        <v>0</v>
      </c>
      <c r="BP174" s="16" t="n">
        <v>0</v>
      </c>
      <c r="BQ174" s="16" t="n">
        <v>0</v>
      </c>
      <c r="BR174" s="16" t="n">
        <v>0</v>
      </c>
      <c r="BS174" s="16" t="n">
        <v>0</v>
      </c>
      <c r="BT174" s="16" t="n">
        <v>0</v>
      </c>
      <c r="BU174" s="16" t="n">
        <v>0</v>
      </c>
      <c r="BV174" s="16" t="n">
        <v>0</v>
      </c>
      <c r="BW174" s="16" t="n">
        <v>0</v>
      </c>
      <c r="BX174" s="16" t="n">
        <v>0</v>
      </c>
      <c r="BY174" s="16" t="n">
        <v>0</v>
      </c>
      <c r="BZ174" s="16" t="n">
        <v>0</v>
      </c>
      <c r="CA174" s="16" t="n">
        <v>0</v>
      </c>
      <c r="CB174" s="16" t="n">
        <v>0</v>
      </c>
      <c r="CC174" s="16" t="n">
        <v>0</v>
      </c>
      <c r="CD174" s="16" t="n">
        <v>0</v>
      </c>
      <c r="CE174" s="16" t="n">
        <v>0</v>
      </c>
      <c r="CF174" s="16" t="n">
        <v>0</v>
      </c>
      <c r="CG174" s="16" t="n">
        <v>0</v>
      </c>
      <c r="CH174" s="16" t="n">
        <v>0</v>
      </c>
      <c r="CI174" s="16" t="n">
        <v>0</v>
      </c>
      <c r="CJ174" s="16" t="n">
        <v>0</v>
      </c>
      <c r="CK174" s="16" t="n">
        <v>0</v>
      </c>
      <c r="CL174" s="16" t="n">
        <v>0</v>
      </c>
      <c r="CM174" s="16" t="n">
        <v>0</v>
      </c>
      <c r="CN174" s="16" t="n">
        <v>0</v>
      </c>
      <c r="CO174" s="16" t="n">
        <v>0</v>
      </c>
      <c r="CP174" s="16" t="n">
        <v>0</v>
      </c>
      <c r="CQ174" s="16" t="n">
        <v>0</v>
      </c>
      <c r="CR174" s="16" t="n">
        <v>0</v>
      </c>
      <c r="CS174" s="16" t="n">
        <v>0</v>
      </c>
      <c r="CT174" s="16" t="n">
        <v>0</v>
      </c>
      <c r="CU174" s="16" t="n">
        <v>0</v>
      </c>
      <c r="CV174" s="16" t="n">
        <v>0</v>
      </c>
      <c r="CW174" s="16" t="n">
        <v>0</v>
      </c>
      <c r="CX174" s="16" t="n">
        <v>0</v>
      </c>
      <c r="CY174" s="16" t="n">
        <v>0</v>
      </c>
      <c r="CZ174" s="16" t="n">
        <v>0</v>
      </c>
      <c r="DA174" s="16" t="n">
        <v>0</v>
      </c>
      <c r="DB174" s="16" t="n">
        <v>0</v>
      </c>
      <c r="DC174" s="16" t="n">
        <v>0</v>
      </c>
      <c r="DD174" s="16" t="n">
        <v>0</v>
      </c>
      <c r="DE174" s="16" t="n">
        <v>0</v>
      </c>
      <c r="DF174" s="16" t="n">
        <v>0</v>
      </c>
      <c r="DG174" s="16" t="n">
        <v>0</v>
      </c>
      <c r="DH174" s="16" t="n">
        <v>0</v>
      </c>
      <c r="DI174" s="16" t="n">
        <v>0</v>
      </c>
      <c r="DJ174" s="16" t="n">
        <v>0</v>
      </c>
      <c r="DK174" s="16" t="n">
        <v>0</v>
      </c>
      <c r="DL174" s="16" t="n">
        <v>0</v>
      </c>
      <c r="DM174" s="16" t="n">
        <v>0</v>
      </c>
      <c r="DN174" s="16" t="n">
        <v>0</v>
      </c>
      <c r="DO174" s="16" t="n">
        <v>0</v>
      </c>
      <c r="DP174" s="16" t="n">
        <v>0</v>
      </c>
      <c r="DQ174" s="16" t="n">
        <v>0</v>
      </c>
      <c r="DR174" s="16" t="n">
        <v>0</v>
      </c>
      <c r="DS174" s="16" t="n">
        <v>0</v>
      </c>
      <c r="DT174" s="16" t="n">
        <v>0</v>
      </c>
      <c r="DU174" s="16" t="n">
        <v>0</v>
      </c>
      <c r="DV174" s="16" t="n">
        <v>0</v>
      </c>
      <c r="DW174" s="16" t="n">
        <v>0</v>
      </c>
      <c r="DX174" s="16" t="n">
        <v>0</v>
      </c>
      <c r="DY174" s="16" t="n">
        <v>0</v>
      </c>
      <c r="DZ174" s="16" t="n">
        <v>0</v>
      </c>
      <c r="EA174" s="16" t="n">
        <v>0</v>
      </c>
      <c r="EB174" s="16" t="n">
        <v>0</v>
      </c>
      <c r="EC174" s="16" t="n">
        <v>0</v>
      </c>
      <c r="ED174" s="16" t="n">
        <v>0</v>
      </c>
      <c r="EE174" s="16" t="n">
        <v>0</v>
      </c>
      <c r="EF174" s="16" t="n">
        <v>0</v>
      </c>
    </row>
    <row r="175" customFormat="false" ht="15" hidden="false" customHeight="true" outlineLevel="0" collapsed="false">
      <c r="A175" s="9" t="s">
        <v>12</v>
      </c>
      <c r="B175" s="9" t="s">
        <v>23</v>
      </c>
      <c r="C175" s="9" t="s">
        <v>23</v>
      </c>
      <c r="D175" s="9" t="s">
        <v>337</v>
      </c>
      <c r="E175" s="9" t="s">
        <v>10</v>
      </c>
      <c r="F175" s="9" t="s">
        <v>83</v>
      </c>
      <c r="G175" s="16" t="n">
        <v>0</v>
      </c>
      <c r="H175" s="16" t="n">
        <v>0</v>
      </c>
      <c r="I175" s="16" t="n">
        <v>5</v>
      </c>
      <c r="J175" s="16" t="n">
        <v>-5</v>
      </c>
      <c r="K175" s="16" t="n">
        <v>0</v>
      </c>
      <c r="L175" s="16" t="n">
        <v>0</v>
      </c>
      <c r="M175" s="16" t="n">
        <v>0</v>
      </c>
      <c r="N175" s="16" t="n">
        <v>0</v>
      </c>
      <c r="O175" s="16" t="n">
        <v>0</v>
      </c>
      <c r="P175" s="16" t="n">
        <v>0</v>
      </c>
      <c r="Q175" s="16" t="n">
        <v>0</v>
      </c>
      <c r="R175" s="16" t="n">
        <v>0</v>
      </c>
      <c r="S175" s="16" t="n">
        <v>0</v>
      </c>
      <c r="T175" s="16" t="n">
        <v>0</v>
      </c>
      <c r="U175" s="16" t="n">
        <v>0</v>
      </c>
      <c r="V175" s="16" t="n">
        <v>0</v>
      </c>
      <c r="W175" s="16" t="n">
        <v>0</v>
      </c>
      <c r="X175" s="16" t="n">
        <v>0</v>
      </c>
      <c r="Y175" s="16" t="n">
        <v>0</v>
      </c>
      <c r="Z175" s="16" t="n">
        <v>0</v>
      </c>
      <c r="AA175" s="16" t="n">
        <v>0</v>
      </c>
      <c r="AB175" s="16" t="n">
        <v>0</v>
      </c>
      <c r="AC175" s="16" t="n">
        <v>0</v>
      </c>
      <c r="AD175" s="16" t="n">
        <v>0</v>
      </c>
      <c r="AE175" s="16" t="n">
        <v>0</v>
      </c>
      <c r="AF175" s="16" t="n">
        <v>0</v>
      </c>
      <c r="AG175" s="16" t="n">
        <v>0</v>
      </c>
      <c r="AH175" s="16" t="n">
        <v>0</v>
      </c>
      <c r="AI175" s="16" t="n">
        <v>0</v>
      </c>
      <c r="AJ175" s="16" t="n">
        <v>0</v>
      </c>
      <c r="AK175" s="16" t="n">
        <v>0</v>
      </c>
      <c r="AL175" s="16" t="n">
        <v>0</v>
      </c>
      <c r="AM175" s="16" t="n">
        <v>0</v>
      </c>
      <c r="AN175" s="16" t="n">
        <v>5</v>
      </c>
      <c r="AO175" s="16" t="n">
        <v>0</v>
      </c>
      <c r="AP175" s="16" t="n">
        <v>0</v>
      </c>
      <c r="AQ175" s="16" t="n">
        <v>0</v>
      </c>
      <c r="AR175" s="16" t="n">
        <v>0</v>
      </c>
      <c r="AS175" s="16" t="n">
        <v>0</v>
      </c>
      <c r="AT175" s="16" t="n">
        <v>0</v>
      </c>
      <c r="AU175" s="16" t="n">
        <v>0</v>
      </c>
      <c r="AV175" s="16" t="n">
        <v>0</v>
      </c>
      <c r="AW175" s="16" t="n">
        <v>0</v>
      </c>
      <c r="AX175" s="16" t="n">
        <v>0</v>
      </c>
      <c r="AY175" s="16" t="n">
        <v>0</v>
      </c>
      <c r="AZ175" s="16" t="n">
        <v>0</v>
      </c>
      <c r="BA175" s="16" t="n">
        <v>0</v>
      </c>
      <c r="BB175" s="16" t="n">
        <v>0</v>
      </c>
      <c r="BC175" s="16" t="n">
        <v>0</v>
      </c>
      <c r="BD175" s="16" t="n">
        <v>0</v>
      </c>
      <c r="BE175" s="16" t="n">
        <v>0</v>
      </c>
      <c r="BF175" s="16" t="n">
        <v>0</v>
      </c>
      <c r="BG175" s="16" t="n">
        <v>0</v>
      </c>
      <c r="BH175" s="16" t="n">
        <v>0</v>
      </c>
      <c r="BI175" s="16" t="n">
        <v>0</v>
      </c>
      <c r="BJ175" s="16" t="n">
        <v>0</v>
      </c>
      <c r="BK175" s="16" t="n">
        <v>0</v>
      </c>
      <c r="BL175" s="16" t="n">
        <v>0</v>
      </c>
      <c r="BM175" s="16" t="n">
        <v>0</v>
      </c>
      <c r="BN175" s="16" t="n">
        <v>0</v>
      </c>
      <c r="BO175" s="16" t="n">
        <v>0</v>
      </c>
      <c r="BP175" s="16" t="n">
        <v>0</v>
      </c>
      <c r="BQ175" s="16" t="n">
        <v>0</v>
      </c>
      <c r="BR175" s="16" t="n">
        <v>0</v>
      </c>
      <c r="BS175" s="16" t="n">
        <v>0</v>
      </c>
      <c r="BT175" s="16" t="n">
        <v>0</v>
      </c>
      <c r="BU175" s="16" t="n">
        <v>0</v>
      </c>
      <c r="BV175" s="16" t="n">
        <v>0</v>
      </c>
      <c r="BW175" s="16" t="n">
        <v>0</v>
      </c>
      <c r="BX175" s="16" t="n">
        <v>0</v>
      </c>
      <c r="BY175" s="16" t="n">
        <v>0</v>
      </c>
      <c r="BZ175" s="16" t="n">
        <v>0</v>
      </c>
      <c r="CA175" s="16" t="n">
        <v>0</v>
      </c>
      <c r="CB175" s="16" t="n">
        <v>0</v>
      </c>
      <c r="CC175" s="16" t="n">
        <v>0</v>
      </c>
      <c r="CD175" s="16" t="n">
        <v>0</v>
      </c>
      <c r="CE175" s="16" t="n">
        <v>0</v>
      </c>
      <c r="CF175" s="16" t="n">
        <v>0</v>
      </c>
      <c r="CG175" s="16" t="n">
        <v>0</v>
      </c>
      <c r="CH175" s="16" t="n">
        <v>0</v>
      </c>
      <c r="CI175" s="16" t="n">
        <v>0</v>
      </c>
      <c r="CJ175" s="16" t="n">
        <v>0</v>
      </c>
      <c r="CK175" s="16" t="n">
        <v>0</v>
      </c>
      <c r="CL175" s="16" t="n">
        <v>0</v>
      </c>
      <c r="CM175" s="16" t="n">
        <v>0</v>
      </c>
      <c r="CN175" s="16" t="n">
        <v>0</v>
      </c>
      <c r="CO175" s="16" t="n">
        <v>0</v>
      </c>
      <c r="CP175" s="16" t="n">
        <v>0</v>
      </c>
      <c r="CQ175" s="16" t="n">
        <v>0</v>
      </c>
      <c r="CR175" s="16" t="n">
        <v>0</v>
      </c>
      <c r="CS175" s="16" t="n">
        <v>0</v>
      </c>
      <c r="CT175" s="16" t="n">
        <v>0</v>
      </c>
      <c r="CU175" s="16" t="n">
        <v>0</v>
      </c>
      <c r="CV175" s="16" t="n">
        <v>0</v>
      </c>
      <c r="CW175" s="16" t="n">
        <v>0</v>
      </c>
      <c r="CX175" s="16" t="n">
        <v>0</v>
      </c>
      <c r="CY175" s="16" t="n">
        <v>0</v>
      </c>
      <c r="CZ175" s="16" t="n">
        <v>0</v>
      </c>
      <c r="DA175" s="16" t="n">
        <v>0</v>
      </c>
      <c r="DB175" s="16" t="n">
        <v>0</v>
      </c>
      <c r="DC175" s="16" t="n">
        <v>0</v>
      </c>
      <c r="DD175" s="16" t="n">
        <v>0</v>
      </c>
      <c r="DE175" s="16" t="n">
        <v>0</v>
      </c>
      <c r="DF175" s="16" t="n">
        <v>0</v>
      </c>
      <c r="DG175" s="16" t="n">
        <v>0</v>
      </c>
      <c r="DH175" s="16" t="n">
        <v>0</v>
      </c>
      <c r="DI175" s="16" t="n">
        <v>0</v>
      </c>
      <c r="DJ175" s="16" t="n">
        <v>0</v>
      </c>
      <c r="DK175" s="16" t="n">
        <v>0</v>
      </c>
      <c r="DL175" s="16" t="n">
        <v>0</v>
      </c>
      <c r="DM175" s="16" t="n">
        <v>0</v>
      </c>
      <c r="DN175" s="16" t="n">
        <v>0</v>
      </c>
      <c r="DO175" s="16" t="n">
        <v>0</v>
      </c>
      <c r="DP175" s="16" t="n">
        <v>0</v>
      </c>
      <c r="DQ175" s="16" t="n">
        <v>0</v>
      </c>
      <c r="DR175" s="16" t="n">
        <v>0</v>
      </c>
      <c r="DS175" s="16" t="n">
        <v>0</v>
      </c>
      <c r="DT175" s="16" t="n">
        <v>0</v>
      </c>
      <c r="DU175" s="16" t="n">
        <v>0</v>
      </c>
      <c r="DV175" s="16" t="n">
        <v>0</v>
      </c>
      <c r="DW175" s="16" t="n">
        <v>0</v>
      </c>
      <c r="DX175" s="16" t="n">
        <v>0</v>
      </c>
      <c r="DY175" s="16" t="n">
        <v>0</v>
      </c>
      <c r="DZ175" s="16" t="n">
        <v>0</v>
      </c>
      <c r="EA175" s="16" t="n">
        <v>0</v>
      </c>
      <c r="EB175" s="16" t="n">
        <v>0</v>
      </c>
      <c r="EC175" s="16" t="n">
        <v>0</v>
      </c>
      <c r="ED175" s="16" t="n">
        <v>0</v>
      </c>
      <c r="EE175" s="16" t="n">
        <v>0</v>
      </c>
      <c r="EF175" s="16" t="n">
        <v>0</v>
      </c>
    </row>
    <row r="176" customFormat="false" ht="15" hidden="false" customHeight="true" outlineLevel="0" collapsed="false">
      <c r="A176" s="9" t="s">
        <v>12</v>
      </c>
      <c r="B176" s="9" t="s">
        <v>23</v>
      </c>
      <c r="C176" s="9" t="s">
        <v>23</v>
      </c>
      <c r="D176" s="9" t="s">
        <v>338</v>
      </c>
      <c r="E176" s="9" t="s">
        <v>10</v>
      </c>
      <c r="F176" s="9" t="s">
        <v>84</v>
      </c>
      <c r="G176" s="16" t="n">
        <v>0</v>
      </c>
      <c r="H176" s="16" t="n">
        <v>10</v>
      </c>
      <c r="I176" s="16" t="n">
        <v>0</v>
      </c>
      <c r="J176" s="16" t="n">
        <v>10</v>
      </c>
      <c r="K176" s="16" t="n">
        <v>0</v>
      </c>
      <c r="L176" s="16" t="n">
        <v>0</v>
      </c>
      <c r="M176" s="16" t="n">
        <v>0</v>
      </c>
      <c r="N176" s="16" t="n">
        <v>0</v>
      </c>
      <c r="O176" s="16" t="n">
        <v>0</v>
      </c>
      <c r="P176" s="16" t="n">
        <v>0</v>
      </c>
      <c r="Q176" s="16" t="n">
        <v>0</v>
      </c>
      <c r="R176" s="16" t="n">
        <v>0</v>
      </c>
      <c r="S176" s="16" t="n">
        <v>0</v>
      </c>
      <c r="T176" s="16" t="n">
        <v>0</v>
      </c>
      <c r="U176" s="16" t="n">
        <v>0</v>
      </c>
      <c r="V176" s="16" t="n">
        <v>0</v>
      </c>
      <c r="W176" s="16" t="n">
        <v>0</v>
      </c>
      <c r="X176" s="16" t="n">
        <v>0</v>
      </c>
      <c r="Y176" s="16" t="n">
        <v>0</v>
      </c>
      <c r="Z176" s="16" t="n">
        <v>0</v>
      </c>
      <c r="AA176" s="16" t="n">
        <v>0</v>
      </c>
      <c r="AB176" s="16" t="n">
        <v>0</v>
      </c>
      <c r="AC176" s="16" t="n">
        <v>0</v>
      </c>
      <c r="AD176" s="16" t="n">
        <v>0</v>
      </c>
      <c r="AE176" s="16" t="n">
        <v>0</v>
      </c>
      <c r="AF176" s="16" t="n">
        <v>0</v>
      </c>
      <c r="AG176" s="16" t="n">
        <v>0</v>
      </c>
      <c r="AH176" s="16" t="n">
        <v>0</v>
      </c>
      <c r="AI176" s="16" t="n">
        <v>0</v>
      </c>
      <c r="AJ176" s="16" t="n">
        <v>0</v>
      </c>
      <c r="AK176" s="16" t="n">
        <v>0</v>
      </c>
      <c r="AL176" s="16" t="n">
        <v>0</v>
      </c>
      <c r="AM176" s="16" t="n">
        <v>0</v>
      </c>
      <c r="AN176" s="16" t="n">
        <v>0</v>
      </c>
      <c r="AO176" s="16" t="n">
        <v>0</v>
      </c>
      <c r="AP176" s="16" t="n">
        <v>0</v>
      </c>
      <c r="AQ176" s="16" t="n">
        <v>0</v>
      </c>
      <c r="AR176" s="16" t="n">
        <v>0</v>
      </c>
      <c r="AS176" s="16" t="n">
        <v>0</v>
      </c>
      <c r="AT176" s="16" t="n">
        <v>0</v>
      </c>
      <c r="AU176" s="16" t="n">
        <v>0</v>
      </c>
      <c r="AV176" s="16" t="n">
        <v>0</v>
      </c>
      <c r="AW176" s="16" t="n">
        <v>0</v>
      </c>
      <c r="AX176" s="16" t="n">
        <v>0</v>
      </c>
      <c r="AY176" s="16" t="n">
        <v>0</v>
      </c>
      <c r="AZ176" s="16" t="n">
        <v>0</v>
      </c>
      <c r="BA176" s="16" t="n">
        <v>0</v>
      </c>
      <c r="BB176" s="16" t="n">
        <v>0</v>
      </c>
      <c r="BC176" s="16" t="n">
        <v>0</v>
      </c>
      <c r="BD176" s="16" t="n">
        <v>0</v>
      </c>
      <c r="BE176" s="16" t="n">
        <v>0</v>
      </c>
      <c r="BF176" s="16" t="n">
        <v>0</v>
      </c>
      <c r="BG176" s="16" t="n">
        <v>0</v>
      </c>
      <c r="BH176" s="16" t="n">
        <v>0</v>
      </c>
      <c r="BI176" s="16" t="n">
        <v>0</v>
      </c>
      <c r="BJ176" s="16" t="n">
        <v>0</v>
      </c>
      <c r="BK176" s="16" t="n">
        <v>0</v>
      </c>
      <c r="BL176" s="16" t="n">
        <v>0</v>
      </c>
      <c r="BM176" s="16" t="n">
        <v>0</v>
      </c>
      <c r="BN176" s="16" t="n">
        <v>0</v>
      </c>
      <c r="BO176" s="16" t="n">
        <v>0</v>
      </c>
      <c r="BP176" s="16" t="n">
        <v>0</v>
      </c>
      <c r="BQ176" s="16" t="n">
        <v>0</v>
      </c>
      <c r="BR176" s="16" t="n">
        <v>0</v>
      </c>
      <c r="BS176" s="16" t="n">
        <v>0</v>
      </c>
      <c r="BT176" s="16" t="n">
        <v>0</v>
      </c>
      <c r="BU176" s="16" t="n">
        <v>0</v>
      </c>
      <c r="BV176" s="16" t="n">
        <v>0</v>
      </c>
      <c r="BW176" s="16" t="n">
        <v>0</v>
      </c>
      <c r="BX176" s="16" t="n">
        <v>0</v>
      </c>
      <c r="BY176" s="16" t="n">
        <v>0</v>
      </c>
      <c r="BZ176" s="16" t="n">
        <v>0</v>
      </c>
      <c r="CA176" s="16" t="n">
        <v>0</v>
      </c>
      <c r="CB176" s="16" t="n">
        <v>0</v>
      </c>
      <c r="CC176" s="16" t="n">
        <v>0</v>
      </c>
      <c r="CD176" s="16" t="n">
        <v>0</v>
      </c>
      <c r="CE176" s="16" t="n">
        <v>0</v>
      </c>
      <c r="CF176" s="16" t="n">
        <v>0</v>
      </c>
      <c r="CG176" s="16" t="n">
        <v>0</v>
      </c>
      <c r="CH176" s="16" t="n">
        <v>0</v>
      </c>
      <c r="CI176" s="16" t="n">
        <v>0</v>
      </c>
      <c r="CJ176" s="16" t="n">
        <v>0</v>
      </c>
      <c r="CK176" s="16" t="n">
        <v>0</v>
      </c>
      <c r="CL176" s="16" t="n">
        <v>0</v>
      </c>
      <c r="CM176" s="16" t="n">
        <v>0</v>
      </c>
      <c r="CN176" s="16" t="n">
        <v>0</v>
      </c>
      <c r="CO176" s="16" t="n">
        <v>0</v>
      </c>
      <c r="CP176" s="16" t="n">
        <v>0</v>
      </c>
      <c r="CQ176" s="16" t="n">
        <v>0</v>
      </c>
      <c r="CR176" s="16" t="n">
        <v>0</v>
      </c>
      <c r="CS176" s="16" t="n">
        <v>0</v>
      </c>
      <c r="CT176" s="16" t="n">
        <v>0</v>
      </c>
      <c r="CU176" s="16" t="n">
        <v>0</v>
      </c>
      <c r="CV176" s="16" t="n">
        <v>0</v>
      </c>
      <c r="CW176" s="16" t="n">
        <v>0</v>
      </c>
      <c r="CX176" s="16" t="n">
        <v>0</v>
      </c>
      <c r="CY176" s="16" t="n">
        <v>0</v>
      </c>
      <c r="CZ176" s="16" t="n">
        <v>0</v>
      </c>
      <c r="DA176" s="16" t="n">
        <v>0</v>
      </c>
      <c r="DB176" s="16" t="n">
        <v>0</v>
      </c>
      <c r="DC176" s="16" t="n">
        <v>0</v>
      </c>
      <c r="DD176" s="16" t="n">
        <v>0</v>
      </c>
      <c r="DE176" s="16" t="n">
        <v>0</v>
      </c>
      <c r="DF176" s="16" t="n">
        <v>0</v>
      </c>
      <c r="DG176" s="16" t="n">
        <v>0</v>
      </c>
      <c r="DH176" s="16" t="n">
        <v>0</v>
      </c>
      <c r="DI176" s="16" t="n">
        <v>0</v>
      </c>
      <c r="DJ176" s="16" t="n">
        <v>0</v>
      </c>
      <c r="DK176" s="16" t="n">
        <v>0</v>
      </c>
      <c r="DL176" s="16" t="n">
        <v>0</v>
      </c>
      <c r="DM176" s="16" t="n">
        <v>0</v>
      </c>
      <c r="DN176" s="16" t="n">
        <v>0</v>
      </c>
      <c r="DO176" s="16" t="n">
        <v>0</v>
      </c>
      <c r="DP176" s="16" t="n">
        <v>0</v>
      </c>
      <c r="DQ176" s="16" t="n">
        <v>0</v>
      </c>
      <c r="DR176" s="16" t="n">
        <v>0</v>
      </c>
      <c r="DS176" s="16" t="n">
        <v>0</v>
      </c>
      <c r="DT176" s="16" t="n">
        <v>0</v>
      </c>
      <c r="DU176" s="16" t="n">
        <v>0</v>
      </c>
      <c r="DV176" s="16" t="n">
        <v>0</v>
      </c>
      <c r="DW176" s="16" t="n">
        <v>0</v>
      </c>
      <c r="DX176" s="16" t="n">
        <v>0</v>
      </c>
      <c r="DY176" s="16" t="n">
        <v>0</v>
      </c>
      <c r="DZ176" s="16" t="n">
        <v>0</v>
      </c>
      <c r="EA176" s="16" t="n">
        <v>0</v>
      </c>
      <c r="EB176" s="16" t="n">
        <v>0</v>
      </c>
      <c r="EC176" s="16" t="n">
        <v>0</v>
      </c>
      <c r="ED176" s="16" t="n">
        <v>0</v>
      </c>
      <c r="EE176" s="16" t="n">
        <v>0</v>
      </c>
      <c r="EF176" s="16" t="n">
        <v>0</v>
      </c>
    </row>
    <row r="177" customFormat="false" ht="15" hidden="false" customHeight="true" outlineLevel="0" collapsed="false">
      <c r="A177" s="9" t="s">
        <v>12</v>
      </c>
      <c r="B177" s="9" t="s">
        <v>23</v>
      </c>
      <c r="C177" s="9" t="s">
        <v>23</v>
      </c>
      <c r="D177" s="9" t="s">
        <v>337</v>
      </c>
      <c r="E177" s="9" t="s">
        <v>10</v>
      </c>
      <c r="F177" s="9" t="s">
        <v>84</v>
      </c>
      <c r="G177" s="16" t="n">
        <v>0</v>
      </c>
      <c r="H177" s="16" t="n">
        <v>0</v>
      </c>
      <c r="I177" s="16" t="n">
        <v>10</v>
      </c>
      <c r="J177" s="16" t="n">
        <v>-10</v>
      </c>
      <c r="K177" s="16" t="n">
        <v>0</v>
      </c>
      <c r="L177" s="16" t="n">
        <v>0</v>
      </c>
      <c r="M177" s="16" t="n">
        <v>0</v>
      </c>
      <c r="N177" s="16" t="n">
        <v>0</v>
      </c>
      <c r="O177" s="16" t="n">
        <v>0</v>
      </c>
      <c r="P177" s="16" t="n">
        <v>0</v>
      </c>
      <c r="Q177" s="16" t="n">
        <v>0</v>
      </c>
      <c r="R177" s="16" t="n">
        <v>0</v>
      </c>
      <c r="S177" s="16" t="n">
        <v>0</v>
      </c>
      <c r="T177" s="16" t="n">
        <v>0</v>
      </c>
      <c r="U177" s="16" t="n">
        <v>0</v>
      </c>
      <c r="V177" s="16" t="n">
        <v>0</v>
      </c>
      <c r="W177" s="16" t="n">
        <v>0</v>
      </c>
      <c r="X177" s="16" t="n">
        <v>0</v>
      </c>
      <c r="Y177" s="16" t="n">
        <v>0</v>
      </c>
      <c r="Z177" s="16" t="n">
        <v>0</v>
      </c>
      <c r="AA177" s="16" t="n">
        <v>0</v>
      </c>
      <c r="AB177" s="16" t="n">
        <v>0</v>
      </c>
      <c r="AC177" s="16" t="n">
        <v>0</v>
      </c>
      <c r="AD177" s="16" t="n">
        <v>0</v>
      </c>
      <c r="AE177" s="16" t="n">
        <v>0</v>
      </c>
      <c r="AF177" s="16" t="n">
        <v>0</v>
      </c>
      <c r="AG177" s="16" t="n">
        <v>0</v>
      </c>
      <c r="AH177" s="16" t="n">
        <v>0</v>
      </c>
      <c r="AI177" s="16" t="n">
        <v>0</v>
      </c>
      <c r="AJ177" s="16" t="n">
        <v>0</v>
      </c>
      <c r="AK177" s="16" t="n">
        <v>0</v>
      </c>
      <c r="AL177" s="16" t="n">
        <v>0</v>
      </c>
      <c r="AM177" s="16" t="n">
        <v>0</v>
      </c>
      <c r="AN177" s="16" t="n">
        <v>0</v>
      </c>
      <c r="AO177" s="16" t="n">
        <v>0</v>
      </c>
      <c r="AP177" s="16" t="n">
        <v>0</v>
      </c>
      <c r="AQ177" s="16" t="n">
        <v>0</v>
      </c>
      <c r="AR177" s="16" t="n">
        <v>0</v>
      </c>
      <c r="AS177" s="16" t="n">
        <v>0</v>
      </c>
      <c r="AT177" s="16" t="n">
        <v>0</v>
      </c>
      <c r="AU177" s="16" t="n">
        <v>0</v>
      </c>
      <c r="AV177" s="16" t="n">
        <v>0</v>
      </c>
      <c r="AW177" s="16" t="n">
        <v>0</v>
      </c>
      <c r="AX177" s="16" t="n">
        <v>0</v>
      </c>
      <c r="AY177" s="16" t="n">
        <v>0</v>
      </c>
      <c r="AZ177" s="16" t="n">
        <v>0</v>
      </c>
      <c r="BA177" s="16" t="n">
        <v>0</v>
      </c>
      <c r="BB177" s="16" t="n">
        <v>0</v>
      </c>
      <c r="BC177" s="16" t="n">
        <v>0</v>
      </c>
      <c r="BD177" s="16" t="n">
        <v>0</v>
      </c>
      <c r="BE177" s="16" t="n">
        <v>0</v>
      </c>
      <c r="BF177" s="16" t="n">
        <v>0</v>
      </c>
      <c r="BG177" s="16" t="n">
        <v>0</v>
      </c>
      <c r="BH177" s="16" t="n">
        <v>0</v>
      </c>
      <c r="BI177" s="16" t="n">
        <v>0</v>
      </c>
      <c r="BJ177" s="16" t="n">
        <v>0</v>
      </c>
      <c r="BK177" s="16" t="n">
        <v>0</v>
      </c>
      <c r="BL177" s="16" t="n">
        <v>0</v>
      </c>
      <c r="BM177" s="16" t="n">
        <v>0</v>
      </c>
      <c r="BN177" s="16" t="n">
        <v>0</v>
      </c>
      <c r="BO177" s="16" t="n">
        <v>0</v>
      </c>
      <c r="BP177" s="16" t="n">
        <v>0</v>
      </c>
      <c r="BQ177" s="16" t="n">
        <v>0</v>
      </c>
      <c r="BR177" s="16" t="n">
        <v>0</v>
      </c>
      <c r="BS177" s="16" t="n">
        <v>0</v>
      </c>
      <c r="BT177" s="16" t="n">
        <v>0</v>
      </c>
      <c r="BU177" s="16" t="n">
        <v>0</v>
      </c>
      <c r="BV177" s="16" t="n">
        <v>0</v>
      </c>
      <c r="BW177" s="16" t="n">
        <v>0</v>
      </c>
      <c r="BX177" s="16" t="n">
        <v>0</v>
      </c>
      <c r="BY177" s="16" t="n">
        <v>0</v>
      </c>
      <c r="BZ177" s="16" t="n">
        <v>0</v>
      </c>
      <c r="CA177" s="16" t="n">
        <v>0</v>
      </c>
      <c r="CB177" s="16" t="n">
        <v>0</v>
      </c>
      <c r="CC177" s="16" t="n">
        <v>0</v>
      </c>
      <c r="CD177" s="16" t="n">
        <v>0</v>
      </c>
      <c r="CE177" s="16" t="n">
        <v>0</v>
      </c>
      <c r="CF177" s="16" t="n">
        <v>0</v>
      </c>
      <c r="CG177" s="16" t="n">
        <v>0</v>
      </c>
      <c r="CH177" s="16" t="n">
        <v>0</v>
      </c>
      <c r="CI177" s="16" t="n">
        <v>0</v>
      </c>
      <c r="CJ177" s="16" t="n">
        <v>0</v>
      </c>
      <c r="CK177" s="16" t="n">
        <v>0</v>
      </c>
      <c r="CL177" s="16" t="n">
        <v>0</v>
      </c>
      <c r="CM177" s="16" t="n">
        <v>0</v>
      </c>
      <c r="CN177" s="16" t="n">
        <v>0</v>
      </c>
      <c r="CO177" s="16" t="n">
        <v>0</v>
      </c>
      <c r="CP177" s="16" t="n">
        <v>0</v>
      </c>
      <c r="CQ177" s="16" t="n">
        <v>0</v>
      </c>
      <c r="CR177" s="16" t="n">
        <v>0</v>
      </c>
      <c r="CS177" s="16" t="n">
        <v>0</v>
      </c>
      <c r="CT177" s="16" t="n">
        <v>0</v>
      </c>
      <c r="CU177" s="16" t="n">
        <v>0</v>
      </c>
      <c r="CV177" s="16" t="n">
        <v>0</v>
      </c>
      <c r="CW177" s="16" t="n">
        <v>0</v>
      </c>
      <c r="CX177" s="16" t="n">
        <v>0</v>
      </c>
      <c r="CY177" s="16" t="n">
        <v>0</v>
      </c>
      <c r="CZ177" s="16" t="n">
        <v>5</v>
      </c>
      <c r="DA177" s="16" t="n">
        <v>5</v>
      </c>
      <c r="DB177" s="16" t="n">
        <v>0</v>
      </c>
      <c r="DC177" s="16" t="n">
        <v>0</v>
      </c>
      <c r="DD177" s="16" t="n">
        <v>0</v>
      </c>
      <c r="DE177" s="16" t="n">
        <v>0</v>
      </c>
      <c r="DF177" s="16" t="n">
        <v>0</v>
      </c>
      <c r="DG177" s="16" t="n">
        <v>0</v>
      </c>
      <c r="DH177" s="16" t="n">
        <v>0</v>
      </c>
      <c r="DI177" s="16" t="n">
        <v>0</v>
      </c>
      <c r="DJ177" s="16" t="n">
        <v>0</v>
      </c>
      <c r="DK177" s="16" t="n">
        <v>0</v>
      </c>
      <c r="DL177" s="16" t="n">
        <v>0</v>
      </c>
      <c r="DM177" s="16" t="n">
        <v>0</v>
      </c>
      <c r="DN177" s="16" t="n">
        <v>0</v>
      </c>
      <c r="DO177" s="16" t="n">
        <v>0</v>
      </c>
      <c r="DP177" s="16" t="n">
        <v>0</v>
      </c>
      <c r="DQ177" s="16" t="n">
        <v>0</v>
      </c>
      <c r="DR177" s="16" t="n">
        <v>0</v>
      </c>
      <c r="DS177" s="16" t="n">
        <v>0</v>
      </c>
      <c r="DT177" s="16" t="n">
        <v>0</v>
      </c>
      <c r="DU177" s="16" t="n">
        <v>0</v>
      </c>
      <c r="DV177" s="16" t="n">
        <v>0</v>
      </c>
      <c r="DW177" s="16" t="n">
        <v>0</v>
      </c>
      <c r="DX177" s="16" t="n">
        <v>0</v>
      </c>
      <c r="DY177" s="16" t="n">
        <v>0</v>
      </c>
      <c r="DZ177" s="16" t="n">
        <v>0</v>
      </c>
      <c r="EA177" s="16" t="n">
        <v>0</v>
      </c>
      <c r="EB177" s="16" t="n">
        <v>0</v>
      </c>
      <c r="EC177" s="16" t="n">
        <v>0</v>
      </c>
      <c r="ED177" s="16" t="n">
        <v>0</v>
      </c>
      <c r="EE177" s="16" t="n">
        <v>0</v>
      </c>
      <c r="EF177" s="16" t="n">
        <v>0</v>
      </c>
    </row>
    <row r="178" customFormat="false" ht="15" hidden="false" customHeight="true" outlineLevel="0" collapsed="false">
      <c r="A178" s="9" t="s">
        <v>12</v>
      </c>
      <c r="B178" s="9" t="s">
        <v>23</v>
      </c>
      <c r="C178" s="9" t="s">
        <v>23</v>
      </c>
      <c r="D178" s="9" t="s">
        <v>338</v>
      </c>
      <c r="E178" s="9" t="s">
        <v>10</v>
      </c>
      <c r="F178" s="9" t="s">
        <v>40</v>
      </c>
      <c r="G178" s="16" t="n">
        <v>0</v>
      </c>
      <c r="H178" s="16" t="n">
        <v>18</v>
      </c>
      <c r="I178" s="16" t="n">
        <v>0</v>
      </c>
      <c r="J178" s="16" t="n">
        <v>18</v>
      </c>
      <c r="K178" s="16" t="n">
        <v>0</v>
      </c>
      <c r="L178" s="16" t="n">
        <v>0</v>
      </c>
      <c r="M178" s="16" t="n">
        <v>0</v>
      </c>
      <c r="N178" s="16" t="n">
        <v>0</v>
      </c>
      <c r="O178" s="16" t="n">
        <v>0</v>
      </c>
      <c r="P178" s="16" t="n">
        <v>0</v>
      </c>
      <c r="Q178" s="16" t="n">
        <v>0</v>
      </c>
      <c r="R178" s="16" t="n">
        <v>0</v>
      </c>
      <c r="S178" s="16" t="n">
        <v>0</v>
      </c>
      <c r="T178" s="16" t="n">
        <v>0</v>
      </c>
      <c r="U178" s="16" t="n">
        <v>0</v>
      </c>
      <c r="V178" s="16" t="n">
        <v>0</v>
      </c>
      <c r="W178" s="16" t="n">
        <v>0</v>
      </c>
      <c r="X178" s="16" t="n">
        <v>0</v>
      </c>
      <c r="Y178" s="16" t="n">
        <v>0</v>
      </c>
      <c r="Z178" s="16" t="n">
        <v>0</v>
      </c>
      <c r="AA178" s="16" t="n">
        <v>0</v>
      </c>
      <c r="AB178" s="16" t="n">
        <v>0</v>
      </c>
      <c r="AC178" s="16" t="n">
        <v>0</v>
      </c>
      <c r="AD178" s="16" t="n">
        <v>0</v>
      </c>
      <c r="AE178" s="16" t="n">
        <v>0</v>
      </c>
      <c r="AF178" s="16" t="n">
        <v>0</v>
      </c>
      <c r="AG178" s="16" t="n">
        <v>0</v>
      </c>
      <c r="AH178" s="16" t="n">
        <v>0</v>
      </c>
      <c r="AI178" s="16" t="n">
        <v>0</v>
      </c>
      <c r="AJ178" s="16" t="n">
        <v>0</v>
      </c>
      <c r="AK178" s="16" t="n">
        <v>0</v>
      </c>
      <c r="AL178" s="16" t="n">
        <v>0</v>
      </c>
      <c r="AM178" s="16" t="n">
        <v>0</v>
      </c>
      <c r="AN178" s="16" t="n">
        <v>0</v>
      </c>
      <c r="AO178" s="16" t="n">
        <v>0</v>
      </c>
      <c r="AP178" s="16" t="n">
        <v>0</v>
      </c>
      <c r="AQ178" s="16" t="n">
        <v>0</v>
      </c>
      <c r="AR178" s="16" t="n">
        <v>0</v>
      </c>
      <c r="AS178" s="16" t="n">
        <v>0</v>
      </c>
      <c r="AT178" s="16" t="n">
        <v>0</v>
      </c>
      <c r="AU178" s="16" t="n">
        <v>0</v>
      </c>
      <c r="AV178" s="16" t="n">
        <v>0</v>
      </c>
      <c r="AW178" s="16" t="n">
        <v>0</v>
      </c>
      <c r="AX178" s="16" t="n">
        <v>0</v>
      </c>
      <c r="AY178" s="16" t="n">
        <v>0</v>
      </c>
      <c r="AZ178" s="16" t="n">
        <v>0</v>
      </c>
      <c r="BA178" s="16" t="n">
        <v>0</v>
      </c>
      <c r="BB178" s="16" t="n">
        <v>0</v>
      </c>
      <c r="BC178" s="16" t="n">
        <v>0</v>
      </c>
      <c r="BD178" s="16" t="n">
        <v>0</v>
      </c>
      <c r="BE178" s="16" t="n">
        <v>0</v>
      </c>
      <c r="BF178" s="16" t="n">
        <v>0</v>
      </c>
      <c r="BG178" s="16" t="n">
        <v>0</v>
      </c>
      <c r="BH178" s="16" t="n">
        <v>0</v>
      </c>
      <c r="BI178" s="16" t="n">
        <v>0</v>
      </c>
      <c r="BJ178" s="16" t="n">
        <v>0</v>
      </c>
      <c r="BK178" s="16" t="n">
        <v>0</v>
      </c>
      <c r="BL178" s="16" t="n">
        <v>0</v>
      </c>
      <c r="BM178" s="16" t="n">
        <v>0</v>
      </c>
      <c r="BN178" s="16" t="n">
        <v>0</v>
      </c>
      <c r="BO178" s="16" t="n">
        <v>0</v>
      </c>
      <c r="BP178" s="16" t="n">
        <v>0</v>
      </c>
      <c r="BQ178" s="16" t="n">
        <v>0</v>
      </c>
      <c r="BR178" s="16" t="n">
        <v>0</v>
      </c>
      <c r="BS178" s="16" t="n">
        <v>0</v>
      </c>
      <c r="BT178" s="16" t="n">
        <v>0</v>
      </c>
      <c r="BU178" s="16" t="n">
        <v>0</v>
      </c>
      <c r="BV178" s="16" t="n">
        <v>0</v>
      </c>
      <c r="BW178" s="16" t="n">
        <v>0</v>
      </c>
      <c r="BX178" s="16" t="n">
        <v>0</v>
      </c>
      <c r="BY178" s="16" t="n">
        <v>0</v>
      </c>
      <c r="BZ178" s="16" t="n">
        <v>0</v>
      </c>
      <c r="CA178" s="16" t="n">
        <v>0</v>
      </c>
      <c r="CB178" s="16" t="n">
        <v>0</v>
      </c>
      <c r="CC178" s="16" t="n">
        <v>0</v>
      </c>
      <c r="CD178" s="16" t="n">
        <v>0</v>
      </c>
      <c r="CE178" s="16" t="n">
        <v>0</v>
      </c>
      <c r="CF178" s="16" t="n">
        <v>0</v>
      </c>
      <c r="CG178" s="16" t="n">
        <v>0</v>
      </c>
      <c r="CH178" s="16" t="n">
        <v>0</v>
      </c>
      <c r="CI178" s="16" t="n">
        <v>0</v>
      </c>
      <c r="CJ178" s="16" t="n">
        <v>0</v>
      </c>
      <c r="CK178" s="16" t="n">
        <v>0</v>
      </c>
      <c r="CL178" s="16" t="n">
        <v>0</v>
      </c>
      <c r="CM178" s="16" t="n">
        <v>0</v>
      </c>
      <c r="CN178" s="16" t="n">
        <v>0</v>
      </c>
      <c r="CO178" s="16" t="n">
        <v>0</v>
      </c>
      <c r="CP178" s="16" t="n">
        <v>0</v>
      </c>
      <c r="CQ178" s="16" t="n">
        <v>0</v>
      </c>
      <c r="CR178" s="16" t="n">
        <v>0</v>
      </c>
      <c r="CS178" s="16" t="n">
        <v>0</v>
      </c>
      <c r="CT178" s="16" t="n">
        <v>0</v>
      </c>
      <c r="CU178" s="16" t="n">
        <v>0</v>
      </c>
      <c r="CV178" s="16" t="n">
        <v>0</v>
      </c>
      <c r="CW178" s="16" t="n">
        <v>0</v>
      </c>
      <c r="CX178" s="16" t="n">
        <v>0</v>
      </c>
      <c r="CY178" s="16" t="n">
        <v>0</v>
      </c>
      <c r="CZ178" s="16" t="n">
        <v>0</v>
      </c>
      <c r="DA178" s="16" t="n">
        <v>0</v>
      </c>
      <c r="DB178" s="16" t="n">
        <v>0</v>
      </c>
      <c r="DC178" s="16" t="n">
        <v>0</v>
      </c>
      <c r="DD178" s="16" t="n">
        <v>0</v>
      </c>
      <c r="DE178" s="16" t="n">
        <v>0</v>
      </c>
      <c r="DF178" s="16" t="n">
        <v>0</v>
      </c>
      <c r="DG178" s="16" t="n">
        <v>0</v>
      </c>
      <c r="DH178" s="16" t="n">
        <v>0</v>
      </c>
      <c r="DI178" s="16" t="n">
        <v>0</v>
      </c>
      <c r="DJ178" s="16" t="n">
        <v>0</v>
      </c>
      <c r="DK178" s="16" t="n">
        <v>0</v>
      </c>
      <c r="DL178" s="16" t="n">
        <v>0</v>
      </c>
      <c r="DM178" s="16" t="n">
        <v>0</v>
      </c>
      <c r="DN178" s="16" t="n">
        <v>0</v>
      </c>
      <c r="DO178" s="16" t="n">
        <v>0</v>
      </c>
      <c r="DP178" s="16" t="n">
        <v>0</v>
      </c>
      <c r="DQ178" s="16" t="n">
        <v>0</v>
      </c>
      <c r="DR178" s="16" t="n">
        <v>0</v>
      </c>
      <c r="DS178" s="16" t="n">
        <v>0</v>
      </c>
      <c r="DT178" s="16" t="n">
        <v>0</v>
      </c>
      <c r="DU178" s="16" t="n">
        <v>0</v>
      </c>
      <c r="DV178" s="16" t="n">
        <v>0</v>
      </c>
      <c r="DW178" s="16" t="n">
        <v>0</v>
      </c>
      <c r="DX178" s="16" t="n">
        <v>0</v>
      </c>
      <c r="DY178" s="16" t="n">
        <v>0</v>
      </c>
      <c r="DZ178" s="16" t="n">
        <v>0</v>
      </c>
      <c r="EA178" s="16" t="n">
        <v>0</v>
      </c>
      <c r="EB178" s="16" t="n">
        <v>0</v>
      </c>
      <c r="EC178" s="16" t="n">
        <v>0</v>
      </c>
      <c r="ED178" s="16" t="n">
        <v>0</v>
      </c>
      <c r="EE178" s="16" t="n">
        <v>0</v>
      </c>
      <c r="EF178" s="16" t="n">
        <v>0</v>
      </c>
    </row>
    <row r="179" customFormat="false" ht="15" hidden="false" customHeight="true" outlineLevel="0" collapsed="false">
      <c r="A179" s="9" t="s">
        <v>12</v>
      </c>
      <c r="B179" s="9" t="s">
        <v>23</v>
      </c>
      <c r="C179" s="9" t="s">
        <v>23</v>
      </c>
      <c r="D179" s="9" t="s">
        <v>337</v>
      </c>
      <c r="E179" s="9" t="s">
        <v>10</v>
      </c>
      <c r="F179" s="9" t="s">
        <v>40</v>
      </c>
      <c r="G179" s="16" t="n">
        <v>0</v>
      </c>
      <c r="H179" s="16" t="n">
        <v>0</v>
      </c>
      <c r="I179" s="16" t="n">
        <v>18</v>
      </c>
      <c r="J179" s="16" t="n">
        <v>-18</v>
      </c>
      <c r="K179" s="16" t="n">
        <v>0</v>
      </c>
      <c r="L179" s="16" t="n">
        <v>0</v>
      </c>
      <c r="M179" s="16" t="n">
        <v>0</v>
      </c>
      <c r="N179" s="16" t="n">
        <v>0</v>
      </c>
      <c r="O179" s="16" t="n">
        <v>0</v>
      </c>
      <c r="P179" s="16" t="n">
        <v>0</v>
      </c>
      <c r="Q179" s="16" t="n">
        <v>0</v>
      </c>
      <c r="R179" s="16" t="n">
        <v>0</v>
      </c>
      <c r="S179" s="16" t="n">
        <v>0</v>
      </c>
      <c r="T179" s="16" t="n">
        <v>0</v>
      </c>
      <c r="U179" s="16" t="n">
        <v>0</v>
      </c>
      <c r="V179" s="16" t="n">
        <v>0</v>
      </c>
      <c r="W179" s="16" t="n">
        <v>0</v>
      </c>
      <c r="X179" s="16" t="n">
        <v>0</v>
      </c>
      <c r="Y179" s="16" t="n">
        <v>0</v>
      </c>
      <c r="Z179" s="16" t="n">
        <v>0</v>
      </c>
      <c r="AA179" s="16" t="n">
        <v>0</v>
      </c>
      <c r="AB179" s="16" t="n">
        <v>0</v>
      </c>
      <c r="AC179" s="16" t="n">
        <v>0</v>
      </c>
      <c r="AD179" s="16" t="n">
        <v>0</v>
      </c>
      <c r="AE179" s="16" t="n">
        <v>0</v>
      </c>
      <c r="AF179" s="16" t="n">
        <v>0</v>
      </c>
      <c r="AG179" s="16" t="n">
        <v>0</v>
      </c>
      <c r="AH179" s="16" t="n">
        <v>0</v>
      </c>
      <c r="AI179" s="16" t="n">
        <v>0</v>
      </c>
      <c r="AJ179" s="16" t="n">
        <v>0</v>
      </c>
      <c r="AK179" s="16" t="n">
        <v>0</v>
      </c>
      <c r="AL179" s="16" t="n">
        <v>0</v>
      </c>
      <c r="AM179" s="16" t="n">
        <v>0</v>
      </c>
      <c r="AN179" s="16" t="n">
        <v>0</v>
      </c>
      <c r="AO179" s="16" t="n">
        <v>0</v>
      </c>
      <c r="AP179" s="16" t="n">
        <v>0</v>
      </c>
      <c r="AQ179" s="16" t="n">
        <v>0</v>
      </c>
      <c r="AR179" s="16" t="n">
        <v>0</v>
      </c>
      <c r="AS179" s="16" t="n">
        <v>0</v>
      </c>
      <c r="AT179" s="16" t="n">
        <v>0</v>
      </c>
      <c r="AU179" s="16" t="n">
        <v>0</v>
      </c>
      <c r="AV179" s="16" t="n">
        <v>0</v>
      </c>
      <c r="AW179" s="16" t="n">
        <v>0</v>
      </c>
      <c r="AX179" s="16" t="n">
        <v>0</v>
      </c>
      <c r="AY179" s="16" t="n">
        <v>0</v>
      </c>
      <c r="AZ179" s="16" t="n">
        <v>0</v>
      </c>
      <c r="BA179" s="16" t="n">
        <v>0</v>
      </c>
      <c r="BB179" s="16" t="n">
        <v>0</v>
      </c>
      <c r="BC179" s="16" t="n">
        <v>0</v>
      </c>
      <c r="BD179" s="16" t="n">
        <v>0</v>
      </c>
      <c r="BE179" s="16" t="n">
        <v>0</v>
      </c>
      <c r="BF179" s="16" t="n">
        <v>0</v>
      </c>
      <c r="BG179" s="16" t="n">
        <v>0</v>
      </c>
      <c r="BH179" s="16" t="n">
        <v>0</v>
      </c>
      <c r="BI179" s="16" t="n">
        <v>0</v>
      </c>
      <c r="BJ179" s="16" t="n">
        <v>0</v>
      </c>
      <c r="BK179" s="16" t="n">
        <v>0</v>
      </c>
      <c r="BL179" s="16" t="n">
        <v>0</v>
      </c>
      <c r="BM179" s="16" t="n">
        <v>0</v>
      </c>
      <c r="BN179" s="16" t="n">
        <v>0</v>
      </c>
      <c r="BO179" s="16" t="n">
        <v>0</v>
      </c>
      <c r="BP179" s="16" t="n">
        <v>0</v>
      </c>
      <c r="BQ179" s="16" t="n">
        <v>0</v>
      </c>
      <c r="BR179" s="16" t="n">
        <v>0</v>
      </c>
      <c r="BS179" s="16" t="n">
        <v>0</v>
      </c>
      <c r="BT179" s="16" t="n">
        <v>0</v>
      </c>
      <c r="BU179" s="16" t="n">
        <v>0</v>
      </c>
      <c r="BV179" s="16" t="n">
        <v>0</v>
      </c>
      <c r="BW179" s="16" t="n">
        <v>0</v>
      </c>
      <c r="BX179" s="16" t="n">
        <v>0</v>
      </c>
      <c r="BY179" s="16" t="n">
        <v>0</v>
      </c>
      <c r="BZ179" s="16" t="n">
        <v>0</v>
      </c>
      <c r="CA179" s="16" t="n">
        <v>0</v>
      </c>
      <c r="CB179" s="16" t="n">
        <v>0</v>
      </c>
      <c r="CC179" s="16" t="n">
        <v>0</v>
      </c>
      <c r="CD179" s="16" t="n">
        <v>0</v>
      </c>
      <c r="CE179" s="16" t="n">
        <v>0</v>
      </c>
      <c r="CF179" s="16" t="n">
        <v>0</v>
      </c>
      <c r="CG179" s="16" t="n">
        <v>0</v>
      </c>
      <c r="CH179" s="16" t="n">
        <v>0</v>
      </c>
      <c r="CI179" s="16" t="n">
        <v>0</v>
      </c>
      <c r="CJ179" s="16" t="n">
        <v>0</v>
      </c>
      <c r="CK179" s="16" t="n">
        <v>0</v>
      </c>
      <c r="CL179" s="16" t="n">
        <v>0</v>
      </c>
      <c r="CM179" s="16" t="n">
        <v>0</v>
      </c>
      <c r="CN179" s="16" t="n">
        <v>0</v>
      </c>
      <c r="CO179" s="16" t="n">
        <v>0</v>
      </c>
      <c r="CP179" s="16" t="n">
        <v>0</v>
      </c>
      <c r="CQ179" s="16" t="n">
        <v>0</v>
      </c>
      <c r="CR179" s="16" t="n">
        <v>0</v>
      </c>
      <c r="CS179" s="16" t="n">
        <v>0</v>
      </c>
      <c r="CT179" s="16" t="n">
        <v>0</v>
      </c>
      <c r="CU179" s="16" t="n">
        <v>0</v>
      </c>
      <c r="CV179" s="16" t="n">
        <v>0</v>
      </c>
      <c r="CW179" s="16" t="n">
        <v>0</v>
      </c>
      <c r="CX179" s="16" t="n">
        <v>0</v>
      </c>
      <c r="CY179" s="16" t="n">
        <v>0</v>
      </c>
      <c r="CZ179" s="16" t="n">
        <v>0</v>
      </c>
      <c r="DA179" s="16" t="n">
        <v>0</v>
      </c>
      <c r="DB179" s="16" t="n">
        <v>0</v>
      </c>
      <c r="DC179" s="16" t="n">
        <v>0</v>
      </c>
      <c r="DD179" s="16" t="n">
        <v>0</v>
      </c>
      <c r="DE179" s="16" t="n">
        <v>0</v>
      </c>
      <c r="DF179" s="16" t="n">
        <v>0</v>
      </c>
      <c r="DG179" s="16" t="n">
        <v>0</v>
      </c>
      <c r="DH179" s="16" t="n">
        <v>0</v>
      </c>
      <c r="DI179" s="16" t="n">
        <v>0</v>
      </c>
      <c r="DJ179" s="16" t="n">
        <v>0</v>
      </c>
      <c r="DK179" s="16" t="n">
        <v>0</v>
      </c>
      <c r="DL179" s="16" t="n">
        <v>0</v>
      </c>
      <c r="DM179" s="16" t="n">
        <v>0</v>
      </c>
      <c r="DN179" s="16" t="n">
        <v>0</v>
      </c>
      <c r="DO179" s="16" t="n">
        <v>0</v>
      </c>
      <c r="DP179" s="16" t="n">
        <v>3</v>
      </c>
      <c r="DQ179" s="16" t="n">
        <v>5</v>
      </c>
      <c r="DR179" s="16" t="n">
        <v>10</v>
      </c>
      <c r="DS179" s="16" t="n">
        <v>0</v>
      </c>
      <c r="DT179" s="16" t="n">
        <v>0</v>
      </c>
      <c r="DU179" s="16" t="n">
        <v>0</v>
      </c>
      <c r="DV179" s="16" t="n">
        <v>0</v>
      </c>
      <c r="DW179" s="16" t="n">
        <v>0</v>
      </c>
      <c r="DX179" s="16" t="n">
        <v>0</v>
      </c>
      <c r="DY179" s="16" t="n">
        <v>0</v>
      </c>
      <c r="DZ179" s="16" t="n">
        <v>0</v>
      </c>
      <c r="EA179" s="16" t="n">
        <v>0</v>
      </c>
      <c r="EB179" s="16" t="n">
        <v>0</v>
      </c>
      <c r="EC179" s="16" t="n">
        <v>0</v>
      </c>
      <c r="ED179" s="16" t="n">
        <v>0</v>
      </c>
      <c r="EE179" s="16" t="n">
        <v>0</v>
      </c>
      <c r="EF179" s="16" t="n">
        <v>0</v>
      </c>
    </row>
    <row r="180" customFormat="false" ht="15" hidden="false" customHeight="true" outlineLevel="0" collapsed="false">
      <c r="A180" s="9" t="s">
        <v>12</v>
      </c>
      <c r="B180" s="9" t="s">
        <v>23</v>
      </c>
      <c r="C180" s="9" t="s">
        <v>23</v>
      </c>
      <c r="D180" s="9" t="s">
        <v>338</v>
      </c>
      <c r="E180" s="9" t="s">
        <v>10</v>
      </c>
      <c r="F180" s="9" t="s">
        <v>85</v>
      </c>
      <c r="G180" s="16" t="n">
        <v>1</v>
      </c>
      <c r="H180" s="16" t="n">
        <v>1</v>
      </c>
      <c r="I180" s="16" t="n">
        <v>1</v>
      </c>
      <c r="J180" s="16" t="n">
        <v>0</v>
      </c>
      <c r="K180" s="16" t="n">
        <v>0</v>
      </c>
      <c r="L180" s="16" t="n">
        <v>0</v>
      </c>
      <c r="M180" s="16" t="n">
        <v>0</v>
      </c>
      <c r="N180" s="16" t="n">
        <v>0</v>
      </c>
      <c r="O180" s="16" t="n">
        <v>0</v>
      </c>
      <c r="P180" s="16" t="n">
        <v>0</v>
      </c>
      <c r="Q180" s="16" t="n">
        <v>0</v>
      </c>
      <c r="R180" s="16" t="n">
        <v>0</v>
      </c>
      <c r="S180" s="16" t="n">
        <v>0</v>
      </c>
      <c r="T180" s="16" t="n">
        <v>0</v>
      </c>
      <c r="U180" s="16" t="n">
        <v>0</v>
      </c>
      <c r="V180" s="16" t="n">
        <v>0</v>
      </c>
      <c r="W180" s="16" t="n">
        <v>0</v>
      </c>
      <c r="X180" s="16" t="n">
        <v>0</v>
      </c>
      <c r="Y180" s="16" t="n">
        <v>0</v>
      </c>
      <c r="Z180" s="16" t="n">
        <v>0</v>
      </c>
      <c r="AA180" s="16" t="n">
        <v>0</v>
      </c>
      <c r="AB180" s="16" t="n">
        <v>0</v>
      </c>
      <c r="AC180" s="16" t="n">
        <v>0</v>
      </c>
      <c r="AD180" s="16" t="n">
        <v>1</v>
      </c>
      <c r="AE180" s="16" t="n">
        <v>0</v>
      </c>
      <c r="AF180" s="16" t="n">
        <v>0</v>
      </c>
      <c r="AG180" s="16" t="n">
        <v>0</v>
      </c>
      <c r="AH180" s="16" t="n">
        <v>0</v>
      </c>
      <c r="AI180" s="16" t="n">
        <v>0</v>
      </c>
      <c r="AJ180" s="16" t="n">
        <v>0</v>
      </c>
      <c r="AK180" s="16" t="n">
        <v>0</v>
      </c>
      <c r="AL180" s="16" t="n">
        <v>0</v>
      </c>
      <c r="AM180" s="16" t="n">
        <v>0</v>
      </c>
      <c r="AN180" s="16" t="n">
        <v>0</v>
      </c>
      <c r="AO180" s="16" t="n">
        <v>0</v>
      </c>
      <c r="AP180" s="16" t="n">
        <v>0</v>
      </c>
      <c r="AQ180" s="16" t="n">
        <v>0</v>
      </c>
      <c r="AR180" s="16" t="n">
        <v>0</v>
      </c>
      <c r="AS180" s="16" t="n">
        <v>0</v>
      </c>
      <c r="AT180" s="16" t="n">
        <v>0</v>
      </c>
      <c r="AU180" s="16" t="n">
        <v>0</v>
      </c>
      <c r="AV180" s="16" t="n">
        <v>0</v>
      </c>
      <c r="AW180" s="16" t="n">
        <v>0</v>
      </c>
      <c r="AX180" s="16" t="n">
        <v>0</v>
      </c>
      <c r="AY180" s="16" t="n">
        <v>0</v>
      </c>
      <c r="AZ180" s="16" t="n">
        <v>0</v>
      </c>
      <c r="BA180" s="16" t="n">
        <v>0</v>
      </c>
      <c r="BB180" s="16" t="n">
        <v>0</v>
      </c>
      <c r="BC180" s="16" t="n">
        <v>0</v>
      </c>
      <c r="BD180" s="16" t="n">
        <v>0</v>
      </c>
      <c r="BE180" s="16" t="n">
        <v>0</v>
      </c>
      <c r="BF180" s="16" t="n">
        <v>0</v>
      </c>
      <c r="BG180" s="16" t="n">
        <v>0</v>
      </c>
      <c r="BH180" s="16" t="n">
        <v>0</v>
      </c>
      <c r="BI180" s="16" t="n">
        <v>0</v>
      </c>
      <c r="BJ180" s="16" t="n">
        <v>0</v>
      </c>
      <c r="BK180" s="16" t="n">
        <v>0</v>
      </c>
      <c r="BL180" s="16" t="n">
        <v>0</v>
      </c>
      <c r="BM180" s="16" t="n">
        <v>0</v>
      </c>
      <c r="BN180" s="16" t="n">
        <v>0</v>
      </c>
      <c r="BO180" s="16" t="n">
        <v>0</v>
      </c>
      <c r="BP180" s="16" t="n">
        <v>0</v>
      </c>
      <c r="BQ180" s="16" t="n">
        <v>0</v>
      </c>
      <c r="BR180" s="16" t="n">
        <v>0</v>
      </c>
      <c r="BS180" s="16" t="n">
        <v>0</v>
      </c>
      <c r="BT180" s="16" t="n">
        <v>0</v>
      </c>
      <c r="BU180" s="16" t="n">
        <v>0</v>
      </c>
      <c r="BV180" s="16" t="n">
        <v>0</v>
      </c>
      <c r="BW180" s="16" t="n">
        <v>0</v>
      </c>
      <c r="BX180" s="16" t="n">
        <v>0</v>
      </c>
      <c r="BY180" s="16" t="n">
        <v>0</v>
      </c>
      <c r="BZ180" s="16" t="n">
        <v>0</v>
      </c>
      <c r="CA180" s="16" t="n">
        <v>0</v>
      </c>
      <c r="CB180" s="16" t="n">
        <v>0</v>
      </c>
      <c r="CC180" s="16" t="n">
        <v>0</v>
      </c>
      <c r="CD180" s="16" t="n">
        <v>0</v>
      </c>
      <c r="CE180" s="16" t="n">
        <v>0</v>
      </c>
      <c r="CF180" s="16" t="n">
        <v>0</v>
      </c>
      <c r="CG180" s="16" t="n">
        <v>0</v>
      </c>
      <c r="CH180" s="16" t="n">
        <v>0</v>
      </c>
      <c r="CI180" s="16" t="n">
        <v>0</v>
      </c>
      <c r="CJ180" s="16" t="n">
        <v>0</v>
      </c>
      <c r="CK180" s="16" t="n">
        <v>0</v>
      </c>
      <c r="CL180" s="16" t="n">
        <v>0</v>
      </c>
      <c r="CM180" s="16" t="n">
        <v>0</v>
      </c>
      <c r="CN180" s="16" t="n">
        <v>0</v>
      </c>
      <c r="CO180" s="16" t="n">
        <v>0</v>
      </c>
      <c r="CP180" s="16" t="n">
        <v>0</v>
      </c>
      <c r="CQ180" s="16" t="n">
        <v>0</v>
      </c>
      <c r="CR180" s="16" t="n">
        <v>0</v>
      </c>
      <c r="CS180" s="16" t="n">
        <v>0</v>
      </c>
      <c r="CT180" s="16" t="n">
        <v>0</v>
      </c>
      <c r="CU180" s="16" t="n">
        <v>0</v>
      </c>
      <c r="CV180" s="16" t="n">
        <v>0</v>
      </c>
      <c r="CW180" s="16" t="n">
        <v>0</v>
      </c>
      <c r="CX180" s="16" t="n">
        <v>0</v>
      </c>
      <c r="CY180" s="16" t="n">
        <v>0</v>
      </c>
      <c r="CZ180" s="16" t="n">
        <v>0</v>
      </c>
      <c r="DA180" s="16" t="n">
        <v>0</v>
      </c>
      <c r="DB180" s="16" t="n">
        <v>0</v>
      </c>
      <c r="DC180" s="16" t="n">
        <v>0</v>
      </c>
      <c r="DD180" s="16" t="n">
        <v>0</v>
      </c>
      <c r="DE180" s="16" t="n">
        <v>0</v>
      </c>
      <c r="DF180" s="16" t="n">
        <v>0</v>
      </c>
      <c r="DG180" s="16" t="n">
        <v>0</v>
      </c>
      <c r="DH180" s="16" t="n">
        <v>0</v>
      </c>
      <c r="DI180" s="16" t="n">
        <v>0</v>
      </c>
      <c r="DJ180" s="16" t="n">
        <v>0</v>
      </c>
      <c r="DK180" s="16" t="n">
        <v>0</v>
      </c>
      <c r="DL180" s="16" t="n">
        <v>0</v>
      </c>
      <c r="DM180" s="16" t="n">
        <v>0</v>
      </c>
      <c r="DN180" s="16" t="n">
        <v>0</v>
      </c>
      <c r="DO180" s="16" t="n">
        <v>0</v>
      </c>
      <c r="DP180" s="16" t="n">
        <v>0</v>
      </c>
      <c r="DQ180" s="16" t="n">
        <v>0</v>
      </c>
      <c r="DR180" s="16" t="n">
        <v>0</v>
      </c>
      <c r="DS180" s="16" t="n">
        <v>0</v>
      </c>
      <c r="DT180" s="16" t="n">
        <v>0</v>
      </c>
      <c r="DU180" s="16" t="n">
        <v>0</v>
      </c>
      <c r="DV180" s="16" t="n">
        <v>0</v>
      </c>
      <c r="DW180" s="16" t="n">
        <v>0</v>
      </c>
      <c r="DX180" s="16" t="n">
        <v>0</v>
      </c>
      <c r="DY180" s="16" t="n">
        <v>0</v>
      </c>
      <c r="DZ180" s="16" t="n">
        <v>0</v>
      </c>
      <c r="EA180" s="16" t="n">
        <v>0</v>
      </c>
      <c r="EB180" s="16" t="n">
        <v>0</v>
      </c>
      <c r="EC180" s="16" t="n">
        <v>0</v>
      </c>
      <c r="ED180" s="16" t="n">
        <v>0</v>
      </c>
      <c r="EE180" s="16" t="n">
        <v>0</v>
      </c>
      <c r="EF180" s="16" t="n">
        <v>0</v>
      </c>
    </row>
    <row r="181" customFormat="false" ht="15" hidden="false" customHeight="true" outlineLevel="0" collapsed="false">
      <c r="A181" s="9" t="s">
        <v>12</v>
      </c>
      <c r="B181" s="9" t="s">
        <v>23</v>
      </c>
      <c r="C181" s="9" t="s">
        <v>23</v>
      </c>
      <c r="D181" s="9" t="s">
        <v>337</v>
      </c>
      <c r="E181" s="9" t="s">
        <v>10</v>
      </c>
      <c r="F181" s="9" t="s">
        <v>85</v>
      </c>
      <c r="G181" s="16" t="n">
        <v>0</v>
      </c>
      <c r="H181" s="16" t="n">
        <v>0</v>
      </c>
      <c r="I181" s="16" t="n">
        <v>0</v>
      </c>
      <c r="J181" s="16" t="n">
        <v>0</v>
      </c>
      <c r="K181" s="16" t="n">
        <v>0</v>
      </c>
      <c r="L181" s="16" t="n">
        <v>0</v>
      </c>
      <c r="M181" s="16" t="n">
        <v>0</v>
      </c>
      <c r="N181" s="16" t="n">
        <v>0</v>
      </c>
      <c r="O181" s="16" t="n">
        <v>0</v>
      </c>
      <c r="P181" s="16" t="n">
        <v>0</v>
      </c>
      <c r="Q181" s="16" t="n">
        <v>0</v>
      </c>
      <c r="R181" s="16" t="n">
        <v>0</v>
      </c>
      <c r="S181" s="16" t="n">
        <v>0</v>
      </c>
      <c r="T181" s="16" t="n">
        <v>0</v>
      </c>
      <c r="U181" s="16" t="n">
        <v>0</v>
      </c>
      <c r="V181" s="16" t="n">
        <v>0</v>
      </c>
      <c r="W181" s="16" t="n">
        <v>0</v>
      </c>
      <c r="X181" s="16" t="n">
        <v>0</v>
      </c>
      <c r="Y181" s="16" t="n">
        <v>0</v>
      </c>
      <c r="Z181" s="16" t="n">
        <v>0</v>
      </c>
      <c r="AA181" s="16" t="n">
        <v>0</v>
      </c>
      <c r="AB181" s="16" t="n">
        <v>0</v>
      </c>
      <c r="AC181" s="16" t="n">
        <v>0</v>
      </c>
      <c r="AD181" s="16" t="n">
        <v>0</v>
      </c>
      <c r="AE181" s="16" t="n">
        <v>0</v>
      </c>
      <c r="AF181" s="16" t="n">
        <v>0</v>
      </c>
      <c r="AG181" s="16" t="n">
        <v>0</v>
      </c>
      <c r="AH181" s="16" t="n">
        <v>0</v>
      </c>
      <c r="AI181" s="16" t="n">
        <v>0</v>
      </c>
      <c r="AJ181" s="16" t="n">
        <v>0</v>
      </c>
      <c r="AK181" s="16" t="n">
        <v>0</v>
      </c>
      <c r="AL181" s="16" t="n">
        <v>0</v>
      </c>
      <c r="AM181" s="16" t="n">
        <v>0</v>
      </c>
      <c r="AN181" s="16" t="n">
        <v>0</v>
      </c>
      <c r="AO181" s="16" t="n">
        <v>0</v>
      </c>
      <c r="AP181" s="16" t="n">
        <v>0</v>
      </c>
      <c r="AQ181" s="16" t="n">
        <v>0</v>
      </c>
      <c r="AR181" s="16" t="n">
        <v>0</v>
      </c>
      <c r="AS181" s="16" t="n">
        <v>0</v>
      </c>
      <c r="AT181" s="16" t="n">
        <v>0</v>
      </c>
      <c r="AU181" s="16" t="n">
        <v>0</v>
      </c>
      <c r="AV181" s="16" t="n">
        <v>0</v>
      </c>
      <c r="AW181" s="16" t="n">
        <v>0</v>
      </c>
      <c r="AX181" s="16" t="n">
        <v>0</v>
      </c>
      <c r="AY181" s="16" t="n">
        <v>0</v>
      </c>
      <c r="AZ181" s="16" t="n">
        <v>0</v>
      </c>
      <c r="BA181" s="16" t="n">
        <v>0</v>
      </c>
      <c r="BB181" s="16" t="n">
        <v>0</v>
      </c>
      <c r="BC181" s="16" t="n">
        <v>0</v>
      </c>
      <c r="BD181" s="16" t="n">
        <v>0</v>
      </c>
      <c r="BE181" s="16" t="n">
        <v>0</v>
      </c>
      <c r="BF181" s="16" t="n">
        <v>0</v>
      </c>
      <c r="BG181" s="16" t="n">
        <v>0</v>
      </c>
      <c r="BH181" s="16" t="n">
        <v>0</v>
      </c>
      <c r="BI181" s="16" t="n">
        <v>0</v>
      </c>
      <c r="BJ181" s="16" t="n">
        <v>0</v>
      </c>
      <c r="BK181" s="16" t="n">
        <v>0</v>
      </c>
      <c r="BL181" s="16" t="n">
        <v>0</v>
      </c>
      <c r="BM181" s="16" t="n">
        <v>0</v>
      </c>
      <c r="BN181" s="16" t="n">
        <v>0</v>
      </c>
      <c r="BO181" s="16" t="n">
        <v>0</v>
      </c>
      <c r="BP181" s="16" t="n">
        <v>0</v>
      </c>
      <c r="BQ181" s="16" t="n">
        <v>0</v>
      </c>
      <c r="BR181" s="16" t="n">
        <v>0</v>
      </c>
      <c r="BS181" s="16" t="n">
        <v>0</v>
      </c>
      <c r="BT181" s="16" t="n">
        <v>0</v>
      </c>
      <c r="BU181" s="16" t="n">
        <v>0</v>
      </c>
      <c r="BV181" s="16" t="n">
        <v>0</v>
      </c>
      <c r="BW181" s="16" t="n">
        <v>0</v>
      </c>
      <c r="BX181" s="16" t="n">
        <v>0</v>
      </c>
      <c r="BY181" s="16" t="n">
        <v>0</v>
      </c>
      <c r="BZ181" s="16" t="n">
        <v>0</v>
      </c>
      <c r="CA181" s="16" t="n">
        <v>0</v>
      </c>
      <c r="CB181" s="16" t="n">
        <v>0</v>
      </c>
      <c r="CC181" s="16" t="n">
        <v>0</v>
      </c>
      <c r="CD181" s="16" t="n">
        <v>0</v>
      </c>
      <c r="CE181" s="16" t="n">
        <v>0</v>
      </c>
      <c r="CF181" s="16" t="n">
        <v>0</v>
      </c>
      <c r="CG181" s="16" t="n">
        <v>0</v>
      </c>
      <c r="CH181" s="16" t="n">
        <v>0</v>
      </c>
      <c r="CI181" s="16" t="n">
        <v>0</v>
      </c>
      <c r="CJ181" s="16" t="n">
        <v>0</v>
      </c>
      <c r="CK181" s="16" t="n">
        <v>0</v>
      </c>
      <c r="CL181" s="16" t="n">
        <v>0</v>
      </c>
      <c r="CM181" s="16" t="n">
        <v>0</v>
      </c>
      <c r="CN181" s="16" t="n">
        <v>0</v>
      </c>
      <c r="CO181" s="16" t="n">
        <v>0</v>
      </c>
      <c r="CP181" s="16" t="n">
        <v>0</v>
      </c>
      <c r="CQ181" s="16" t="n">
        <v>0</v>
      </c>
      <c r="CR181" s="16" t="n">
        <v>0</v>
      </c>
      <c r="CS181" s="16" t="n">
        <v>0</v>
      </c>
      <c r="CT181" s="16" t="n">
        <v>0</v>
      </c>
      <c r="CU181" s="16" t="n">
        <v>0</v>
      </c>
      <c r="CV181" s="16" t="n">
        <v>0</v>
      </c>
      <c r="CW181" s="16" t="n">
        <v>0</v>
      </c>
      <c r="CX181" s="16" t="n">
        <v>0</v>
      </c>
      <c r="CY181" s="16" t="n">
        <v>0</v>
      </c>
      <c r="CZ181" s="16" t="n">
        <v>0</v>
      </c>
      <c r="DA181" s="16" t="n">
        <v>0</v>
      </c>
      <c r="DB181" s="16" t="n">
        <v>0</v>
      </c>
      <c r="DC181" s="16" t="n">
        <v>0</v>
      </c>
      <c r="DD181" s="16" t="n">
        <v>0</v>
      </c>
      <c r="DE181" s="16" t="n">
        <v>0</v>
      </c>
      <c r="DF181" s="16" t="n">
        <v>0</v>
      </c>
      <c r="DG181" s="16" t="n">
        <v>0</v>
      </c>
      <c r="DH181" s="16" t="n">
        <v>0</v>
      </c>
      <c r="DI181" s="16" t="n">
        <v>0</v>
      </c>
      <c r="DJ181" s="16" t="n">
        <v>0</v>
      </c>
      <c r="DK181" s="16" t="n">
        <v>0</v>
      </c>
      <c r="DL181" s="16" t="n">
        <v>0</v>
      </c>
      <c r="DM181" s="16" t="n">
        <v>0</v>
      </c>
      <c r="DN181" s="16" t="n">
        <v>0</v>
      </c>
      <c r="DO181" s="16" t="n">
        <v>0</v>
      </c>
      <c r="DP181" s="16" t="n">
        <v>0</v>
      </c>
      <c r="DQ181" s="16" t="n">
        <v>0</v>
      </c>
      <c r="DR181" s="16" t="n">
        <v>0</v>
      </c>
      <c r="DS181" s="16" t="n">
        <v>0</v>
      </c>
      <c r="DT181" s="16" t="n">
        <v>0</v>
      </c>
      <c r="DU181" s="16" t="n">
        <v>0</v>
      </c>
      <c r="DV181" s="16" t="n">
        <v>0</v>
      </c>
      <c r="DW181" s="16" t="n">
        <v>0</v>
      </c>
      <c r="DX181" s="16" t="n">
        <v>0</v>
      </c>
      <c r="DY181" s="16" t="n">
        <v>0</v>
      </c>
      <c r="DZ181" s="16" t="n">
        <v>0</v>
      </c>
      <c r="EA181" s="16" t="n">
        <v>0</v>
      </c>
      <c r="EB181" s="16" t="n">
        <v>0</v>
      </c>
      <c r="EC181" s="16" t="n">
        <v>0</v>
      </c>
      <c r="ED181" s="16" t="n">
        <v>0</v>
      </c>
      <c r="EE181" s="16" t="n">
        <v>0</v>
      </c>
      <c r="EF181" s="16" t="n">
        <v>0</v>
      </c>
    </row>
    <row r="182" customFormat="false" ht="15" hidden="false" customHeight="true" outlineLevel="0" collapsed="false">
      <c r="A182" s="9" t="s">
        <v>12</v>
      </c>
      <c r="B182" s="9" t="s">
        <v>23</v>
      </c>
      <c r="C182" s="9" t="s">
        <v>23</v>
      </c>
      <c r="D182" s="9" t="s">
        <v>338</v>
      </c>
      <c r="E182" s="9" t="s">
        <v>10</v>
      </c>
      <c r="F182" s="9" t="s">
        <v>103</v>
      </c>
      <c r="G182" s="16" t="n">
        <v>0</v>
      </c>
      <c r="H182" s="16" t="n">
        <v>0</v>
      </c>
      <c r="I182" s="16" t="n">
        <v>2.5</v>
      </c>
      <c r="J182" s="16" t="n">
        <v>-2.5</v>
      </c>
      <c r="K182" s="16" t="n">
        <v>0</v>
      </c>
      <c r="L182" s="16" t="n">
        <v>0</v>
      </c>
      <c r="M182" s="16" t="n">
        <v>0</v>
      </c>
      <c r="N182" s="16" t="n">
        <v>0</v>
      </c>
      <c r="O182" s="16" t="n">
        <v>0</v>
      </c>
      <c r="P182" s="16" t="n">
        <v>0</v>
      </c>
      <c r="Q182" s="16" t="n">
        <v>0</v>
      </c>
      <c r="R182" s="16" t="n">
        <v>0</v>
      </c>
      <c r="S182" s="16" t="n">
        <v>0</v>
      </c>
      <c r="T182" s="16" t="n">
        <v>0</v>
      </c>
      <c r="U182" s="16" t="n">
        <v>0</v>
      </c>
      <c r="V182" s="16" t="n">
        <v>0</v>
      </c>
      <c r="W182" s="16" t="n">
        <v>0</v>
      </c>
      <c r="X182" s="16" t="n">
        <v>0</v>
      </c>
      <c r="Y182" s="16" t="n">
        <v>0</v>
      </c>
      <c r="Z182" s="16" t="n">
        <v>2.5</v>
      </c>
      <c r="AA182" s="16" t="n">
        <v>0</v>
      </c>
      <c r="AB182" s="16" t="n">
        <v>0</v>
      </c>
      <c r="AC182" s="16" t="n">
        <v>0</v>
      </c>
      <c r="AD182" s="16" t="n">
        <v>0</v>
      </c>
      <c r="AE182" s="16" t="n">
        <v>0</v>
      </c>
      <c r="AF182" s="16" t="n">
        <v>0</v>
      </c>
      <c r="AG182" s="16" t="n">
        <v>0</v>
      </c>
      <c r="AH182" s="16" t="n">
        <v>0</v>
      </c>
      <c r="AI182" s="16" t="n">
        <v>0</v>
      </c>
      <c r="AJ182" s="16" t="n">
        <v>0</v>
      </c>
      <c r="AK182" s="16" t="n">
        <v>0</v>
      </c>
      <c r="AL182" s="16" t="n">
        <v>0</v>
      </c>
      <c r="AM182" s="16" t="n">
        <v>0</v>
      </c>
      <c r="AN182" s="16" t="n">
        <v>0</v>
      </c>
      <c r="AO182" s="16" t="n">
        <v>0</v>
      </c>
      <c r="AP182" s="16" t="n">
        <v>0</v>
      </c>
      <c r="AQ182" s="16" t="n">
        <v>0</v>
      </c>
      <c r="AR182" s="16" t="n">
        <v>0</v>
      </c>
      <c r="AS182" s="16" t="n">
        <v>0</v>
      </c>
      <c r="AT182" s="16" t="n">
        <v>0</v>
      </c>
      <c r="AU182" s="16" t="n">
        <v>0</v>
      </c>
      <c r="AV182" s="16" t="n">
        <v>0</v>
      </c>
      <c r="AW182" s="16" t="n">
        <v>0</v>
      </c>
      <c r="AX182" s="16" t="n">
        <v>0</v>
      </c>
      <c r="AY182" s="16" t="n">
        <v>0</v>
      </c>
      <c r="AZ182" s="16" t="n">
        <v>0</v>
      </c>
      <c r="BA182" s="16" t="n">
        <v>0</v>
      </c>
      <c r="BB182" s="16" t="n">
        <v>0</v>
      </c>
      <c r="BC182" s="16" t="n">
        <v>0</v>
      </c>
      <c r="BD182" s="16" t="n">
        <v>0</v>
      </c>
      <c r="BE182" s="16" t="n">
        <v>0</v>
      </c>
      <c r="BF182" s="16" t="n">
        <v>0</v>
      </c>
      <c r="BG182" s="16" t="n">
        <v>0</v>
      </c>
      <c r="BH182" s="16" t="n">
        <v>0</v>
      </c>
      <c r="BI182" s="16" t="n">
        <v>0</v>
      </c>
      <c r="BJ182" s="16" t="n">
        <v>0</v>
      </c>
      <c r="BK182" s="16" t="n">
        <v>0</v>
      </c>
      <c r="BL182" s="16" t="n">
        <v>0</v>
      </c>
      <c r="BM182" s="16" t="n">
        <v>0</v>
      </c>
      <c r="BN182" s="16" t="n">
        <v>0</v>
      </c>
      <c r="BO182" s="16" t="n">
        <v>0</v>
      </c>
      <c r="BP182" s="16" t="n">
        <v>0</v>
      </c>
      <c r="BQ182" s="16" t="n">
        <v>0</v>
      </c>
      <c r="BR182" s="16" t="n">
        <v>0</v>
      </c>
      <c r="BS182" s="16" t="n">
        <v>0</v>
      </c>
      <c r="BT182" s="16" t="n">
        <v>0</v>
      </c>
      <c r="BU182" s="16" t="n">
        <v>0</v>
      </c>
      <c r="BV182" s="16" t="n">
        <v>0</v>
      </c>
      <c r="BW182" s="16" t="n">
        <v>0</v>
      </c>
      <c r="BX182" s="16" t="n">
        <v>0</v>
      </c>
      <c r="BY182" s="16" t="n">
        <v>0</v>
      </c>
      <c r="BZ182" s="16" t="n">
        <v>0</v>
      </c>
      <c r="CA182" s="16" t="n">
        <v>0</v>
      </c>
      <c r="CB182" s="16" t="n">
        <v>0</v>
      </c>
      <c r="CC182" s="16" t="n">
        <v>0</v>
      </c>
      <c r="CD182" s="16" t="n">
        <v>0</v>
      </c>
      <c r="CE182" s="16" t="n">
        <v>0</v>
      </c>
      <c r="CF182" s="16" t="n">
        <v>0</v>
      </c>
      <c r="CG182" s="16" t="n">
        <v>0</v>
      </c>
      <c r="CH182" s="16" t="n">
        <v>0</v>
      </c>
      <c r="CI182" s="16" t="n">
        <v>0</v>
      </c>
      <c r="CJ182" s="16" t="n">
        <v>0</v>
      </c>
      <c r="CK182" s="16" t="n">
        <v>0</v>
      </c>
      <c r="CL182" s="16" t="n">
        <v>0</v>
      </c>
      <c r="CM182" s="16" t="n">
        <v>0</v>
      </c>
      <c r="CN182" s="16" t="n">
        <v>0</v>
      </c>
      <c r="CO182" s="16" t="n">
        <v>0</v>
      </c>
      <c r="CP182" s="16" t="n">
        <v>0</v>
      </c>
      <c r="CQ182" s="16" t="n">
        <v>0</v>
      </c>
      <c r="CR182" s="16" t="n">
        <v>0</v>
      </c>
      <c r="CS182" s="16" t="n">
        <v>0</v>
      </c>
      <c r="CT182" s="16" t="n">
        <v>0</v>
      </c>
      <c r="CU182" s="16" t="n">
        <v>0</v>
      </c>
      <c r="CV182" s="16" t="n">
        <v>0</v>
      </c>
      <c r="CW182" s="16" t="n">
        <v>0</v>
      </c>
      <c r="CX182" s="16" t="n">
        <v>0</v>
      </c>
      <c r="CY182" s="16" t="n">
        <v>0</v>
      </c>
      <c r="CZ182" s="16" t="n">
        <v>0</v>
      </c>
      <c r="DA182" s="16" t="n">
        <v>0</v>
      </c>
      <c r="DB182" s="16" t="n">
        <v>0</v>
      </c>
      <c r="DC182" s="16" t="n">
        <v>0</v>
      </c>
      <c r="DD182" s="16" t="n">
        <v>0</v>
      </c>
      <c r="DE182" s="16" t="n">
        <v>0</v>
      </c>
      <c r="DF182" s="16" t="n">
        <v>0</v>
      </c>
      <c r="DG182" s="16" t="n">
        <v>0</v>
      </c>
      <c r="DH182" s="16" t="n">
        <v>0</v>
      </c>
      <c r="DI182" s="16" t="n">
        <v>0</v>
      </c>
      <c r="DJ182" s="16" t="n">
        <v>0</v>
      </c>
      <c r="DK182" s="16" t="n">
        <v>0</v>
      </c>
      <c r="DL182" s="16" t="n">
        <v>0</v>
      </c>
      <c r="DM182" s="16" t="n">
        <v>0</v>
      </c>
      <c r="DN182" s="16" t="n">
        <v>0</v>
      </c>
      <c r="DO182" s="16" t="n">
        <v>0</v>
      </c>
      <c r="DP182" s="16" t="n">
        <v>0</v>
      </c>
      <c r="DQ182" s="16" t="n">
        <v>0</v>
      </c>
      <c r="DR182" s="16" t="n">
        <v>0</v>
      </c>
      <c r="DS182" s="16" t="n">
        <v>0</v>
      </c>
      <c r="DT182" s="16" t="n">
        <v>0</v>
      </c>
      <c r="DU182" s="16" t="n">
        <v>0</v>
      </c>
      <c r="DV182" s="16" t="n">
        <v>0</v>
      </c>
      <c r="DW182" s="16" t="n">
        <v>0</v>
      </c>
      <c r="DX182" s="16" t="n">
        <v>0</v>
      </c>
      <c r="DY182" s="16" t="n">
        <v>0</v>
      </c>
      <c r="DZ182" s="16" t="n">
        <v>0</v>
      </c>
      <c r="EA182" s="16" t="n">
        <v>0</v>
      </c>
      <c r="EB182" s="16" t="n">
        <v>0</v>
      </c>
      <c r="EC182" s="16" t="n">
        <v>0</v>
      </c>
      <c r="ED182" s="16" t="n">
        <v>0</v>
      </c>
      <c r="EE182" s="16" t="n">
        <v>0</v>
      </c>
      <c r="EF182" s="16" t="n">
        <v>0</v>
      </c>
    </row>
    <row r="183" customFormat="false" ht="15" hidden="false" customHeight="true" outlineLevel="0" collapsed="false">
      <c r="A183" s="9" t="s">
        <v>12</v>
      </c>
      <c r="B183" s="9" t="s">
        <v>23</v>
      </c>
      <c r="C183" s="9" t="s">
        <v>23</v>
      </c>
      <c r="D183" s="9" t="s">
        <v>338</v>
      </c>
      <c r="E183" s="9" t="s">
        <v>10</v>
      </c>
      <c r="F183" s="9" t="s">
        <v>103</v>
      </c>
      <c r="G183" s="16" t="n">
        <v>101</v>
      </c>
      <c r="H183" s="16" t="n">
        <v>401</v>
      </c>
      <c r="I183" s="16" t="n">
        <v>69</v>
      </c>
      <c r="J183" s="16" t="n">
        <v>332</v>
      </c>
      <c r="K183" s="16" t="n">
        <v>0</v>
      </c>
      <c r="L183" s="16" t="n">
        <v>0</v>
      </c>
      <c r="M183" s="16" t="n">
        <v>0</v>
      </c>
      <c r="N183" s="16" t="n">
        <v>0</v>
      </c>
      <c r="O183" s="16" t="n">
        <v>0</v>
      </c>
      <c r="P183" s="16" t="n">
        <v>0</v>
      </c>
      <c r="Q183" s="16" t="n">
        <v>0</v>
      </c>
      <c r="R183" s="16" t="n">
        <v>0</v>
      </c>
      <c r="S183" s="16" t="n">
        <v>0</v>
      </c>
      <c r="T183" s="16" t="n">
        <v>0</v>
      </c>
      <c r="U183" s="16" t="n">
        <v>0</v>
      </c>
      <c r="V183" s="16" t="n">
        <v>0</v>
      </c>
      <c r="W183" s="16" t="n">
        <v>0</v>
      </c>
      <c r="X183" s="16" t="n">
        <v>0</v>
      </c>
      <c r="Y183" s="16" t="n">
        <v>0</v>
      </c>
      <c r="Z183" s="16" t="n">
        <v>0</v>
      </c>
      <c r="AA183" s="16" t="n">
        <v>0</v>
      </c>
      <c r="AB183" s="16" t="n">
        <v>0</v>
      </c>
      <c r="AC183" s="16" t="n">
        <v>5</v>
      </c>
      <c r="AD183" s="16" t="n">
        <v>12</v>
      </c>
      <c r="AE183" s="16" t="n">
        <v>5</v>
      </c>
      <c r="AF183" s="16" t="n">
        <v>10</v>
      </c>
      <c r="AG183" s="16" t="n">
        <v>14</v>
      </c>
      <c r="AH183" s="16" t="n">
        <v>19</v>
      </c>
      <c r="AI183" s="16" t="n">
        <v>2</v>
      </c>
      <c r="AJ183" s="16" t="n">
        <v>2</v>
      </c>
      <c r="AK183" s="16" t="n">
        <v>0</v>
      </c>
      <c r="AL183" s="16" t="n">
        <v>0</v>
      </c>
      <c r="AM183" s="16" t="n">
        <v>0</v>
      </c>
      <c r="AN183" s="16" t="n">
        <v>0</v>
      </c>
      <c r="AO183" s="16" t="n">
        <v>0</v>
      </c>
      <c r="AP183" s="16" t="n">
        <v>0</v>
      </c>
      <c r="AQ183" s="16" t="n">
        <v>0</v>
      </c>
      <c r="AR183" s="16" t="n">
        <v>0</v>
      </c>
      <c r="AS183" s="16" t="n">
        <v>0</v>
      </c>
      <c r="AT183" s="16" t="n">
        <v>0</v>
      </c>
      <c r="AU183" s="16" t="n">
        <v>0</v>
      </c>
      <c r="AV183" s="16" t="n">
        <v>0</v>
      </c>
      <c r="AW183" s="16" t="n">
        <v>0</v>
      </c>
      <c r="AX183" s="16" t="n">
        <v>0</v>
      </c>
      <c r="AY183" s="16" t="n">
        <v>0</v>
      </c>
      <c r="AZ183" s="16" t="n">
        <v>0</v>
      </c>
      <c r="BA183" s="16" t="n">
        <v>0</v>
      </c>
      <c r="BB183" s="16" t="n">
        <v>0</v>
      </c>
      <c r="BC183" s="16" t="n">
        <v>0</v>
      </c>
      <c r="BD183" s="16" t="n">
        <v>0</v>
      </c>
      <c r="BE183" s="16" t="n">
        <v>0</v>
      </c>
      <c r="BF183" s="16" t="n">
        <v>0</v>
      </c>
      <c r="BG183" s="16" t="n">
        <v>0</v>
      </c>
      <c r="BH183" s="16" t="n">
        <v>0</v>
      </c>
      <c r="BI183" s="16" t="n">
        <v>0</v>
      </c>
      <c r="BJ183" s="16" t="n">
        <v>0</v>
      </c>
      <c r="BK183" s="16" t="n">
        <v>0</v>
      </c>
      <c r="BL183" s="16" t="n">
        <v>0</v>
      </c>
      <c r="BM183" s="16" t="n">
        <v>0</v>
      </c>
      <c r="BN183" s="16" t="n">
        <v>0</v>
      </c>
      <c r="BO183" s="16" t="n">
        <v>0</v>
      </c>
      <c r="BP183" s="16" t="n">
        <v>0</v>
      </c>
      <c r="BQ183" s="16" t="n">
        <v>0</v>
      </c>
      <c r="BR183" s="16" t="n">
        <v>0</v>
      </c>
      <c r="BS183" s="16" t="n">
        <v>0</v>
      </c>
      <c r="BT183" s="16" t="n">
        <v>0</v>
      </c>
      <c r="BU183" s="16" t="n">
        <v>0</v>
      </c>
      <c r="BV183" s="16" t="n">
        <v>0</v>
      </c>
      <c r="BW183" s="16" t="n">
        <v>0</v>
      </c>
      <c r="BX183" s="16" t="n">
        <v>0</v>
      </c>
      <c r="BY183" s="16" t="n">
        <v>0</v>
      </c>
      <c r="BZ183" s="16" t="n">
        <v>0</v>
      </c>
      <c r="CA183" s="16" t="n">
        <v>0</v>
      </c>
      <c r="CB183" s="16" t="n">
        <v>0</v>
      </c>
      <c r="CC183" s="16" t="n">
        <v>0</v>
      </c>
      <c r="CD183" s="16" t="n">
        <v>0</v>
      </c>
      <c r="CE183" s="16" t="n">
        <v>0</v>
      </c>
      <c r="CF183" s="16" t="n">
        <v>0</v>
      </c>
      <c r="CG183" s="16" t="n">
        <v>0</v>
      </c>
      <c r="CH183" s="16" t="n">
        <v>0</v>
      </c>
      <c r="CI183" s="16" t="n">
        <v>0</v>
      </c>
      <c r="CJ183" s="16" t="n">
        <v>0</v>
      </c>
      <c r="CK183" s="16" t="n">
        <v>0</v>
      </c>
      <c r="CL183" s="16" t="n">
        <v>0</v>
      </c>
      <c r="CM183" s="16" t="n">
        <v>0</v>
      </c>
      <c r="CN183" s="16" t="n">
        <v>0</v>
      </c>
      <c r="CO183" s="16" t="n">
        <v>0</v>
      </c>
      <c r="CP183" s="16" t="n">
        <v>0</v>
      </c>
      <c r="CQ183" s="16" t="n">
        <v>0</v>
      </c>
      <c r="CR183" s="16" t="n">
        <v>0</v>
      </c>
      <c r="CS183" s="16" t="n">
        <v>0</v>
      </c>
      <c r="CT183" s="16" t="n">
        <v>0</v>
      </c>
      <c r="CU183" s="16" t="n">
        <v>0</v>
      </c>
      <c r="CV183" s="16" t="n">
        <v>0</v>
      </c>
      <c r="CW183" s="16" t="n">
        <v>0</v>
      </c>
      <c r="CX183" s="16" t="n">
        <v>0</v>
      </c>
      <c r="CY183" s="16" t="n">
        <v>0</v>
      </c>
      <c r="CZ183" s="16" t="n">
        <v>0</v>
      </c>
      <c r="DA183" s="16" t="n">
        <v>0</v>
      </c>
      <c r="DB183" s="16" t="n">
        <v>0</v>
      </c>
      <c r="DC183" s="16" t="n">
        <v>0</v>
      </c>
      <c r="DD183" s="16" t="n">
        <v>0</v>
      </c>
      <c r="DE183" s="16" t="n">
        <v>0</v>
      </c>
      <c r="DF183" s="16" t="n">
        <v>0</v>
      </c>
      <c r="DG183" s="16" t="n">
        <v>0</v>
      </c>
      <c r="DH183" s="16" t="n">
        <v>0</v>
      </c>
      <c r="DI183" s="16" t="n">
        <v>0</v>
      </c>
      <c r="DJ183" s="16" t="n">
        <v>0</v>
      </c>
      <c r="DK183" s="16" t="n">
        <v>0</v>
      </c>
      <c r="DL183" s="16" t="n">
        <v>0</v>
      </c>
      <c r="DM183" s="16" t="n">
        <v>0</v>
      </c>
      <c r="DN183" s="16" t="n">
        <v>0</v>
      </c>
      <c r="DO183" s="16" t="n">
        <v>0</v>
      </c>
      <c r="DP183" s="16" t="n">
        <v>0</v>
      </c>
      <c r="DQ183" s="16" t="n">
        <v>0</v>
      </c>
      <c r="DR183" s="16" t="n">
        <v>0</v>
      </c>
      <c r="DS183" s="16" t="n">
        <v>0</v>
      </c>
      <c r="DT183" s="16" t="n">
        <v>0</v>
      </c>
      <c r="DU183" s="16" t="n">
        <v>0</v>
      </c>
      <c r="DV183" s="16" t="n">
        <v>0</v>
      </c>
      <c r="DW183" s="16" t="n">
        <v>0</v>
      </c>
      <c r="DX183" s="16" t="n">
        <v>0</v>
      </c>
      <c r="DY183" s="16" t="n">
        <v>0</v>
      </c>
      <c r="DZ183" s="16" t="n">
        <v>0</v>
      </c>
      <c r="EA183" s="16" t="n">
        <v>0</v>
      </c>
      <c r="EB183" s="16" t="n">
        <v>0</v>
      </c>
      <c r="EC183" s="16" t="n">
        <v>0</v>
      </c>
      <c r="ED183" s="16" t="n">
        <v>0</v>
      </c>
      <c r="EE183" s="16" t="n">
        <v>0</v>
      </c>
      <c r="EF183" s="16" t="n">
        <v>0</v>
      </c>
    </row>
    <row r="184" customFormat="false" ht="15" hidden="false" customHeight="true" outlineLevel="0" collapsed="false">
      <c r="A184" s="9" t="s">
        <v>12</v>
      </c>
      <c r="B184" s="9" t="s">
        <v>23</v>
      </c>
      <c r="C184" s="9" t="s">
        <v>23</v>
      </c>
      <c r="D184" s="9" t="s">
        <v>337</v>
      </c>
      <c r="E184" s="9" t="s">
        <v>10</v>
      </c>
      <c r="F184" s="9" t="s">
        <v>103</v>
      </c>
      <c r="G184" s="16" t="n">
        <v>0</v>
      </c>
      <c r="H184" s="16" t="n">
        <v>0</v>
      </c>
      <c r="I184" s="16" t="n">
        <v>304</v>
      </c>
      <c r="J184" s="16" t="n">
        <v>-304</v>
      </c>
      <c r="K184" s="16" t="n">
        <v>0</v>
      </c>
      <c r="L184" s="16" t="n">
        <v>0</v>
      </c>
      <c r="M184" s="16" t="n">
        <v>0</v>
      </c>
      <c r="N184" s="16" t="n">
        <v>0</v>
      </c>
      <c r="O184" s="16" t="n">
        <v>0</v>
      </c>
      <c r="P184" s="16" t="n">
        <v>0</v>
      </c>
      <c r="Q184" s="16" t="n">
        <v>0</v>
      </c>
      <c r="R184" s="16" t="n">
        <v>0</v>
      </c>
      <c r="S184" s="16" t="n">
        <v>0</v>
      </c>
      <c r="T184" s="16" t="n">
        <v>0</v>
      </c>
      <c r="U184" s="16" t="n">
        <v>0</v>
      </c>
      <c r="V184" s="16" t="n">
        <v>0</v>
      </c>
      <c r="W184" s="16" t="n">
        <v>0</v>
      </c>
      <c r="X184" s="16" t="n">
        <v>0</v>
      </c>
      <c r="Y184" s="16" t="n">
        <v>0</v>
      </c>
      <c r="Z184" s="16" t="n">
        <v>0</v>
      </c>
      <c r="AA184" s="16" t="n">
        <v>0</v>
      </c>
      <c r="AB184" s="16" t="n">
        <v>0</v>
      </c>
      <c r="AC184" s="16" t="n">
        <v>0</v>
      </c>
      <c r="AD184" s="16" t="n">
        <v>0</v>
      </c>
      <c r="AE184" s="16" t="n">
        <v>0</v>
      </c>
      <c r="AF184" s="16" t="n">
        <v>0</v>
      </c>
      <c r="AG184" s="16" t="n">
        <v>0</v>
      </c>
      <c r="AH184" s="16" t="n">
        <v>0</v>
      </c>
      <c r="AI184" s="16" t="n">
        <v>0</v>
      </c>
      <c r="AJ184" s="16" t="n">
        <v>0</v>
      </c>
      <c r="AK184" s="16" t="n">
        <v>0</v>
      </c>
      <c r="AL184" s="16" t="n">
        <v>0</v>
      </c>
      <c r="AM184" s="16" t="n">
        <v>3</v>
      </c>
      <c r="AN184" s="16" t="n">
        <v>1</v>
      </c>
      <c r="AO184" s="16" t="n">
        <v>0</v>
      </c>
      <c r="AP184" s="16" t="n">
        <v>0</v>
      </c>
      <c r="AQ184" s="16" t="n">
        <v>0</v>
      </c>
      <c r="AR184" s="16" t="n">
        <v>0</v>
      </c>
      <c r="AS184" s="16" t="n">
        <v>0</v>
      </c>
      <c r="AT184" s="16" t="n">
        <v>0</v>
      </c>
      <c r="AU184" s="16" t="n">
        <v>0</v>
      </c>
      <c r="AV184" s="16" t="n">
        <v>0</v>
      </c>
      <c r="AW184" s="16" t="n">
        <v>0</v>
      </c>
      <c r="AX184" s="16" t="n">
        <v>0</v>
      </c>
      <c r="AY184" s="16" t="n">
        <v>0</v>
      </c>
      <c r="AZ184" s="16" t="n">
        <v>0</v>
      </c>
      <c r="BA184" s="16" t="n">
        <v>0</v>
      </c>
      <c r="BB184" s="16" t="n">
        <v>0</v>
      </c>
      <c r="BC184" s="16" t="n">
        <v>0</v>
      </c>
      <c r="BD184" s="16" t="n">
        <v>0</v>
      </c>
      <c r="BE184" s="16" t="n">
        <v>0</v>
      </c>
      <c r="BF184" s="16" t="n">
        <v>0</v>
      </c>
      <c r="BG184" s="16" t="n">
        <v>0</v>
      </c>
      <c r="BH184" s="16" t="n">
        <v>0</v>
      </c>
      <c r="BI184" s="16" t="n">
        <v>0</v>
      </c>
      <c r="BJ184" s="16" t="n">
        <v>0</v>
      </c>
      <c r="BK184" s="16" t="n">
        <v>0</v>
      </c>
      <c r="BL184" s="16" t="n">
        <v>0</v>
      </c>
      <c r="BM184" s="16" t="n">
        <v>0</v>
      </c>
      <c r="BN184" s="16" t="n">
        <v>0</v>
      </c>
      <c r="BO184" s="16" t="n">
        <v>0</v>
      </c>
      <c r="BP184" s="16" t="n">
        <v>0</v>
      </c>
      <c r="BQ184" s="16" t="n">
        <v>0</v>
      </c>
      <c r="BR184" s="16" t="n">
        <v>0</v>
      </c>
      <c r="BS184" s="16" t="n">
        <v>0</v>
      </c>
      <c r="BT184" s="16" t="n">
        <v>0</v>
      </c>
      <c r="BU184" s="16" t="n">
        <v>0</v>
      </c>
      <c r="BV184" s="16" t="n">
        <v>0</v>
      </c>
      <c r="BW184" s="16" t="n">
        <v>0</v>
      </c>
      <c r="BX184" s="16" t="n">
        <v>0</v>
      </c>
      <c r="BY184" s="16" t="n">
        <v>0</v>
      </c>
      <c r="BZ184" s="16" t="n">
        <v>0</v>
      </c>
      <c r="CA184" s="16" t="n">
        <v>0</v>
      </c>
      <c r="CB184" s="16" t="n">
        <v>0</v>
      </c>
      <c r="CC184" s="16" t="n">
        <v>0</v>
      </c>
      <c r="CD184" s="16" t="n">
        <v>0</v>
      </c>
      <c r="CE184" s="16" t="n">
        <v>0</v>
      </c>
      <c r="CF184" s="16" t="n">
        <v>0</v>
      </c>
      <c r="CG184" s="16" t="n">
        <v>0</v>
      </c>
      <c r="CH184" s="16" t="n">
        <v>0</v>
      </c>
      <c r="CI184" s="16" t="n">
        <v>0</v>
      </c>
      <c r="CJ184" s="16" t="n">
        <v>0</v>
      </c>
      <c r="CK184" s="16" t="n">
        <v>0</v>
      </c>
      <c r="CL184" s="16" t="n">
        <v>0</v>
      </c>
      <c r="CM184" s="16" t="n">
        <v>0</v>
      </c>
      <c r="CN184" s="16" t="n">
        <v>0</v>
      </c>
      <c r="CO184" s="16" t="n">
        <v>0</v>
      </c>
      <c r="CP184" s="16" t="n">
        <v>0</v>
      </c>
      <c r="CQ184" s="16" t="n">
        <v>0</v>
      </c>
      <c r="CR184" s="16" t="n">
        <v>0</v>
      </c>
      <c r="CS184" s="16" t="n">
        <v>0</v>
      </c>
      <c r="CT184" s="16" t="n">
        <v>0</v>
      </c>
      <c r="CU184" s="16" t="n">
        <v>0</v>
      </c>
      <c r="CV184" s="16" t="n">
        <v>0</v>
      </c>
      <c r="CW184" s="16" t="n">
        <v>0</v>
      </c>
      <c r="CX184" s="16" t="n">
        <v>0</v>
      </c>
      <c r="CY184" s="16" t="n">
        <v>15</v>
      </c>
      <c r="CZ184" s="16" t="n">
        <v>15</v>
      </c>
      <c r="DA184" s="16" t="n">
        <v>20</v>
      </c>
      <c r="DB184" s="16" t="n">
        <v>0</v>
      </c>
      <c r="DC184" s="16" t="n">
        <v>5</v>
      </c>
      <c r="DD184" s="16" t="n">
        <v>15</v>
      </c>
      <c r="DE184" s="16" t="n">
        <v>0</v>
      </c>
      <c r="DF184" s="16" t="n">
        <v>0</v>
      </c>
      <c r="DG184" s="16" t="n">
        <v>0</v>
      </c>
      <c r="DH184" s="16" t="n">
        <v>0</v>
      </c>
      <c r="DI184" s="16" t="n">
        <v>0</v>
      </c>
      <c r="DJ184" s="16" t="n">
        <v>0</v>
      </c>
      <c r="DK184" s="16" t="n">
        <v>25</v>
      </c>
      <c r="DL184" s="16" t="n">
        <v>25</v>
      </c>
      <c r="DM184" s="16" t="n">
        <v>35</v>
      </c>
      <c r="DN184" s="16" t="n">
        <v>40</v>
      </c>
      <c r="DO184" s="16" t="n">
        <v>35</v>
      </c>
      <c r="DP184" s="16" t="n">
        <v>45</v>
      </c>
      <c r="DQ184" s="16" t="n">
        <v>25</v>
      </c>
      <c r="DR184" s="16" t="n">
        <v>0</v>
      </c>
      <c r="DS184" s="16" t="n">
        <v>0</v>
      </c>
      <c r="DT184" s="16" t="n">
        <v>0</v>
      </c>
      <c r="DU184" s="16" t="n">
        <v>0</v>
      </c>
      <c r="DV184" s="16" t="n">
        <v>0</v>
      </c>
      <c r="DW184" s="16" t="n">
        <v>0</v>
      </c>
      <c r="DX184" s="16" t="n">
        <v>0</v>
      </c>
      <c r="DY184" s="16" t="n">
        <v>0</v>
      </c>
      <c r="DZ184" s="16" t="n">
        <v>0</v>
      </c>
      <c r="EA184" s="16" t="n">
        <v>0</v>
      </c>
      <c r="EB184" s="16" t="n">
        <v>0</v>
      </c>
      <c r="EC184" s="16" t="n">
        <v>0</v>
      </c>
      <c r="ED184" s="16" t="n">
        <v>0</v>
      </c>
      <c r="EE184" s="16" t="n">
        <v>0</v>
      </c>
      <c r="EF184" s="16" t="n">
        <v>0</v>
      </c>
    </row>
    <row r="185" customFormat="false" ht="15" hidden="false" customHeight="true" outlineLevel="0" collapsed="false">
      <c r="A185" s="9" t="s">
        <v>12</v>
      </c>
      <c r="B185" s="9" t="s">
        <v>23</v>
      </c>
      <c r="C185" s="9" t="s">
        <v>23</v>
      </c>
      <c r="D185" s="9" t="s">
        <v>338</v>
      </c>
      <c r="E185" s="9" t="s">
        <v>10</v>
      </c>
      <c r="F185" s="9" t="s">
        <v>86</v>
      </c>
      <c r="G185" s="16" t="n">
        <v>0</v>
      </c>
      <c r="H185" s="16" t="n">
        <v>0</v>
      </c>
      <c r="I185" s="16" t="n">
        <v>32</v>
      </c>
      <c r="J185" s="16" t="n">
        <v>-32</v>
      </c>
      <c r="K185" s="16" t="n">
        <v>0</v>
      </c>
      <c r="L185" s="16" t="n">
        <v>0</v>
      </c>
      <c r="M185" s="16" t="n">
        <v>0</v>
      </c>
      <c r="N185" s="16" t="n">
        <v>0</v>
      </c>
      <c r="O185" s="16" t="n">
        <v>0</v>
      </c>
      <c r="P185" s="16" t="n">
        <v>0</v>
      </c>
      <c r="Q185" s="16" t="n">
        <v>0</v>
      </c>
      <c r="R185" s="16" t="n">
        <v>0</v>
      </c>
      <c r="S185" s="16" t="n">
        <v>0</v>
      </c>
      <c r="T185" s="16" t="n">
        <v>0</v>
      </c>
      <c r="U185" s="16" t="n">
        <v>0</v>
      </c>
      <c r="V185" s="16" t="n">
        <v>0</v>
      </c>
      <c r="W185" s="16" t="n">
        <v>0</v>
      </c>
      <c r="X185" s="16" t="n">
        <v>0</v>
      </c>
      <c r="Y185" s="16" t="n">
        <v>3</v>
      </c>
      <c r="Z185" s="16" t="n">
        <v>13</v>
      </c>
      <c r="AA185" s="16" t="n">
        <v>16</v>
      </c>
      <c r="AB185" s="16" t="n">
        <v>0</v>
      </c>
      <c r="AC185" s="16" t="n">
        <v>0</v>
      </c>
      <c r="AD185" s="16" t="n">
        <v>0</v>
      </c>
      <c r="AE185" s="16" t="n">
        <v>0</v>
      </c>
      <c r="AF185" s="16" t="n">
        <v>0</v>
      </c>
      <c r="AG185" s="16" t="n">
        <v>0</v>
      </c>
      <c r="AH185" s="16" t="n">
        <v>0</v>
      </c>
      <c r="AI185" s="16" t="n">
        <v>0</v>
      </c>
      <c r="AJ185" s="16" t="n">
        <v>0</v>
      </c>
      <c r="AK185" s="16" t="n">
        <v>0</v>
      </c>
      <c r="AL185" s="16" t="n">
        <v>0</v>
      </c>
      <c r="AM185" s="16" t="n">
        <v>0</v>
      </c>
      <c r="AN185" s="16" t="n">
        <v>0</v>
      </c>
      <c r="AO185" s="16" t="n">
        <v>0</v>
      </c>
      <c r="AP185" s="16" t="n">
        <v>0</v>
      </c>
      <c r="AQ185" s="16" t="n">
        <v>0</v>
      </c>
      <c r="AR185" s="16" t="n">
        <v>0</v>
      </c>
      <c r="AS185" s="16" t="n">
        <v>0</v>
      </c>
      <c r="AT185" s="16" t="n">
        <v>0</v>
      </c>
      <c r="AU185" s="16" t="n">
        <v>0</v>
      </c>
      <c r="AV185" s="16" t="n">
        <v>0</v>
      </c>
      <c r="AW185" s="16" t="n">
        <v>0</v>
      </c>
      <c r="AX185" s="16" t="n">
        <v>0</v>
      </c>
      <c r="AY185" s="16" t="n">
        <v>0</v>
      </c>
      <c r="AZ185" s="16" t="n">
        <v>0</v>
      </c>
      <c r="BA185" s="16" t="n">
        <v>0</v>
      </c>
      <c r="BB185" s="16" t="n">
        <v>0</v>
      </c>
      <c r="BC185" s="16" t="n">
        <v>0</v>
      </c>
      <c r="BD185" s="16" t="n">
        <v>0</v>
      </c>
      <c r="BE185" s="16" t="n">
        <v>0</v>
      </c>
      <c r="BF185" s="16" t="n">
        <v>0</v>
      </c>
      <c r="BG185" s="16" t="n">
        <v>0</v>
      </c>
      <c r="BH185" s="16" t="n">
        <v>0</v>
      </c>
      <c r="BI185" s="16" t="n">
        <v>0</v>
      </c>
      <c r="BJ185" s="16" t="n">
        <v>0</v>
      </c>
      <c r="BK185" s="16" t="n">
        <v>0</v>
      </c>
      <c r="BL185" s="16" t="n">
        <v>0</v>
      </c>
      <c r="BM185" s="16" t="n">
        <v>0</v>
      </c>
      <c r="BN185" s="16" t="n">
        <v>0</v>
      </c>
      <c r="BO185" s="16" t="n">
        <v>0</v>
      </c>
      <c r="BP185" s="16" t="n">
        <v>0</v>
      </c>
      <c r="BQ185" s="16" t="n">
        <v>0</v>
      </c>
      <c r="BR185" s="16" t="n">
        <v>0</v>
      </c>
      <c r="BS185" s="16" t="n">
        <v>0</v>
      </c>
      <c r="BT185" s="16" t="n">
        <v>0</v>
      </c>
      <c r="BU185" s="16" t="n">
        <v>0</v>
      </c>
      <c r="BV185" s="16" t="n">
        <v>0</v>
      </c>
      <c r="BW185" s="16" t="n">
        <v>0</v>
      </c>
      <c r="BX185" s="16" t="n">
        <v>0</v>
      </c>
      <c r="BY185" s="16" t="n">
        <v>0</v>
      </c>
      <c r="BZ185" s="16" t="n">
        <v>0</v>
      </c>
      <c r="CA185" s="16" t="n">
        <v>0</v>
      </c>
      <c r="CB185" s="16" t="n">
        <v>0</v>
      </c>
      <c r="CC185" s="16" t="n">
        <v>0</v>
      </c>
      <c r="CD185" s="16" t="n">
        <v>0</v>
      </c>
      <c r="CE185" s="16" t="n">
        <v>0</v>
      </c>
      <c r="CF185" s="16" t="n">
        <v>0</v>
      </c>
      <c r="CG185" s="16" t="n">
        <v>0</v>
      </c>
      <c r="CH185" s="16" t="n">
        <v>0</v>
      </c>
      <c r="CI185" s="16" t="n">
        <v>0</v>
      </c>
      <c r="CJ185" s="16" t="n">
        <v>0</v>
      </c>
      <c r="CK185" s="16" t="n">
        <v>0</v>
      </c>
      <c r="CL185" s="16" t="n">
        <v>0</v>
      </c>
      <c r="CM185" s="16" t="n">
        <v>0</v>
      </c>
      <c r="CN185" s="16" t="n">
        <v>0</v>
      </c>
      <c r="CO185" s="16" t="n">
        <v>0</v>
      </c>
      <c r="CP185" s="16" t="n">
        <v>0</v>
      </c>
      <c r="CQ185" s="16" t="n">
        <v>0</v>
      </c>
      <c r="CR185" s="16" t="n">
        <v>0</v>
      </c>
      <c r="CS185" s="16" t="n">
        <v>0</v>
      </c>
      <c r="CT185" s="16" t="n">
        <v>0</v>
      </c>
      <c r="CU185" s="16" t="n">
        <v>0</v>
      </c>
      <c r="CV185" s="16" t="n">
        <v>0</v>
      </c>
      <c r="CW185" s="16" t="n">
        <v>0</v>
      </c>
      <c r="CX185" s="16" t="n">
        <v>0</v>
      </c>
      <c r="CY185" s="16" t="n">
        <v>0</v>
      </c>
      <c r="CZ185" s="16" t="n">
        <v>0</v>
      </c>
      <c r="DA185" s="16" t="n">
        <v>0</v>
      </c>
      <c r="DB185" s="16" t="n">
        <v>0</v>
      </c>
      <c r="DC185" s="16" t="n">
        <v>0</v>
      </c>
      <c r="DD185" s="16" t="n">
        <v>0</v>
      </c>
      <c r="DE185" s="16" t="n">
        <v>0</v>
      </c>
      <c r="DF185" s="16" t="n">
        <v>0</v>
      </c>
      <c r="DG185" s="16" t="n">
        <v>0</v>
      </c>
      <c r="DH185" s="16" t="n">
        <v>0</v>
      </c>
      <c r="DI185" s="16" t="n">
        <v>0</v>
      </c>
      <c r="DJ185" s="16" t="n">
        <v>0</v>
      </c>
      <c r="DK185" s="16" t="n">
        <v>0</v>
      </c>
      <c r="DL185" s="16" t="n">
        <v>0</v>
      </c>
      <c r="DM185" s="16" t="n">
        <v>0</v>
      </c>
      <c r="DN185" s="16" t="n">
        <v>0</v>
      </c>
      <c r="DO185" s="16" t="n">
        <v>0</v>
      </c>
      <c r="DP185" s="16" t="n">
        <v>0</v>
      </c>
      <c r="DQ185" s="16" t="n">
        <v>0</v>
      </c>
      <c r="DR185" s="16" t="n">
        <v>0</v>
      </c>
      <c r="DS185" s="16" t="n">
        <v>0</v>
      </c>
      <c r="DT185" s="16" t="n">
        <v>0</v>
      </c>
      <c r="DU185" s="16" t="n">
        <v>0</v>
      </c>
      <c r="DV185" s="16" t="n">
        <v>0</v>
      </c>
      <c r="DW185" s="16" t="n">
        <v>0</v>
      </c>
      <c r="DX185" s="16" t="n">
        <v>0</v>
      </c>
      <c r="DY185" s="16" t="n">
        <v>0</v>
      </c>
      <c r="DZ185" s="16" t="n">
        <v>0</v>
      </c>
      <c r="EA185" s="16" t="n">
        <v>0</v>
      </c>
      <c r="EB185" s="16" t="n">
        <v>0</v>
      </c>
      <c r="EC185" s="16" t="n">
        <v>0</v>
      </c>
      <c r="ED185" s="16" t="n">
        <v>0</v>
      </c>
      <c r="EE185" s="16" t="n">
        <v>0</v>
      </c>
      <c r="EF185" s="16" t="n">
        <v>0</v>
      </c>
    </row>
    <row r="186" customFormat="false" ht="15" hidden="false" customHeight="true" outlineLevel="0" collapsed="false">
      <c r="A186" s="9" t="s">
        <v>12</v>
      </c>
      <c r="B186" s="9" t="s">
        <v>23</v>
      </c>
      <c r="C186" s="9" t="s">
        <v>23</v>
      </c>
      <c r="D186" s="9" t="s">
        <v>338</v>
      </c>
      <c r="E186" s="9" t="s">
        <v>10</v>
      </c>
      <c r="F186" s="9" t="s">
        <v>106</v>
      </c>
      <c r="G186" s="16" t="n">
        <v>0</v>
      </c>
      <c r="H186" s="16" t="n">
        <v>0</v>
      </c>
      <c r="I186" s="16" t="n">
        <v>7</v>
      </c>
      <c r="J186" s="16" t="n">
        <v>-7</v>
      </c>
      <c r="K186" s="16" t="n">
        <v>0</v>
      </c>
      <c r="L186" s="16" t="n">
        <v>0</v>
      </c>
      <c r="M186" s="16" t="n">
        <v>0</v>
      </c>
      <c r="N186" s="16" t="n">
        <v>0</v>
      </c>
      <c r="O186" s="16" t="n">
        <v>0</v>
      </c>
      <c r="P186" s="16" t="n">
        <v>0</v>
      </c>
      <c r="Q186" s="16" t="n">
        <v>0</v>
      </c>
      <c r="R186" s="16" t="n">
        <v>0</v>
      </c>
      <c r="S186" s="16" t="n">
        <v>0</v>
      </c>
      <c r="T186" s="16" t="n">
        <v>0</v>
      </c>
      <c r="U186" s="16" t="n">
        <v>0</v>
      </c>
      <c r="V186" s="16" t="n">
        <v>0</v>
      </c>
      <c r="W186" s="16" t="n">
        <v>0</v>
      </c>
      <c r="X186" s="16" t="n">
        <v>0</v>
      </c>
      <c r="Y186" s="16" t="n">
        <v>0</v>
      </c>
      <c r="Z186" s="16" t="n">
        <v>1</v>
      </c>
      <c r="AA186" s="16" t="n">
        <v>6</v>
      </c>
      <c r="AB186" s="16" t="n">
        <v>0</v>
      </c>
      <c r="AC186" s="16" t="n">
        <v>0</v>
      </c>
      <c r="AD186" s="16" t="n">
        <v>0</v>
      </c>
      <c r="AE186" s="16" t="n">
        <v>0</v>
      </c>
      <c r="AF186" s="16" t="n">
        <v>0</v>
      </c>
      <c r="AG186" s="16" t="n">
        <v>0</v>
      </c>
      <c r="AH186" s="16" t="n">
        <v>0</v>
      </c>
      <c r="AI186" s="16" t="n">
        <v>0</v>
      </c>
      <c r="AJ186" s="16" t="n">
        <v>0</v>
      </c>
      <c r="AK186" s="16" t="n">
        <v>0</v>
      </c>
      <c r="AL186" s="16" t="n">
        <v>0</v>
      </c>
      <c r="AM186" s="16" t="n">
        <v>0</v>
      </c>
      <c r="AN186" s="16" t="n">
        <v>0</v>
      </c>
      <c r="AO186" s="16" t="n">
        <v>0</v>
      </c>
      <c r="AP186" s="16" t="n">
        <v>0</v>
      </c>
      <c r="AQ186" s="16" t="n">
        <v>0</v>
      </c>
      <c r="AR186" s="16" t="n">
        <v>0</v>
      </c>
      <c r="AS186" s="16" t="n">
        <v>0</v>
      </c>
      <c r="AT186" s="16" t="n">
        <v>0</v>
      </c>
      <c r="AU186" s="16" t="n">
        <v>0</v>
      </c>
      <c r="AV186" s="16" t="n">
        <v>0</v>
      </c>
      <c r="AW186" s="16" t="n">
        <v>0</v>
      </c>
      <c r="AX186" s="16" t="n">
        <v>0</v>
      </c>
      <c r="AY186" s="16" t="n">
        <v>0</v>
      </c>
      <c r="AZ186" s="16" t="n">
        <v>0</v>
      </c>
      <c r="BA186" s="16" t="n">
        <v>0</v>
      </c>
      <c r="BB186" s="16" t="n">
        <v>0</v>
      </c>
      <c r="BC186" s="16" t="n">
        <v>0</v>
      </c>
      <c r="BD186" s="16" t="n">
        <v>0</v>
      </c>
      <c r="BE186" s="16" t="n">
        <v>0</v>
      </c>
      <c r="BF186" s="16" t="n">
        <v>0</v>
      </c>
      <c r="BG186" s="16" t="n">
        <v>0</v>
      </c>
      <c r="BH186" s="16" t="n">
        <v>0</v>
      </c>
      <c r="BI186" s="16" t="n">
        <v>0</v>
      </c>
      <c r="BJ186" s="16" t="n">
        <v>0</v>
      </c>
      <c r="BK186" s="16" t="n">
        <v>0</v>
      </c>
      <c r="BL186" s="16" t="n">
        <v>0</v>
      </c>
      <c r="BM186" s="16" t="n">
        <v>0</v>
      </c>
      <c r="BN186" s="16" t="n">
        <v>0</v>
      </c>
      <c r="BO186" s="16" t="n">
        <v>0</v>
      </c>
      <c r="BP186" s="16" t="n">
        <v>0</v>
      </c>
      <c r="BQ186" s="16" t="n">
        <v>0</v>
      </c>
      <c r="BR186" s="16" t="n">
        <v>0</v>
      </c>
      <c r="BS186" s="16" t="n">
        <v>0</v>
      </c>
      <c r="BT186" s="16" t="n">
        <v>0</v>
      </c>
      <c r="BU186" s="16" t="n">
        <v>0</v>
      </c>
      <c r="BV186" s="16" t="n">
        <v>0</v>
      </c>
      <c r="BW186" s="16" t="n">
        <v>0</v>
      </c>
      <c r="BX186" s="16" t="n">
        <v>0</v>
      </c>
      <c r="BY186" s="16" t="n">
        <v>0</v>
      </c>
      <c r="BZ186" s="16" t="n">
        <v>0</v>
      </c>
      <c r="CA186" s="16" t="n">
        <v>0</v>
      </c>
      <c r="CB186" s="16" t="n">
        <v>0</v>
      </c>
      <c r="CC186" s="16" t="n">
        <v>0</v>
      </c>
      <c r="CD186" s="16" t="n">
        <v>0</v>
      </c>
      <c r="CE186" s="16" t="n">
        <v>0</v>
      </c>
      <c r="CF186" s="16" t="n">
        <v>0</v>
      </c>
      <c r="CG186" s="16" t="n">
        <v>0</v>
      </c>
      <c r="CH186" s="16" t="n">
        <v>0</v>
      </c>
      <c r="CI186" s="16" t="n">
        <v>0</v>
      </c>
      <c r="CJ186" s="16" t="n">
        <v>0</v>
      </c>
      <c r="CK186" s="16" t="n">
        <v>0</v>
      </c>
      <c r="CL186" s="16" t="n">
        <v>0</v>
      </c>
      <c r="CM186" s="16" t="n">
        <v>0</v>
      </c>
      <c r="CN186" s="16" t="n">
        <v>0</v>
      </c>
      <c r="CO186" s="16" t="n">
        <v>0</v>
      </c>
      <c r="CP186" s="16" t="n">
        <v>0</v>
      </c>
      <c r="CQ186" s="16" t="n">
        <v>0</v>
      </c>
      <c r="CR186" s="16" t="n">
        <v>0</v>
      </c>
      <c r="CS186" s="16" t="n">
        <v>0</v>
      </c>
      <c r="CT186" s="16" t="n">
        <v>0</v>
      </c>
      <c r="CU186" s="16" t="n">
        <v>0</v>
      </c>
      <c r="CV186" s="16" t="n">
        <v>0</v>
      </c>
      <c r="CW186" s="16" t="n">
        <v>0</v>
      </c>
      <c r="CX186" s="16" t="n">
        <v>0</v>
      </c>
      <c r="CY186" s="16" t="n">
        <v>0</v>
      </c>
      <c r="CZ186" s="16" t="n">
        <v>0</v>
      </c>
      <c r="DA186" s="16" t="n">
        <v>0</v>
      </c>
      <c r="DB186" s="16" t="n">
        <v>0</v>
      </c>
      <c r="DC186" s="16" t="n">
        <v>0</v>
      </c>
      <c r="DD186" s="16" t="n">
        <v>0</v>
      </c>
      <c r="DE186" s="16" t="n">
        <v>0</v>
      </c>
      <c r="DF186" s="16" t="n">
        <v>0</v>
      </c>
      <c r="DG186" s="16" t="n">
        <v>0</v>
      </c>
      <c r="DH186" s="16" t="n">
        <v>0</v>
      </c>
      <c r="DI186" s="16" t="n">
        <v>0</v>
      </c>
      <c r="DJ186" s="16" t="n">
        <v>0</v>
      </c>
      <c r="DK186" s="16" t="n">
        <v>0</v>
      </c>
      <c r="DL186" s="16" t="n">
        <v>0</v>
      </c>
      <c r="DM186" s="16" t="n">
        <v>0</v>
      </c>
      <c r="DN186" s="16" t="n">
        <v>0</v>
      </c>
      <c r="DO186" s="16" t="n">
        <v>0</v>
      </c>
      <c r="DP186" s="16" t="n">
        <v>0</v>
      </c>
      <c r="DQ186" s="16" t="n">
        <v>0</v>
      </c>
      <c r="DR186" s="16" t="n">
        <v>0</v>
      </c>
      <c r="DS186" s="16" t="n">
        <v>0</v>
      </c>
      <c r="DT186" s="16" t="n">
        <v>0</v>
      </c>
      <c r="DU186" s="16" t="n">
        <v>0</v>
      </c>
      <c r="DV186" s="16" t="n">
        <v>0</v>
      </c>
      <c r="DW186" s="16" t="n">
        <v>0</v>
      </c>
      <c r="DX186" s="16" t="n">
        <v>0</v>
      </c>
      <c r="DY186" s="16" t="n">
        <v>0</v>
      </c>
      <c r="DZ186" s="16" t="n">
        <v>0</v>
      </c>
      <c r="EA186" s="16" t="n">
        <v>0</v>
      </c>
      <c r="EB186" s="16" t="n">
        <v>0</v>
      </c>
      <c r="EC186" s="16" t="n">
        <v>0</v>
      </c>
      <c r="ED186" s="16" t="n">
        <v>0</v>
      </c>
      <c r="EE186" s="16" t="n">
        <v>0</v>
      </c>
      <c r="EF186" s="16" t="n">
        <v>0</v>
      </c>
    </row>
    <row r="187" customFormat="false" ht="15" hidden="false" customHeight="true" outlineLevel="0" collapsed="false">
      <c r="A187" s="9" t="s">
        <v>12</v>
      </c>
      <c r="B187" s="9" t="s">
        <v>23</v>
      </c>
      <c r="C187" s="9" t="s">
        <v>23</v>
      </c>
      <c r="D187" s="9" t="s">
        <v>338</v>
      </c>
      <c r="E187" s="9" t="s">
        <v>10</v>
      </c>
      <c r="F187" s="9" t="s">
        <v>106</v>
      </c>
      <c r="G187" s="16" t="n">
        <v>126</v>
      </c>
      <c r="H187" s="16" t="n">
        <v>230</v>
      </c>
      <c r="I187" s="16" t="n">
        <v>31.5</v>
      </c>
      <c r="J187" s="16" t="n">
        <v>198.5</v>
      </c>
      <c r="K187" s="16" t="n">
        <v>0</v>
      </c>
      <c r="L187" s="16" t="n">
        <v>0</v>
      </c>
      <c r="M187" s="16" t="n">
        <v>0</v>
      </c>
      <c r="N187" s="16" t="n">
        <v>0</v>
      </c>
      <c r="O187" s="16" t="n">
        <v>0</v>
      </c>
      <c r="P187" s="16" t="n">
        <v>0</v>
      </c>
      <c r="Q187" s="16" t="n">
        <v>0</v>
      </c>
      <c r="R187" s="16" t="n">
        <v>0</v>
      </c>
      <c r="S187" s="16" t="n">
        <v>0</v>
      </c>
      <c r="T187" s="16" t="n">
        <v>0</v>
      </c>
      <c r="U187" s="16" t="n">
        <v>0</v>
      </c>
      <c r="V187" s="16" t="n">
        <v>0</v>
      </c>
      <c r="W187" s="16" t="n">
        <v>0</v>
      </c>
      <c r="X187" s="16" t="n">
        <v>0</v>
      </c>
      <c r="Y187" s="16" t="n">
        <v>0</v>
      </c>
      <c r="Z187" s="16" t="n">
        <v>0</v>
      </c>
      <c r="AA187" s="16" t="n">
        <v>0</v>
      </c>
      <c r="AB187" s="16" t="n">
        <v>0</v>
      </c>
      <c r="AC187" s="16" t="n">
        <v>0</v>
      </c>
      <c r="AD187" s="16" t="n">
        <v>4</v>
      </c>
      <c r="AE187" s="16" t="n">
        <v>3</v>
      </c>
      <c r="AF187" s="16" t="n">
        <v>4</v>
      </c>
      <c r="AG187" s="16" t="n">
        <v>9</v>
      </c>
      <c r="AH187" s="16" t="n">
        <v>2.5</v>
      </c>
      <c r="AI187" s="16" t="n">
        <v>5</v>
      </c>
      <c r="AJ187" s="16" t="n">
        <v>4</v>
      </c>
      <c r="AK187" s="16" t="n">
        <v>0</v>
      </c>
      <c r="AL187" s="16" t="n">
        <v>0</v>
      </c>
      <c r="AM187" s="16" t="n">
        <v>0</v>
      </c>
      <c r="AN187" s="16" t="n">
        <v>0</v>
      </c>
      <c r="AO187" s="16" t="n">
        <v>0</v>
      </c>
      <c r="AP187" s="16" t="n">
        <v>0</v>
      </c>
      <c r="AQ187" s="16" t="n">
        <v>0</v>
      </c>
      <c r="AR187" s="16" t="n">
        <v>0</v>
      </c>
      <c r="AS187" s="16" t="n">
        <v>0</v>
      </c>
      <c r="AT187" s="16" t="n">
        <v>0</v>
      </c>
      <c r="AU187" s="16" t="n">
        <v>0</v>
      </c>
      <c r="AV187" s="16" t="n">
        <v>0</v>
      </c>
      <c r="AW187" s="16" t="n">
        <v>0</v>
      </c>
      <c r="AX187" s="16" t="n">
        <v>0</v>
      </c>
      <c r="AY187" s="16" t="n">
        <v>0</v>
      </c>
      <c r="AZ187" s="16" t="n">
        <v>0</v>
      </c>
      <c r="BA187" s="16" t="n">
        <v>0</v>
      </c>
      <c r="BB187" s="16" t="n">
        <v>0</v>
      </c>
      <c r="BC187" s="16" t="n">
        <v>0</v>
      </c>
      <c r="BD187" s="16" t="n">
        <v>0</v>
      </c>
      <c r="BE187" s="16" t="n">
        <v>0</v>
      </c>
      <c r="BF187" s="16" t="n">
        <v>0</v>
      </c>
      <c r="BG187" s="16" t="n">
        <v>0</v>
      </c>
      <c r="BH187" s="16" t="n">
        <v>0</v>
      </c>
      <c r="BI187" s="16" t="n">
        <v>0</v>
      </c>
      <c r="BJ187" s="16" t="n">
        <v>0</v>
      </c>
      <c r="BK187" s="16" t="n">
        <v>0</v>
      </c>
      <c r="BL187" s="16" t="n">
        <v>0</v>
      </c>
      <c r="BM187" s="16" t="n">
        <v>0</v>
      </c>
      <c r="BN187" s="16" t="n">
        <v>0</v>
      </c>
      <c r="BO187" s="16" t="n">
        <v>0</v>
      </c>
      <c r="BP187" s="16" t="n">
        <v>0</v>
      </c>
      <c r="BQ187" s="16" t="n">
        <v>0</v>
      </c>
      <c r="BR187" s="16" t="n">
        <v>0</v>
      </c>
      <c r="BS187" s="16" t="n">
        <v>0</v>
      </c>
      <c r="BT187" s="16" t="n">
        <v>0</v>
      </c>
      <c r="BU187" s="16" t="n">
        <v>0</v>
      </c>
      <c r="BV187" s="16" t="n">
        <v>0</v>
      </c>
      <c r="BW187" s="16" t="n">
        <v>0</v>
      </c>
      <c r="BX187" s="16" t="n">
        <v>0</v>
      </c>
      <c r="BY187" s="16" t="n">
        <v>0</v>
      </c>
      <c r="BZ187" s="16" t="n">
        <v>0</v>
      </c>
      <c r="CA187" s="16" t="n">
        <v>0</v>
      </c>
      <c r="CB187" s="16" t="n">
        <v>0</v>
      </c>
      <c r="CC187" s="16" t="n">
        <v>0</v>
      </c>
      <c r="CD187" s="16" t="n">
        <v>0</v>
      </c>
      <c r="CE187" s="16" t="n">
        <v>0</v>
      </c>
      <c r="CF187" s="16" t="n">
        <v>0</v>
      </c>
      <c r="CG187" s="16" t="n">
        <v>0</v>
      </c>
      <c r="CH187" s="16" t="n">
        <v>0</v>
      </c>
      <c r="CI187" s="16" t="n">
        <v>0</v>
      </c>
      <c r="CJ187" s="16" t="n">
        <v>0</v>
      </c>
      <c r="CK187" s="16" t="n">
        <v>0</v>
      </c>
      <c r="CL187" s="16" t="n">
        <v>0</v>
      </c>
      <c r="CM187" s="16" t="n">
        <v>0</v>
      </c>
      <c r="CN187" s="16" t="n">
        <v>0</v>
      </c>
      <c r="CO187" s="16" t="n">
        <v>0</v>
      </c>
      <c r="CP187" s="16" t="n">
        <v>0</v>
      </c>
      <c r="CQ187" s="16" t="n">
        <v>0</v>
      </c>
      <c r="CR187" s="16" t="n">
        <v>0</v>
      </c>
      <c r="CS187" s="16" t="n">
        <v>0</v>
      </c>
      <c r="CT187" s="16" t="n">
        <v>0</v>
      </c>
      <c r="CU187" s="16" t="n">
        <v>0</v>
      </c>
      <c r="CV187" s="16" t="n">
        <v>0</v>
      </c>
      <c r="CW187" s="16" t="n">
        <v>0</v>
      </c>
      <c r="CX187" s="16" t="n">
        <v>0</v>
      </c>
      <c r="CY187" s="16" t="n">
        <v>0</v>
      </c>
      <c r="CZ187" s="16" t="n">
        <v>0</v>
      </c>
      <c r="DA187" s="16" t="n">
        <v>0</v>
      </c>
      <c r="DB187" s="16" t="n">
        <v>0</v>
      </c>
      <c r="DC187" s="16" t="n">
        <v>0</v>
      </c>
      <c r="DD187" s="16" t="n">
        <v>0</v>
      </c>
      <c r="DE187" s="16" t="n">
        <v>0</v>
      </c>
      <c r="DF187" s="16" t="n">
        <v>0</v>
      </c>
      <c r="DG187" s="16" t="n">
        <v>0</v>
      </c>
      <c r="DH187" s="16" t="n">
        <v>0</v>
      </c>
      <c r="DI187" s="16" t="n">
        <v>0</v>
      </c>
      <c r="DJ187" s="16" t="n">
        <v>0</v>
      </c>
      <c r="DK187" s="16" t="n">
        <v>0</v>
      </c>
      <c r="DL187" s="16" t="n">
        <v>0</v>
      </c>
      <c r="DM187" s="16" t="n">
        <v>0</v>
      </c>
      <c r="DN187" s="16" t="n">
        <v>0</v>
      </c>
      <c r="DO187" s="16" t="n">
        <v>0</v>
      </c>
      <c r="DP187" s="16" t="n">
        <v>0</v>
      </c>
      <c r="DQ187" s="16" t="n">
        <v>0</v>
      </c>
      <c r="DR187" s="16" t="n">
        <v>0</v>
      </c>
      <c r="DS187" s="16" t="n">
        <v>0</v>
      </c>
      <c r="DT187" s="16" t="n">
        <v>0</v>
      </c>
      <c r="DU187" s="16" t="n">
        <v>0</v>
      </c>
      <c r="DV187" s="16" t="n">
        <v>0</v>
      </c>
      <c r="DW187" s="16" t="n">
        <v>0</v>
      </c>
      <c r="DX187" s="16" t="n">
        <v>0</v>
      </c>
      <c r="DY187" s="16" t="n">
        <v>0</v>
      </c>
      <c r="DZ187" s="16" t="n">
        <v>0</v>
      </c>
      <c r="EA187" s="16" t="n">
        <v>0</v>
      </c>
      <c r="EB187" s="16" t="n">
        <v>0</v>
      </c>
      <c r="EC187" s="16" t="n">
        <v>0</v>
      </c>
      <c r="ED187" s="16" t="n">
        <v>0</v>
      </c>
      <c r="EE187" s="16" t="n">
        <v>0</v>
      </c>
      <c r="EF187" s="16" t="n">
        <v>0</v>
      </c>
    </row>
    <row r="188" customFormat="false" ht="15" hidden="false" customHeight="true" outlineLevel="0" collapsed="false">
      <c r="A188" s="9" t="s">
        <v>12</v>
      </c>
      <c r="B188" s="9" t="s">
        <v>23</v>
      </c>
      <c r="C188" s="9" t="s">
        <v>23</v>
      </c>
      <c r="D188" s="9" t="s">
        <v>337</v>
      </c>
      <c r="E188" s="9" t="s">
        <v>10</v>
      </c>
      <c r="F188" s="9" t="s">
        <v>106</v>
      </c>
      <c r="G188" s="16" t="n">
        <v>0</v>
      </c>
      <c r="H188" s="16" t="n">
        <v>0</v>
      </c>
      <c r="I188" s="16" t="n">
        <v>141.5</v>
      </c>
      <c r="J188" s="16" t="n">
        <v>-141.5</v>
      </c>
      <c r="K188" s="16" t="n">
        <v>0</v>
      </c>
      <c r="L188" s="16" t="n">
        <v>0</v>
      </c>
      <c r="M188" s="16" t="n">
        <v>0</v>
      </c>
      <c r="N188" s="16" t="n">
        <v>0</v>
      </c>
      <c r="O188" s="16" t="n">
        <v>0</v>
      </c>
      <c r="P188" s="16" t="n">
        <v>0</v>
      </c>
      <c r="Q188" s="16" t="n">
        <v>0</v>
      </c>
      <c r="R188" s="16" t="n">
        <v>0</v>
      </c>
      <c r="S188" s="16" t="n">
        <v>0</v>
      </c>
      <c r="T188" s="16" t="n">
        <v>0</v>
      </c>
      <c r="U188" s="16" t="n">
        <v>0</v>
      </c>
      <c r="V188" s="16" t="n">
        <v>0</v>
      </c>
      <c r="W188" s="16" t="n">
        <v>0</v>
      </c>
      <c r="X188" s="16" t="n">
        <v>0</v>
      </c>
      <c r="Y188" s="16" t="n">
        <v>0</v>
      </c>
      <c r="Z188" s="16" t="n">
        <v>0</v>
      </c>
      <c r="AA188" s="16" t="n">
        <v>0</v>
      </c>
      <c r="AB188" s="16" t="n">
        <v>0</v>
      </c>
      <c r="AC188" s="16" t="n">
        <v>0</v>
      </c>
      <c r="AD188" s="16" t="n">
        <v>0</v>
      </c>
      <c r="AE188" s="16" t="n">
        <v>0</v>
      </c>
      <c r="AF188" s="16" t="n">
        <v>0</v>
      </c>
      <c r="AG188" s="16" t="n">
        <v>0</v>
      </c>
      <c r="AH188" s="16" t="n">
        <v>0</v>
      </c>
      <c r="AI188" s="16" t="n">
        <v>0</v>
      </c>
      <c r="AJ188" s="16" t="n">
        <v>6</v>
      </c>
      <c r="AK188" s="16" t="n">
        <v>0</v>
      </c>
      <c r="AL188" s="16" t="n">
        <v>10.5</v>
      </c>
      <c r="AM188" s="16" t="n">
        <v>5</v>
      </c>
      <c r="AN188" s="16" t="n">
        <v>6</v>
      </c>
      <c r="AO188" s="16" t="n">
        <v>3</v>
      </c>
      <c r="AP188" s="16" t="n">
        <v>5</v>
      </c>
      <c r="AQ188" s="16" t="n">
        <v>2</v>
      </c>
      <c r="AR188" s="16" t="n">
        <v>0</v>
      </c>
      <c r="AS188" s="16" t="n">
        <v>0</v>
      </c>
      <c r="AT188" s="16" t="n">
        <v>0</v>
      </c>
      <c r="AU188" s="16" t="n">
        <v>0</v>
      </c>
      <c r="AV188" s="16" t="n">
        <v>0</v>
      </c>
      <c r="AW188" s="16" t="n">
        <v>0</v>
      </c>
      <c r="AX188" s="16" t="n">
        <v>0</v>
      </c>
      <c r="AY188" s="16" t="n">
        <v>0</v>
      </c>
      <c r="AZ188" s="16" t="n">
        <v>0</v>
      </c>
      <c r="BA188" s="16" t="n">
        <v>0</v>
      </c>
      <c r="BB188" s="16" t="n">
        <v>0</v>
      </c>
      <c r="BC188" s="16" t="n">
        <v>0</v>
      </c>
      <c r="BD188" s="16" t="n">
        <v>0</v>
      </c>
      <c r="BE188" s="16" t="n">
        <v>0</v>
      </c>
      <c r="BF188" s="16" t="n">
        <v>0</v>
      </c>
      <c r="BG188" s="16" t="n">
        <v>0</v>
      </c>
      <c r="BH188" s="16" t="n">
        <v>0</v>
      </c>
      <c r="BI188" s="16" t="n">
        <v>0</v>
      </c>
      <c r="BJ188" s="16" t="n">
        <v>0</v>
      </c>
      <c r="BK188" s="16" t="n">
        <v>0</v>
      </c>
      <c r="BL188" s="16" t="n">
        <v>0</v>
      </c>
      <c r="BM188" s="16" t="n">
        <v>0</v>
      </c>
      <c r="BN188" s="16" t="n">
        <v>0</v>
      </c>
      <c r="BO188" s="16" t="n">
        <v>0</v>
      </c>
      <c r="BP188" s="16" t="n">
        <v>0</v>
      </c>
      <c r="BQ188" s="16" t="n">
        <v>0</v>
      </c>
      <c r="BR188" s="16" t="n">
        <v>0</v>
      </c>
      <c r="BS188" s="16" t="n">
        <v>0</v>
      </c>
      <c r="BT188" s="16" t="n">
        <v>0</v>
      </c>
      <c r="BU188" s="16" t="n">
        <v>0</v>
      </c>
      <c r="BV188" s="16" t="n">
        <v>0</v>
      </c>
      <c r="BW188" s="16" t="n">
        <v>0</v>
      </c>
      <c r="BX188" s="16" t="n">
        <v>0</v>
      </c>
      <c r="BY188" s="16" t="n">
        <v>0</v>
      </c>
      <c r="BZ188" s="16" t="n">
        <v>0</v>
      </c>
      <c r="CA188" s="16" t="n">
        <v>0</v>
      </c>
      <c r="CB188" s="16" t="n">
        <v>0</v>
      </c>
      <c r="CC188" s="16" t="n">
        <v>0</v>
      </c>
      <c r="CD188" s="16" t="n">
        <v>0</v>
      </c>
      <c r="CE188" s="16" t="n">
        <v>0</v>
      </c>
      <c r="CF188" s="16" t="n">
        <v>0</v>
      </c>
      <c r="CG188" s="16" t="n">
        <v>0</v>
      </c>
      <c r="CH188" s="16" t="n">
        <v>0</v>
      </c>
      <c r="CI188" s="16" t="n">
        <v>0</v>
      </c>
      <c r="CJ188" s="16" t="n">
        <v>0</v>
      </c>
      <c r="CK188" s="16" t="n">
        <v>0</v>
      </c>
      <c r="CL188" s="16" t="n">
        <v>0</v>
      </c>
      <c r="CM188" s="16" t="n">
        <v>0</v>
      </c>
      <c r="CN188" s="16" t="n">
        <v>0</v>
      </c>
      <c r="CO188" s="16" t="n">
        <v>0</v>
      </c>
      <c r="CP188" s="16" t="n">
        <v>0</v>
      </c>
      <c r="CQ188" s="16" t="n">
        <v>0</v>
      </c>
      <c r="CR188" s="16" t="n">
        <v>0</v>
      </c>
      <c r="CS188" s="16" t="n">
        <v>0</v>
      </c>
      <c r="CT188" s="16" t="n">
        <v>0</v>
      </c>
      <c r="CU188" s="16" t="n">
        <v>0</v>
      </c>
      <c r="CV188" s="16" t="n">
        <v>0</v>
      </c>
      <c r="CW188" s="16" t="n">
        <v>0</v>
      </c>
      <c r="CX188" s="16" t="n">
        <v>8</v>
      </c>
      <c r="CY188" s="16" t="n">
        <v>8</v>
      </c>
      <c r="CZ188" s="16" t="n">
        <v>10</v>
      </c>
      <c r="DA188" s="16" t="n">
        <v>12</v>
      </c>
      <c r="DB188" s="16" t="n">
        <v>10</v>
      </c>
      <c r="DC188" s="16" t="n">
        <v>8</v>
      </c>
      <c r="DD188" s="16" t="n">
        <v>8</v>
      </c>
      <c r="DE188" s="16" t="n">
        <v>0</v>
      </c>
      <c r="DF188" s="16" t="n">
        <v>8</v>
      </c>
      <c r="DG188" s="16" t="n">
        <v>10</v>
      </c>
      <c r="DH188" s="16" t="n">
        <v>10</v>
      </c>
      <c r="DI188" s="16" t="n">
        <v>0</v>
      </c>
      <c r="DJ188" s="16" t="n">
        <v>0</v>
      </c>
      <c r="DK188" s="16" t="n">
        <v>6</v>
      </c>
      <c r="DL188" s="16" t="n">
        <v>6</v>
      </c>
      <c r="DM188" s="16" t="n">
        <v>0</v>
      </c>
      <c r="DN188" s="16" t="n">
        <v>0</v>
      </c>
      <c r="DO188" s="16" t="n">
        <v>0</v>
      </c>
      <c r="DP188" s="16" t="n">
        <v>0</v>
      </c>
      <c r="DQ188" s="16" t="n">
        <v>0</v>
      </c>
      <c r="DR188" s="16" t="n">
        <v>0</v>
      </c>
      <c r="DS188" s="16" t="n">
        <v>0</v>
      </c>
      <c r="DT188" s="16" t="n">
        <v>0</v>
      </c>
      <c r="DU188" s="16" t="n">
        <v>0</v>
      </c>
      <c r="DV188" s="16" t="n">
        <v>0</v>
      </c>
      <c r="DW188" s="16" t="n">
        <v>0</v>
      </c>
      <c r="DX188" s="16" t="n">
        <v>0</v>
      </c>
      <c r="DY188" s="16" t="n">
        <v>0</v>
      </c>
      <c r="DZ188" s="16" t="n">
        <v>0</v>
      </c>
      <c r="EA188" s="16" t="n">
        <v>0</v>
      </c>
      <c r="EB188" s="16" t="n">
        <v>0</v>
      </c>
      <c r="EC188" s="16" t="n">
        <v>0</v>
      </c>
      <c r="ED188" s="16" t="n">
        <v>0</v>
      </c>
      <c r="EE188" s="16" t="n">
        <v>0</v>
      </c>
      <c r="EF188" s="16" t="n">
        <v>0</v>
      </c>
    </row>
    <row r="189" customFormat="false" ht="15" hidden="false" customHeight="true" outlineLevel="0" collapsed="false">
      <c r="A189" s="9" t="s">
        <v>12</v>
      </c>
      <c r="B189" s="9" t="s">
        <v>23</v>
      </c>
      <c r="C189" s="9" t="s">
        <v>23</v>
      </c>
      <c r="D189" s="9" t="s">
        <v>338</v>
      </c>
      <c r="E189" s="9" t="s">
        <v>10</v>
      </c>
      <c r="F189" s="9" t="s">
        <v>111</v>
      </c>
      <c r="G189" s="16" t="n">
        <v>0</v>
      </c>
      <c r="H189" s="16" t="n">
        <v>0</v>
      </c>
      <c r="I189" s="16" t="n">
        <v>1</v>
      </c>
      <c r="J189" s="16" t="n">
        <v>-1</v>
      </c>
      <c r="K189" s="16" t="n">
        <v>0</v>
      </c>
      <c r="L189" s="16" t="n">
        <v>0</v>
      </c>
      <c r="M189" s="16" t="n">
        <v>0</v>
      </c>
      <c r="N189" s="16" t="n">
        <v>0</v>
      </c>
      <c r="O189" s="16" t="n">
        <v>0</v>
      </c>
      <c r="P189" s="16" t="n">
        <v>0</v>
      </c>
      <c r="Q189" s="16" t="n">
        <v>0</v>
      </c>
      <c r="R189" s="16" t="n">
        <v>0</v>
      </c>
      <c r="S189" s="16" t="n">
        <v>0</v>
      </c>
      <c r="T189" s="16" t="n">
        <v>0</v>
      </c>
      <c r="U189" s="16" t="n">
        <v>0</v>
      </c>
      <c r="V189" s="16" t="n">
        <v>0</v>
      </c>
      <c r="W189" s="16" t="n">
        <v>0</v>
      </c>
      <c r="X189" s="16" t="n">
        <v>0</v>
      </c>
      <c r="Y189" s="16" t="n">
        <v>1</v>
      </c>
      <c r="Z189" s="16" t="n">
        <v>0</v>
      </c>
      <c r="AA189" s="16" t="n">
        <v>0</v>
      </c>
      <c r="AB189" s="16" t="n">
        <v>0</v>
      </c>
      <c r="AC189" s="16" t="n">
        <v>0</v>
      </c>
      <c r="AD189" s="16" t="n">
        <v>0</v>
      </c>
      <c r="AE189" s="16" t="n">
        <v>0</v>
      </c>
      <c r="AF189" s="16" t="n">
        <v>0</v>
      </c>
      <c r="AG189" s="16" t="n">
        <v>0</v>
      </c>
      <c r="AH189" s="16" t="n">
        <v>0</v>
      </c>
      <c r="AI189" s="16" t="n">
        <v>0</v>
      </c>
      <c r="AJ189" s="16" t="n">
        <v>0</v>
      </c>
      <c r="AK189" s="16" t="n">
        <v>0</v>
      </c>
      <c r="AL189" s="16" t="n">
        <v>0</v>
      </c>
      <c r="AM189" s="16" t="n">
        <v>0</v>
      </c>
      <c r="AN189" s="16" t="n">
        <v>0</v>
      </c>
      <c r="AO189" s="16" t="n">
        <v>0</v>
      </c>
      <c r="AP189" s="16" t="n">
        <v>0</v>
      </c>
      <c r="AQ189" s="16" t="n">
        <v>0</v>
      </c>
      <c r="AR189" s="16" t="n">
        <v>0</v>
      </c>
      <c r="AS189" s="16" t="n">
        <v>0</v>
      </c>
      <c r="AT189" s="16" t="n">
        <v>0</v>
      </c>
      <c r="AU189" s="16" t="n">
        <v>0</v>
      </c>
      <c r="AV189" s="16" t="n">
        <v>0</v>
      </c>
      <c r="AW189" s="16" t="n">
        <v>0</v>
      </c>
      <c r="AX189" s="16" t="n">
        <v>0</v>
      </c>
      <c r="AY189" s="16" t="n">
        <v>0</v>
      </c>
      <c r="AZ189" s="16" t="n">
        <v>0</v>
      </c>
      <c r="BA189" s="16" t="n">
        <v>0</v>
      </c>
      <c r="BB189" s="16" t="n">
        <v>0</v>
      </c>
      <c r="BC189" s="16" t="n">
        <v>0</v>
      </c>
      <c r="BD189" s="16" t="n">
        <v>0</v>
      </c>
      <c r="BE189" s="16" t="n">
        <v>0</v>
      </c>
      <c r="BF189" s="16" t="n">
        <v>0</v>
      </c>
      <c r="BG189" s="16" t="n">
        <v>0</v>
      </c>
      <c r="BH189" s="16" t="n">
        <v>0</v>
      </c>
      <c r="BI189" s="16" t="n">
        <v>0</v>
      </c>
      <c r="BJ189" s="16" t="n">
        <v>0</v>
      </c>
      <c r="BK189" s="16" t="n">
        <v>0</v>
      </c>
      <c r="BL189" s="16" t="n">
        <v>0</v>
      </c>
      <c r="BM189" s="16" t="n">
        <v>0</v>
      </c>
      <c r="BN189" s="16" t="n">
        <v>0</v>
      </c>
      <c r="BO189" s="16" t="n">
        <v>0</v>
      </c>
      <c r="BP189" s="16" t="n">
        <v>0</v>
      </c>
      <c r="BQ189" s="16" t="n">
        <v>0</v>
      </c>
      <c r="BR189" s="16" t="n">
        <v>0</v>
      </c>
      <c r="BS189" s="16" t="n">
        <v>0</v>
      </c>
      <c r="BT189" s="16" t="n">
        <v>0</v>
      </c>
      <c r="BU189" s="16" t="n">
        <v>0</v>
      </c>
      <c r="BV189" s="16" t="n">
        <v>0</v>
      </c>
      <c r="BW189" s="16" t="n">
        <v>0</v>
      </c>
      <c r="BX189" s="16" t="n">
        <v>0</v>
      </c>
      <c r="BY189" s="16" t="n">
        <v>0</v>
      </c>
      <c r="BZ189" s="16" t="n">
        <v>0</v>
      </c>
      <c r="CA189" s="16" t="n">
        <v>0</v>
      </c>
      <c r="CB189" s="16" t="n">
        <v>0</v>
      </c>
      <c r="CC189" s="16" t="n">
        <v>0</v>
      </c>
      <c r="CD189" s="16" t="n">
        <v>0</v>
      </c>
      <c r="CE189" s="16" t="n">
        <v>0</v>
      </c>
      <c r="CF189" s="16" t="n">
        <v>0</v>
      </c>
      <c r="CG189" s="16" t="n">
        <v>0</v>
      </c>
      <c r="CH189" s="16" t="n">
        <v>0</v>
      </c>
      <c r="CI189" s="16" t="n">
        <v>0</v>
      </c>
      <c r="CJ189" s="16" t="n">
        <v>0</v>
      </c>
      <c r="CK189" s="16" t="n">
        <v>0</v>
      </c>
      <c r="CL189" s="16" t="n">
        <v>0</v>
      </c>
      <c r="CM189" s="16" t="n">
        <v>0</v>
      </c>
      <c r="CN189" s="16" t="n">
        <v>0</v>
      </c>
      <c r="CO189" s="16" t="n">
        <v>0</v>
      </c>
      <c r="CP189" s="16" t="n">
        <v>0</v>
      </c>
      <c r="CQ189" s="16" t="n">
        <v>0</v>
      </c>
      <c r="CR189" s="16" t="n">
        <v>0</v>
      </c>
      <c r="CS189" s="16" t="n">
        <v>0</v>
      </c>
      <c r="CT189" s="16" t="n">
        <v>0</v>
      </c>
      <c r="CU189" s="16" t="n">
        <v>0</v>
      </c>
      <c r="CV189" s="16" t="n">
        <v>0</v>
      </c>
      <c r="CW189" s="16" t="n">
        <v>0</v>
      </c>
      <c r="CX189" s="16" t="n">
        <v>0</v>
      </c>
      <c r="CY189" s="16" t="n">
        <v>0</v>
      </c>
      <c r="CZ189" s="16" t="n">
        <v>0</v>
      </c>
      <c r="DA189" s="16" t="n">
        <v>0</v>
      </c>
      <c r="DB189" s="16" t="n">
        <v>0</v>
      </c>
      <c r="DC189" s="16" t="n">
        <v>0</v>
      </c>
      <c r="DD189" s="16" t="n">
        <v>0</v>
      </c>
      <c r="DE189" s="16" t="n">
        <v>0</v>
      </c>
      <c r="DF189" s="16" t="n">
        <v>0</v>
      </c>
      <c r="DG189" s="16" t="n">
        <v>0</v>
      </c>
      <c r="DH189" s="16" t="n">
        <v>0</v>
      </c>
      <c r="DI189" s="16" t="n">
        <v>0</v>
      </c>
      <c r="DJ189" s="16" t="n">
        <v>0</v>
      </c>
      <c r="DK189" s="16" t="n">
        <v>0</v>
      </c>
      <c r="DL189" s="16" t="n">
        <v>0</v>
      </c>
      <c r="DM189" s="16" t="n">
        <v>0</v>
      </c>
      <c r="DN189" s="16" t="n">
        <v>0</v>
      </c>
      <c r="DO189" s="16" t="n">
        <v>0</v>
      </c>
      <c r="DP189" s="16" t="n">
        <v>0</v>
      </c>
      <c r="DQ189" s="16" t="n">
        <v>0</v>
      </c>
      <c r="DR189" s="16" t="n">
        <v>0</v>
      </c>
      <c r="DS189" s="16" t="n">
        <v>0</v>
      </c>
      <c r="DT189" s="16" t="n">
        <v>0</v>
      </c>
      <c r="DU189" s="16" t="n">
        <v>0</v>
      </c>
      <c r="DV189" s="16" t="n">
        <v>0</v>
      </c>
      <c r="DW189" s="16" t="n">
        <v>0</v>
      </c>
      <c r="DX189" s="16" t="n">
        <v>0</v>
      </c>
      <c r="DY189" s="16" t="n">
        <v>0</v>
      </c>
      <c r="DZ189" s="16" t="n">
        <v>0</v>
      </c>
      <c r="EA189" s="16" t="n">
        <v>0</v>
      </c>
      <c r="EB189" s="16" t="n">
        <v>0</v>
      </c>
      <c r="EC189" s="16" t="n">
        <v>0</v>
      </c>
      <c r="ED189" s="16" t="n">
        <v>0</v>
      </c>
      <c r="EE189" s="16" t="n">
        <v>0</v>
      </c>
      <c r="EF189" s="16" t="n">
        <v>0</v>
      </c>
    </row>
    <row r="190" customFormat="false" ht="15" hidden="false" customHeight="true" outlineLevel="0" collapsed="false">
      <c r="A190" s="9" t="s">
        <v>12</v>
      </c>
      <c r="B190" s="9" t="s">
        <v>23</v>
      </c>
      <c r="C190" s="9" t="s">
        <v>23</v>
      </c>
      <c r="D190" s="9" t="s">
        <v>338</v>
      </c>
      <c r="E190" s="9" t="s">
        <v>10</v>
      </c>
      <c r="F190" s="9" t="s">
        <v>87</v>
      </c>
      <c r="G190" s="16" t="n">
        <v>14</v>
      </c>
      <c r="H190" s="16" t="n">
        <v>14</v>
      </c>
      <c r="I190" s="16" t="n">
        <v>0</v>
      </c>
      <c r="J190" s="16" t="n">
        <v>14</v>
      </c>
      <c r="K190" s="16" t="n">
        <v>0</v>
      </c>
      <c r="L190" s="16" t="n">
        <v>0</v>
      </c>
      <c r="M190" s="16" t="n">
        <v>0</v>
      </c>
      <c r="N190" s="16" t="n">
        <v>0</v>
      </c>
      <c r="O190" s="16" t="n">
        <v>0</v>
      </c>
      <c r="P190" s="16" t="n">
        <v>0</v>
      </c>
      <c r="Q190" s="16" t="n">
        <v>0</v>
      </c>
      <c r="R190" s="16" t="n">
        <v>0</v>
      </c>
      <c r="S190" s="16" t="n">
        <v>0</v>
      </c>
      <c r="T190" s="16" t="n">
        <v>0</v>
      </c>
      <c r="U190" s="16" t="n">
        <v>0</v>
      </c>
      <c r="V190" s="16" t="n">
        <v>0</v>
      </c>
      <c r="W190" s="16" t="n">
        <v>0</v>
      </c>
      <c r="X190" s="16" t="n">
        <v>0</v>
      </c>
      <c r="Y190" s="16" t="n">
        <v>0</v>
      </c>
      <c r="Z190" s="16" t="n">
        <v>0</v>
      </c>
      <c r="AA190" s="16" t="n">
        <v>0</v>
      </c>
      <c r="AB190" s="16" t="n">
        <v>0</v>
      </c>
      <c r="AC190" s="16" t="n">
        <v>0</v>
      </c>
      <c r="AD190" s="16" t="n">
        <v>0</v>
      </c>
      <c r="AE190" s="16" t="n">
        <v>0</v>
      </c>
      <c r="AF190" s="16" t="n">
        <v>0</v>
      </c>
      <c r="AG190" s="16" t="n">
        <v>0</v>
      </c>
      <c r="AH190" s="16" t="n">
        <v>0</v>
      </c>
      <c r="AI190" s="16" t="n">
        <v>0</v>
      </c>
      <c r="AJ190" s="16" t="n">
        <v>0</v>
      </c>
      <c r="AK190" s="16" t="n">
        <v>0</v>
      </c>
      <c r="AL190" s="16" t="n">
        <v>0</v>
      </c>
      <c r="AM190" s="16" t="n">
        <v>0</v>
      </c>
      <c r="AN190" s="16" t="n">
        <v>0</v>
      </c>
      <c r="AO190" s="16" t="n">
        <v>0</v>
      </c>
      <c r="AP190" s="16" t="n">
        <v>0</v>
      </c>
      <c r="AQ190" s="16" t="n">
        <v>0</v>
      </c>
      <c r="AR190" s="16" t="n">
        <v>0</v>
      </c>
      <c r="AS190" s="16" t="n">
        <v>0</v>
      </c>
      <c r="AT190" s="16" t="n">
        <v>0</v>
      </c>
      <c r="AU190" s="16" t="n">
        <v>0</v>
      </c>
      <c r="AV190" s="16" t="n">
        <v>0</v>
      </c>
      <c r="AW190" s="16" t="n">
        <v>0</v>
      </c>
      <c r="AX190" s="16" t="n">
        <v>0</v>
      </c>
      <c r="AY190" s="16" t="n">
        <v>0</v>
      </c>
      <c r="AZ190" s="16" t="n">
        <v>0</v>
      </c>
      <c r="BA190" s="16" t="n">
        <v>0</v>
      </c>
      <c r="BB190" s="16" t="n">
        <v>0</v>
      </c>
      <c r="BC190" s="16" t="n">
        <v>0</v>
      </c>
      <c r="BD190" s="16" t="n">
        <v>0</v>
      </c>
      <c r="BE190" s="16" t="n">
        <v>0</v>
      </c>
      <c r="BF190" s="16" t="n">
        <v>0</v>
      </c>
      <c r="BG190" s="16" t="n">
        <v>0</v>
      </c>
      <c r="BH190" s="16" t="n">
        <v>0</v>
      </c>
      <c r="BI190" s="16" t="n">
        <v>0</v>
      </c>
      <c r="BJ190" s="16" t="n">
        <v>0</v>
      </c>
      <c r="BK190" s="16" t="n">
        <v>0</v>
      </c>
      <c r="BL190" s="16" t="n">
        <v>0</v>
      </c>
      <c r="BM190" s="16" t="n">
        <v>0</v>
      </c>
      <c r="BN190" s="16" t="n">
        <v>0</v>
      </c>
      <c r="BO190" s="16" t="n">
        <v>0</v>
      </c>
      <c r="BP190" s="16" t="n">
        <v>0</v>
      </c>
      <c r="BQ190" s="16" t="n">
        <v>0</v>
      </c>
      <c r="BR190" s="16" t="n">
        <v>0</v>
      </c>
      <c r="BS190" s="16" t="n">
        <v>0</v>
      </c>
      <c r="BT190" s="16" t="n">
        <v>0</v>
      </c>
      <c r="BU190" s="16" t="n">
        <v>0</v>
      </c>
      <c r="BV190" s="16" t="n">
        <v>0</v>
      </c>
      <c r="BW190" s="16" t="n">
        <v>0</v>
      </c>
      <c r="BX190" s="16" t="n">
        <v>0</v>
      </c>
      <c r="BY190" s="16" t="n">
        <v>0</v>
      </c>
      <c r="BZ190" s="16" t="n">
        <v>0</v>
      </c>
      <c r="CA190" s="16" t="n">
        <v>0</v>
      </c>
      <c r="CB190" s="16" t="n">
        <v>0</v>
      </c>
      <c r="CC190" s="16" t="n">
        <v>0</v>
      </c>
      <c r="CD190" s="16" t="n">
        <v>0</v>
      </c>
      <c r="CE190" s="16" t="n">
        <v>0</v>
      </c>
      <c r="CF190" s="16" t="n">
        <v>0</v>
      </c>
      <c r="CG190" s="16" t="n">
        <v>0</v>
      </c>
      <c r="CH190" s="16" t="n">
        <v>0</v>
      </c>
      <c r="CI190" s="16" t="n">
        <v>0</v>
      </c>
      <c r="CJ190" s="16" t="n">
        <v>0</v>
      </c>
      <c r="CK190" s="16" t="n">
        <v>0</v>
      </c>
      <c r="CL190" s="16" t="n">
        <v>0</v>
      </c>
      <c r="CM190" s="16" t="n">
        <v>0</v>
      </c>
      <c r="CN190" s="16" t="n">
        <v>0</v>
      </c>
      <c r="CO190" s="16" t="n">
        <v>0</v>
      </c>
      <c r="CP190" s="16" t="n">
        <v>0</v>
      </c>
      <c r="CQ190" s="16" t="n">
        <v>0</v>
      </c>
      <c r="CR190" s="16" t="n">
        <v>0</v>
      </c>
      <c r="CS190" s="16" t="n">
        <v>0</v>
      </c>
      <c r="CT190" s="16" t="n">
        <v>0</v>
      </c>
      <c r="CU190" s="16" t="n">
        <v>0</v>
      </c>
      <c r="CV190" s="16" t="n">
        <v>0</v>
      </c>
      <c r="CW190" s="16" t="n">
        <v>0</v>
      </c>
      <c r="CX190" s="16" t="n">
        <v>0</v>
      </c>
      <c r="CY190" s="16" t="n">
        <v>0</v>
      </c>
      <c r="CZ190" s="16" t="n">
        <v>0</v>
      </c>
      <c r="DA190" s="16" t="n">
        <v>0</v>
      </c>
      <c r="DB190" s="16" t="n">
        <v>0</v>
      </c>
      <c r="DC190" s="16" t="n">
        <v>0</v>
      </c>
      <c r="DD190" s="16" t="n">
        <v>0</v>
      </c>
      <c r="DE190" s="16" t="n">
        <v>0</v>
      </c>
      <c r="DF190" s="16" t="n">
        <v>0</v>
      </c>
      <c r="DG190" s="16" t="n">
        <v>0</v>
      </c>
      <c r="DH190" s="16" t="n">
        <v>0</v>
      </c>
      <c r="DI190" s="16" t="n">
        <v>0</v>
      </c>
      <c r="DJ190" s="16" t="n">
        <v>0</v>
      </c>
      <c r="DK190" s="16" t="n">
        <v>0</v>
      </c>
      <c r="DL190" s="16" t="n">
        <v>0</v>
      </c>
      <c r="DM190" s="16" t="n">
        <v>0</v>
      </c>
      <c r="DN190" s="16" t="n">
        <v>0</v>
      </c>
      <c r="DO190" s="16" t="n">
        <v>0</v>
      </c>
      <c r="DP190" s="16" t="n">
        <v>0</v>
      </c>
      <c r="DQ190" s="16" t="n">
        <v>0</v>
      </c>
      <c r="DR190" s="16" t="n">
        <v>0</v>
      </c>
      <c r="DS190" s="16" t="n">
        <v>0</v>
      </c>
      <c r="DT190" s="16" t="n">
        <v>0</v>
      </c>
      <c r="DU190" s="16" t="n">
        <v>0</v>
      </c>
      <c r="DV190" s="16" t="n">
        <v>0</v>
      </c>
      <c r="DW190" s="16" t="n">
        <v>0</v>
      </c>
      <c r="DX190" s="16" t="n">
        <v>0</v>
      </c>
      <c r="DY190" s="16" t="n">
        <v>0</v>
      </c>
      <c r="DZ190" s="16" t="n">
        <v>0</v>
      </c>
      <c r="EA190" s="16" t="n">
        <v>0</v>
      </c>
      <c r="EB190" s="16" t="n">
        <v>0</v>
      </c>
      <c r="EC190" s="16" t="n">
        <v>0</v>
      </c>
      <c r="ED190" s="16" t="n">
        <v>0</v>
      </c>
      <c r="EE190" s="16" t="n">
        <v>0</v>
      </c>
      <c r="EF190" s="16" t="n">
        <v>0</v>
      </c>
    </row>
    <row r="191" customFormat="false" ht="15" hidden="false" customHeight="true" outlineLevel="0" collapsed="false">
      <c r="A191" s="9" t="s">
        <v>12</v>
      </c>
      <c r="B191" s="9" t="s">
        <v>23</v>
      </c>
      <c r="C191" s="9" t="s">
        <v>23</v>
      </c>
      <c r="D191" s="9" t="s">
        <v>337</v>
      </c>
      <c r="E191" s="9" t="s">
        <v>10</v>
      </c>
      <c r="F191" s="9" t="s">
        <v>87</v>
      </c>
      <c r="G191" s="16" t="n">
        <v>0</v>
      </c>
      <c r="H191" s="16" t="n">
        <v>0</v>
      </c>
      <c r="I191" s="16" t="n">
        <v>12</v>
      </c>
      <c r="J191" s="16" t="n">
        <v>-12</v>
      </c>
      <c r="K191" s="16" t="n">
        <v>0</v>
      </c>
      <c r="L191" s="16" t="n">
        <v>0</v>
      </c>
      <c r="M191" s="16" t="n">
        <v>0</v>
      </c>
      <c r="N191" s="16" t="n">
        <v>0</v>
      </c>
      <c r="O191" s="16" t="n">
        <v>0</v>
      </c>
      <c r="P191" s="16" t="n">
        <v>0</v>
      </c>
      <c r="Q191" s="16" t="n">
        <v>0</v>
      </c>
      <c r="R191" s="16" t="n">
        <v>0</v>
      </c>
      <c r="S191" s="16" t="n">
        <v>0</v>
      </c>
      <c r="T191" s="16" t="n">
        <v>0</v>
      </c>
      <c r="U191" s="16" t="n">
        <v>0</v>
      </c>
      <c r="V191" s="16" t="n">
        <v>0</v>
      </c>
      <c r="W191" s="16" t="n">
        <v>0</v>
      </c>
      <c r="X191" s="16" t="n">
        <v>0</v>
      </c>
      <c r="Y191" s="16" t="n">
        <v>0</v>
      </c>
      <c r="Z191" s="16" t="n">
        <v>0</v>
      </c>
      <c r="AA191" s="16" t="n">
        <v>0</v>
      </c>
      <c r="AB191" s="16" t="n">
        <v>0</v>
      </c>
      <c r="AC191" s="16" t="n">
        <v>0</v>
      </c>
      <c r="AD191" s="16" t="n">
        <v>0</v>
      </c>
      <c r="AE191" s="16" t="n">
        <v>0</v>
      </c>
      <c r="AF191" s="16" t="n">
        <v>0</v>
      </c>
      <c r="AG191" s="16" t="n">
        <v>0</v>
      </c>
      <c r="AH191" s="16" t="n">
        <v>0</v>
      </c>
      <c r="AI191" s="16" t="n">
        <v>0</v>
      </c>
      <c r="AJ191" s="16" t="n">
        <v>0</v>
      </c>
      <c r="AK191" s="16" t="n">
        <v>0</v>
      </c>
      <c r="AL191" s="16" t="n">
        <v>0</v>
      </c>
      <c r="AM191" s="16" t="n">
        <v>9</v>
      </c>
      <c r="AN191" s="16" t="n">
        <v>3</v>
      </c>
      <c r="AO191" s="16" t="n">
        <v>0</v>
      </c>
      <c r="AP191" s="16" t="n">
        <v>0</v>
      </c>
      <c r="AQ191" s="16" t="n">
        <v>0</v>
      </c>
      <c r="AR191" s="16" t="n">
        <v>0</v>
      </c>
      <c r="AS191" s="16" t="n">
        <v>0</v>
      </c>
      <c r="AT191" s="16" t="n">
        <v>0</v>
      </c>
      <c r="AU191" s="16" t="n">
        <v>0</v>
      </c>
      <c r="AV191" s="16" t="n">
        <v>0</v>
      </c>
      <c r="AW191" s="16" t="n">
        <v>0</v>
      </c>
      <c r="AX191" s="16" t="n">
        <v>0</v>
      </c>
      <c r="AY191" s="16" t="n">
        <v>0</v>
      </c>
      <c r="AZ191" s="16" t="n">
        <v>0</v>
      </c>
      <c r="BA191" s="16" t="n">
        <v>0</v>
      </c>
      <c r="BB191" s="16" t="n">
        <v>0</v>
      </c>
      <c r="BC191" s="16" t="n">
        <v>0</v>
      </c>
      <c r="BD191" s="16" t="n">
        <v>0</v>
      </c>
      <c r="BE191" s="16" t="n">
        <v>0</v>
      </c>
      <c r="BF191" s="16" t="n">
        <v>0</v>
      </c>
      <c r="BG191" s="16" t="n">
        <v>0</v>
      </c>
      <c r="BH191" s="16" t="n">
        <v>0</v>
      </c>
      <c r="BI191" s="16" t="n">
        <v>0</v>
      </c>
      <c r="BJ191" s="16" t="n">
        <v>0</v>
      </c>
      <c r="BK191" s="16" t="n">
        <v>0</v>
      </c>
      <c r="BL191" s="16" t="n">
        <v>0</v>
      </c>
      <c r="BM191" s="16" t="n">
        <v>0</v>
      </c>
      <c r="BN191" s="16" t="n">
        <v>0</v>
      </c>
      <c r="BO191" s="16" t="n">
        <v>0</v>
      </c>
      <c r="BP191" s="16" t="n">
        <v>0</v>
      </c>
      <c r="BQ191" s="16" t="n">
        <v>0</v>
      </c>
      <c r="BR191" s="16" t="n">
        <v>0</v>
      </c>
      <c r="BS191" s="16" t="n">
        <v>0</v>
      </c>
      <c r="BT191" s="16" t="n">
        <v>0</v>
      </c>
      <c r="BU191" s="16" t="n">
        <v>0</v>
      </c>
      <c r="BV191" s="16" t="n">
        <v>0</v>
      </c>
      <c r="BW191" s="16" t="n">
        <v>0</v>
      </c>
      <c r="BX191" s="16" t="n">
        <v>0</v>
      </c>
      <c r="BY191" s="16" t="n">
        <v>0</v>
      </c>
      <c r="BZ191" s="16" t="n">
        <v>0</v>
      </c>
      <c r="CA191" s="16" t="n">
        <v>0</v>
      </c>
      <c r="CB191" s="16" t="n">
        <v>0</v>
      </c>
      <c r="CC191" s="16" t="n">
        <v>0</v>
      </c>
      <c r="CD191" s="16" t="n">
        <v>0</v>
      </c>
      <c r="CE191" s="16" t="n">
        <v>0</v>
      </c>
      <c r="CF191" s="16" t="n">
        <v>0</v>
      </c>
      <c r="CG191" s="16" t="n">
        <v>0</v>
      </c>
      <c r="CH191" s="16" t="n">
        <v>0</v>
      </c>
      <c r="CI191" s="16" t="n">
        <v>0</v>
      </c>
      <c r="CJ191" s="16" t="n">
        <v>0</v>
      </c>
      <c r="CK191" s="16" t="n">
        <v>0</v>
      </c>
      <c r="CL191" s="16" t="n">
        <v>0</v>
      </c>
      <c r="CM191" s="16" t="n">
        <v>0</v>
      </c>
      <c r="CN191" s="16" t="n">
        <v>0</v>
      </c>
      <c r="CO191" s="16" t="n">
        <v>0</v>
      </c>
      <c r="CP191" s="16" t="n">
        <v>0</v>
      </c>
      <c r="CQ191" s="16" t="n">
        <v>0</v>
      </c>
      <c r="CR191" s="16" t="n">
        <v>0</v>
      </c>
      <c r="CS191" s="16" t="n">
        <v>0</v>
      </c>
      <c r="CT191" s="16" t="n">
        <v>0</v>
      </c>
      <c r="CU191" s="16" t="n">
        <v>0</v>
      </c>
      <c r="CV191" s="16" t="n">
        <v>0</v>
      </c>
      <c r="CW191" s="16" t="n">
        <v>0</v>
      </c>
      <c r="CX191" s="16" t="n">
        <v>0</v>
      </c>
      <c r="CY191" s="16" t="n">
        <v>0</v>
      </c>
      <c r="CZ191" s="16" t="n">
        <v>0</v>
      </c>
      <c r="DA191" s="16" t="n">
        <v>0</v>
      </c>
      <c r="DB191" s="16" t="n">
        <v>0</v>
      </c>
      <c r="DC191" s="16" t="n">
        <v>0</v>
      </c>
      <c r="DD191" s="16" t="n">
        <v>0</v>
      </c>
      <c r="DE191" s="16" t="n">
        <v>0</v>
      </c>
      <c r="DF191" s="16" t="n">
        <v>0</v>
      </c>
      <c r="DG191" s="16" t="n">
        <v>0</v>
      </c>
      <c r="DH191" s="16" t="n">
        <v>0</v>
      </c>
      <c r="DI191" s="16" t="n">
        <v>0</v>
      </c>
      <c r="DJ191" s="16" t="n">
        <v>0</v>
      </c>
      <c r="DK191" s="16" t="n">
        <v>0</v>
      </c>
      <c r="DL191" s="16" t="n">
        <v>0</v>
      </c>
      <c r="DM191" s="16" t="n">
        <v>0</v>
      </c>
      <c r="DN191" s="16" t="n">
        <v>0</v>
      </c>
      <c r="DO191" s="16" t="n">
        <v>0</v>
      </c>
      <c r="DP191" s="16" t="n">
        <v>0</v>
      </c>
      <c r="DQ191" s="16" t="n">
        <v>0</v>
      </c>
      <c r="DR191" s="16" t="n">
        <v>0</v>
      </c>
      <c r="DS191" s="16" t="n">
        <v>0</v>
      </c>
      <c r="DT191" s="16" t="n">
        <v>0</v>
      </c>
      <c r="DU191" s="16" t="n">
        <v>0</v>
      </c>
      <c r="DV191" s="16" t="n">
        <v>0</v>
      </c>
      <c r="DW191" s="16" t="n">
        <v>0</v>
      </c>
      <c r="DX191" s="16" t="n">
        <v>0</v>
      </c>
      <c r="DY191" s="16" t="n">
        <v>0</v>
      </c>
      <c r="DZ191" s="16" t="n">
        <v>0</v>
      </c>
      <c r="EA191" s="16" t="n">
        <v>0</v>
      </c>
      <c r="EB191" s="16" t="n">
        <v>0</v>
      </c>
      <c r="EC191" s="16" t="n">
        <v>0</v>
      </c>
      <c r="ED191" s="16" t="n">
        <v>0</v>
      </c>
      <c r="EE191" s="16" t="n">
        <v>0</v>
      </c>
      <c r="EF191" s="16" t="n">
        <v>0</v>
      </c>
    </row>
    <row r="192" customFormat="false" ht="15" hidden="false" customHeight="true" outlineLevel="0" collapsed="false">
      <c r="A192" s="9" t="s">
        <v>12</v>
      </c>
      <c r="B192" s="9" t="s">
        <v>23</v>
      </c>
      <c r="C192" s="9" t="s">
        <v>23</v>
      </c>
      <c r="D192" s="9" t="s">
        <v>338</v>
      </c>
      <c r="E192" s="9" t="s">
        <v>10</v>
      </c>
      <c r="F192" s="9" t="s">
        <v>88</v>
      </c>
      <c r="G192" s="16" t="n">
        <v>0</v>
      </c>
      <c r="H192" s="16" t="n">
        <v>14</v>
      </c>
      <c r="I192" s="16" t="n">
        <v>0</v>
      </c>
      <c r="J192" s="16" t="n">
        <v>14</v>
      </c>
      <c r="K192" s="16" t="n">
        <v>0</v>
      </c>
      <c r="L192" s="16" t="n">
        <v>0</v>
      </c>
      <c r="M192" s="16" t="n">
        <v>0</v>
      </c>
      <c r="N192" s="16" t="n">
        <v>0</v>
      </c>
      <c r="O192" s="16" t="n">
        <v>0</v>
      </c>
      <c r="P192" s="16" t="n">
        <v>0</v>
      </c>
      <c r="Q192" s="16" t="n">
        <v>0</v>
      </c>
      <c r="R192" s="16" t="n">
        <v>0</v>
      </c>
      <c r="S192" s="16" t="n">
        <v>0</v>
      </c>
      <c r="T192" s="16" t="n">
        <v>0</v>
      </c>
      <c r="U192" s="16" t="n">
        <v>0</v>
      </c>
      <c r="V192" s="16" t="n">
        <v>0</v>
      </c>
      <c r="W192" s="16" t="n">
        <v>0</v>
      </c>
      <c r="X192" s="16" t="n">
        <v>0</v>
      </c>
      <c r="Y192" s="16" t="n">
        <v>0</v>
      </c>
      <c r="Z192" s="16" t="n">
        <v>0</v>
      </c>
      <c r="AA192" s="16" t="n">
        <v>0</v>
      </c>
      <c r="AB192" s="16" t="n">
        <v>0</v>
      </c>
      <c r="AC192" s="16" t="n">
        <v>0</v>
      </c>
      <c r="AD192" s="16" t="n">
        <v>0</v>
      </c>
      <c r="AE192" s="16" t="n">
        <v>0</v>
      </c>
      <c r="AF192" s="16" t="n">
        <v>0</v>
      </c>
      <c r="AG192" s="16" t="n">
        <v>0</v>
      </c>
      <c r="AH192" s="16" t="n">
        <v>0</v>
      </c>
      <c r="AI192" s="16" t="n">
        <v>0</v>
      </c>
      <c r="AJ192" s="16" t="n">
        <v>0</v>
      </c>
      <c r="AK192" s="16" t="n">
        <v>0</v>
      </c>
      <c r="AL192" s="16" t="n">
        <v>0</v>
      </c>
      <c r="AM192" s="16" t="n">
        <v>0</v>
      </c>
      <c r="AN192" s="16" t="n">
        <v>0</v>
      </c>
      <c r="AO192" s="16" t="n">
        <v>0</v>
      </c>
      <c r="AP192" s="16" t="n">
        <v>0</v>
      </c>
      <c r="AQ192" s="16" t="n">
        <v>0</v>
      </c>
      <c r="AR192" s="16" t="n">
        <v>0</v>
      </c>
      <c r="AS192" s="16" t="n">
        <v>0</v>
      </c>
      <c r="AT192" s="16" t="n">
        <v>0</v>
      </c>
      <c r="AU192" s="16" t="n">
        <v>0</v>
      </c>
      <c r="AV192" s="16" t="n">
        <v>0</v>
      </c>
      <c r="AW192" s="16" t="n">
        <v>0</v>
      </c>
      <c r="AX192" s="16" t="n">
        <v>0</v>
      </c>
      <c r="AY192" s="16" t="n">
        <v>0</v>
      </c>
      <c r="AZ192" s="16" t="n">
        <v>0</v>
      </c>
      <c r="BA192" s="16" t="n">
        <v>0</v>
      </c>
      <c r="BB192" s="16" t="n">
        <v>0</v>
      </c>
      <c r="BC192" s="16" t="n">
        <v>0</v>
      </c>
      <c r="BD192" s="16" t="n">
        <v>0</v>
      </c>
      <c r="BE192" s="16" t="n">
        <v>0</v>
      </c>
      <c r="BF192" s="16" t="n">
        <v>0</v>
      </c>
      <c r="BG192" s="16" t="n">
        <v>0</v>
      </c>
      <c r="BH192" s="16" t="n">
        <v>0</v>
      </c>
      <c r="BI192" s="16" t="n">
        <v>0</v>
      </c>
      <c r="BJ192" s="16" t="n">
        <v>0</v>
      </c>
      <c r="BK192" s="16" t="n">
        <v>0</v>
      </c>
      <c r="BL192" s="16" t="n">
        <v>0</v>
      </c>
      <c r="BM192" s="16" t="n">
        <v>0</v>
      </c>
      <c r="BN192" s="16" t="n">
        <v>0</v>
      </c>
      <c r="BO192" s="16" t="n">
        <v>0</v>
      </c>
      <c r="BP192" s="16" t="n">
        <v>0</v>
      </c>
      <c r="BQ192" s="16" t="n">
        <v>0</v>
      </c>
      <c r="BR192" s="16" t="n">
        <v>0</v>
      </c>
      <c r="BS192" s="16" t="n">
        <v>0</v>
      </c>
      <c r="BT192" s="16" t="n">
        <v>0</v>
      </c>
      <c r="BU192" s="16" t="n">
        <v>0</v>
      </c>
      <c r="BV192" s="16" t="n">
        <v>0</v>
      </c>
      <c r="BW192" s="16" t="n">
        <v>0</v>
      </c>
      <c r="BX192" s="16" t="n">
        <v>0</v>
      </c>
      <c r="BY192" s="16" t="n">
        <v>0</v>
      </c>
      <c r="BZ192" s="16" t="n">
        <v>0</v>
      </c>
      <c r="CA192" s="16" t="n">
        <v>0</v>
      </c>
      <c r="CB192" s="16" t="n">
        <v>0</v>
      </c>
      <c r="CC192" s="16" t="n">
        <v>0</v>
      </c>
      <c r="CD192" s="16" t="n">
        <v>0</v>
      </c>
      <c r="CE192" s="16" t="n">
        <v>0</v>
      </c>
      <c r="CF192" s="16" t="n">
        <v>0</v>
      </c>
      <c r="CG192" s="16" t="n">
        <v>0</v>
      </c>
      <c r="CH192" s="16" t="n">
        <v>0</v>
      </c>
      <c r="CI192" s="16" t="n">
        <v>0</v>
      </c>
      <c r="CJ192" s="16" t="n">
        <v>0</v>
      </c>
      <c r="CK192" s="16" t="n">
        <v>0</v>
      </c>
      <c r="CL192" s="16" t="n">
        <v>0</v>
      </c>
      <c r="CM192" s="16" t="n">
        <v>0</v>
      </c>
      <c r="CN192" s="16" t="n">
        <v>0</v>
      </c>
      <c r="CO192" s="16" t="n">
        <v>0</v>
      </c>
      <c r="CP192" s="16" t="n">
        <v>0</v>
      </c>
      <c r="CQ192" s="16" t="n">
        <v>0</v>
      </c>
      <c r="CR192" s="16" t="n">
        <v>0</v>
      </c>
      <c r="CS192" s="16" t="n">
        <v>0</v>
      </c>
      <c r="CT192" s="16" t="n">
        <v>0</v>
      </c>
      <c r="CU192" s="16" t="n">
        <v>0</v>
      </c>
      <c r="CV192" s="16" t="n">
        <v>0</v>
      </c>
      <c r="CW192" s="16" t="n">
        <v>0</v>
      </c>
      <c r="CX192" s="16" t="n">
        <v>0</v>
      </c>
      <c r="CY192" s="16" t="n">
        <v>0</v>
      </c>
      <c r="CZ192" s="16" t="n">
        <v>0</v>
      </c>
      <c r="DA192" s="16" t="n">
        <v>0</v>
      </c>
      <c r="DB192" s="16" t="n">
        <v>0</v>
      </c>
      <c r="DC192" s="16" t="n">
        <v>0</v>
      </c>
      <c r="DD192" s="16" t="n">
        <v>0</v>
      </c>
      <c r="DE192" s="16" t="n">
        <v>0</v>
      </c>
      <c r="DF192" s="16" t="n">
        <v>0</v>
      </c>
      <c r="DG192" s="16" t="n">
        <v>0</v>
      </c>
      <c r="DH192" s="16" t="n">
        <v>0</v>
      </c>
      <c r="DI192" s="16" t="n">
        <v>0</v>
      </c>
      <c r="DJ192" s="16" t="n">
        <v>0</v>
      </c>
      <c r="DK192" s="16" t="n">
        <v>0</v>
      </c>
      <c r="DL192" s="16" t="n">
        <v>0</v>
      </c>
      <c r="DM192" s="16" t="n">
        <v>0</v>
      </c>
      <c r="DN192" s="16" t="n">
        <v>0</v>
      </c>
      <c r="DO192" s="16" t="n">
        <v>0</v>
      </c>
      <c r="DP192" s="16" t="n">
        <v>0</v>
      </c>
      <c r="DQ192" s="16" t="n">
        <v>0</v>
      </c>
      <c r="DR192" s="16" t="n">
        <v>0</v>
      </c>
      <c r="DS192" s="16" t="n">
        <v>0</v>
      </c>
      <c r="DT192" s="16" t="n">
        <v>0</v>
      </c>
      <c r="DU192" s="16" t="n">
        <v>0</v>
      </c>
      <c r="DV192" s="16" t="n">
        <v>0</v>
      </c>
      <c r="DW192" s="16" t="n">
        <v>0</v>
      </c>
      <c r="DX192" s="16" t="n">
        <v>0</v>
      </c>
      <c r="DY192" s="16" t="n">
        <v>0</v>
      </c>
      <c r="DZ192" s="16" t="n">
        <v>0</v>
      </c>
      <c r="EA192" s="16" t="n">
        <v>0</v>
      </c>
      <c r="EB192" s="16" t="n">
        <v>0</v>
      </c>
      <c r="EC192" s="16" t="n">
        <v>0</v>
      </c>
      <c r="ED192" s="16" t="n">
        <v>0</v>
      </c>
      <c r="EE192" s="16" t="n">
        <v>0</v>
      </c>
      <c r="EF192" s="16" t="n">
        <v>0</v>
      </c>
    </row>
    <row r="193" customFormat="false" ht="15" hidden="false" customHeight="true" outlineLevel="0" collapsed="false">
      <c r="A193" s="9" t="s">
        <v>12</v>
      </c>
      <c r="B193" s="9" t="s">
        <v>23</v>
      </c>
      <c r="C193" s="9" t="s">
        <v>23</v>
      </c>
      <c r="D193" s="9" t="s">
        <v>337</v>
      </c>
      <c r="E193" s="9" t="s">
        <v>10</v>
      </c>
      <c r="F193" s="9" t="s">
        <v>88</v>
      </c>
      <c r="G193" s="16" t="n">
        <v>0</v>
      </c>
      <c r="H193" s="16" t="n">
        <v>0</v>
      </c>
      <c r="I193" s="16" t="n">
        <v>14</v>
      </c>
      <c r="J193" s="16" t="n">
        <v>-14</v>
      </c>
      <c r="K193" s="16" t="n">
        <v>0</v>
      </c>
      <c r="L193" s="16" t="n">
        <v>0</v>
      </c>
      <c r="M193" s="16" t="n">
        <v>0</v>
      </c>
      <c r="N193" s="16" t="n">
        <v>0</v>
      </c>
      <c r="O193" s="16" t="n">
        <v>0</v>
      </c>
      <c r="P193" s="16" t="n">
        <v>0</v>
      </c>
      <c r="Q193" s="16" t="n">
        <v>0</v>
      </c>
      <c r="R193" s="16" t="n">
        <v>0</v>
      </c>
      <c r="S193" s="16" t="n">
        <v>0</v>
      </c>
      <c r="T193" s="16" t="n">
        <v>0</v>
      </c>
      <c r="U193" s="16" t="n">
        <v>0</v>
      </c>
      <c r="V193" s="16" t="n">
        <v>0</v>
      </c>
      <c r="W193" s="16" t="n">
        <v>0</v>
      </c>
      <c r="X193" s="16" t="n">
        <v>0</v>
      </c>
      <c r="Y193" s="16" t="n">
        <v>0</v>
      </c>
      <c r="Z193" s="16" t="n">
        <v>0</v>
      </c>
      <c r="AA193" s="16" t="n">
        <v>0</v>
      </c>
      <c r="AB193" s="16" t="n">
        <v>0</v>
      </c>
      <c r="AC193" s="16" t="n">
        <v>0</v>
      </c>
      <c r="AD193" s="16" t="n">
        <v>0</v>
      </c>
      <c r="AE193" s="16" t="n">
        <v>0</v>
      </c>
      <c r="AF193" s="16" t="n">
        <v>0</v>
      </c>
      <c r="AG193" s="16" t="n">
        <v>0</v>
      </c>
      <c r="AH193" s="16" t="n">
        <v>0</v>
      </c>
      <c r="AI193" s="16" t="n">
        <v>0</v>
      </c>
      <c r="AJ193" s="16" t="n">
        <v>0</v>
      </c>
      <c r="AK193" s="16" t="n">
        <v>0</v>
      </c>
      <c r="AL193" s="16" t="n">
        <v>0</v>
      </c>
      <c r="AM193" s="16" t="n">
        <v>0</v>
      </c>
      <c r="AN193" s="16" t="n">
        <v>0</v>
      </c>
      <c r="AO193" s="16" t="n">
        <v>0</v>
      </c>
      <c r="AP193" s="16" t="n">
        <v>0</v>
      </c>
      <c r="AQ193" s="16" t="n">
        <v>0</v>
      </c>
      <c r="AR193" s="16" t="n">
        <v>0</v>
      </c>
      <c r="AS193" s="16" t="n">
        <v>0</v>
      </c>
      <c r="AT193" s="16" t="n">
        <v>0</v>
      </c>
      <c r="AU193" s="16" t="n">
        <v>0</v>
      </c>
      <c r="AV193" s="16" t="n">
        <v>0</v>
      </c>
      <c r="AW193" s="16" t="n">
        <v>0</v>
      </c>
      <c r="AX193" s="16" t="n">
        <v>0</v>
      </c>
      <c r="AY193" s="16" t="n">
        <v>0</v>
      </c>
      <c r="AZ193" s="16" t="n">
        <v>0</v>
      </c>
      <c r="BA193" s="16" t="n">
        <v>0</v>
      </c>
      <c r="BB193" s="16" t="n">
        <v>0</v>
      </c>
      <c r="BC193" s="16" t="n">
        <v>0</v>
      </c>
      <c r="BD193" s="16" t="n">
        <v>0</v>
      </c>
      <c r="BE193" s="16" t="n">
        <v>0</v>
      </c>
      <c r="BF193" s="16" t="n">
        <v>0</v>
      </c>
      <c r="BG193" s="16" t="n">
        <v>0</v>
      </c>
      <c r="BH193" s="16" t="n">
        <v>0</v>
      </c>
      <c r="BI193" s="16" t="n">
        <v>0</v>
      </c>
      <c r="BJ193" s="16" t="n">
        <v>0</v>
      </c>
      <c r="BK193" s="16" t="n">
        <v>0</v>
      </c>
      <c r="BL193" s="16" t="n">
        <v>0</v>
      </c>
      <c r="BM193" s="16" t="n">
        <v>0</v>
      </c>
      <c r="BN193" s="16" t="n">
        <v>0</v>
      </c>
      <c r="BO193" s="16" t="n">
        <v>0</v>
      </c>
      <c r="BP193" s="16" t="n">
        <v>0</v>
      </c>
      <c r="BQ193" s="16" t="n">
        <v>0</v>
      </c>
      <c r="BR193" s="16" t="n">
        <v>0</v>
      </c>
      <c r="BS193" s="16" t="n">
        <v>0</v>
      </c>
      <c r="BT193" s="16" t="n">
        <v>0</v>
      </c>
      <c r="BU193" s="16" t="n">
        <v>0</v>
      </c>
      <c r="BV193" s="16" t="n">
        <v>0</v>
      </c>
      <c r="BW193" s="16" t="n">
        <v>0</v>
      </c>
      <c r="BX193" s="16" t="n">
        <v>0</v>
      </c>
      <c r="BY193" s="16" t="n">
        <v>0</v>
      </c>
      <c r="BZ193" s="16" t="n">
        <v>0</v>
      </c>
      <c r="CA193" s="16" t="n">
        <v>0</v>
      </c>
      <c r="CB193" s="16" t="n">
        <v>0</v>
      </c>
      <c r="CC193" s="16" t="n">
        <v>0</v>
      </c>
      <c r="CD193" s="16" t="n">
        <v>0</v>
      </c>
      <c r="CE193" s="16" t="n">
        <v>0</v>
      </c>
      <c r="CF193" s="16" t="n">
        <v>0</v>
      </c>
      <c r="CG193" s="16" t="n">
        <v>0</v>
      </c>
      <c r="CH193" s="16" t="n">
        <v>0</v>
      </c>
      <c r="CI193" s="16" t="n">
        <v>0</v>
      </c>
      <c r="CJ193" s="16" t="n">
        <v>0</v>
      </c>
      <c r="CK193" s="16" t="n">
        <v>0</v>
      </c>
      <c r="CL193" s="16" t="n">
        <v>0</v>
      </c>
      <c r="CM193" s="16" t="n">
        <v>0</v>
      </c>
      <c r="CN193" s="16" t="n">
        <v>0</v>
      </c>
      <c r="CO193" s="16" t="n">
        <v>0</v>
      </c>
      <c r="CP193" s="16" t="n">
        <v>0</v>
      </c>
      <c r="CQ193" s="16" t="n">
        <v>0</v>
      </c>
      <c r="CR193" s="16" t="n">
        <v>0</v>
      </c>
      <c r="CS193" s="16" t="n">
        <v>0</v>
      </c>
      <c r="CT193" s="16" t="n">
        <v>0</v>
      </c>
      <c r="CU193" s="16" t="n">
        <v>0</v>
      </c>
      <c r="CV193" s="16" t="n">
        <v>0</v>
      </c>
      <c r="CW193" s="16" t="n">
        <v>0</v>
      </c>
      <c r="CX193" s="16" t="n">
        <v>0</v>
      </c>
      <c r="CY193" s="16" t="n">
        <v>0</v>
      </c>
      <c r="CZ193" s="16" t="n">
        <v>8</v>
      </c>
      <c r="DA193" s="16" t="n">
        <v>6</v>
      </c>
      <c r="DB193" s="16" t="n">
        <v>0</v>
      </c>
      <c r="DC193" s="16" t="n">
        <v>0</v>
      </c>
      <c r="DD193" s="16" t="n">
        <v>0</v>
      </c>
      <c r="DE193" s="16" t="n">
        <v>0</v>
      </c>
      <c r="DF193" s="16" t="n">
        <v>0</v>
      </c>
      <c r="DG193" s="16" t="n">
        <v>0</v>
      </c>
      <c r="DH193" s="16" t="n">
        <v>0</v>
      </c>
      <c r="DI193" s="16" t="n">
        <v>0</v>
      </c>
      <c r="DJ193" s="16" t="n">
        <v>0</v>
      </c>
      <c r="DK193" s="16" t="n">
        <v>0</v>
      </c>
      <c r="DL193" s="16" t="n">
        <v>0</v>
      </c>
      <c r="DM193" s="16" t="n">
        <v>0</v>
      </c>
      <c r="DN193" s="16" t="n">
        <v>0</v>
      </c>
      <c r="DO193" s="16" t="n">
        <v>0</v>
      </c>
      <c r="DP193" s="16" t="n">
        <v>0</v>
      </c>
      <c r="DQ193" s="16" t="n">
        <v>0</v>
      </c>
      <c r="DR193" s="16" t="n">
        <v>0</v>
      </c>
      <c r="DS193" s="16" t="n">
        <v>0</v>
      </c>
      <c r="DT193" s="16" t="n">
        <v>0</v>
      </c>
      <c r="DU193" s="16" t="n">
        <v>0</v>
      </c>
      <c r="DV193" s="16" t="n">
        <v>0</v>
      </c>
      <c r="DW193" s="16" t="n">
        <v>0</v>
      </c>
      <c r="DX193" s="16" t="n">
        <v>0</v>
      </c>
      <c r="DY193" s="16" t="n">
        <v>0</v>
      </c>
      <c r="DZ193" s="16" t="n">
        <v>0</v>
      </c>
      <c r="EA193" s="16" t="n">
        <v>0</v>
      </c>
      <c r="EB193" s="16" t="n">
        <v>0</v>
      </c>
      <c r="EC193" s="16" t="n">
        <v>0</v>
      </c>
      <c r="ED193" s="16" t="n">
        <v>0</v>
      </c>
      <c r="EE193" s="16" t="n">
        <v>0</v>
      </c>
      <c r="EF193" s="16" t="n">
        <v>0</v>
      </c>
    </row>
    <row r="194" customFormat="false" ht="15" hidden="false" customHeight="true" outlineLevel="0" collapsed="false">
      <c r="A194" s="9" t="s">
        <v>12</v>
      </c>
      <c r="B194" s="9" t="s">
        <v>17</v>
      </c>
      <c r="C194" s="9" t="s">
        <v>17</v>
      </c>
      <c r="D194" s="9" t="s">
        <v>335</v>
      </c>
      <c r="E194" s="9" t="s">
        <v>14</v>
      </c>
      <c r="F194" s="9" t="s">
        <v>121</v>
      </c>
      <c r="G194" s="16" t="n">
        <v>0</v>
      </c>
      <c r="H194" s="16" t="n">
        <v>0</v>
      </c>
      <c r="I194" s="16" t="n">
        <v>114</v>
      </c>
      <c r="J194" s="16" t="n">
        <v>-114</v>
      </c>
      <c r="K194" s="16" t="n">
        <v>0</v>
      </c>
      <c r="L194" s="16" t="n">
        <v>0</v>
      </c>
      <c r="M194" s="16" t="n">
        <v>0</v>
      </c>
      <c r="N194" s="16" t="n">
        <v>0</v>
      </c>
      <c r="O194" s="16" t="n">
        <v>0</v>
      </c>
      <c r="P194" s="16" t="n">
        <v>0</v>
      </c>
      <c r="Q194" s="16" t="n">
        <v>0</v>
      </c>
      <c r="R194" s="16" t="n">
        <v>0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0</v>
      </c>
      <c r="X194" s="16" t="n">
        <v>0</v>
      </c>
      <c r="Y194" s="16" t="n">
        <v>0</v>
      </c>
      <c r="Z194" s="16" t="n">
        <v>0</v>
      </c>
      <c r="AA194" s="16" t="n">
        <v>0</v>
      </c>
      <c r="AB194" s="16" t="n">
        <v>0</v>
      </c>
      <c r="AC194" s="16" t="n">
        <v>0</v>
      </c>
      <c r="AD194" s="16" t="n">
        <v>0</v>
      </c>
      <c r="AE194" s="16" t="n">
        <v>0</v>
      </c>
      <c r="AF194" s="16" t="n">
        <v>0</v>
      </c>
      <c r="AG194" s="16" t="n">
        <v>0</v>
      </c>
      <c r="AH194" s="16" t="n">
        <v>0</v>
      </c>
      <c r="AI194" s="16" t="n">
        <v>0</v>
      </c>
      <c r="AJ194" s="16" t="n">
        <v>14</v>
      </c>
      <c r="AK194" s="16" t="n">
        <v>16</v>
      </c>
      <c r="AL194" s="16" t="n">
        <v>17</v>
      </c>
      <c r="AM194" s="16" t="n">
        <v>0</v>
      </c>
      <c r="AN194" s="16" t="n">
        <v>0</v>
      </c>
      <c r="AO194" s="16" t="n">
        <v>5</v>
      </c>
      <c r="AP194" s="16" t="n">
        <v>4</v>
      </c>
      <c r="AQ194" s="16" t="n">
        <v>9</v>
      </c>
      <c r="AR194" s="16" t="n">
        <v>10</v>
      </c>
      <c r="AS194" s="16" t="n">
        <v>4</v>
      </c>
      <c r="AT194" s="16" t="n">
        <v>0</v>
      </c>
      <c r="AU194" s="16" t="n">
        <v>0</v>
      </c>
      <c r="AV194" s="16" t="n">
        <v>0</v>
      </c>
      <c r="AW194" s="16" t="n">
        <v>0</v>
      </c>
      <c r="AX194" s="16" t="n">
        <v>0</v>
      </c>
      <c r="AY194" s="16" t="n">
        <v>0</v>
      </c>
      <c r="AZ194" s="16" t="n">
        <v>0</v>
      </c>
      <c r="BA194" s="16" t="n">
        <v>0</v>
      </c>
      <c r="BB194" s="16" t="n">
        <v>0</v>
      </c>
      <c r="BC194" s="16" t="n">
        <v>0</v>
      </c>
      <c r="BD194" s="16" t="n">
        <v>0</v>
      </c>
      <c r="BE194" s="16" t="n">
        <v>0</v>
      </c>
      <c r="BF194" s="16" t="n">
        <v>0</v>
      </c>
      <c r="BG194" s="16" t="n">
        <v>0</v>
      </c>
      <c r="BH194" s="16" t="n">
        <v>0</v>
      </c>
      <c r="BI194" s="16" t="n">
        <v>0</v>
      </c>
      <c r="BJ194" s="16" t="n">
        <v>0</v>
      </c>
      <c r="BK194" s="16" t="n">
        <v>0</v>
      </c>
      <c r="BL194" s="16" t="n">
        <v>0</v>
      </c>
      <c r="BM194" s="16" t="n">
        <v>0</v>
      </c>
      <c r="BN194" s="16" t="n">
        <v>0</v>
      </c>
      <c r="BO194" s="16" t="n">
        <v>0</v>
      </c>
      <c r="BP194" s="16" t="n">
        <v>0</v>
      </c>
      <c r="BQ194" s="16" t="n">
        <v>0</v>
      </c>
      <c r="BR194" s="16" t="n">
        <v>0</v>
      </c>
      <c r="BS194" s="16" t="n">
        <v>0</v>
      </c>
      <c r="BT194" s="16" t="n">
        <v>0</v>
      </c>
      <c r="BU194" s="16" t="n">
        <v>0</v>
      </c>
      <c r="BV194" s="16" t="n">
        <v>0</v>
      </c>
      <c r="BW194" s="16" t="n">
        <v>0</v>
      </c>
      <c r="BX194" s="16" t="n">
        <v>0</v>
      </c>
      <c r="BY194" s="16" t="n">
        <v>0</v>
      </c>
      <c r="BZ194" s="16" t="n">
        <v>0</v>
      </c>
      <c r="CA194" s="16" t="n">
        <v>0</v>
      </c>
      <c r="CB194" s="16" t="n">
        <v>0</v>
      </c>
      <c r="CC194" s="16" t="n">
        <v>0</v>
      </c>
      <c r="CD194" s="16" t="n">
        <v>0</v>
      </c>
      <c r="CE194" s="16" t="n">
        <v>0</v>
      </c>
      <c r="CF194" s="16" t="n">
        <v>0</v>
      </c>
      <c r="CG194" s="16" t="n">
        <v>0</v>
      </c>
      <c r="CH194" s="16" t="n">
        <v>0</v>
      </c>
      <c r="CI194" s="16" t="n">
        <v>0</v>
      </c>
      <c r="CJ194" s="16" t="n">
        <v>0</v>
      </c>
      <c r="CK194" s="16" t="n">
        <v>0</v>
      </c>
      <c r="CL194" s="16" t="n">
        <v>0</v>
      </c>
      <c r="CM194" s="16" t="n">
        <v>0</v>
      </c>
      <c r="CN194" s="16" t="n">
        <v>0</v>
      </c>
      <c r="CO194" s="16" t="n">
        <v>0</v>
      </c>
      <c r="CP194" s="16" t="n">
        <v>0</v>
      </c>
      <c r="CQ194" s="16" t="n">
        <v>0</v>
      </c>
      <c r="CR194" s="16" t="n">
        <v>0</v>
      </c>
      <c r="CS194" s="16" t="n">
        <v>4</v>
      </c>
      <c r="CT194" s="16" t="n">
        <v>0</v>
      </c>
      <c r="CU194" s="16" t="n">
        <v>0</v>
      </c>
      <c r="CV194" s="16" t="n">
        <v>0</v>
      </c>
      <c r="CW194" s="16" t="n">
        <v>0</v>
      </c>
      <c r="CX194" s="16" t="n">
        <v>0</v>
      </c>
      <c r="CY194" s="16" t="n">
        <v>0</v>
      </c>
      <c r="CZ194" s="16" t="n">
        <v>2</v>
      </c>
      <c r="DA194" s="16" t="n">
        <v>3</v>
      </c>
      <c r="DB194" s="16" t="n">
        <v>3</v>
      </c>
      <c r="DC194" s="16" t="n">
        <v>3</v>
      </c>
      <c r="DD194" s="16" t="n">
        <v>3</v>
      </c>
      <c r="DE194" s="16" t="n">
        <v>0</v>
      </c>
      <c r="DF194" s="16" t="n">
        <v>3</v>
      </c>
      <c r="DG194" s="16" t="n">
        <v>3</v>
      </c>
      <c r="DH194" s="16" t="n">
        <v>3</v>
      </c>
      <c r="DI194" s="16" t="n">
        <v>0</v>
      </c>
      <c r="DJ194" s="16" t="n">
        <v>0</v>
      </c>
      <c r="DK194" s="16" t="n">
        <v>3</v>
      </c>
      <c r="DL194" s="16" t="n">
        <v>3</v>
      </c>
      <c r="DM194" s="16" t="n">
        <v>3</v>
      </c>
      <c r="DN194" s="16" t="n">
        <v>3</v>
      </c>
      <c r="DO194" s="16" t="n">
        <v>0</v>
      </c>
      <c r="DP194" s="16" t="n">
        <v>0</v>
      </c>
      <c r="DQ194" s="16" t="n">
        <v>0</v>
      </c>
      <c r="DR194" s="16" t="n">
        <v>0</v>
      </c>
      <c r="DS194" s="16" t="n">
        <v>0</v>
      </c>
      <c r="DT194" s="16" t="n">
        <v>0</v>
      </c>
      <c r="DU194" s="16" t="n">
        <v>0</v>
      </c>
      <c r="DV194" s="16" t="n">
        <v>0</v>
      </c>
      <c r="DW194" s="16" t="n">
        <v>0</v>
      </c>
      <c r="DX194" s="16" t="n">
        <v>0</v>
      </c>
      <c r="DY194" s="16" t="n">
        <v>0</v>
      </c>
      <c r="DZ194" s="16" t="n">
        <v>0</v>
      </c>
      <c r="EA194" s="16" t="n">
        <v>0</v>
      </c>
      <c r="EB194" s="16" t="n">
        <v>0</v>
      </c>
      <c r="EC194" s="16" t="n">
        <v>0</v>
      </c>
      <c r="ED194" s="16" t="n">
        <v>0</v>
      </c>
      <c r="EE194" s="16" t="n">
        <v>0</v>
      </c>
      <c r="EF194" s="16" t="n">
        <v>0</v>
      </c>
    </row>
    <row r="195" customFormat="false" ht="15" hidden="false" customHeight="true" outlineLevel="0" collapsed="false">
      <c r="A195" s="9" t="s">
        <v>12</v>
      </c>
      <c r="B195" s="9" t="s">
        <v>17</v>
      </c>
      <c r="C195" s="9" t="s">
        <v>17</v>
      </c>
      <c r="D195" s="9" t="s">
        <v>336</v>
      </c>
      <c r="E195" s="9" t="s">
        <v>14</v>
      </c>
      <c r="F195" s="9" t="s">
        <v>121</v>
      </c>
      <c r="G195" s="16" t="n">
        <v>11</v>
      </c>
      <c r="H195" s="16" t="n">
        <v>46</v>
      </c>
      <c r="I195" s="16" t="n">
        <v>6</v>
      </c>
      <c r="J195" s="16" t="n">
        <v>40</v>
      </c>
      <c r="K195" s="16" t="n">
        <v>0</v>
      </c>
      <c r="L195" s="16" t="n">
        <v>0</v>
      </c>
      <c r="M195" s="16" t="n">
        <v>0</v>
      </c>
      <c r="N195" s="16" t="n">
        <v>0</v>
      </c>
      <c r="O195" s="16" t="n">
        <v>0</v>
      </c>
      <c r="P195" s="16" t="n">
        <v>0</v>
      </c>
      <c r="Q195" s="16" t="n">
        <v>0</v>
      </c>
      <c r="R195" s="16" t="n">
        <v>0</v>
      </c>
      <c r="S195" s="16" t="n">
        <v>0</v>
      </c>
      <c r="T195" s="16" t="n">
        <v>0</v>
      </c>
      <c r="U195" s="16" t="n">
        <v>0</v>
      </c>
      <c r="V195" s="16" t="n">
        <v>0</v>
      </c>
      <c r="W195" s="16" t="n">
        <v>0</v>
      </c>
      <c r="X195" s="16" t="n">
        <v>0</v>
      </c>
      <c r="Y195" s="16" t="n">
        <v>0</v>
      </c>
      <c r="Z195" s="16" t="n">
        <v>0</v>
      </c>
      <c r="AA195" s="16" t="n">
        <v>0</v>
      </c>
      <c r="AB195" s="16" t="n">
        <v>0</v>
      </c>
      <c r="AC195" s="16" t="n">
        <v>5</v>
      </c>
      <c r="AD195" s="16" t="n">
        <v>0</v>
      </c>
      <c r="AE195" s="16" t="n">
        <v>0</v>
      </c>
      <c r="AF195" s="16" t="n">
        <v>1</v>
      </c>
      <c r="AG195" s="16" t="n">
        <v>0</v>
      </c>
      <c r="AH195" s="16" t="n">
        <v>0</v>
      </c>
      <c r="AI195" s="16" t="n">
        <v>0</v>
      </c>
      <c r="AJ195" s="16" t="n">
        <v>0</v>
      </c>
      <c r="AK195" s="16" t="n">
        <v>0</v>
      </c>
      <c r="AL195" s="16" t="n">
        <v>0</v>
      </c>
      <c r="AM195" s="16" t="n">
        <v>0</v>
      </c>
      <c r="AN195" s="16" t="n">
        <v>0</v>
      </c>
      <c r="AO195" s="16" t="n">
        <v>0</v>
      </c>
      <c r="AP195" s="16" t="n">
        <v>0</v>
      </c>
      <c r="AQ195" s="16" t="n">
        <v>0</v>
      </c>
      <c r="AR195" s="16" t="n">
        <v>0</v>
      </c>
      <c r="AS195" s="16" t="n">
        <v>0</v>
      </c>
      <c r="AT195" s="16" t="n">
        <v>0</v>
      </c>
      <c r="AU195" s="16" t="n">
        <v>0</v>
      </c>
      <c r="AV195" s="16" t="n">
        <v>0</v>
      </c>
      <c r="AW195" s="16" t="n">
        <v>0</v>
      </c>
      <c r="AX195" s="16" t="n">
        <v>0</v>
      </c>
      <c r="AY195" s="16" t="n">
        <v>0</v>
      </c>
      <c r="AZ195" s="16" t="n">
        <v>0</v>
      </c>
      <c r="BA195" s="16" t="n">
        <v>0</v>
      </c>
      <c r="BB195" s="16" t="n">
        <v>0</v>
      </c>
      <c r="BC195" s="16" t="n">
        <v>0</v>
      </c>
      <c r="BD195" s="16" t="n">
        <v>0</v>
      </c>
      <c r="BE195" s="16" t="n">
        <v>0</v>
      </c>
      <c r="BF195" s="16" t="n">
        <v>0</v>
      </c>
      <c r="BG195" s="16" t="n">
        <v>0</v>
      </c>
      <c r="BH195" s="16" t="n">
        <v>0</v>
      </c>
      <c r="BI195" s="16" t="n">
        <v>0</v>
      </c>
      <c r="BJ195" s="16" t="n">
        <v>0</v>
      </c>
      <c r="BK195" s="16" t="n">
        <v>0</v>
      </c>
      <c r="BL195" s="16" t="n">
        <v>0</v>
      </c>
      <c r="BM195" s="16" t="n">
        <v>0</v>
      </c>
      <c r="BN195" s="16" t="n">
        <v>0</v>
      </c>
      <c r="BO195" s="16" t="n">
        <v>0</v>
      </c>
      <c r="BP195" s="16" t="n">
        <v>0</v>
      </c>
      <c r="BQ195" s="16" t="n">
        <v>0</v>
      </c>
      <c r="BR195" s="16" t="n">
        <v>0</v>
      </c>
      <c r="BS195" s="16" t="n">
        <v>0</v>
      </c>
      <c r="BT195" s="16" t="n">
        <v>0</v>
      </c>
      <c r="BU195" s="16" t="n">
        <v>0</v>
      </c>
      <c r="BV195" s="16" t="n">
        <v>0</v>
      </c>
      <c r="BW195" s="16" t="n">
        <v>0</v>
      </c>
      <c r="BX195" s="16" t="n">
        <v>0</v>
      </c>
      <c r="BY195" s="16" t="n">
        <v>0</v>
      </c>
      <c r="BZ195" s="16" t="n">
        <v>0</v>
      </c>
      <c r="CA195" s="16" t="n">
        <v>0</v>
      </c>
      <c r="CB195" s="16" t="n">
        <v>0</v>
      </c>
      <c r="CC195" s="16" t="n">
        <v>0</v>
      </c>
      <c r="CD195" s="16" t="n">
        <v>0</v>
      </c>
      <c r="CE195" s="16" t="n">
        <v>0</v>
      </c>
      <c r="CF195" s="16" t="n">
        <v>0</v>
      </c>
      <c r="CG195" s="16" t="n">
        <v>0</v>
      </c>
      <c r="CH195" s="16" t="n">
        <v>0</v>
      </c>
      <c r="CI195" s="16" t="n">
        <v>0</v>
      </c>
      <c r="CJ195" s="16" t="n">
        <v>0</v>
      </c>
      <c r="CK195" s="16" t="n">
        <v>0</v>
      </c>
      <c r="CL195" s="16" t="n">
        <v>0</v>
      </c>
      <c r="CM195" s="16" t="n">
        <v>0</v>
      </c>
      <c r="CN195" s="16" t="n">
        <v>0</v>
      </c>
      <c r="CO195" s="16" t="n">
        <v>0</v>
      </c>
      <c r="CP195" s="16" t="n">
        <v>0</v>
      </c>
      <c r="CQ195" s="16" t="n">
        <v>0</v>
      </c>
      <c r="CR195" s="16" t="n">
        <v>0</v>
      </c>
      <c r="CS195" s="16" t="n">
        <v>0</v>
      </c>
      <c r="CT195" s="16" t="n">
        <v>0</v>
      </c>
      <c r="CU195" s="16" t="n">
        <v>0</v>
      </c>
      <c r="CV195" s="16" t="n">
        <v>0</v>
      </c>
      <c r="CW195" s="16" t="n">
        <v>0</v>
      </c>
      <c r="CX195" s="16" t="n">
        <v>0</v>
      </c>
      <c r="CY195" s="16" t="n">
        <v>0</v>
      </c>
      <c r="CZ195" s="16" t="n">
        <v>0</v>
      </c>
      <c r="DA195" s="16" t="n">
        <v>0</v>
      </c>
      <c r="DB195" s="16" t="n">
        <v>0</v>
      </c>
      <c r="DC195" s="16" t="n">
        <v>0</v>
      </c>
      <c r="DD195" s="16" t="n">
        <v>0</v>
      </c>
      <c r="DE195" s="16" t="n">
        <v>0</v>
      </c>
      <c r="DF195" s="16" t="n">
        <v>0</v>
      </c>
      <c r="DG195" s="16" t="n">
        <v>0</v>
      </c>
      <c r="DH195" s="16" t="n">
        <v>0</v>
      </c>
      <c r="DI195" s="16" t="n">
        <v>0</v>
      </c>
      <c r="DJ195" s="16" t="n">
        <v>0</v>
      </c>
      <c r="DK195" s="16" t="n">
        <v>0</v>
      </c>
      <c r="DL195" s="16" t="n">
        <v>0</v>
      </c>
      <c r="DM195" s="16" t="n">
        <v>0</v>
      </c>
      <c r="DN195" s="16" t="n">
        <v>0</v>
      </c>
      <c r="DO195" s="16" t="n">
        <v>0</v>
      </c>
      <c r="DP195" s="16" t="n">
        <v>0</v>
      </c>
      <c r="DQ195" s="16" t="n">
        <v>0</v>
      </c>
      <c r="DR195" s="16" t="n">
        <v>0</v>
      </c>
      <c r="DS195" s="16" t="n">
        <v>0</v>
      </c>
      <c r="DT195" s="16" t="n">
        <v>0</v>
      </c>
      <c r="DU195" s="16" t="n">
        <v>0</v>
      </c>
      <c r="DV195" s="16" t="n">
        <v>0</v>
      </c>
      <c r="DW195" s="16" t="n">
        <v>0</v>
      </c>
      <c r="DX195" s="16" t="n">
        <v>0</v>
      </c>
      <c r="DY195" s="16" t="n">
        <v>0</v>
      </c>
      <c r="DZ195" s="16" t="n">
        <v>0</v>
      </c>
      <c r="EA195" s="16" t="n">
        <v>0</v>
      </c>
      <c r="EB195" s="16" t="n">
        <v>0</v>
      </c>
      <c r="EC195" s="16" t="n">
        <v>0</v>
      </c>
      <c r="ED195" s="16" t="n">
        <v>0</v>
      </c>
      <c r="EE195" s="16" t="n">
        <v>0</v>
      </c>
      <c r="EF195" s="16" t="n">
        <v>0</v>
      </c>
    </row>
    <row r="196" customFormat="false" ht="15" hidden="false" customHeight="true" outlineLevel="0" collapsed="false">
      <c r="A196" s="9" t="s">
        <v>12</v>
      </c>
      <c r="B196" s="9" t="s">
        <v>17</v>
      </c>
      <c r="C196" s="9" t="s">
        <v>17</v>
      </c>
      <c r="D196" s="9" t="s">
        <v>335</v>
      </c>
      <c r="E196" s="9" t="s">
        <v>14</v>
      </c>
      <c r="F196" s="9" t="s">
        <v>82</v>
      </c>
      <c r="G196" s="16" t="n">
        <v>0</v>
      </c>
      <c r="H196" s="16" t="n">
        <v>0</v>
      </c>
      <c r="I196" s="16" t="n">
        <v>0</v>
      </c>
      <c r="J196" s="16" t="n">
        <v>0</v>
      </c>
      <c r="K196" s="16" t="n">
        <v>0</v>
      </c>
      <c r="L196" s="16" t="n">
        <v>0</v>
      </c>
      <c r="M196" s="16" t="n">
        <v>0</v>
      </c>
      <c r="N196" s="16" t="n">
        <v>0</v>
      </c>
      <c r="O196" s="16" t="n">
        <v>0</v>
      </c>
      <c r="P196" s="16" t="n">
        <v>0</v>
      </c>
      <c r="Q196" s="16" t="n">
        <v>0</v>
      </c>
      <c r="R196" s="16" t="n">
        <v>0</v>
      </c>
      <c r="S196" s="16" t="n">
        <v>0</v>
      </c>
      <c r="T196" s="16" t="n">
        <v>0</v>
      </c>
      <c r="U196" s="16" t="n">
        <v>0</v>
      </c>
      <c r="V196" s="16" t="n">
        <v>0</v>
      </c>
      <c r="W196" s="16" t="n">
        <v>0</v>
      </c>
      <c r="X196" s="16" t="n">
        <v>0</v>
      </c>
      <c r="Y196" s="16" t="n">
        <v>0</v>
      </c>
      <c r="Z196" s="16" t="n">
        <v>0</v>
      </c>
      <c r="AA196" s="16" t="n">
        <v>0</v>
      </c>
      <c r="AB196" s="16" t="n">
        <v>0</v>
      </c>
      <c r="AC196" s="16" t="n">
        <v>0</v>
      </c>
      <c r="AD196" s="16" t="n">
        <v>0</v>
      </c>
      <c r="AE196" s="16" t="n">
        <v>0</v>
      </c>
      <c r="AF196" s="16" t="n">
        <v>0</v>
      </c>
      <c r="AG196" s="16" t="n">
        <v>0</v>
      </c>
      <c r="AH196" s="16" t="n">
        <v>0</v>
      </c>
      <c r="AI196" s="16" t="n">
        <v>0</v>
      </c>
      <c r="AJ196" s="16" t="n">
        <v>0</v>
      </c>
      <c r="AK196" s="16" t="n">
        <v>0</v>
      </c>
      <c r="AL196" s="16" t="n">
        <v>0</v>
      </c>
      <c r="AM196" s="16" t="n">
        <v>0</v>
      </c>
      <c r="AN196" s="16" t="n">
        <v>0</v>
      </c>
      <c r="AO196" s="16" t="n">
        <v>0</v>
      </c>
      <c r="AP196" s="16" t="n">
        <v>0</v>
      </c>
      <c r="AQ196" s="16" t="n">
        <v>0</v>
      </c>
      <c r="AR196" s="16" t="n">
        <v>0</v>
      </c>
      <c r="AS196" s="16" t="n">
        <v>0</v>
      </c>
      <c r="AT196" s="16" t="n">
        <v>0</v>
      </c>
      <c r="AU196" s="16" t="n">
        <v>0</v>
      </c>
      <c r="AV196" s="16" t="n">
        <v>0</v>
      </c>
      <c r="AW196" s="16" t="n">
        <v>0</v>
      </c>
      <c r="AX196" s="16" t="n">
        <v>0</v>
      </c>
      <c r="AY196" s="16" t="n">
        <v>0</v>
      </c>
      <c r="AZ196" s="16" t="n">
        <v>0</v>
      </c>
      <c r="BA196" s="16" t="n">
        <v>0</v>
      </c>
      <c r="BB196" s="16" t="n">
        <v>0</v>
      </c>
      <c r="BC196" s="16" t="n">
        <v>0</v>
      </c>
      <c r="BD196" s="16" t="n">
        <v>0</v>
      </c>
      <c r="BE196" s="16" t="n">
        <v>0</v>
      </c>
      <c r="BF196" s="16" t="n">
        <v>0</v>
      </c>
      <c r="BG196" s="16" t="n">
        <v>0</v>
      </c>
      <c r="BH196" s="16" t="n">
        <v>0</v>
      </c>
      <c r="BI196" s="16" t="n">
        <v>0</v>
      </c>
      <c r="BJ196" s="16" t="n">
        <v>0</v>
      </c>
      <c r="BK196" s="16" t="n">
        <v>0</v>
      </c>
      <c r="BL196" s="16" t="n">
        <v>0</v>
      </c>
      <c r="BM196" s="16" t="n">
        <v>0</v>
      </c>
      <c r="BN196" s="16" t="n">
        <v>0</v>
      </c>
      <c r="BO196" s="16" t="n">
        <v>0</v>
      </c>
      <c r="BP196" s="16" t="n">
        <v>0</v>
      </c>
      <c r="BQ196" s="16" t="n">
        <v>0</v>
      </c>
      <c r="BR196" s="16" t="n">
        <v>0</v>
      </c>
      <c r="BS196" s="16" t="n">
        <v>0</v>
      </c>
      <c r="BT196" s="16" t="n">
        <v>0</v>
      </c>
      <c r="BU196" s="16" t="n">
        <v>0</v>
      </c>
      <c r="BV196" s="16" t="n">
        <v>0</v>
      </c>
      <c r="BW196" s="16" t="n">
        <v>0</v>
      </c>
      <c r="BX196" s="16" t="n">
        <v>0</v>
      </c>
      <c r="BY196" s="16" t="n">
        <v>0</v>
      </c>
      <c r="BZ196" s="16" t="n">
        <v>0</v>
      </c>
      <c r="CA196" s="16" t="n">
        <v>0</v>
      </c>
      <c r="CB196" s="16" t="n">
        <v>0</v>
      </c>
      <c r="CC196" s="16" t="n">
        <v>0</v>
      </c>
      <c r="CD196" s="16" t="n">
        <v>0</v>
      </c>
      <c r="CE196" s="16" t="n">
        <v>0</v>
      </c>
      <c r="CF196" s="16" t="n">
        <v>0</v>
      </c>
      <c r="CG196" s="16" t="n">
        <v>0</v>
      </c>
      <c r="CH196" s="16" t="n">
        <v>0</v>
      </c>
      <c r="CI196" s="16" t="n">
        <v>0</v>
      </c>
      <c r="CJ196" s="16" t="n">
        <v>0</v>
      </c>
      <c r="CK196" s="16" t="n">
        <v>0</v>
      </c>
      <c r="CL196" s="16" t="n">
        <v>0</v>
      </c>
      <c r="CM196" s="16" t="n">
        <v>0</v>
      </c>
      <c r="CN196" s="16" t="n">
        <v>0</v>
      </c>
      <c r="CO196" s="16" t="n">
        <v>0</v>
      </c>
      <c r="CP196" s="16" t="n">
        <v>0</v>
      </c>
      <c r="CQ196" s="16" t="n">
        <v>0</v>
      </c>
      <c r="CR196" s="16" t="n">
        <v>0</v>
      </c>
      <c r="CS196" s="16" t="n">
        <v>0</v>
      </c>
      <c r="CT196" s="16" t="n">
        <v>0</v>
      </c>
      <c r="CU196" s="16" t="n">
        <v>0</v>
      </c>
      <c r="CV196" s="16" t="n">
        <v>0</v>
      </c>
      <c r="CW196" s="16" t="n">
        <v>0</v>
      </c>
      <c r="CX196" s="16" t="n">
        <v>0</v>
      </c>
      <c r="CY196" s="16" t="n">
        <v>0</v>
      </c>
      <c r="CZ196" s="16" t="n">
        <v>0</v>
      </c>
      <c r="DA196" s="16" t="n">
        <v>0</v>
      </c>
      <c r="DB196" s="16" t="n">
        <v>0</v>
      </c>
      <c r="DC196" s="16" t="n">
        <v>0</v>
      </c>
      <c r="DD196" s="16" t="n">
        <v>0</v>
      </c>
      <c r="DE196" s="16" t="n">
        <v>0</v>
      </c>
      <c r="DF196" s="16" t="n">
        <v>0</v>
      </c>
      <c r="DG196" s="16" t="n">
        <v>0</v>
      </c>
      <c r="DH196" s="16" t="n">
        <v>0</v>
      </c>
      <c r="DI196" s="16" t="n">
        <v>0</v>
      </c>
      <c r="DJ196" s="16" t="n">
        <v>0</v>
      </c>
      <c r="DK196" s="16" t="n">
        <v>0</v>
      </c>
      <c r="DL196" s="16" t="n">
        <v>0</v>
      </c>
      <c r="DM196" s="16" t="n">
        <v>0</v>
      </c>
      <c r="DN196" s="16" t="n">
        <v>0</v>
      </c>
      <c r="DO196" s="16" t="n">
        <v>0</v>
      </c>
      <c r="DP196" s="16" t="n">
        <v>0</v>
      </c>
      <c r="DQ196" s="16" t="n">
        <v>0</v>
      </c>
      <c r="DR196" s="16" t="n">
        <v>0</v>
      </c>
      <c r="DS196" s="16" t="n">
        <v>0</v>
      </c>
      <c r="DT196" s="16" t="n">
        <v>0</v>
      </c>
      <c r="DU196" s="16" t="n">
        <v>0</v>
      </c>
      <c r="DV196" s="16" t="n">
        <v>0</v>
      </c>
      <c r="DW196" s="16" t="n">
        <v>0</v>
      </c>
      <c r="DX196" s="16" t="n">
        <v>0</v>
      </c>
      <c r="DY196" s="16" t="n">
        <v>0</v>
      </c>
      <c r="DZ196" s="16" t="n">
        <v>0</v>
      </c>
      <c r="EA196" s="16" t="n">
        <v>0</v>
      </c>
      <c r="EB196" s="16" t="n">
        <v>0</v>
      </c>
      <c r="EC196" s="16" t="n">
        <v>0</v>
      </c>
      <c r="ED196" s="16" t="n">
        <v>0</v>
      </c>
      <c r="EE196" s="16" t="n">
        <v>0</v>
      </c>
      <c r="EF196" s="16" t="n">
        <v>0</v>
      </c>
    </row>
    <row r="197" customFormat="false" ht="15" hidden="false" customHeight="true" outlineLevel="0" collapsed="false">
      <c r="A197" s="9" t="s">
        <v>12</v>
      </c>
      <c r="B197" s="9" t="s">
        <v>17</v>
      </c>
      <c r="C197" s="9" t="s">
        <v>17</v>
      </c>
      <c r="D197" s="9" t="s">
        <v>336</v>
      </c>
      <c r="E197" s="9" t="s">
        <v>14</v>
      </c>
      <c r="F197" s="9" t="s">
        <v>82</v>
      </c>
      <c r="G197" s="16" t="n">
        <v>40</v>
      </c>
      <c r="H197" s="16" t="n">
        <v>40</v>
      </c>
      <c r="I197" s="16" t="n">
        <v>40</v>
      </c>
      <c r="J197" s="16" t="n">
        <v>0</v>
      </c>
      <c r="K197" s="16" t="n">
        <v>0</v>
      </c>
      <c r="L197" s="16" t="n">
        <v>0</v>
      </c>
      <c r="M197" s="16" t="n">
        <v>0</v>
      </c>
      <c r="N197" s="16" t="n">
        <v>0</v>
      </c>
      <c r="O197" s="16" t="n">
        <v>0</v>
      </c>
      <c r="P197" s="16" t="n">
        <v>0</v>
      </c>
      <c r="Q197" s="16" t="n">
        <v>0</v>
      </c>
      <c r="R197" s="16" t="n">
        <v>0</v>
      </c>
      <c r="S197" s="16" t="n">
        <v>0</v>
      </c>
      <c r="T197" s="16" t="n">
        <v>0</v>
      </c>
      <c r="U197" s="16" t="n">
        <v>0</v>
      </c>
      <c r="V197" s="16" t="n">
        <v>0</v>
      </c>
      <c r="W197" s="16" t="n">
        <v>0</v>
      </c>
      <c r="X197" s="16" t="n">
        <v>0</v>
      </c>
      <c r="Y197" s="16" t="n">
        <v>0</v>
      </c>
      <c r="Z197" s="16" t="n">
        <v>0</v>
      </c>
      <c r="AA197" s="16" t="n">
        <v>0</v>
      </c>
      <c r="AB197" s="16" t="n">
        <v>40</v>
      </c>
      <c r="AC197" s="16" t="n">
        <v>0</v>
      </c>
      <c r="AD197" s="16" t="n">
        <v>0</v>
      </c>
      <c r="AE197" s="16" t="n">
        <v>0</v>
      </c>
      <c r="AF197" s="16" t="n">
        <v>0</v>
      </c>
      <c r="AG197" s="16" t="n">
        <v>0</v>
      </c>
      <c r="AH197" s="16" t="n">
        <v>0</v>
      </c>
      <c r="AI197" s="16" t="n">
        <v>0</v>
      </c>
      <c r="AJ197" s="16" t="n">
        <v>0</v>
      </c>
      <c r="AK197" s="16" t="n">
        <v>0</v>
      </c>
      <c r="AL197" s="16" t="n">
        <v>0</v>
      </c>
      <c r="AM197" s="16" t="n">
        <v>0</v>
      </c>
      <c r="AN197" s="16" t="n">
        <v>0</v>
      </c>
      <c r="AO197" s="16" t="n">
        <v>0</v>
      </c>
      <c r="AP197" s="16" t="n">
        <v>0</v>
      </c>
      <c r="AQ197" s="16" t="n">
        <v>0</v>
      </c>
      <c r="AR197" s="16" t="n">
        <v>0</v>
      </c>
      <c r="AS197" s="16" t="n">
        <v>0</v>
      </c>
      <c r="AT197" s="16" t="n">
        <v>0</v>
      </c>
      <c r="AU197" s="16" t="n">
        <v>0</v>
      </c>
      <c r="AV197" s="16" t="n">
        <v>0</v>
      </c>
      <c r="AW197" s="16" t="n">
        <v>0</v>
      </c>
      <c r="AX197" s="16" t="n">
        <v>0</v>
      </c>
      <c r="AY197" s="16" t="n">
        <v>0</v>
      </c>
      <c r="AZ197" s="16" t="n">
        <v>0</v>
      </c>
      <c r="BA197" s="16" t="n">
        <v>0</v>
      </c>
      <c r="BB197" s="16" t="n">
        <v>0</v>
      </c>
      <c r="BC197" s="16" t="n">
        <v>0</v>
      </c>
      <c r="BD197" s="16" t="n">
        <v>0</v>
      </c>
      <c r="BE197" s="16" t="n">
        <v>0</v>
      </c>
      <c r="BF197" s="16" t="n">
        <v>0</v>
      </c>
      <c r="BG197" s="16" t="n">
        <v>0</v>
      </c>
      <c r="BH197" s="16" t="n">
        <v>0</v>
      </c>
      <c r="BI197" s="16" t="n">
        <v>0</v>
      </c>
      <c r="BJ197" s="16" t="n">
        <v>0</v>
      </c>
      <c r="BK197" s="16" t="n">
        <v>0</v>
      </c>
      <c r="BL197" s="16" t="n">
        <v>0</v>
      </c>
      <c r="BM197" s="16" t="n">
        <v>0</v>
      </c>
      <c r="BN197" s="16" t="n">
        <v>0</v>
      </c>
      <c r="BO197" s="16" t="n">
        <v>0</v>
      </c>
      <c r="BP197" s="16" t="n">
        <v>0</v>
      </c>
      <c r="BQ197" s="16" t="n">
        <v>0</v>
      </c>
      <c r="BR197" s="16" t="n">
        <v>0</v>
      </c>
      <c r="BS197" s="16" t="n">
        <v>0</v>
      </c>
      <c r="BT197" s="16" t="n">
        <v>0</v>
      </c>
      <c r="BU197" s="16" t="n">
        <v>0</v>
      </c>
      <c r="BV197" s="16" t="n">
        <v>0</v>
      </c>
      <c r="BW197" s="16" t="n">
        <v>0</v>
      </c>
      <c r="BX197" s="16" t="n">
        <v>0</v>
      </c>
      <c r="BY197" s="16" t="n">
        <v>0</v>
      </c>
      <c r="BZ197" s="16" t="n">
        <v>0</v>
      </c>
      <c r="CA197" s="16" t="n">
        <v>0</v>
      </c>
      <c r="CB197" s="16" t="n">
        <v>0</v>
      </c>
      <c r="CC197" s="16" t="n">
        <v>0</v>
      </c>
      <c r="CD197" s="16" t="n">
        <v>0</v>
      </c>
      <c r="CE197" s="16" t="n">
        <v>0</v>
      </c>
      <c r="CF197" s="16" t="n">
        <v>0</v>
      </c>
      <c r="CG197" s="16" t="n">
        <v>0</v>
      </c>
      <c r="CH197" s="16" t="n">
        <v>0</v>
      </c>
      <c r="CI197" s="16" t="n">
        <v>0</v>
      </c>
      <c r="CJ197" s="16" t="n">
        <v>0</v>
      </c>
      <c r="CK197" s="16" t="n">
        <v>0</v>
      </c>
      <c r="CL197" s="16" t="n">
        <v>0</v>
      </c>
      <c r="CM197" s="16" t="n">
        <v>0</v>
      </c>
      <c r="CN197" s="16" t="n">
        <v>0</v>
      </c>
      <c r="CO197" s="16" t="n">
        <v>0</v>
      </c>
      <c r="CP197" s="16" t="n">
        <v>0</v>
      </c>
      <c r="CQ197" s="16" t="n">
        <v>0</v>
      </c>
      <c r="CR197" s="16" t="n">
        <v>0</v>
      </c>
      <c r="CS197" s="16" t="n">
        <v>0</v>
      </c>
      <c r="CT197" s="16" t="n">
        <v>0</v>
      </c>
      <c r="CU197" s="16" t="n">
        <v>0</v>
      </c>
      <c r="CV197" s="16" t="n">
        <v>0</v>
      </c>
      <c r="CW197" s="16" t="n">
        <v>0</v>
      </c>
      <c r="CX197" s="16" t="n">
        <v>0</v>
      </c>
      <c r="CY197" s="16" t="n">
        <v>0</v>
      </c>
      <c r="CZ197" s="16" t="n">
        <v>0</v>
      </c>
      <c r="DA197" s="16" t="n">
        <v>0</v>
      </c>
      <c r="DB197" s="16" t="n">
        <v>0</v>
      </c>
      <c r="DC197" s="16" t="n">
        <v>0</v>
      </c>
      <c r="DD197" s="16" t="n">
        <v>0</v>
      </c>
      <c r="DE197" s="16" t="n">
        <v>0</v>
      </c>
      <c r="DF197" s="16" t="n">
        <v>0</v>
      </c>
      <c r="DG197" s="16" t="n">
        <v>0</v>
      </c>
      <c r="DH197" s="16" t="n">
        <v>0</v>
      </c>
      <c r="DI197" s="16" t="n">
        <v>0</v>
      </c>
      <c r="DJ197" s="16" t="n">
        <v>0</v>
      </c>
      <c r="DK197" s="16" t="n">
        <v>0</v>
      </c>
      <c r="DL197" s="16" t="n">
        <v>0</v>
      </c>
      <c r="DM197" s="16" t="n">
        <v>0</v>
      </c>
      <c r="DN197" s="16" t="n">
        <v>0</v>
      </c>
      <c r="DO197" s="16" t="n">
        <v>0</v>
      </c>
      <c r="DP197" s="16" t="n">
        <v>0</v>
      </c>
      <c r="DQ197" s="16" t="n">
        <v>0</v>
      </c>
      <c r="DR197" s="16" t="n">
        <v>0</v>
      </c>
      <c r="DS197" s="16" t="n">
        <v>0</v>
      </c>
      <c r="DT197" s="16" t="n">
        <v>0</v>
      </c>
      <c r="DU197" s="16" t="n">
        <v>0</v>
      </c>
      <c r="DV197" s="16" t="n">
        <v>0</v>
      </c>
      <c r="DW197" s="16" t="n">
        <v>0</v>
      </c>
      <c r="DX197" s="16" t="n">
        <v>0</v>
      </c>
      <c r="DY197" s="16" t="n">
        <v>0</v>
      </c>
      <c r="DZ197" s="16" t="n">
        <v>0</v>
      </c>
      <c r="EA197" s="16" t="n">
        <v>0</v>
      </c>
      <c r="EB197" s="16" t="n">
        <v>0</v>
      </c>
      <c r="EC197" s="16" t="n">
        <v>0</v>
      </c>
      <c r="ED197" s="16" t="n">
        <v>0</v>
      </c>
      <c r="EE197" s="16" t="n">
        <v>0</v>
      </c>
      <c r="EF197" s="16" t="n">
        <v>0</v>
      </c>
    </row>
    <row r="198" customFormat="false" ht="15" hidden="false" customHeight="true" outlineLevel="0" collapsed="false">
      <c r="A198" s="9" t="s">
        <v>12</v>
      </c>
      <c r="B198" s="9" t="s">
        <v>17</v>
      </c>
      <c r="C198" s="9" t="s">
        <v>17</v>
      </c>
      <c r="D198" s="9" t="s">
        <v>336</v>
      </c>
      <c r="E198" s="9" t="s">
        <v>14</v>
      </c>
      <c r="F198" s="9" t="s">
        <v>82</v>
      </c>
      <c r="G198" s="16" t="n">
        <v>0</v>
      </c>
      <c r="H198" s="16" t="n">
        <v>0</v>
      </c>
      <c r="I198" s="16" t="n">
        <v>20</v>
      </c>
      <c r="J198" s="16" t="n">
        <v>-20</v>
      </c>
      <c r="K198" s="16" t="n">
        <v>0</v>
      </c>
      <c r="L198" s="16" t="n">
        <v>0</v>
      </c>
      <c r="M198" s="16" t="n">
        <v>0</v>
      </c>
      <c r="N198" s="16" t="n">
        <v>0</v>
      </c>
      <c r="O198" s="16" t="n">
        <v>0</v>
      </c>
      <c r="P198" s="16" t="n">
        <v>0</v>
      </c>
      <c r="Q198" s="16" t="n">
        <v>0</v>
      </c>
      <c r="R198" s="16" t="n">
        <v>0</v>
      </c>
      <c r="S198" s="16" t="n">
        <v>0</v>
      </c>
      <c r="T198" s="16" t="n">
        <v>0</v>
      </c>
      <c r="U198" s="16" t="n">
        <v>0</v>
      </c>
      <c r="V198" s="16" t="n">
        <v>0</v>
      </c>
      <c r="W198" s="16" t="n">
        <v>0</v>
      </c>
      <c r="X198" s="16" t="n">
        <v>0</v>
      </c>
      <c r="Y198" s="16" t="n">
        <v>0</v>
      </c>
      <c r="Z198" s="16" t="n">
        <v>12</v>
      </c>
      <c r="AA198" s="16" t="n">
        <v>8</v>
      </c>
      <c r="AB198" s="16" t="n">
        <v>0</v>
      </c>
      <c r="AC198" s="16" t="n">
        <v>0</v>
      </c>
      <c r="AD198" s="16" t="n">
        <v>0</v>
      </c>
      <c r="AE198" s="16" t="n">
        <v>0</v>
      </c>
      <c r="AF198" s="16" t="n">
        <v>0</v>
      </c>
      <c r="AG198" s="16" t="n">
        <v>0</v>
      </c>
      <c r="AH198" s="16" t="n">
        <v>0</v>
      </c>
      <c r="AI198" s="16" t="n">
        <v>0</v>
      </c>
      <c r="AJ198" s="16" t="n">
        <v>0</v>
      </c>
      <c r="AK198" s="16" t="n">
        <v>0</v>
      </c>
      <c r="AL198" s="16" t="n">
        <v>0</v>
      </c>
      <c r="AM198" s="16" t="n">
        <v>0</v>
      </c>
      <c r="AN198" s="16" t="n">
        <v>0</v>
      </c>
      <c r="AO198" s="16" t="n">
        <v>0</v>
      </c>
      <c r="AP198" s="16" t="n">
        <v>0</v>
      </c>
      <c r="AQ198" s="16" t="n">
        <v>0</v>
      </c>
      <c r="AR198" s="16" t="n">
        <v>0</v>
      </c>
      <c r="AS198" s="16" t="n">
        <v>0</v>
      </c>
      <c r="AT198" s="16" t="n">
        <v>0</v>
      </c>
      <c r="AU198" s="16" t="n">
        <v>0</v>
      </c>
      <c r="AV198" s="16" t="n">
        <v>0</v>
      </c>
      <c r="AW198" s="16" t="n">
        <v>0</v>
      </c>
      <c r="AX198" s="16" t="n">
        <v>0</v>
      </c>
      <c r="AY198" s="16" t="n">
        <v>0</v>
      </c>
      <c r="AZ198" s="16" t="n">
        <v>0</v>
      </c>
      <c r="BA198" s="16" t="n">
        <v>0</v>
      </c>
      <c r="BB198" s="16" t="n">
        <v>0</v>
      </c>
      <c r="BC198" s="16" t="n">
        <v>0</v>
      </c>
      <c r="BD198" s="16" t="n">
        <v>0</v>
      </c>
      <c r="BE198" s="16" t="n">
        <v>0</v>
      </c>
      <c r="BF198" s="16" t="n">
        <v>0</v>
      </c>
      <c r="BG198" s="16" t="n">
        <v>0</v>
      </c>
      <c r="BH198" s="16" t="n">
        <v>0</v>
      </c>
      <c r="BI198" s="16" t="n">
        <v>0</v>
      </c>
      <c r="BJ198" s="16" t="n">
        <v>0</v>
      </c>
      <c r="BK198" s="16" t="n">
        <v>0</v>
      </c>
      <c r="BL198" s="16" t="n">
        <v>0</v>
      </c>
      <c r="BM198" s="16" t="n">
        <v>0</v>
      </c>
      <c r="BN198" s="16" t="n">
        <v>0</v>
      </c>
      <c r="BO198" s="16" t="n">
        <v>0</v>
      </c>
      <c r="BP198" s="16" t="n">
        <v>0</v>
      </c>
      <c r="BQ198" s="16" t="n">
        <v>0</v>
      </c>
      <c r="BR198" s="16" t="n">
        <v>0</v>
      </c>
      <c r="BS198" s="16" t="n">
        <v>0</v>
      </c>
      <c r="BT198" s="16" t="n">
        <v>0</v>
      </c>
      <c r="BU198" s="16" t="n">
        <v>0</v>
      </c>
      <c r="BV198" s="16" t="n">
        <v>0</v>
      </c>
      <c r="BW198" s="16" t="n">
        <v>0</v>
      </c>
      <c r="BX198" s="16" t="n">
        <v>0</v>
      </c>
      <c r="BY198" s="16" t="n">
        <v>0</v>
      </c>
      <c r="BZ198" s="16" t="n">
        <v>0</v>
      </c>
      <c r="CA198" s="16" t="n">
        <v>0</v>
      </c>
      <c r="CB198" s="16" t="n">
        <v>0</v>
      </c>
      <c r="CC198" s="16" t="n">
        <v>0</v>
      </c>
      <c r="CD198" s="16" t="n">
        <v>0</v>
      </c>
      <c r="CE198" s="16" t="n">
        <v>0</v>
      </c>
      <c r="CF198" s="16" t="n">
        <v>0</v>
      </c>
      <c r="CG198" s="16" t="n">
        <v>0</v>
      </c>
      <c r="CH198" s="16" t="n">
        <v>0</v>
      </c>
      <c r="CI198" s="16" t="n">
        <v>0</v>
      </c>
      <c r="CJ198" s="16" t="n">
        <v>0</v>
      </c>
      <c r="CK198" s="16" t="n">
        <v>0</v>
      </c>
      <c r="CL198" s="16" t="n">
        <v>0</v>
      </c>
      <c r="CM198" s="16" t="n">
        <v>0</v>
      </c>
      <c r="CN198" s="16" t="n">
        <v>0</v>
      </c>
      <c r="CO198" s="16" t="n">
        <v>0</v>
      </c>
      <c r="CP198" s="16" t="n">
        <v>0</v>
      </c>
      <c r="CQ198" s="16" t="n">
        <v>0</v>
      </c>
      <c r="CR198" s="16" t="n">
        <v>0</v>
      </c>
      <c r="CS198" s="16" t="n">
        <v>0</v>
      </c>
      <c r="CT198" s="16" t="n">
        <v>0</v>
      </c>
      <c r="CU198" s="16" t="n">
        <v>0</v>
      </c>
      <c r="CV198" s="16" t="n">
        <v>0</v>
      </c>
      <c r="CW198" s="16" t="n">
        <v>0</v>
      </c>
      <c r="CX198" s="16" t="n">
        <v>0</v>
      </c>
      <c r="CY198" s="16" t="n">
        <v>0</v>
      </c>
      <c r="CZ198" s="16" t="n">
        <v>0</v>
      </c>
      <c r="DA198" s="16" t="n">
        <v>0</v>
      </c>
      <c r="DB198" s="16" t="n">
        <v>0</v>
      </c>
      <c r="DC198" s="16" t="n">
        <v>0</v>
      </c>
      <c r="DD198" s="16" t="n">
        <v>0</v>
      </c>
      <c r="DE198" s="16" t="n">
        <v>0</v>
      </c>
      <c r="DF198" s="16" t="n">
        <v>0</v>
      </c>
      <c r="DG198" s="16" t="n">
        <v>0</v>
      </c>
      <c r="DH198" s="16" t="n">
        <v>0</v>
      </c>
      <c r="DI198" s="16" t="n">
        <v>0</v>
      </c>
      <c r="DJ198" s="16" t="n">
        <v>0</v>
      </c>
      <c r="DK198" s="16" t="n">
        <v>0</v>
      </c>
      <c r="DL198" s="16" t="n">
        <v>0</v>
      </c>
      <c r="DM198" s="16" t="n">
        <v>0</v>
      </c>
      <c r="DN198" s="16" t="n">
        <v>0</v>
      </c>
      <c r="DO198" s="16" t="n">
        <v>0</v>
      </c>
      <c r="DP198" s="16" t="n">
        <v>0</v>
      </c>
      <c r="DQ198" s="16" t="n">
        <v>0</v>
      </c>
      <c r="DR198" s="16" t="n">
        <v>0</v>
      </c>
      <c r="DS198" s="16" t="n">
        <v>0</v>
      </c>
      <c r="DT198" s="16" t="n">
        <v>0</v>
      </c>
      <c r="DU198" s="16" t="n">
        <v>0</v>
      </c>
      <c r="DV198" s="16" t="n">
        <v>0</v>
      </c>
      <c r="DW198" s="16" t="n">
        <v>0</v>
      </c>
      <c r="DX198" s="16" t="n">
        <v>0</v>
      </c>
      <c r="DY198" s="16" t="n">
        <v>0</v>
      </c>
      <c r="DZ198" s="16" t="n">
        <v>0</v>
      </c>
      <c r="EA198" s="16" t="n">
        <v>0</v>
      </c>
      <c r="EB198" s="16" t="n">
        <v>0</v>
      </c>
      <c r="EC198" s="16" t="n">
        <v>0</v>
      </c>
      <c r="ED198" s="16" t="n">
        <v>0</v>
      </c>
      <c r="EE198" s="16" t="n">
        <v>0</v>
      </c>
      <c r="EF198" s="16" t="n">
        <v>0</v>
      </c>
    </row>
    <row r="199" customFormat="false" ht="15" hidden="false" customHeight="true" outlineLevel="0" collapsed="false">
      <c r="A199" s="9" t="s">
        <v>12</v>
      </c>
      <c r="B199" s="9" t="s">
        <v>17</v>
      </c>
      <c r="C199" s="9" t="s">
        <v>17</v>
      </c>
      <c r="D199" s="9" t="s">
        <v>335</v>
      </c>
      <c r="E199" s="9" t="s">
        <v>14</v>
      </c>
      <c r="F199" s="9" t="s">
        <v>83</v>
      </c>
      <c r="G199" s="16" t="n">
        <v>0</v>
      </c>
      <c r="H199" s="16" t="n">
        <v>0</v>
      </c>
      <c r="I199" s="16" t="n">
        <v>32</v>
      </c>
      <c r="J199" s="16" t="n">
        <v>-32</v>
      </c>
      <c r="K199" s="16" t="n">
        <v>0</v>
      </c>
      <c r="L199" s="16" t="n">
        <v>0</v>
      </c>
      <c r="M199" s="16" t="n">
        <v>0</v>
      </c>
      <c r="N199" s="16" t="n">
        <v>0</v>
      </c>
      <c r="O199" s="16" t="n">
        <v>0</v>
      </c>
      <c r="P199" s="16" t="n">
        <v>0</v>
      </c>
      <c r="Q199" s="16" t="n">
        <v>0</v>
      </c>
      <c r="R199" s="16" t="n">
        <v>0</v>
      </c>
      <c r="S199" s="16" t="n">
        <v>0</v>
      </c>
      <c r="T199" s="16" t="n">
        <v>0</v>
      </c>
      <c r="U199" s="16" t="n">
        <v>0</v>
      </c>
      <c r="V199" s="16" t="n">
        <v>0</v>
      </c>
      <c r="W199" s="16" t="n">
        <v>0</v>
      </c>
      <c r="X199" s="16" t="n">
        <v>0</v>
      </c>
      <c r="Y199" s="16" t="n">
        <v>0</v>
      </c>
      <c r="Z199" s="16" t="n">
        <v>0</v>
      </c>
      <c r="AA199" s="16" t="n">
        <v>0</v>
      </c>
      <c r="AB199" s="16" t="n">
        <v>0</v>
      </c>
      <c r="AC199" s="16" t="n">
        <v>0</v>
      </c>
      <c r="AD199" s="16" t="n">
        <v>0</v>
      </c>
      <c r="AE199" s="16" t="n">
        <v>0</v>
      </c>
      <c r="AF199" s="16" t="n">
        <v>0</v>
      </c>
      <c r="AG199" s="16" t="n">
        <v>0</v>
      </c>
      <c r="AH199" s="16" t="n">
        <v>0</v>
      </c>
      <c r="AI199" s="16" t="n">
        <v>0</v>
      </c>
      <c r="AJ199" s="16" t="n">
        <v>0</v>
      </c>
      <c r="AK199" s="16" t="n">
        <v>0</v>
      </c>
      <c r="AL199" s="16" t="n">
        <v>0</v>
      </c>
      <c r="AM199" s="16" t="n">
        <v>0</v>
      </c>
      <c r="AN199" s="16" t="n">
        <v>4</v>
      </c>
      <c r="AO199" s="16" t="n">
        <v>28</v>
      </c>
      <c r="AP199" s="16" t="n">
        <v>0</v>
      </c>
      <c r="AQ199" s="16" t="n">
        <v>0</v>
      </c>
      <c r="AR199" s="16" t="n">
        <v>0</v>
      </c>
      <c r="AS199" s="16" t="n">
        <v>0</v>
      </c>
      <c r="AT199" s="16" t="n">
        <v>0</v>
      </c>
      <c r="AU199" s="16" t="n">
        <v>0</v>
      </c>
      <c r="AV199" s="16" t="n">
        <v>0</v>
      </c>
      <c r="AW199" s="16" t="n">
        <v>0</v>
      </c>
      <c r="AX199" s="16" t="n">
        <v>0</v>
      </c>
      <c r="AY199" s="16" t="n">
        <v>0</v>
      </c>
      <c r="AZ199" s="16" t="n">
        <v>0</v>
      </c>
      <c r="BA199" s="16" t="n">
        <v>0</v>
      </c>
      <c r="BB199" s="16" t="n">
        <v>0</v>
      </c>
      <c r="BC199" s="16" t="n">
        <v>0</v>
      </c>
      <c r="BD199" s="16" t="n">
        <v>0</v>
      </c>
      <c r="BE199" s="16" t="n">
        <v>0</v>
      </c>
      <c r="BF199" s="16" t="n">
        <v>0</v>
      </c>
      <c r="BG199" s="16" t="n">
        <v>0</v>
      </c>
      <c r="BH199" s="16" t="n">
        <v>0</v>
      </c>
      <c r="BI199" s="16" t="n">
        <v>0</v>
      </c>
      <c r="BJ199" s="16" t="n">
        <v>0</v>
      </c>
      <c r="BK199" s="16" t="n">
        <v>0</v>
      </c>
      <c r="BL199" s="16" t="n">
        <v>0</v>
      </c>
      <c r="BM199" s="16" t="n">
        <v>0</v>
      </c>
      <c r="BN199" s="16" t="n">
        <v>0</v>
      </c>
      <c r="BO199" s="16" t="n">
        <v>0</v>
      </c>
      <c r="BP199" s="16" t="n">
        <v>0</v>
      </c>
      <c r="BQ199" s="16" t="n">
        <v>0</v>
      </c>
      <c r="BR199" s="16" t="n">
        <v>0</v>
      </c>
      <c r="BS199" s="16" t="n">
        <v>0</v>
      </c>
      <c r="BT199" s="16" t="n">
        <v>0</v>
      </c>
      <c r="BU199" s="16" t="n">
        <v>0</v>
      </c>
      <c r="BV199" s="16" t="n">
        <v>0</v>
      </c>
      <c r="BW199" s="16" t="n">
        <v>0</v>
      </c>
      <c r="BX199" s="16" t="n">
        <v>0</v>
      </c>
      <c r="BY199" s="16" t="n">
        <v>0</v>
      </c>
      <c r="BZ199" s="16" t="n">
        <v>0</v>
      </c>
      <c r="CA199" s="16" t="n">
        <v>0</v>
      </c>
      <c r="CB199" s="16" t="n">
        <v>0</v>
      </c>
      <c r="CC199" s="16" t="n">
        <v>0</v>
      </c>
      <c r="CD199" s="16" t="n">
        <v>0</v>
      </c>
      <c r="CE199" s="16" t="n">
        <v>0</v>
      </c>
      <c r="CF199" s="16" t="n">
        <v>0</v>
      </c>
      <c r="CG199" s="16" t="n">
        <v>0</v>
      </c>
      <c r="CH199" s="16" t="n">
        <v>0</v>
      </c>
      <c r="CI199" s="16" t="n">
        <v>0</v>
      </c>
      <c r="CJ199" s="16" t="n">
        <v>0</v>
      </c>
      <c r="CK199" s="16" t="n">
        <v>0</v>
      </c>
      <c r="CL199" s="16" t="n">
        <v>0</v>
      </c>
      <c r="CM199" s="16" t="n">
        <v>0</v>
      </c>
      <c r="CN199" s="16" t="n">
        <v>0</v>
      </c>
      <c r="CO199" s="16" t="n">
        <v>0</v>
      </c>
      <c r="CP199" s="16" t="n">
        <v>0</v>
      </c>
      <c r="CQ199" s="16" t="n">
        <v>0</v>
      </c>
      <c r="CR199" s="16" t="n">
        <v>0</v>
      </c>
      <c r="CS199" s="16" t="n">
        <v>0</v>
      </c>
      <c r="CT199" s="16" t="n">
        <v>0</v>
      </c>
      <c r="CU199" s="16" t="n">
        <v>0</v>
      </c>
      <c r="CV199" s="16" t="n">
        <v>0</v>
      </c>
      <c r="CW199" s="16" t="n">
        <v>0</v>
      </c>
      <c r="CX199" s="16" t="n">
        <v>0</v>
      </c>
      <c r="CY199" s="16" t="n">
        <v>0</v>
      </c>
      <c r="CZ199" s="16" t="n">
        <v>0</v>
      </c>
      <c r="DA199" s="16" t="n">
        <v>0</v>
      </c>
      <c r="DB199" s="16" t="n">
        <v>0</v>
      </c>
      <c r="DC199" s="16" t="n">
        <v>0</v>
      </c>
      <c r="DD199" s="16" t="n">
        <v>0</v>
      </c>
      <c r="DE199" s="16" t="n">
        <v>0</v>
      </c>
      <c r="DF199" s="16" t="n">
        <v>0</v>
      </c>
      <c r="DG199" s="16" t="n">
        <v>0</v>
      </c>
      <c r="DH199" s="16" t="n">
        <v>0</v>
      </c>
      <c r="DI199" s="16" t="n">
        <v>0</v>
      </c>
      <c r="DJ199" s="16" t="n">
        <v>0</v>
      </c>
      <c r="DK199" s="16" t="n">
        <v>0</v>
      </c>
      <c r="DL199" s="16" t="n">
        <v>0</v>
      </c>
      <c r="DM199" s="16" t="n">
        <v>0</v>
      </c>
      <c r="DN199" s="16" t="n">
        <v>0</v>
      </c>
      <c r="DO199" s="16" t="n">
        <v>0</v>
      </c>
      <c r="DP199" s="16" t="n">
        <v>0</v>
      </c>
      <c r="DQ199" s="16" t="n">
        <v>0</v>
      </c>
      <c r="DR199" s="16" t="n">
        <v>0</v>
      </c>
      <c r="DS199" s="16" t="n">
        <v>0</v>
      </c>
      <c r="DT199" s="16" t="n">
        <v>0</v>
      </c>
      <c r="DU199" s="16" t="n">
        <v>0</v>
      </c>
      <c r="DV199" s="16" t="n">
        <v>0</v>
      </c>
      <c r="DW199" s="16" t="n">
        <v>0</v>
      </c>
      <c r="DX199" s="16" t="n">
        <v>0</v>
      </c>
      <c r="DY199" s="16" t="n">
        <v>0</v>
      </c>
      <c r="DZ199" s="16" t="n">
        <v>0</v>
      </c>
      <c r="EA199" s="16" t="n">
        <v>0</v>
      </c>
      <c r="EB199" s="16" t="n">
        <v>0</v>
      </c>
      <c r="EC199" s="16" t="n">
        <v>0</v>
      </c>
      <c r="ED199" s="16" t="n">
        <v>0</v>
      </c>
      <c r="EE199" s="16" t="n">
        <v>0</v>
      </c>
      <c r="EF199" s="16" t="n">
        <v>0</v>
      </c>
    </row>
    <row r="200" customFormat="false" ht="15" hidden="false" customHeight="true" outlineLevel="0" collapsed="false">
      <c r="A200" s="9" t="s">
        <v>12</v>
      </c>
      <c r="B200" s="9" t="s">
        <v>17</v>
      </c>
      <c r="C200" s="9" t="s">
        <v>17</v>
      </c>
      <c r="D200" s="9" t="s">
        <v>336</v>
      </c>
      <c r="E200" s="9" t="s">
        <v>14</v>
      </c>
      <c r="F200" s="9" t="s">
        <v>83</v>
      </c>
      <c r="G200" s="16" t="n">
        <v>20</v>
      </c>
      <c r="H200" s="16" t="n">
        <v>20</v>
      </c>
      <c r="I200" s="16" t="n">
        <v>0</v>
      </c>
      <c r="J200" s="16" t="n">
        <v>20</v>
      </c>
      <c r="K200" s="16" t="n">
        <v>0</v>
      </c>
      <c r="L200" s="16" t="n">
        <v>0</v>
      </c>
      <c r="M200" s="16" t="n">
        <v>0</v>
      </c>
      <c r="N200" s="16" t="n">
        <v>0</v>
      </c>
      <c r="O200" s="16" t="n">
        <v>0</v>
      </c>
      <c r="P200" s="16" t="n">
        <v>0</v>
      </c>
      <c r="Q200" s="16" t="n">
        <v>0</v>
      </c>
      <c r="R200" s="16" t="n">
        <v>0</v>
      </c>
      <c r="S200" s="16" t="n">
        <v>0</v>
      </c>
      <c r="T200" s="16" t="n">
        <v>0</v>
      </c>
      <c r="U200" s="16" t="n">
        <v>0</v>
      </c>
      <c r="V200" s="16" t="n">
        <v>0</v>
      </c>
      <c r="W200" s="16" t="n">
        <v>0</v>
      </c>
      <c r="X200" s="16" t="n">
        <v>0</v>
      </c>
      <c r="Y200" s="16" t="n">
        <v>0</v>
      </c>
      <c r="Z200" s="16" t="n">
        <v>0</v>
      </c>
      <c r="AA200" s="16" t="n">
        <v>0</v>
      </c>
      <c r="AB200" s="16" t="n">
        <v>0</v>
      </c>
      <c r="AC200" s="16" t="n">
        <v>0</v>
      </c>
      <c r="AD200" s="16" t="n">
        <v>0</v>
      </c>
      <c r="AE200" s="16" t="n">
        <v>0</v>
      </c>
      <c r="AF200" s="16" t="n">
        <v>0</v>
      </c>
      <c r="AG200" s="16" t="n">
        <v>0</v>
      </c>
      <c r="AH200" s="16" t="n">
        <v>0</v>
      </c>
      <c r="AI200" s="16" t="n">
        <v>0</v>
      </c>
      <c r="AJ200" s="16" t="n">
        <v>0</v>
      </c>
      <c r="AK200" s="16" t="n">
        <v>0</v>
      </c>
      <c r="AL200" s="16" t="n">
        <v>0</v>
      </c>
      <c r="AM200" s="16" t="n">
        <v>0</v>
      </c>
      <c r="AN200" s="16" t="n">
        <v>0</v>
      </c>
      <c r="AO200" s="16" t="n">
        <v>0</v>
      </c>
      <c r="AP200" s="16" t="n">
        <v>0</v>
      </c>
      <c r="AQ200" s="16" t="n">
        <v>0</v>
      </c>
      <c r="AR200" s="16" t="n">
        <v>0</v>
      </c>
      <c r="AS200" s="16" t="n">
        <v>0</v>
      </c>
      <c r="AT200" s="16" t="n">
        <v>0</v>
      </c>
      <c r="AU200" s="16" t="n">
        <v>0</v>
      </c>
      <c r="AV200" s="16" t="n">
        <v>0</v>
      </c>
      <c r="AW200" s="16" t="n">
        <v>0</v>
      </c>
      <c r="AX200" s="16" t="n">
        <v>0</v>
      </c>
      <c r="AY200" s="16" t="n">
        <v>0</v>
      </c>
      <c r="AZ200" s="16" t="n">
        <v>0</v>
      </c>
      <c r="BA200" s="16" t="n">
        <v>0</v>
      </c>
      <c r="BB200" s="16" t="n">
        <v>0</v>
      </c>
      <c r="BC200" s="16" t="n">
        <v>0</v>
      </c>
      <c r="BD200" s="16" t="n">
        <v>0</v>
      </c>
      <c r="BE200" s="16" t="n">
        <v>0</v>
      </c>
      <c r="BF200" s="16" t="n">
        <v>0</v>
      </c>
      <c r="BG200" s="16" t="n">
        <v>0</v>
      </c>
      <c r="BH200" s="16" t="n">
        <v>0</v>
      </c>
      <c r="BI200" s="16" t="n">
        <v>0</v>
      </c>
      <c r="BJ200" s="16" t="n">
        <v>0</v>
      </c>
      <c r="BK200" s="16" t="n">
        <v>0</v>
      </c>
      <c r="BL200" s="16" t="n">
        <v>0</v>
      </c>
      <c r="BM200" s="16" t="n">
        <v>0</v>
      </c>
      <c r="BN200" s="16" t="n">
        <v>0</v>
      </c>
      <c r="BO200" s="16" t="n">
        <v>0</v>
      </c>
      <c r="BP200" s="16" t="n">
        <v>0</v>
      </c>
      <c r="BQ200" s="16" t="n">
        <v>0</v>
      </c>
      <c r="BR200" s="16" t="n">
        <v>0</v>
      </c>
      <c r="BS200" s="16" t="n">
        <v>0</v>
      </c>
      <c r="BT200" s="16" t="n">
        <v>0</v>
      </c>
      <c r="BU200" s="16" t="n">
        <v>0</v>
      </c>
      <c r="BV200" s="16" t="n">
        <v>0</v>
      </c>
      <c r="BW200" s="16" t="n">
        <v>0</v>
      </c>
      <c r="BX200" s="16" t="n">
        <v>0</v>
      </c>
      <c r="BY200" s="16" t="n">
        <v>0</v>
      </c>
      <c r="BZ200" s="16" t="n">
        <v>0</v>
      </c>
      <c r="CA200" s="16" t="n">
        <v>0</v>
      </c>
      <c r="CB200" s="16" t="n">
        <v>0</v>
      </c>
      <c r="CC200" s="16" t="n">
        <v>0</v>
      </c>
      <c r="CD200" s="16" t="n">
        <v>0</v>
      </c>
      <c r="CE200" s="16" t="n">
        <v>0</v>
      </c>
      <c r="CF200" s="16" t="n">
        <v>0</v>
      </c>
      <c r="CG200" s="16" t="n">
        <v>0</v>
      </c>
      <c r="CH200" s="16" t="n">
        <v>0</v>
      </c>
      <c r="CI200" s="16" t="n">
        <v>0</v>
      </c>
      <c r="CJ200" s="16" t="n">
        <v>0</v>
      </c>
      <c r="CK200" s="16" t="n">
        <v>0</v>
      </c>
      <c r="CL200" s="16" t="n">
        <v>0</v>
      </c>
      <c r="CM200" s="16" t="n">
        <v>0</v>
      </c>
      <c r="CN200" s="16" t="n">
        <v>0</v>
      </c>
      <c r="CO200" s="16" t="n">
        <v>0</v>
      </c>
      <c r="CP200" s="16" t="n">
        <v>0</v>
      </c>
      <c r="CQ200" s="16" t="n">
        <v>0</v>
      </c>
      <c r="CR200" s="16" t="n">
        <v>0</v>
      </c>
      <c r="CS200" s="16" t="n">
        <v>0</v>
      </c>
      <c r="CT200" s="16" t="n">
        <v>0</v>
      </c>
      <c r="CU200" s="16" t="n">
        <v>0</v>
      </c>
      <c r="CV200" s="16" t="n">
        <v>0</v>
      </c>
      <c r="CW200" s="16" t="n">
        <v>0</v>
      </c>
      <c r="CX200" s="16" t="n">
        <v>0</v>
      </c>
      <c r="CY200" s="16" t="n">
        <v>0</v>
      </c>
      <c r="CZ200" s="16" t="n">
        <v>0</v>
      </c>
      <c r="DA200" s="16" t="n">
        <v>0</v>
      </c>
      <c r="DB200" s="16" t="n">
        <v>0</v>
      </c>
      <c r="DC200" s="16" t="n">
        <v>0</v>
      </c>
      <c r="DD200" s="16" t="n">
        <v>0</v>
      </c>
      <c r="DE200" s="16" t="n">
        <v>0</v>
      </c>
      <c r="DF200" s="16" t="n">
        <v>0</v>
      </c>
      <c r="DG200" s="16" t="n">
        <v>0</v>
      </c>
      <c r="DH200" s="16" t="n">
        <v>0</v>
      </c>
      <c r="DI200" s="16" t="n">
        <v>0</v>
      </c>
      <c r="DJ200" s="16" t="n">
        <v>0</v>
      </c>
      <c r="DK200" s="16" t="n">
        <v>0</v>
      </c>
      <c r="DL200" s="16" t="n">
        <v>0</v>
      </c>
      <c r="DM200" s="16" t="n">
        <v>0</v>
      </c>
      <c r="DN200" s="16" t="n">
        <v>0</v>
      </c>
      <c r="DO200" s="16" t="n">
        <v>0</v>
      </c>
      <c r="DP200" s="16" t="n">
        <v>0</v>
      </c>
      <c r="DQ200" s="16" t="n">
        <v>0</v>
      </c>
      <c r="DR200" s="16" t="n">
        <v>0</v>
      </c>
      <c r="DS200" s="16" t="n">
        <v>0</v>
      </c>
      <c r="DT200" s="16" t="n">
        <v>0</v>
      </c>
      <c r="DU200" s="16" t="n">
        <v>0</v>
      </c>
      <c r="DV200" s="16" t="n">
        <v>0</v>
      </c>
      <c r="DW200" s="16" t="n">
        <v>0</v>
      </c>
      <c r="DX200" s="16" t="n">
        <v>0</v>
      </c>
      <c r="DY200" s="16" t="n">
        <v>0</v>
      </c>
      <c r="DZ200" s="16" t="n">
        <v>0</v>
      </c>
      <c r="EA200" s="16" t="n">
        <v>0</v>
      </c>
      <c r="EB200" s="16" t="n">
        <v>0</v>
      </c>
      <c r="EC200" s="16" t="n">
        <v>0</v>
      </c>
      <c r="ED200" s="16" t="n">
        <v>0</v>
      </c>
      <c r="EE200" s="16" t="n">
        <v>0</v>
      </c>
      <c r="EF200" s="16" t="n">
        <v>0</v>
      </c>
    </row>
    <row r="201" customFormat="false" ht="15" hidden="false" customHeight="true" outlineLevel="0" collapsed="false">
      <c r="A201" s="9" t="s">
        <v>12</v>
      </c>
      <c r="B201" s="9" t="s">
        <v>17</v>
      </c>
      <c r="C201" s="9" t="s">
        <v>17</v>
      </c>
      <c r="D201" s="9" t="s">
        <v>335</v>
      </c>
      <c r="E201" s="9" t="s">
        <v>14</v>
      </c>
      <c r="F201" s="9" t="s">
        <v>84</v>
      </c>
      <c r="G201" s="16" t="n">
        <v>0</v>
      </c>
      <c r="H201" s="16" t="n">
        <v>0</v>
      </c>
      <c r="I201" s="16" t="n">
        <v>20</v>
      </c>
      <c r="J201" s="16" t="n">
        <v>-20</v>
      </c>
      <c r="K201" s="16" t="n">
        <v>0</v>
      </c>
      <c r="L201" s="16" t="n">
        <v>0</v>
      </c>
      <c r="M201" s="16" t="n">
        <v>0</v>
      </c>
      <c r="N201" s="16" t="n">
        <v>0</v>
      </c>
      <c r="O201" s="16" t="n">
        <v>0</v>
      </c>
      <c r="P201" s="16" t="n">
        <v>0</v>
      </c>
      <c r="Q201" s="16" t="n">
        <v>0</v>
      </c>
      <c r="R201" s="16" t="n">
        <v>0</v>
      </c>
      <c r="S201" s="16" t="n">
        <v>0</v>
      </c>
      <c r="T201" s="16" t="n">
        <v>0</v>
      </c>
      <c r="U201" s="16" t="n">
        <v>0</v>
      </c>
      <c r="V201" s="16" t="n">
        <v>0</v>
      </c>
      <c r="W201" s="16" t="n">
        <v>0</v>
      </c>
      <c r="X201" s="16" t="n">
        <v>0</v>
      </c>
      <c r="Y201" s="16" t="n">
        <v>0</v>
      </c>
      <c r="Z201" s="16" t="n">
        <v>0</v>
      </c>
      <c r="AA201" s="16" t="n">
        <v>0</v>
      </c>
      <c r="AB201" s="16" t="n">
        <v>0</v>
      </c>
      <c r="AC201" s="16" t="n">
        <v>0</v>
      </c>
      <c r="AD201" s="16" t="n">
        <v>0</v>
      </c>
      <c r="AE201" s="16" t="n">
        <v>0</v>
      </c>
      <c r="AF201" s="16" t="n">
        <v>0</v>
      </c>
      <c r="AG201" s="16" t="n">
        <v>0</v>
      </c>
      <c r="AH201" s="16" t="n">
        <v>0</v>
      </c>
      <c r="AI201" s="16" t="n">
        <v>0</v>
      </c>
      <c r="AJ201" s="16" t="n">
        <v>0</v>
      </c>
      <c r="AK201" s="16" t="n">
        <v>0</v>
      </c>
      <c r="AL201" s="16" t="n">
        <v>0</v>
      </c>
      <c r="AM201" s="16" t="n">
        <v>0</v>
      </c>
      <c r="AN201" s="16" t="n">
        <v>0</v>
      </c>
      <c r="AO201" s="16" t="n">
        <v>0</v>
      </c>
      <c r="AP201" s="16" t="n">
        <v>0</v>
      </c>
      <c r="AQ201" s="16" t="n">
        <v>0</v>
      </c>
      <c r="AR201" s="16" t="n">
        <v>0</v>
      </c>
      <c r="AS201" s="16" t="n">
        <v>0</v>
      </c>
      <c r="AT201" s="16" t="n">
        <v>0</v>
      </c>
      <c r="AU201" s="16" t="n">
        <v>0</v>
      </c>
      <c r="AV201" s="16" t="n">
        <v>0</v>
      </c>
      <c r="AW201" s="16" t="n">
        <v>0</v>
      </c>
      <c r="AX201" s="16" t="n">
        <v>0</v>
      </c>
      <c r="AY201" s="16" t="n">
        <v>0</v>
      </c>
      <c r="AZ201" s="16" t="n">
        <v>0</v>
      </c>
      <c r="BA201" s="16" t="n">
        <v>0</v>
      </c>
      <c r="BB201" s="16" t="n">
        <v>0</v>
      </c>
      <c r="BC201" s="16" t="n">
        <v>0</v>
      </c>
      <c r="BD201" s="16" t="n">
        <v>0</v>
      </c>
      <c r="BE201" s="16" t="n">
        <v>0</v>
      </c>
      <c r="BF201" s="16" t="n">
        <v>0</v>
      </c>
      <c r="BG201" s="16" t="n">
        <v>0</v>
      </c>
      <c r="BH201" s="16" t="n">
        <v>0</v>
      </c>
      <c r="BI201" s="16" t="n">
        <v>0</v>
      </c>
      <c r="BJ201" s="16" t="n">
        <v>0</v>
      </c>
      <c r="BK201" s="16" t="n">
        <v>0</v>
      </c>
      <c r="BL201" s="16" t="n">
        <v>0</v>
      </c>
      <c r="BM201" s="16" t="n">
        <v>0</v>
      </c>
      <c r="BN201" s="16" t="n">
        <v>0</v>
      </c>
      <c r="BO201" s="16" t="n">
        <v>0</v>
      </c>
      <c r="BP201" s="16" t="n">
        <v>0</v>
      </c>
      <c r="BQ201" s="16" t="n">
        <v>0</v>
      </c>
      <c r="BR201" s="16" t="n">
        <v>0</v>
      </c>
      <c r="BS201" s="16" t="n">
        <v>0</v>
      </c>
      <c r="BT201" s="16" t="n">
        <v>0</v>
      </c>
      <c r="BU201" s="16" t="n">
        <v>0</v>
      </c>
      <c r="BV201" s="16" t="n">
        <v>0</v>
      </c>
      <c r="BW201" s="16" t="n">
        <v>0</v>
      </c>
      <c r="BX201" s="16" t="n">
        <v>0</v>
      </c>
      <c r="BY201" s="16" t="n">
        <v>0</v>
      </c>
      <c r="BZ201" s="16" t="n">
        <v>0</v>
      </c>
      <c r="CA201" s="16" t="n">
        <v>0</v>
      </c>
      <c r="CB201" s="16" t="n">
        <v>0</v>
      </c>
      <c r="CC201" s="16" t="n">
        <v>0</v>
      </c>
      <c r="CD201" s="16" t="n">
        <v>0</v>
      </c>
      <c r="CE201" s="16" t="n">
        <v>0</v>
      </c>
      <c r="CF201" s="16" t="n">
        <v>0</v>
      </c>
      <c r="CG201" s="16" t="n">
        <v>0</v>
      </c>
      <c r="CH201" s="16" t="n">
        <v>0</v>
      </c>
      <c r="CI201" s="16" t="n">
        <v>0</v>
      </c>
      <c r="CJ201" s="16" t="n">
        <v>0</v>
      </c>
      <c r="CK201" s="16" t="n">
        <v>0</v>
      </c>
      <c r="CL201" s="16" t="n">
        <v>0</v>
      </c>
      <c r="CM201" s="16" t="n">
        <v>0</v>
      </c>
      <c r="CN201" s="16" t="n">
        <v>0</v>
      </c>
      <c r="CO201" s="16" t="n">
        <v>0</v>
      </c>
      <c r="CP201" s="16" t="n">
        <v>0</v>
      </c>
      <c r="CQ201" s="16" t="n">
        <v>0</v>
      </c>
      <c r="CR201" s="16" t="n">
        <v>0</v>
      </c>
      <c r="CS201" s="16" t="n">
        <v>0</v>
      </c>
      <c r="CT201" s="16" t="n">
        <v>0</v>
      </c>
      <c r="CU201" s="16" t="n">
        <v>0</v>
      </c>
      <c r="CV201" s="16" t="n">
        <v>0</v>
      </c>
      <c r="CW201" s="16" t="n">
        <v>0</v>
      </c>
      <c r="CX201" s="16" t="n">
        <v>0</v>
      </c>
      <c r="CY201" s="16" t="n">
        <v>0</v>
      </c>
      <c r="CZ201" s="16" t="n">
        <v>10</v>
      </c>
      <c r="DA201" s="16" t="n">
        <v>10</v>
      </c>
      <c r="DB201" s="16" t="n">
        <v>0</v>
      </c>
      <c r="DC201" s="16" t="n">
        <v>0</v>
      </c>
      <c r="DD201" s="16" t="n">
        <v>0</v>
      </c>
      <c r="DE201" s="16" t="n">
        <v>0</v>
      </c>
      <c r="DF201" s="16" t="n">
        <v>0</v>
      </c>
      <c r="DG201" s="16" t="n">
        <v>0</v>
      </c>
      <c r="DH201" s="16" t="n">
        <v>0</v>
      </c>
      <c r="DI201" s="16" t="n">
        <v>0</v>
      </c>
      <c r="DJ201" s="16" t="n">
        <v>0</v>
      </c>
      <c r="DK201" s="16" t="n">
        <v>0</v>
      </c>
      <c r="DL201" s="16" t="n">
        <v>0</v>
      </c>
      <c r="DM201" s="16" t="n">
        <v>0</v>
      </c>
      <c r="DN201" s="16" t="n">
        <v>0</v>
      </c>
      <c r="DO201" s="16" t="n">
        <v>0</v>
      </c>
      <c r="DP201" s="16" t="n">
        <v>0</v>
      </c>
      <c r="DQ201" s="16" t="n">
        <v>0</v>
      </c>
      <c r="DR201" s="16" t="n">
        <v>0</v>
      </c>
      <c r="DS201" s="16" t="n">
        <v>0</v>
      </c>
      <c r="DT201" s="16" t="n">
        <v>0</v>
      </c>
      <c r="DU201" s="16" t="n">
        <v>0</v>
      </c>
      <c r="DV201" s="16" t="n">
        <v>0</v>
      </c>
      <c r="DW201" s="16" t="n">
        <v>0</v>
      </c>
      <c r="DX201" s="16" t="n">
        <v>0</v>
      </c>
      <c r="DY201" s="16" t="n">
        <v>0</v>
      </c>
      <c r="DZ201" s="16" t="n">
        <v>0</v>
      </c>
      <c r="EA201" s="16" t="n">
        <v>0</v>
      </c>
      <c r="EB201" s="16" t="n">
        <v>0</v>
      </c>
      <c r="EC201" s="16" t="n">
        <v>0</v>
      </c>
      <c r="ED201" s="16" t="n">
        <v>0</v>
      </c>
      <c r="EE201" s="16" t="n">
        <v>0</v>
      </c>
      <c r="EF201" s="16" t="n">
        <v>0</v>
      </c>
    </row>
    <row r="202" customFormat="false" ht="15" hidden="false" customHeight="true" outlineLevel="0" collapsed="false">
      <c r="A202" s="9" t="s">
        <v>12</v>
      </c>
      <c r="B202" s="9" t="s">
        <v>17</v>
      </c>
      <c r="C202" s="9" t="s">
        <v>17</v>
      </c>
      <c r="D202" s="9" t="s">
        <v>336</v>
      </c>
      <c r="E202" s="9" t="s">
        <v>14</v>
      </c>
      <c r="F202" s="9" t="s">
        <v>84</v>
      </c>
      <c r="G202" s="16" t="n">
        <v>0</v>
      </c>
      <c r="H202" s="16" t="n">
        <v>20</v>
      </c>
      <c r="I202" s="16" t="n">
        <v>0</v>
      </c>
      <c r="J202" s="16" t="n">
        <v>20</v>
      </c>
      <c r="K202" s="16" t="n">
        <v>0</v>
      </c>
      <c r="L202" s="16" t="n">
        <v>0</v>
      </c>
      <c r="M202" s="16" t="n">
        <v>0</v>
      </c>
      <c r="N202" s="16" t="n">
        <v>0</v>
      </c>
      <c r="O202" s="16" t="n">
        <v>0</v>
      </c>
      <c r="P202" s="16" t="n">
        <v>0</v>
      </c>
      <c r="Q202" s="16" t="n">
        <v>0</v>
      </c>
      <c r="R202" s="16" t="n">
        <v>0</v>
      </c>
      <c r="S202" s="16" t="n">
        <v>0</v>
      </c>
      <c r="T202" s="16" t="n">
        <v>0</v>
      </c>
      <c r="U202" s="16" t="n">
        <v>0</v>
      </c>
      <c r="V202" s="16" t="n">
        <v>0</v>
      </c>
      <c r="W202" s="16" t="n">
        <v>0</v>
      </c>
      <c r="X202" s="16" t="n">
        <v>0</v>
      </c>
      <c r="Y202" s="16" t="n">
        <v>0</v>
      </c>
      <c r="Z202" s="16" t="n">
        <v>0</v>
      </c>
      <c r="AA202" s="16" t="n">
        <v>0</v>
      </c>
      <c r="AB202" s="16" t="n">
        <v>0</v>
      </c>
      <c r="AC202" s="16" t="n">
        <v>0</v>
      </c>
      <c r="AD202" s="16" t="n">
        <v>0</v>
      </c>
      <c r="AE202" s="16" t="n">
        <v>0</v>
      </c>
      <c r="AF202" s="16" t="n">
        <v>0</v>
      </c>
      <c r="AG202" s="16" t="n">
        <v>0</v>
      </c>
      <c r="AH202" s="16" t="n">
        <v>0</v>
      </c>
      <c r="AI202" s="16" t="n">
        <v>0</v>
      </c>
      <c r="AJ202" s="16" t="n">
        <v>0</v>
      </c>
      <c r="AK202" s="16" t="n">
        <v>0</v>
      </c>
      <c r="AL202" s="16" t="n">
        <v>0</v>
      </c>
      <c r="AM202" s="16" t="n">
        <v>0</v>
      </c>
      <c r="AN202" s="16" t="n">
        <v>0</v>
      </c>
      <c r="AO202" s="16" t="n">
        <v>0</v>
      </c>
      <c r="AP202" s="16" t="n">
        <v>0</v>
      </c>
      <c r="AQ202" s="16" t="n">
        <v>0</v>
      </c>
      <c r="AR202" s="16" t="n">
        <v>0</v>
      </c>
      <c r="AS202" s="16" t="n">
        <v>0</v>
      </c>
      <c r="AT202" s="16" t="n">
        <v>0</v>
      </c>
      <c r="AU202" s="16" t="n">
        <v>0</v>
      </c>
      <c r="AV202" s="16" t="n">
        <v>0</v>
      </c>
      <c r="AW202" s="16" t="n">
        <v>0</v>
      </c>
      <c r="AX202" s="16" t="n">
        <v>0</v>
      </c>
      <c r="AY202" s="16" t="n">
        <v>0</v>
      </c>
      <c r="AZ202" s="16" t="n">
        <v>0</v>
      </c>
      <c r="BA202" s="16" t="n">
        <v>0</v>
      </c>
      <c r="BB202" s="16" t="n">
        <v>0</v>
      </c>
      <c r="BC202" s="16" t="n">
        <v>0</v>
      </c>
      <c r="BD202" s="16" t="n">
        <v>0</v>
      </c>
      <c r="BE202" s="16" t="n">
        <v>0</v>
      </c>
      <c r="BF202" s="16" t="n">
        <v>0</v>
      </c>
      <c r="BG202" s="16" t="n">
        <v>0</v>
      </c>
      <c r="BH202" s="16" t="n">
        <v>0</v>
      </c>
      <c r="BI202" s="16" t="n">
        <v>0</v>
      </c>
      <c r="BJ202" s="16" t="n">
        <v>0</v>
      </c>
      <c r="BK202" s="16" t="n">
        <v>0</v>
      </c>
      <c r="BL202" s="16" t="n">
        <v>0</v>
      </c>
      <c r="BM202" s="16" t="n">
        <v>0</v>
      </c>
      <c r="BN202" s="16" t="n">
        <v>0</v>
      </c>
      <c r="BO202" s="16" t="n">
        <v>0</v>
      </c>
      <c r="BP202" s="16" t="n">
        <v>0</v>
      </c>
      <c r="BQ202" s="16" t="n">
        <v>0</v>
      </c>
      <c r="BR202" s="16" t="n">
        <v>0</v>
      </c>
      <c r="BS202" s="16" t="n">
        <v>0</v>
      </c>
      <c r="BT202" s="16" t="n">
        <v>0</v>
      </c>
      <c r="BU202" s="16" t="n">
        <v>0</v>
      </c>
      <c r="BV202" s="16" t="n">
        <v>0</v>
      </c>
      <c r="BW202" s="16" t="n">
        <v>0</v>
      </c>
      <c r="BX202" s="16" t="n">
        <v>0</v>
      </c>
      <c r="BY202" s="16" t="n">
        <v>0</v>
      </c>
      <c r="BZ202" s="16" t="n">
        <v>0</v>
      </c>
      <c r="CA202" s="16" t="n">
        <v>0</v>
      </c>
      <c r="CB202" s="16" t="n">
        <v>0</v>
      </c>
      <c r="CC202" s="16" t="n">
        <v>0</v>
      </c>
      <c r="CD202" s="16" t="n">
        <v>0</v>
      </c>
      <c r="CE202" s="16" t="n">
        <v>0</v>
      </c>
      <c r="CF202" s="16" t="n">
        <v>0</v>
      </c>
      <c r="CG202" s="16" t="n">
        <v>0</v>
      </c>
      <c r="CH202" s="16" t="n">
        <v>0</v>
      </c>
      <c r="CI202" s="16" t="n">
        <v>0</v>
      </c>
      <c r="CJ202" s="16" t="n">
        <v>0</v>
      </c>
      <c r="CK202" s="16" t="n">
        <v>0</v>
      </c>
      <c r="CL202" s="16" t="n">
        <v>0</v>
      </c>
      <c r="CM202" s="16" t="n">
        <v>0</v>
      </c>
      <c r="CN202" s="16" t="n">
        <v>0</v>
      </c>
      <c r="CO202" s="16" t="n">
        <v>0</v>
      </c>
      <c r="CP202" s="16" t="n">
        <v>0</v>
      </c>
      <c r="CQ202" s="16" t="n">
        <v>0</v>
      </c>
      <c r="CR202" s="16" t="n">
        <v>0</v>
      </c>
      <c r="CS202" s="16" t="n">
        <v>0</v>
      </c>
      <c r="CT202" s="16" t="n">
        <v>0</v>
      </c>
      <c r="CU202" s="16" t="n">
        <v>0</v>
      </c>
      <c r="CV202" s="16" t="n">
        <v>0</v>
      </c>
      <c r="CW202" s="16" t="n">
        <v>0</v>
      </c>
      <c r="CX202" s="16" t="n">
        <v>0</v>
      </c>
      <c r="CY202" s="16" t="n">
        <v>0</v>
      </c>
      <c r="CZ202" s="16" t="n">
        <v>0</v>
      </c>
      <c r="DA202" s="16" t="n">
        <v>0</v>
      </c>
      <c r="DB202" s="16" t="n">
        <v>0</v>
      </c>
      <c r="DC202" s="16" t="n">
        <v>0</v>
      </c>
      <c r="DD202" s="16" t="n">
        <v>0</v>
      </c>
      <c r="DE202" s="16" t="n">
        <v>0</v>
      </c>
      <c r="DF202" s="16" t="n">
        <v>0</v>
      </c>
      <c r="DG202" s="16" t="n">
        <v>0</v>
      </c>
      <c r="DH202" s="16" t="n">
        <v>0</v>
      </c>
      <c r="DI202" s="16" t="n">
        <v>0</v>
      </c>
      <c r="DJ202" s="16" t="n">
        <v>0</v>
      </c>
      <c r="DK202" s="16" t="n">
        <v>0</v>
      </c>
      <c r="DL202" s="16" t="n">
        <v>0</v>
      </c>
      <c r="DM202" s="16" t="n">
        <v>0</v>
      </c>
      <c r="DN202" s="16" t="n">
        <v>0</v>
      </c>
      <c r="DO202" s="16" t="n">
        <v>0</v>
      </c>
      <c r="DP202" s="16" t="n">
        <v>0</v>
      </c>
      <c r="DQ202" s="16" t="n">
        <v>0</v>
      </c>
      <c r="DR202" s="16" t="n">
        <v>0</v>
      </c>
      <c r="DS202" s="16" t="n">
        <v>0</v>
      </c>
      <c r="DT202" s="16" t="n">
        <v>0</v>
      </c>
      <c r="DU202" s="16" t="n">
        <v>0</v>
      </c>
      <c r="DV202" s="16" t="n">
        <v>0</v>
      </c>
      <c r="DW202" s="16" t="n">
        <v>0</v>
      </c>
      <c r="DX202" s="16" t="n">
        <v>0</v>
      </c>
      <c r="DY202" s="16" t="n">
        <v>0</v>
      </c>
      <c r="DZ202" s="16" t="n">
        <v>0</v>
      </c>
      <c r="EA202" s="16" t="n">
        <v>0</v>
      </c>
      <c r="EB202" s="16" t="n">
        <v>0</v>
      </c>
      <c r="EC202" s="16" t="n">
        <v>0</v>
      </c>
      <c r="ED202" s="16" t="n">
        <v>0</v>
      </c>
      <c r="EE202" s="16" t="n">
        <v>0</v>
      </c>
      <c r="EF202" s="16" t="n">
        <v>0</v>
      </c>
    </row>
    <row r="203" customFormat="false" ht="15" hidden="false" customHeight="true" outlineLevel="0" collapsed="false">
      <c r="A203" s="9" t="s">
        <v>12</v>
      </c>
      <c r="B203" s="9" t="s">
        <v>17</v>
      </c>
      <c r="C203" s="9" t="s">
        <v>17</v>
      </c>
      <c r="D203" s="9" t="s">
        <v>335</v>
      </c>
      <c r="E203" s="9" t="s">
        <v>14</v>
      </c>
      <c r="F203" s="9" t="s">
        <v>40</v>
      </c>
      <c r="G203" s="16" t="n">
        <v>0</v>
      </c>
      <c r="H203" s="16" t="n">
        <v>0</v>
      </c>
      <c r="I203" s="16" t="n">
        <v>28</v>
      </c>
      <c r="J203" s="16" t="n">
        <v>-28</v>
      </c>
      <c r="K203" s="16" t="n">
        <v>0</v>
      </c>
      <c r="L203" s="16" t="n">
        <v>0</v>
      </c>
      <c r="M203" s="16" t="n">
        <v>0</v>
      </c>
      <c r="N203" s="16" t="n">
        <v>0</v>
      </c>
      <c r="O203" s="16" t="n">
        <v>0</v>
      </c>
      <c r="P203" s="16" t="n">
        <v>0</v>
      </c>
      <c r="Q203" s="16" t="n">
        <v>0</v>
      </c>
      <c r="R203" s="16" t="n">
        <v>0</v>
      </c>
      <c r="S203" s="16" t="n">
        <v>0</v>
      </c>
      <c r="T203" s="16" t="n">
        <v>0</v>
      </c>
      <c r="U203" s="16" t="n">
        <v>0</v>
      </c>
      <c r="V203" s="16" t="n">
        <v>0</v>
      </c>
      <c r="W203" s="16" t="n">
        <v>0</v>
      </c>
      <c r="X203" s="16" t="n">
        <v>0</v>
      </c>
      <c r="Y203" s="16" t="n">
        <v>0</v>
      </c>
      <c r="Z203" s="16" t="n">
        <v>0</v>
      </c>
      <c r="AA203" s="16" t="n">
        <v>0</v>
      </c>
      <c r="AB203" s="16" t="n">
        <v>0</v>
      </c>
      <c r="AC203" s="16" t="n">
        <v>0</v>
      </c>
      <c r="AD203" s="16" t="n">
        <v>0</v>
      </c>
      <c r="AE203" s="16" t="n">
        <v>0</v>
      </c>
      <c r="AF203" s="16" t="n">
        <v>0</v>
      </c>
      <c r="AG203" s="16" t="n">
        <v>0</v>
      </c>
      <c r="AH203" s="16" t="n">
        <v>0</v>
      </c>
      <c r="AI203" s="16" t="n">
        <v>0</v>
      </c>
      <c r="AJ203" s="16" t="n">
        <v>0</v>
      </c>
      <c r="AK203" s="16" t="n">
        <v>0</v>
      </c>
      <c r="AL203" s="16" t="n">
        <v>0</v>
      </c>
      <c r="AM203" s="16" t="n">
        <v>0</v>
      </c>
      <c r="AN203" s="16" t="n">
        <v>0</v>
      </c>
      <c r="AO203" s="16" t="n">
        <v>0</v>
      </c>
      <c r="AP203" s="16" t="n">
        <v>0</v>
      </c>
      <c r="AQ203" s="16" t="n">
        <v>0</v>
      </c>
      <c r="AR203" s="16" t="n">
        <v>0</v>
      </c>
      <c r="AS203" s="16" t="n">
        <v>0</v>
      </c>
      <c r="AT203" s="16" t="n">
        <v>0</v>
      </c>
      <c r="AU203" s="16" t="n">
        <v>0</v>
      </c>
      <c r="AV203" s="16" t="n">
        <v>0</v>
      </c>
      <c r="AW203" s="16" t="n">
        <v>0</v>
      </c>
      <c r="AX203" s="16" t="n">
        <v>0</v>
      </c>
      <c r="AY203" s="16" t="n">
        <v>0</v>
      </c>
      <c r="AZ203" s="16" t="n">
        <v>0</v>
      </c>
      <c r="BA203" s="16" t="n">
        <v>0</v>
      </c>
      <c r="BB203" s="16" t="n">
        <v>0</v>
      </c>
      <c r="BC203" s="16" t="n">
        <v>0</v>
      </c>
      <c r="BD203" s="16" t="n">
        <v>0</v>
      </c>
      <c r="BE203" s="16" t="n">
        <v>0</v>
      </c>
      <c r="BF203" s="16" t="n">
        <v>0</v>
      </c>
      <c r="BG203" s="16" t="n">
        <v>0</v>
      </c>
      <c r="BH203" s="16" t="n">
        <v>0</v>
      </c>
      <c r="BI203" s="16" t="n">
        <v>0</v>
      </c>
      <c r="BJ203" s="16" t="n">
        <v>0</v>
      </c>
      <c r="BK203" s="16" t="n">
        <v>0</v>
      </c>
      <c r="BL203" s="16" t="n">
        <v>0</v>
      </c>
      <c r="BM203" s="16" t="n">
        <v>0</v>
      </c>
      <c r="BN203" s="16" t="n">
        <v>0</v>
      </c>
      <c r="BO203" s="16" t="n">
        <v>0</v>
      </c>
      <c r="BP203" s="16" t="n">
        <v>0</v>
      </c>
      <c r="BQ203" s="16" t="n">
        <v>0</v>
      </c>
      <c r="BR203" s="16" t="n">
        <v>0</v>
      </c>
      <c r="BS203" s="16" t="n">
        <v>0</v>
      </c>
      <c r="BT203" s="16" t="n">
        <v>0</v>
      </c>
      <c r="BU203" s="16" t="n">
        <v>0</v>
      </c>
      <c r="BV203" s="16" t="n">
        <v>0</v>
      </c>
      <c r="BW203" s="16" t="n">
        <v>0</v>
      </c>
      <c r="BX203" s="16" t="n">
        <v>0</v>
      </c>
      <c r="BY203" s="16" t="n">
        <v>0</v>
      </c>
      <c r="BZ203" s="16" t="n">
        <v>0</v>
      </c>
      <c r="CA203" s="16" t="n">
        <v>0</v>
      </c>
      <c r="CB203" s="16" t="n">
        <v>0</v>
      </c>
      <c r="CC203" s="16" t="n">
        <v>0</v>
      </c>
      <c r="CD203" s="16" t="n">
        <v>0</v>
      </c>
      <c r="CE203" s="16" t="n">
        <v>0</v>
      </c>
      <c r="CF203" s="16" t="n">
        <v>0</v>
      </c>
      <c r="CG203" s="16" t="n">
        <v>0</v>
      </c>
      <c r="CH203" s="16" t="n">
        <v>0</v>
      </c>
      <c r="CI203" s="16" t="n">
        <v>0</v>
      </c>
      <c r="CJ203" s="16" t="n">
        <v>0</v>
      </c>
      <c r="CK203" s="16" t="n">
        <v>0</v>
      </c>
      <c r="CL203" s="16" t="n">
        <v>0</v>
      </c>
      <c r="CM203" s="16" t="n">
        <v>0</v>
      </c>
      <c r="CN203" s="16" t="n">
        <v>0</v>
      </c>
      <c r="CO203" s="16" t="n">
        <v>0</v>
      </c>
      <c r="CP203" s="16" t="n">
        <v>0</v>
      </c>
      <c r="CQ203" s="16" t="n">
        <v>0</v>
      </c>
      <c r="CR203" s="16" t="n">
        <v>0</v>
      </c>
      <c r="CS203" s="16" t="n">
        <v>0</v>
      </c>
      <c r="CT203" s="16" t="n">
        <v>0</v>
      </c>
      <c r="CU203" s="16" t="n">
        <v>0</v>
      </c>
      <c r="CV203" s="16" t="n">
        <v>0</v>
      </c>
      <c r="CW203" s="16" t="n">
        <v>0</v>
      </c>
      <c r="CX203" s="16" t="n">
        <v>0</v>
      </c>
      <c r="CY203" s="16" t="n">
        <v>0</v>
      </c>
      <c r="CZ203" s="16" t="n">
        <v>0</v>
      </c>
      <c r="DA203" s="16" t="n">
        <v>0</v>
      </c>
      <c r="DB203" s="16" t="n">
        <v>0</v>
      </c>
      <c r="DC203" s="16" t="n">
        <v>0</v>
      </c>
      <c r="DD203" s="16" t="n">
        <v>0</v>
      </c>
      <c r="DE203" s="16" t="n">
        <v>0</v>
      </c>
      <c r="DF203" s="16" t="n">
        <v>0</v>
      </c>
      <c r="DG203" s="16" t="n">
        <v>0</v>
      </c>
      <c r="DH203" s="16" t="n">
        <v>0</v>
      </c>
      <c r="DI203" s="16" t="n">
        <v>0</v>
      </c>
      <c r="DJ203" s="16" t="n">
        <v>0</v>
      </c>
      <c r="DK203" s="16" t="n">
        <v>0</v>
      </c>
      <c r="DL203" s="16" t="n">
        <v>0</v>
      </c>
      <c r="DM203" s="16" t="n">
        <v>0</v>
      </c>
      <c r="DN203" s="16" t="n">
        <v>0</v>
      </c>
      <c r="DO203" s="16" t="n">
        <v>0</v>
      </c>
      <c r="DP203" s="16" t="n">
        <v>8</v>
      </c>
      <c r="DQ203" s="16" t="n">
        <v>10</v>
      </c>
      <c r="DR203" s="16" t="n">
        <v>10</v>
      </c>
      <c r="DS203" s="16" t="n">
        <v>0</v>
      </c>
      <c r="DT203" s="16" t="n">
        <v>0</v>
      </c>
      <c r="DU203" s="16" t="n">
        <v>0</v>
      </c>
      <c r="DV203" s="16" t="n">
        <v>0</v>
      </c>
      <c r="DW203" s="16" t="n">
        <v>0</v>
      </c>
      <c r="DX203" s="16" t="n">
        <v>0</v>
      </c>
      <c r="DY203" s="16" t="n">
        <v>0</v>
      </c>
      <c r="DZ203" s="16" t="n">
        <v>0</v>
      </c>
      <c r="EA203" s="16" t="n">
        <v>0</v>
      </c>
      <c r="EB203" s="16" t="n">
        <v>0</v>
      </c>
      <c r="EC203" s="16" t="n">
        <v>0</v>
      </c>
      <c r="ED203" s="16" t="n">
        <v>0</v>
      </c>
      <c r="EE203" s="16" t="n">
        <v>0</v>
      </c>
      <c r="EF203" s="16" t="n">
        <v>0</v>
      </c>
    </row>
    <row r="204" customFormat="false" ht="15" hidden="false" customHeight="true" outlineLevel="0" collapsed="false">
      <c r="A204" s="9" t="s">
        <v>12</v>
      </c>
      <c r="B204" s="9" t="s">
        <v>17</v>
      </c>
      <c r="C204" s="9" t="s">
        <v>17</v>
      </c>
      <c r="D204" s="9" t="s">
        <v>336</v>
      </c>
      <c r="E204" s="9" t="s">
        <v>14</v>
      </c>
      <c r="F204" s="9" t="s">
        <v>40</v>
      </c>
      <c r="G204" s="16" t="n">
        <v>0</v>
      </c>
      <c r="H204" s="16" t="n">
        <v>28</v>
      </c>
      <c r="I204" s="16" t="n">
        <v>0</v>
      </c>
      <c r="J204" s="16" t="n">
        <v>28</v>
      </c>
      <c r="K204" s="16" t="n">
        <v>0</v>
      </c>
      <c r="L204" s="16" t="n">
        <v>0</v>
      </c>
      <c r="M204" s="16" t="n">
        <v>0</v>
      </c>
      <c r="N204" s="16" t="n">
        <v>0</v>
      </c>
      <c r="O204" s="16" t="n">
        <v>0</v>
      </c>
      <c r="P204" s="16" t="n">
        <v>0</v>
      </c>
      <c r="Q204" s="16" t="n">
        <v>0</v>
      </c>
      <c r="R204" s="16" t="n">
        <v>0</v>
      </c>
      <c r="S204" s="16" t="n">
        <v>0</v>
      </c>
      <c r="T204" s="16" t="n">
        <v>0</v>
      </c>
      <c r="U204" s="16" t="n">
        <v>0</v>
      </c>
      <c r="V204" s="16" t="n">
        <v>0</v>
      </c>
      <c r="W204" s="16" t="n">
        <v>0</v>
      </c>
      <c r="X204" s="16" t="n">
        <v>0</v>
      </c>
      <c r="Y204" s="16" t="n">
        <v>0</v>
      </c>
      <c r="Z204" s="16" t="n">
        <v>0</v>
      </c>
      <c r="AA204" s="16" t="n">
        <v>0</v>
      </c>
      <c r="AB204" s="16" t="n">
        <v>0</v>
      </c>
      <c r="AC204" s="16" t="n">
        <v>0</v>
      </c>
      <c r="AD204" s="16" t="n">
        <v>0</v>
      </c>
      <c r="AE204" s="16" t="n">
        <v>0</v>
      </c>
      <c r="AF204" s="16" t="n">
        <v>0</v>
      </c>
      <c r="AG204" s="16" t="n">
        <v>0</v>
      </c>
      <c r="AH204" s="16" t="n">
        <v>0</v>
      </c>
      <c r="AI204" s="16" t="n">
        <v>0</v>
      </c>
      <c r="AJ204" s="16" t="n">
        <v>0</v>
      </c>
      <c r="AK204" s="16" t="n">
        <v>0</v>
      </c>
      <c r="AL204" s="16" t="n">
        <v>0</v>
      </c>
      <c r="AM204" s="16" t="n">
        <v>0</v>
      </c>
      <c r="AN204" s="16" t="n">
        <v>0</v>
      </c>
      <c r="AO204" s="16" t="n">
        <v>0</v>
      </c>
      <c r="AP204" s="16" t="n">
        <v>0</v>
      </c>
      <c r="AQ204" s="16" t="n">
        <v>0</v>
      </c>
      <c r="AR204" s="16" t="n">
        <v>0</v>
      </c>
      <c r="AS204" s="16" t="n">
        <v>0</v>
      </c>
      <c r="AT204" s="16" t="n">
        <v>0</v>
      </c>
      <c r="AU204" s="16" t="n">
        <v>0</v>
      </c>
      <c r="AV204" s="16" t="n">
        <v>0</v>
      </c>
      <c r="AW204" s="16" t="n">
        <v>0</v>
      </c>
      <c r="AX204" s="16" t="n">
        <v>0</v>
      </c>
      <c r="AY204" s="16" t="n">
        <v>0</v>
      </c>
      <c r="AZ204" s="16" t="n">
        <v>0</v>
      </c>
      <c r="BA204" s="16" t="n">
        <v>0</v>
      </c>
      <c r="BB204" s="16" t="n">
        <v>0</v>
      </c>
      <c r="BC204" s="16" t="n">
        <v>0</v>
      </c>
      <c r="BD204" s="16" t="n">
        <v>0</v>
      </c>
      <c r="BE204" s="16" t="n">
        <v>0</v>
      </c>
      <c r="BF204" s="16" t="n">
        <v>0</v>
      </c>
      <c r="BG204" s="16" t="n">
        <v>0</v>
      </c>
      <c r="BH204" s="16" t="n">
        <v>0</v>
      </c>
      <c r="BI204" s="16" t="n">
        <v>0</v>
      </c>
      <c r="BJ204" s="16" t="n">
        <v>0</v>
      </c>
      <c r="BK204" s="16" t="n">
        <v>0</v>
      </c>
      <c r="BL204" s="16" t="n">
        <v>0</v>
      </c>
      <c r="BM204" s="16" t="n">
        <v>0</v>
      </c>
      <c r="BN204" s="16" t="n">
        <v>0</v>
      </c>
      <c r="BO204" s="16" t="n">
        <v>0</v>
      </c>
      <c r="BP204" s="16" t="n">
        <v>0</v>
      </c>
      <c r="BQ204" s="16" t="n">
        <v>0</v>
      </c>
      <c r="BR204" s="16" t="n">
        <v>0</v>
      </c>
      <c r="BS204" s="16" t="n">
        <v>0</v>
      </c>
      <c r="BT204" s="16" t="n">
        <v>0</v>
      </c>
      <c r="BU204" s="16" t="n">
        <v>0</v>
      </c>
      <c r="BV204" s="16" t="n">
        <v>0</v>
      </c>
      <c r="BW204" s="16" t="n">
        <v>0</v>
      </c>
      <c r="BX204" s="16" t="n">
        <v>0</v>
      </c>
      <c r="BY204" s="16" t="n">
        <v>0</v>
      </c>
      <c r="BZ204" s="16" t="n">
        <v>0</v>
      </c>
      <c r="CA204" s="16" t="n">
        <v>0</v>
      </c>
      <c r="CB204" s="16" t="n">
        <v>0</v>
      </c>
      <c r="CC204" s="16" t="n">
        <v>0</v>
      </c>
      <c r="CD204" s="16" t="n">
        <v>0</v>
      </c>
      <c r="CE204" s="16" t="n">
        <v>0</v>
      </c>
      <c r="CF204" s="16" t="n">
        <v>0</v>
      </c>
      <c r="CG204" s="16" t="n">
        <v>0</v>
      </c>
      <c r="CH204" s="16" t="n">
        <v>0</v>
      </c>
      <c r="CI204" s="16" t="n">
        <v>0</v>
      </c>
      <c r="CJ204" s="16" t="n">
        <v>0</v>
      </c>
      <c r="CK204" s="16" t="n">
        <v>0</v>
      </c>
      <c r="CL204" s="16" t="n">
        <v>0</v>
      </c>
      <c r="CM204" s="16" t="n">
        <v>0</v>
      </c>
      <c r="CN204" s="16" t="n">
        <v>0</v>
      </c>
      <c r="CO204" s="16" t="n">
        <v>0</v>
      </c>
      <c r="CP204" s="16" t="n">
        <v>0</v>
      </c>
      <c r="CQ204" s="16" t="n">
        <v>0</v>
      </c>
      <c r="CR204" s="16" t="n">
        <v>0</v>
      </c>
      <c r="CS204" s="16" t="n">
        <v>0</v>
      </c>
      <c r="CT204" s="16" t="n">
        <v>0</v>
      </c>
      <c r="CU204" s="16" t="n">
        <v>0</v>
      </c>
      <c r="CV204" s="16" t="n">
        <v>0</v>
      </c>
      <c r="CW204" s="16" t="n">
        <v>0</v>
      </c>
      <c r="CX204" s="16" t="n">
        <v>0</v>
      </c>
      <c r="CY204" s="16" t="n">
        <v>0</v>
      </c>
      <c r="CZ204" s="16" t="n">
        <v>0</v>
      </c>
      <c r="DA204" s="16" t="n">
        <v>0</v>
      </c>
      <c r="DB204" s="16" t="n">
        <v>0</v>
      </c>
      <c r="DC204" s="16" t="n">
        <v>0</v>
      </c>
      <c r="DD204" s="16" t="n">
        <v>0</v>
      </c>
      <c r="DE204" s="16" t="n">
        <v>0</v>
      </c>
      <c r="DF204" s="16" t="n">
        <v>0</v>
      </c>
      <c r="DG204" s="16" t="n">
        <v>0</v>
      </c>
      <c r="DH204" s="16" t="n">
        <v>0</v>
      </c>
      <c r="DI204" s="16" t="n">
        <v>0</v>
      </c>
      <c r="DJ204" s="16" t="n">
        <v>0</v>
      </c>
      <c r="DK204" s="16" t="n">
        <v>0</v>
      </c>
      <c r="DL204" s="16" t="n">
        <v>0</v>
      </c>
      <c r="DM204" s="16" t="n">
        <v>0</v>
      </c>
      <c r="DN204" s="16" t="n">
        <v>0</v>
      </c>
      <c r="DO204" s="16" t="n">
        <v>0</v>
      </c>
      <c r="DP204" s="16" t="n">
        <v>0</v>
      </c>
      <c r="DQ204" s="16" t="n">
        <v>0</v>
      </c>
      <c r="DR204" s="16" t="n">
        <v>0</v>
      </c>
      <c r="DS204" s="16" t="n">
        <v>0</v>
      </c>
      <c r="DT204" s="16" t="n">
        <v>0</v>
      </c>
      <c r="DU204" s="16" t="n">
        <v>0</v>
      </c>
      <c r="DV204" s="16" t="n">
        <v>0</v>
      </c>
      <c r="DW204" s="16" t="n">
        <v>0</v>
      </c>
      <c r="DX204" s="16" t="n">
        <v>0</v>
      </c>
      <c r="DY204" s="16" t="n">
        <v>0</v>
      </c>
      <c r="DZ204" s="16" t="n">
        <v>0</v>
      </c>
      <c r="EA204" s="16" t="n">
        <v>0</v>
      </c>
      <c r="EB204" s="16" t="n">
        <v>0</v>
      </c>
      <c r="EC204" s="16" t="n">
        <v>0</v>
      </c>
      <c r="ED204" s="16" t="n">
        <v>0</v>
      </c>
      <c r="EE204" s="16" t="n">
        <v>0</v>
      </c>
      <c r="EF204" s="16" t="n">
        <v>0</v>
      </c>
    </row>
    <row r="205" customFormat="false" ht="15" hidden="false" customHeight="true" outlineLevel="0" collapsed="false">
      <c r="A205" s="9" t="s">
        <v>12</v>
      </c>
      <c r="B205" s="9" t="s">
        <v>17</v>
      </c>
      <c r="C205" s="9" t="s">
        <v>17</v>
      </c>
      <c r="D205" s="9" t="s">
        <v>335</v>
      </c>
      <c r="E205" s="9" t="s">
        <v>14</v>
      </c>
      <c r="F205" s="9" t="s">
        <v>46</v>
      </c>
      <c r="G205" s="16" t="n">
        <v>0</v>
      </c>
      <c r="H205" s="16" t="n">
        <v>0</v>
      </c>
      <c r="I205" s="16" t="n">
        <v>466</v>
      </c>
      <c r="J205" s="16" t="n">
        <v>-466</v>
      </c>
      <c r="K205" s="16" t="n">
        <v>0</v>
      </c>
      <c r="L205" s="16" t="n">
        <v>0</v>
      </c>
      <c r="M205" s="16" t="n">
        <v>0</v>
      </c>
      <c r="N205" s="16" t="n">
        <v>0</v>
      </c>
      <c r="O205" s="16" t="n">
        <v>0</v>
      </c>
      <c r="P205" s="16" t="n">
        <v>0</v>
      </c>
      <c r="Q205" s="16" t="n">
        <v>0</v>
      </c>
      <c r="R205" s="16" t="n">
        <v>0</v>
      </c>
      <c r="S205" s="16" t="n">
        <v>0</v>
      </c>
      <c r="T205" s="16" t="n">
        <v>0</v>
      </c>
      <c r="U205" s="16" t="n">
        <v>0</v>
      </c>
      <c r="V205" s="16" t="n">
        <v>0</v>
      </c>
      <c r="W205" s="16" t="n">
        <v>0</v>
      </c>
      <c r="X205" s="16" t="n">
        <v>0</v>
      </c>
      <c r="Y205" s="16" t="n">
        <v>0</v>
      </c>
      <c r="Z205" s="16" t="n">
        <v>0</v>
      </c>
      <c r="AA205" s="16" t="n">
        <v>0</v>
      </c>
      <c r="AB205" s="16" t="n">
        <v>0</v>
      </c>
      <c r="AC205" s="16" t="n">
        <v>0</v>
      </c>
      <c r="AD205" s="16" t="n">
        <v>0</v>
      </c>
      <c r="AE205" s="16" t="n">
        <v>0</v>
      </c>
      <c r="AF205" s="16" t="n">
        <v>0</v>
      </c>
      <c r="AG205" s="16" t="n">
        <v>0</v>
      </c>
      <c r="AH205" s="16" t="n">
        <v>0</v>
      </c>
      <c r="AI205" s="16" t="n">
        <v>0</v>
      </c>
      <c r="AJ205" s="16" t="n">
        <v>2</v>
      </c>
      <c r="AK205" s="16" t="n">
        <v>11</v>
      </c>
      <c r="AL205" s="16" t="n">
        <v>20</v>
      </c>
      <c r="AM205" s="16" t="n">
        <v>23.5</v>
      </c>
      <c r="AN205" s="16" t="n">
        <v>3</v>
      </c>
      <c r="AO205" s="16" t="n">
        <v>5</v>
      </c>
      <c r="AP205" s="16" t="n">
        <v>12</v>
      </c>
      <c r="AQ205" s="16" t="n">
        <v>7</v>
      </c>
      <c r="AR205" s="16" t="n">
        <v>13</v>
      </c>
      <c r="AS205" s="16" t="n">
        <v>8.5</v>
      </c>
      <c r="AT205" s="16" t="n">
        <v>0</v>
      </c>
      <c r="AU205" s="16" t="n">
        <v>0</v>
      </c>
      <c r="AV205" s="16" t="n">
        <v>0</v>
      </c>
      <c r="AW205" s="16" t="n">
        <v>0</v>
      </c>
      <c r="AX205" s="16" t="n">
        <v>0</v>
      </c>
      <c r="AY205" s="16" t="n">
        <v>0</v>
      </c>
      <c r="AZ205" s="16" t="n">
        <v>0</v>
      </c>
      <c r="BA205" s="16" t="n">
        <v>0</v>
      </c>
      <c r="BB205" s="16" t="n">
        <v>0</v>
      </c>
      <c r="BC205" s="16" t="n">
        <v>0</v>
      </c>
      <c r="BD205" s="16" t="n">
        <v>0</v>
      </c>
      <c r="BE205" s="16" t="n">
        <v>0</v>
      </c>
      <c r="BF205" s="16" t="n">
        <v>0</v>
      </c>
      <c r="BG205" s="16" t="n">
        <v>0</v>
      </c>
      <c r="BH205" s="16" t="n">
        <v>0</v>
      </c>
      <c r="BI205" s="16" t="n">
        <v>0</v>
      </c>
      <c r="BJ205" s="16" t="n">
        <v>0</v>
      </c>
      <c r="BK205" s="16" t="n">
        <v>0</v>
      </c>
      <c r="BL205" s="16" t="n">
        <v>0</v>
      </c>
      <c r="BM205" s="16" t="n">
        <v>0</v>
      </c>
      <c r="BN205" s="16" t="n">
        <v>0</v>
      </c>
      <c r="BO205" s="16" t="n">
        <v>0</v>
      </c>
      <c r="BP205" s="16" t="n">
        <v>0</v>
      </c>
      <c r="BQ205" s="16" t="n">
        <v>0</v>
      </c>
      <c r="BR205" s="16" t="n">
        <v>0</v>
      </c>
      <c r="BS205" s="16" t="n">
        <v>0</v>
      </c>
      <c r="BT205" s="16" t="n">
        <v>0</v>
      </c>
      <c r="BU205" s="16" t="n">
        <v>0</v>
      </c>
      <c r="BV205" s="16" t="n">
        <v>0</v>
      </c>
      <c r="BW205" s="16" t="n">
        <v>0</v>
      </c>
      <c r="BX205" s="16" t="n">
        <v>0</v>
      </c>
      <c r="BY205" s="16" t="n">
        <v>0</v>
      </c>
      <c r="BZ205" s="16" t="n">
        <v>0</v>
      </c>
      <c r="CA205" s="16" t="n">
        <v>0</v>
      </c>
      <c r="CB205" s="16" t="n">
        <v>0</v>
      </c>
      <c r="CC205" s="16" t="n">
        <v>0</v>
      </c>
      <c r="CD205" s="16" t="n">
        <v>0</v>
      </c>
      <c r="CE205" s="16" t="n">
        <v>0</v>
      </c>
      <c r="CF205" s="16" t="n">
        <v>0</v>
      </c>
      <c r="CG205" s="16" t="n">
        <v>0</v>
      </c>
      <c r="CH205" s="16" t="n">
        <v>0</v>
      </c>
      <c r="CI205" s="16" t="n">
        <v>0</v>
      </c>
      <c r="CJ205" s="16" t="n">
        <v>0</v>
      </c>
      <c r="CK205" s="16" t="n">
        <v>0</v>
      </c>
      <c r="CL205" s="16" t="n">
        <v>0</v>
      </c>
      <c r="CM205" s="16" t="n">
        <v>0</v>
      </c>
      <c r="CN205" s="16" t="n">
        <v>0</v>
      </c>
      <c r="CO205" s="16" t="n">
        <v>0</v>
      </c>
      <c r="CP205" s="16" t="n">
        <v>0</v>
      </c>
      <c r="CQ205" s="16" t="n">
        <v>0</v>
      </c>
      <c r="CR205" s="16" t="n">
        <v>0</v>
      </c>
      <c r="CS205" s="16" t="n">
        <v>8.5</v>
      </c>
      <c r="CT205" s="16" t="n">
        <v>3</v>
      </c>
      <c r="CU205" s="16" t="n">
        <v>5</v>
      </c>
      <c r="CV205" s="16" t="n">
        <v>3</v>
      </c>
      <c r="CW205" s="16" t="n">
        <v>3</v>
      </c>
      <c r="CX205" s="16" t="n">
        <v>3</v>
      </c>
      <c r="CY205" s="16" t="n">
        <v>3</v>
      </c>
      <c r="CZ205" s="16" t="n">
        <v>3</v>
      </c>
      <c r="DA205" s="16" t="n">
        <v>3</v>
      </c>
      <c r="DB205" s="16" t="n">
        <v>12</v>
      </c>
      <c r="DC205" s="16" t="n">
        <v>12</v>
      </c>
      <c r="DD205" s="16" t="n">
        <v>7</v>
      </c>
      <c r="DE205" s="16" t="n">
        <v>8</v>
      </c>
      <c r="DF205" s="16" t="n">
        <v>3</v>
      </c>
      <c r="DG205" s="16" t="n">
        <v>15</v>
      </c>
      <c r="DH205" s="16" t="n">
        <v>15</v>
      </c>
      <c r="DI205" s="16" t="n">
        <v>0</v>
      </c>
      <c r="DJ205" s="16" t="n">
        <v>0</v>
      </c>
      <c r="DK205" s="16" t="n">
        <v>3</v>
      </c>
      <c r="DL205" s="16" t="n">
        <v>31.5</v>
      </c>
      <c r="DM205" s="16" t="n">
        <v>22</v>
      </c>
      <c r="DN205" s="16" t="n">
        <v>45</v>
      </c>
      <c r="DO205" s="16" t="n">
        <v>40</v>
      </c>
      <c r="DP205" s="16" t="n">
        <v>37.5</v>
      </c>
      <c r="DQ205" s="16" t="n">
        <v>57</v>
      </c>
      <c r="DR205" s="16" t="n">
        <v>18</v>
      </c>
      <c r="DS205" s="16" t="n">
        <v>3</v>
      </c>
      <c r="DT205" s="16" t="n">
        <v>3</v>
      </c>
      <c r="DU205" s="16" t="n">
        <v>3</v>
      </c>
      <c r="DV205" s="16" t="n">
        <v>0</v>
      </c>
      <c r="DW205" s="16" t="n">
        <v>0</v>
      </c>
      <c r="DX205" s="16" t="n">
        <v>0</v>
      </c>
      <c r="DY205" s="16" t="n">
        <v>0</v>
      </c>
      <c r="DZ205" s="16" t="n">
        <v>0</v>
      </c>
      <c r="EA205" s="16" t="n">
        <v>0</v>
      </c>
      <c r="EB205" s="16" t="n">
        <v>0</v>
      </c>
      <c r="EC205" s="16" t="n">
        <v>0</v>
      </c>
      <c r="ED205" s="16" t="n">
        <v>0</v>
      </c>
      <c r="EE205" s="16" t="n">
        <v>0</v>
      </c>
      <c r="EF205" s="16" t="n">
        <v>0</v>
      </c>
    </row>
    <row r="206" customFormat="false" ht="15" hidden="false" customHeight="true" outlineLevel="0" collapsed="false">
      <c r="A206" s="9" t="s">
        <v>12</v>
      </c>
      <c r="B206" s="9" t="s">
        <v>17</v>
      </c>
      <c r="C206" s="9" t="s">
        <v>17</v>
      </c>
      <c r="D206" s="9" t="s">
        <v>336</v>
      </c>
      <c r="E206" s="9" t="s">
        <v>14</v>
      </c>
      <c r="F206" s="9" t="s">
        <v>46</v>
      </c>
      <c r="G206" s="16" t="n">
        <v>223</v>
      </c>
      <c r="H206" s="16" t="n">
        <v>590</v>
      </c>
      <c r="I206" s="16" t="n">
        <v>171</v>
      </c>
      <c r="J206" s="16" t="n">
        <v>419</v>
      </c>
      <c r="K206" s="16" t="n">
        <v>0</v>
      </c>
      <c r="L206" s="16" t="n">
        <v>0</v>
      </c>
      <c r="M206" s="16" t="n">
        <v>0</v>
      </c>
      <c r="N206" s="16" t="n">
        <v>0</v>
      </c>
      <c r="O206" s="16" t="n">
        <v>0</v>
      </c>
      <c r="P206" s="16" t="n">
        <v>0</v>
      </c>
      <c r="Q206" s="16" t="n">
        <v>0</v>
      </c>
      <c r="R206" s="16" t="n">
        <v>0</v>
      </c>
      <c r="S206" s="16" t="n">
        <v>0</v>
      </c>
      <c r="T206" s="16" t="n">
        <v>0</v>
      </c>
      <c r="U206" s="16" t="n">
        <v>0</v>
      </c>
      <c r="V206" s="16" t="n">
        <v>0</v>
      </c>
      <c r="W206" s="16" t="n">
        <v>0</v>
      </c>
      <c r="X206" s="16" t="n">
        <v>0</v>
      </c>
      <c r="Y206" s="16" t="n">
        <v>0</v>
      </c>
      <c r="Z206" s="16" t="n">
        <v>0</v>
      </c>
      <c r="AA206" s="16" t="n">
        <v>0</v>
      </c>
      <c r="AB206" s="16" t="n">
        <v>1</v>
      </c>
      <c r="AC206" s="16" t="n">
        <v>16.5</v>
      </c>
      <c r="AD206" s="16" t="n">
        <v>24.5</v>
      </c>
      <c r="AE206" s="16" t="n">
        <v>16</v>
      </c>
      <c r="AF206" s="16" t="n">
        <v>19</v>
      </c>
      <c r="AG206" s="16" t="n">
        <v>18</v>
      </c>
      <c r="AH206" s="16" t="n">
        <v>32</v>
      </c>
      <c r="AI206" s="16" t="n">
        <v>32</v>
      </c>
      <c r="AJ206" s="16" t="n">
        <v>12</v>
      </c>
      <c r="AK206" s="16" t="n">
        <v>0</v>
      </c>
      <c r="AL206" s="16" t="n">
        <v>0</v>
      </c>
      <c r="AM206" s="16" t="n">
        <v>0</v>
      </c>
      <c r="AN206" s="16" t="n">
        <v>0</v>
      </c>
      <c r="AO206" s="16" t="n">
        <v>0</v>
      </c>
      <c r="AP206" s="16" t="n">
        <v>0</v>
      </c>
      <c r="AQ206" s="16" t="n">
        <v>0</v>
      </c>
      <c r="AR206" s="16" t="n">
        <v>0</v>
      </c>
      <c r="AS206" s="16" t="n">
        <v>0</v>
      </c>
      <c r="AT206" s="16" t="n">
        <v>0</v>
      </c>
      <c r="AU206" s="16" t="n">
        <v>0</v>
      </c>
      <c r="AV206" s="16" t="n">
        <v>0</v>
      </c>
      <c r="AW206" s="16" t="n">
        <v>0</v>
      </c>
      <c r="AX206" s="16" t="n">
        <v>0</v>
      </c>
      <c r="AY206" s="16" t="n">
        <v>0</v>
      </c>
      <c r="AZ206" s="16" t="n">
        <v>0</v>
      </c>
      <c r="BA206" s="16" t="n">
        <v>0</v>
      </c>
      <c r="BB206" s="16" t="n">
        <v>0</v>
      </c>
      <c r="BC206" s="16" t="n">
        <v>0</v>
      </c>
      <c r="BD206" s="16" t="n">
        <v>0</v>
      </c>
      <c r="BE206" s="16" t="n">
        <v>0</v>
      </c>
      <c r="BF206" s="16" t="n">
        <v>0</v>
      </c>
      <c r="BG206" s="16" t="n">
        <v>0</v>
      </c>
      <c r="BH206" s="16" t="n">
        <v>0</v>
      </c>
      <c r="BI206" s="16" t="n">
        <v>0</v>
      </c>
      <c r="BJ206" s="16" t="n">
        <v>0</v>
      </c>
      <c r="BK206" s="16" t="n">
        <v>0</v>
      </c>
      <c r="BL206" s="16" t="n">
        <v>0</v>
      </c>
      <c r="BM206" s="16" t="n">
        <v>0</v>
      </c>
      <c r="BN206" s="16" t="n">
        <v>0</v>
      </c>
      <c r="BO206" s="16" t="n">
        <v>0</v>
      </c>
      <c r="BP206" s="16" t="n">
        <v>0</v>
      </c>
      <c r="BQ206" s="16" t="n">
        <v>0</v>
      </c>
      <c r="BR206" s="16" t="n">
        <v>0</v>
      </c>
      <c r="BS206" s="16" t="n">
        <v>0</v>
      </c>
      <c r="BT206" s="16" t="n">
        <v>0</v>
      </c>
      <c r="BU206" s="16" t="n">
        <v>0</v>
      </c>
      <c r="BV206" s="16" t="n">
        <v>0</v>
      </c>
      <c r="BW206" s="16" t="n">
        <v>0</v>
      </c>
      <c r="BX206" s="16" t="n">
        <v>0</v>
      </c>
      <c r="BY206" s="16" t="n">
        <v>0</v>
      </c>
      <c r="BZ206" s="16" t="n">
        <v>0</v>
      </c>
      <c r="CA206" s="16" t="n">
        <v>0</v>
      </c>
      <c r="CB206" s="16" t="n">
        <v>0</v>
      </c>
      <c r="CC206" s="16" t="n">
        <v>0</v>
      </c>
      <c r="CD206" s="16" t="n">
        <v>0</v>
      </c>
      <c r="CE206" s="16" t="n">
        <v>0</v>
      </c>
      <c r="CF206" s="16" t="n">
        <v>0</v>
      </c>
      <c r="CG206" s="16" t="n">
        <v>0</v>
      </c>
      <c r="CH206" s="16" t="n">
        <v>0</v>
      </c>
      <c r="CI206" s="16" t="n">
        <v>0</v>
      </c>
      <c r="CJ206" s="16" t="n">
        <v>0</v>
      </c>
      <c r="CK206" s="16" t="n">
        <v>0</v>
      </c>
      <c r="CL206" s="16" t="n">
        <v>0</v>
      </c>
      <c r="CM206" s="16" t="n">
        <v>0</v>
      </c>
      <c r="CN206" s="16" t="n">
        <v>0</v>
      </c>
      <c r="CO206" s="16" t="n">
        <v>0</v>
      </c>
      <c r="CP206" s="16" t="n">
        <v>0</v>
      </c>
      <c r="CQ206" s="16" t="n">
        <v>0</v>
      </c>
      <c r="CR206" s="16" t="n">
        <v>0</v>
      </c>
      <c r="CS206" s="16" t="n">
        <v>0</v>
      </c>
      <c r="CT206" s="16" t="n">
        <v>0</v>
      </c>
      <c r="CU206" s="16" t="n">
        <v>0</v>
      </c>
      <c r="CV206" s="16" t="n">
        <v>0</v>
      </c>
      <c r="CW206" s="16" t="n">
        <v>0</v>
      </c>
      <c r="CX206" s="16" t="n">
        <v>0</v>
      </c>
      <c r="CY206" s="16" t="n">
        <v>0</v>
      </c>
      <c r="CZ206" s="16" t="n">
        <v>0</v>
      </c>
      <c r="DA206" s="16" t="n">
        <v>0</v>
      </c>
      <c r="DB206" s="16" t="n">
        <v>0</v>
      </c>
      <c r="DC206" s="16" t="n">
        <v>0</v>
      </c>
      <c r="DD206" s="16" t="n">
        <v>0</v>
      </c>
      <c r="DE206" s="16" t="n">
        <v>0</v>
      </c>
      <c r="DF206" s="16" t="n">
        <v>0</v>
      </c>
      <c r="DG206" s="16" t="n">
        <v>0</v>
      </c>
      <c r="DH206" s="16" t="n">
        <v>0</v>
      </c>
      <c r="DI206" s="16" t="n">
        <v>0</v>
      </c>
      <c r="DJ206" s="16" t="n">
        <v>0</v>
      </c>
      <c r="DK206" s="16" t="n">
        <v>0</v>
      </c>
      <c r="DL206" s="16" t="n">
        <v>0</v>
      </c>
      <c r="DM206" s="16" t="n">
        <v>0</v>
      </c>
      <c r="DN206" s="16" t="n">
        <v>0</v>
      </c>
      <c r="DO206" s="16" t="n">
        <v>0</v>
      </c>
      <c r="DP206" s="16" t="n">
        <v>0</v>
      </c>
      <c r="DQ206" s="16" t="n">
        <v>0</v>
      </c>
      <c r="DR206" s="16" t="n">
        <v>0</v>
      </c>
      <c r="DS206" s="16" t="n">
        <v>0</v>
      </c>
      <c r="DT206" s="16" t="n">
        <v>0</v>
      </c>
      <c r="DU206" s="16" t="n">
        <v>0</v>
      </c>
      <c r="DV206" s="16" t="n">
        <v>0</v>
      </c>
      <c r="DW206" s="16" t="n">
        <v>0</v>
      </c>
      <c r="DX206" s="16" t="n">
        <v>0</v>
      </c>
      <c r="DY206" s="16" t="n">
        <v>0</v>
      </c>
      <c r="DZ206" s="16" t="n">
        <v>0</v>
      </c>
      <c r="EA206" s="16" t="n">
        <v>0</v>
      </c>
      <c r="EB206" s="16" t="n">
        <v>0</v>
      </c>
      <c r="EC206" s="16" t="n">
        <v>0</v>
      </c>
      <c r="ED206" s="16" t="n">
        <v>0</v>
      </c>
      <c r="EE206" s="16" t="n">
        <v>0</v>
      </c>
      <c r="EF206" s="16" t="n">
        <v>0</v>
      </c>
    </row>
    <row r="207" customFormat="false" ht="15" hidden="false" customHeight="true" outlineLevel="0" collapsed="false">
      <c r="A207" s="9" t="s">
        <v>12</v>
      </c>
      <c r="B207" s="9" t="s">
        <v>17</v>
      </c>
      <c r="C207" s="9" t="s">
        <v>17</v>
      </c>
      <c r="D207" s="9" t="s">
        <v>336</v>
      </c>
      <c r="E207" s="9" t="s">
        <v>14</v>
      </c>
      <c r="F207" s="9" t="s">
        <v>86</v>
      </c>
      <c r="G207" s="16" t="n">
        <v>0</v>
      </c>
      <c r="H207" s="16" t="n">
        <v>0</v>
      </c>
      <c r="I207" s="16" t="n">
        <v>98</v>
      </c>
      <c r="J207" s="16" t="n">
        <v>-98</v>
      </c>
      <c r="K207" s="16" t="n">
        <v>0</v>
      </c>
      <c r="L207" s="16" t="n">
        <v>0</v>
      </c>
      <c r="M207" s="16" t="n">
        <v>0</v>
      </c>
      <c r="N207" s="16" t="n">
        <v>0</v>
      </c>
      <c r="O207" s="16" t="n">
        <v>0</v>
      </c>
      <c r="P207" s="16" t="n">
        <v>0</v>
      </c>
      <c r="Q207" s="16" t="n">
        <v>0</v>
      </c>
      <c r="R207" s="16" t="n">
        <v>0</v>
      </c>
      <c r="S207" s="16" t="n">
        <v>0</v>
      </c>
      <c r="T207" s="16" t="n">
        <v>0</v>
      </c>
      <c r="U207" s="16" t="n">
        <v>0</v>
      </c>
      <c r="V207" s="16" t="n">
        <v>0</v>
      </c>
      <c r="W207" s="16" t="n">
        <v>8</v>
      </c>
      <c r="X207" s="16" t="n">
        <v>0</v>
      </c>
      <c r="Y207" s="16" t="n">
        <v>5</v>
      </c>
      <c r="Z207" s="16" t="n">
        <v>46</v>
      </c>
      <c r="AA207" s="16" t="n">
        <v>39</v>
      </c>
      <c r="AB207" s="16" t="n">
        <v>0</v>
      </c>
      <c r="AC207" s="16" t="n">
        <v>0</v>
      </c>
      <c r="AD207" s="16" t="n">
        <v>0</v>
      </c>
      <c r="AE207" s="16" t="n">
        <v>0</v>
      </c>
      <c r="AF207" s="16" t="n">
        <v>0</v>
      </c>
      <c r="AG207" s="16" t="n">
        <v>0</v>
      </c>
      <c r="AH207" s="16" t="n">
        <v>0</v>
      </c>
      <c r="AI207" s="16" t="n">
        <v>0</v>
      </c>
      <c r="AJ207" s="16" t="n">
        <v>0</v>
      </c>
      <c r="AK207" s="16" t="n">
        <v>0</v>
      </c>
      <c r="AL207" s="16" t="n">
        <v>0</v>
      </c>
      <c r="AM207" s="16" t="n">
        <v>0</v>
      </c>
      <c r="AN207" s="16" t="n">
        <v>0</v>
      </c>
      <c r="AO207" s="16" t="n">
        <v>0</v>
      </c>
      <c r="AP207" s="16" t="n">
        <v>0</v>
      </c>
      <c r="AQ207" s="16" t="n">
        <v>0</v>
      </c>
      <c r="AR207" s="16" t="n">
        <v>0</v>
      </c>
      <c r="AS207" s="16" t="n">
        <v>0</v>
      </c>
      <c r="AT207" s="16" t="n">
        <v>0</v>
      </c>
      <c r="AU207" s="16" t="n">
        <v>0</v>
      </c>
      <c r="AV207" s="16" t="n">
        <v>0</v>
      </c>
      <c r="AW207" s="16" t="n">
        <v>0</v>
      </c>
      <c r="AX207" s="16" t="n">
        <v>0</v>
      </c>
      <c r="AY207" s="16" t="n">
        <v>0</v>
      </c>
      <c r="AZ207" s="16" t="n">
        <v>0</v>
      </c>
      <c r="BA207" s="16" t="n">
        <v>0</v>
      </c>
      <c r="BB207" s="16" t="n">
        <v>0</v>
      </c>
      <c r="BC207" s="16" t="n">
        <v>0</v>
      </c>
      <c r="BD207" s="16" t="n">
        <v>0</v>
      </c>
      <c r="BE207" s="16" t="n">
        <v>0</v>
      </c>
      <c r="BF207" s="16" t="n">
        <v>0</v>
      </c>
      <c r="BG207" s="16" t="n">
        <v>0</v>
      </c>
      <c r="BH207" s="16" t="n">
        <v>0</v>
      </c>
      <c r="BI207" s="16" t="n">
        <v>0</v>
      </c>
      <c r="BJ207" s="16" t="n">
        <v>0</v>
      </c>
      <c r="BK207" s="16" t="n">
        <v>0</v>
      </c>
      <c r="BL207" s="16" t="n">
        <v>0</v>
      </c>
      <c r="BM207" s="16" t="n">
        <v>0</v>
      </c>
      <c r="BN207" s="16" t="n">
        <v>0</v>
      </c>
      <c r="BO207" s="16" t="n">
        <v>0</v>
      </c>
      <c r="BP207" s="16" t="n">
        <v>0</v>
      </c>
      <c r="BQ207" s="16" t="n">
        <v>0</v>
      </c>
      <c r="BR207" s="16" t="n">
        <v>0</v>
      </c>
      <c r="BS207" s="16" t="n">
        <v>0</v>
      </c>
      <c r="BT207" s="16" t="n">
        <v>0</v>
      </c>
      <c r="BU207" s="16" t="n">
        <v>0</v>
      </c>
      <c r="BV207" s="16" t="n">
        <v>0</v>
      </c>
      <c r="BW207" s="16" t="n">
        <v>0</v>
      </c>
      <c r="BX207" s="16" t="n">
        <v>0</v>
      </c>
      <c r="BY207" s="16" t="n">
        <v>0</v>
      </c>
      <c r="BZ207" s="16" t="n">
        <v>0</v>
      </c>
      <c r="CA207" s="16" t="n">
        <v>0</v>
      </c>
      <c r="CB207" s="16" t="n">
        <v>0</v>
      </c>
      <c r="CC207" s="16" t="n">
        <v>0</v>
      </c>
      <c r="CD207" s="16" t="n">
        <v>0</v>
      </c>
      <c r="CE207" s="16" t="n">
        <v>0</v>
      </c>
      <c r="CF207" s="16" t="n">
        <v>0</v>
      </c>
      <c r="CG207" s="16" t="n">
        <v>0</v>
      </c>
      <c r="CH207" s="16" t="n">
        <v>0</v>
      </c>
      <c r="CI207" s="16" t="n">
        <v>0</v>
      </c>
      <c r="CJ207" s="16" t="n">
        <v>0</v>
      </c>
      <c r="CK207" s="16" t="n">
        <v>0</v>
      </c>
      <c r="CL207" s="16" t="n">
        <v>0</v>
      </c>
      <c r="CM207" s="16" t="n">
        <v>0</v>
      </c>
      <c r="CN207" s="16" t="n">
        <v>0</v>
      </c>
      <c r="CO207" s="16" t="n">
        <v>0</v>
      </c>
      <c r="CP207" s="16" t="n">
        <v>0</v>
      </c>
      <c r="CQ207" s="16" t="n">
        <v>0</v>
      </c>
      <c r="CR207" s="16" t="n">
        <v>0</v>
      </c>
      <c r="CS207" s="16" t="n">
        <v>0</v>
      </c>
      <c r="CT207" s="16" t="n">
        <v>0</v>
      </c>
      <c r="CU207" s="16" t="n">
        <v>0</v>
      </c>
      <c r="CV207" s="16" t="n">
        <v>0</v>
      </c>
      <c r="CW207" s="16" t="n">
        <v>0</v>
      </c>
      <c r="CX207" s="16" t="n">
        <v>0</v>
      </c>
      <c r="CY207" s="16" t="n">
        <v>0</v>
      </c>
      <c r="CZ207" s="16" t="n">
        <v>0</v>
      </c>
      <c r="DA207" s="16" t="n">
        <v>0</v>
      </c>
      <c r="DB207" s="16" t="n">
        <v>0</v>
      </c>
      <c r="DC207" s="16" t="n">
        <v>0</v>
      </c>
      <c r="DD207" s="16" t="n">
        <v>0</v>
      </c>
      <c r="DE207" s="16" t="n">
        <v>0</v>
      </c>
      <c r="DF207" s="16" t="n">
        <v>0</v>
      </c>
      <c r="DG207" s="16" t="n">
        <v>0</v>
      </c>
      <c r="DH207" s="16" t="n">
        <v>0</v>
      </c>
      <c r="DI207" s="16" t="n">
        <v>0</v>
      </c>
      <c r="DJ207" s="16" t="n">
        <v>0</v>
      </c>
      <c r="DK207" s="16" t="n">
        <v>0</v>
      </c>
      <c r="DL207" s="16" t="n">
        <v>0</v>
      </c>
      <c r="DM207" s="16" t="n">
        <v>0</v>
      </c>
      <c r="DN207" s="16" t="n">
        <v>0</v>
      </c>
      <c r="DO207" s="16" t="n">
        <v>0</v>
      </c>
      <c r="DP207" s="16" t="n">
        <v>0</v>
      </c>
      <c r="DQ207" s="16" t="n">
        <v>0</v>
      </c>
      <c r="DR207" s="16" t="n">
        <v>0</v>
      </c>
      <c r="DS207" s="16" t="n">
        <v>0</v>
      </c>
      <c r="DT207" s="16" t="n">
        <v>0</v>
      </c>
      <c r="DU207" s="16" t="n">
        <v>0</v>
      </c>
      <c r="DV207" s="16" t="n">
        <v>0</v>
      </c>
      <c r="DW207" s="16" t="n">
        <v>0</v>
      </c>
      <c r="DX207" s="16" t="n">
        <v>0</v>
      </c>
      <c r="DY207" s="16" t="n">
        <v>0</v>
      </c>
      <c r="DZ207" s="16" t="n">
        <v>0</v>
      </c>
      <c r="EA207" s="16" t="n">
        <v>0</v>
      </c>
      <c r="EB207" s="16" t="n">
        <v>0</v>
      </c>
      <c r="EC207" s="16" t="n">
        <v>0</v>
      </c>
      <c r="ED207" s="16" t="n">
        <v>0</v>
      </c>
      <c r="EE207" s="16" t="n">
        <v>0</v>
      </c>
      <c r="EF207" s="16" t="n">
        <v>0</v>
      </c>
    </row>
    <row r="208" customFormat="false" ht="15" hidden="false" customHeight="true" outlineLevel="0" collapsed="false">
      <c r="A208" s="9" t="s">
        <v>12</v>
      </c>
      <c r="B208" s="9" t="s">
        <v>17</v>
      </c>
      <c r="C208" s="9" t="s">
        <v>17</v>
      </c>
      <c r="D208" s="9" t="s">
        <v>335</v>
      </c>
      <c r="E208" s="9" t="s">
        <v>14</v>
      </c>
      <c r="F208" s="9" t="s">
        <v>87</v>
      </c>
      <c r="G208" s="16" t="n">
        <v>0</v>
      </c>
      <c r="H208" s="16" t="n">
        <v>0</v>
      </c>
      <c r="I208" s="16" t="n">
        <v>86</v>
      </c>
      <c r="J208" s="16" t="n">
        <v>-86</v>
      </c>
      <c r="K208" s="16" t="n">
        <v>0</v>
      </c>
      <c r="L208" s="16" t="n">
        <v>0</v>
      </c>
      <c r="M208" s="16" t="n">
        <v>0</v>
      </c>
      <c r="N208" s="16" t="n">
        <v>0</v>
      </c>
      <c r="O208" s="16" t="n">
        <v>0</v>
      </c>
      <c r="P208" s="16" t="n">
        <v>0</v>
      </c>
      <c r="Q208" s="16" t="n">
        <v>0</v>
      </c>
      <c r="R208" s="16" t="n">
        <v>0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0</v>
      </c>
      <c r="X208" s="16" t="n">
        <v>0</v>
      </c>
      <c r="Y208" s="16" t="n">
        <v>0</v>
      </c>
      <c r="Z208" s="16" t="n">
        <v>0</v>
      </c>
      <c r="AA208" s="16" t="n">
        <v>0</v>
      </c>
      <c r="AB208" s="16" t="n">
        <v>0</v>
      </c>
      <c r="AC208" s="16" t="n">
        <v>0</v>
      </c>
      <c r="AD208" s="16" t="n">
        <v>0</v>
      </c>
      <c r="AE208" s="16" t="n">
        <v>0</v>
      </c>
      <c r="AF208" s="16" t="n">
        <v>0</v>
      </c>
      <c r="AG208" s="16" t="n">
        <v>0</v>
      </c>
      <c r="AH208" s="16" t="n">
        <v>0</v>
      </c>
      <c r="AI208" s="16" t="n">
        <v>0</v>
      </c>
      <c r="AJ208" s="16" t="n">
        <v>0</v>
      </c>
      <c r="AK208" s="16" t="n">
        <v>0</v>
      </c>
      <c r="AL208" s="16" t="n">
        <v>3</v>
      </c>
      <c r="AM208" s="16" t="n">
        <v>46</v>
      </c>
      <c r="AN208" s="16" t="n">
        <v>29</v>
      </c>
      <c r="AO208" s="16" t="n">
        <v>8</v>
      </c>
      <c r="AP208" s="16" t="n">
        <v>0</v>
      </c>
      <c r="AQ208" s="16" t="n">
        <v>0</v>
      </c>
      <c r="AR208" s="16" t="n">
        <v>0</v>
      </c>
      <c r="AS208" s="16" t="n">
        <v>0</v>
      </c>
      <c r="AT208" s="16" t="n">
        <v>0</v>
      </c>
      <c r="AU208" s="16" t="n">
        <v>0</v>
      </c>
      <c r="AV208" s="16" t="n">
        <v>0</v>
      </c>
      <c r="AW208" s="16" t="n">
        <v>0</v>
      </c>
      <c r="AX208" s="16" t="n">
        <v>0</v>
      </c>
      <c r="AY208" s="16" t="n">
        <v>0</v>
      </c>
      <c r="AZ208" s="16" t="n">
        <v>0</v>
      </c>
      <c r="BA208" s="16" t="n">
        <v>0</v>
      </c>
      <c r="BB208" s="16" t="n">
        <v>0</v>
      </c>
      <c r="BC208" s="16" t="n">
        <v>0</v>
      </c>
      <c r="BD208" s="16" t="n">
        <v>0</v>
      </c>
      <c r="BE208" s="16" t="n">
        <v>0</v>
      </c>
      <c r="BF208" s="16" t="n">
        <v>0</v>
      </c>
      <c r="BG208" s="16" t="n">
        <v>0</v>
      </c>
      <c r="BH208" s="16" t="n">
        <v>0</v>
      </c>
      <c r="BI208" s="16" t="n">
        <v>0</v>
      </c>
      <c r="BJ208" s="16" t="n">
        <v>0</v>
      </c>
      <c r="BK208" s="16" t="n">
        <v>0</v>
      </c>
      <c r="BL208" s="16" t="n">
        <v>0</v>
      </c>
      <c r="BM208" s="16" t="n">
        <v>0</v>
      </c>
      <c r="BN208" s="16" t="n">
        <v>0</v>
      </c>
      <c r="BO208" s="16" t="n">
        <v>0</v>
      </c>
      <c r="BP208" s="16" t="n">
        <v>0</v>
      </c>
      <c r="BQ208" s="16" t="n">
        <v>0</v>
      </c>
      <c r="BR208" s="16" t="n">
        <v>0</v>
      </c>
      <c r="BS208" s="16" t="n">
        <v>0</v>
      </c>
      <c r="BT208" s="16" t="n">
        <v>0</v>
      </c>
      <c r="BU208" s="16" t="n">
        <v>0</v>
      </c>
      <c r="BV208" s="16" t="n">
        <v>0</v>
      </c>
      <c r="BW208" s="16" t="n">
        <v>0</v>
      </c>
      <c r="BX208" s="16" t="n">
        <v>0</v>
      </c>
      <c r="BY208" s="16" t="n">
        <v>0</v>
      </c>
      <c r="BZ208" s="16" t="n">
        <v>0</v>
      </c>
      <c r="CA208" s="16" t="n">
        <v>0</v>
      </c>
      <c r="CB208" s="16" t="n">
        <v>0</v>
      </c>
      <c r="CC208" s="16" t="n">
        <v>0</v>
      </c>
      <c r="CD208" s="16" t="n">
        <v>0</v>
      </c>
      <c r="CE208" s="16" t="n">
        <v>0</v>
      </c>
      <c r="CF208" s="16" t="n">
        <v>0</v>
      </c>
      <c r="CG208" s="16" t="n">
        <v>0</v>
      </c>
      <c r="CH208" s="16" t="n">
        <v>0</v>
      </c>
      <c r="CI208" s="16" t="n">
        <v>0</v>
      </c>
      <c r="CJ208" s="16" t="n">
        <v>0</v>
      </c>
      <c r="CK208" s="16" t="n">
        <v>0</v>
      </c>
      <c r="CL208" s="16" t="n">
        <v>0</v>
      </c>
      <c r="CM208" s="16" t="n">
        <v>0</v>
      </c>
      <c r="CN208" s="16" t="n">
        <v>0</v>
      </c>
      <c r="CO208" s="16" t="n">
        <v>0</v>
      </c>
      <c r="CP208" s="16" t="n">
        <v>0</v>
      </c>
      <c r="CQ208" s="16" t="n">
        <v>0</v>
      </c>
      <c r="CR208" s="16" t="n">
        <v>0</v>
      </c>
      <c r="CS208" s="16" t="n">
        <v>0</v>
      </c>
      <c r="CT208" s="16" t="n">
        <v>0</v>
      </c>
      <c r="CU208" s="16" t="n">
        <v>0</v>
      </c>
      <c r="CV208" s="16" t="n">
        <v>0</v>
      </c>
      <c r="CW208" s="16" t="n">
        <v>0</v>
      </c>
      <c r="CX208" s="16" t="n">
        <v>0</v>
      </c>
      <c r="CY208" s="16" t="n">
        <v>0</v>
      </c>
      <c r="CZ208" s="16" t="n">
        <v>0</v>
      </c>
      <c r="DA208" s="16" t="n">
        <v>0</v>
      </c>
      <c r="DB208" s="16" t="n">
        <v>0</v>
      </c>
      <c r="DC208" s="16" t="n">
        <v>0</v>
      </c>
      <c r="DD208" s="16" t="n">
        <v>0</v>
      </c>
      <c r="DE208" s="16" t="n">
        <v>0</v>
      </c>
      <c r="DF208" s="16" t="n">
        <v>0</v>
      </c>
      <c r="DG208" s="16" t="n">
        <v>0</v>
      </c>
      <c r="DH208" s="16" t="n">
        <v>0</v>
      </c>
      <c r="DI208" s="16" t="n">
        <v>0</v>
      </c>
      <c r="DJ208" s="16" t="n">
        <v>0</v>
      </c>
      <c r="DK208" s="16" t="n">
        <v>0</v>
      </c>
      <c r="DL208" s="16" t="n">
        <v>0</v>
      </c>
      <c r="DM208" s="16" t="n">
        <v>0</v>
      </c>
      <c r="DN208" s="16" t="n">
        <v>0</v>
      </c>
      <c r="DO208" s="16" t="n">
        <v>0</v>
      </c>
      <c r="DP208" s="16" t="n">
        <v>0</v>
      </c>
      <c r="DQ208" s="16" t="n">
        <v>0</v>
      </c>
      <c r="DR208" s="16" t="n">
        <v>0</v>
      </c>
      <c r="DS208" s="16" t="n">
        <v>0</v>
      </c>
      <c r="DT208" s="16" t="n">
        <v>0</v>
      </c>
      <c r="DU208" s="16" t="n">
        <v>0</v>
      </c>
      <c r="DV208" s="16" t="n">
        <v>0</v>
      </c>
      <c r="DW208" s="16" t="n">
        <v>0</v>
      </c>
      <c r="DX208" s="16" t="n">
        <v>0</v>
      </c>
      <c r="DY208" s="16" t="n">
        <v>0</v>
      </c>
      <c r="DZ208" s="16" t="n">
        <v>0</v>
      </c>
      <c r="EA208" s="16" t="n">
        <v>0</v>
      </c>
      <c r="EB208" s="16" t="n">
        <v>0</v>
      </c>
      <c r="EC208" s="16" t="n">
        <v>0</v>
      </c>
      <c r="ED208" s="16" t="n">
        <v>0</v>
      </c>
      <c r="EE208" s="16" t="n">
        <v>0</v>
      </c>
      <c r="EF208" s="16" t="n">
        <v>0</v>
      </c>
    </row>
    <row r="209" customFormat="false" ht="15" hidden="false" customHeight="true" outlineLevel="0" collapsed="false">
      <c r="A209" s="9" t="s">
        <v>12</v>
      </c>
      <c r="B209" s="9" t="s">
        <v>17</v>
      </c>
      <c r="C209" s="9" t="s">
        <v>17</v>
      </c>
      <c r="D209" s="9" t="s">
        <v>336</v>
      </c>
      <c r="E209" s="9" t="s">
        <v>14</v>
      </c>
      <c r="F209" s="9" t="s">
        <v>87</v>
      </c>
      <c r="G209" s="16" t="n">
        <v>60</v>
      </c>
      <c r="H209" s="16" t="n">
        <v>60</v>
      </c>
      <c r="I209" s="16" t="n">
        <v>0</v>
      </c>
      <c r="J209" s="16" t="n">
        <v>60</v>
      </c>
      <c r="K209" s="16" t="n">
        <v>0</v>
      </c>
      <c r="L209" s="16" t="n">
        <v>0</v>
      </c>
      <c r="M209" s="16" t="n">
        <v>0</v>
      </c>
      <c r="N209" s="16" t="n">
        <v>0</v>
      </c>
      <c r="O209" s="16" t="n">
        <v>0</v>
      </c>
      <c r="P209" s="16" t="n">
        <v>0</v>
      </c>
      <c r="Q209" s="16" t="n">
        <v>0</v>
      </c>
      <c r="R209" s="16" t="n">
        <v>0</v>
      </c>
      <c r="S209" s="16" t="n">
        <v>0</v>
      </c>
      <c r="T209" s="16" t="n">
        <v>0</v>
      </c>
      <c r="U209" s="16" t="n">
        <v>0</v>
      </c>
      <c r="V209" s="16" t="n">
        <v>0</v>
      </c>
      <c r="W209" s="16" t="n">
        <v>0</v>
      </c>
      <c r="X209" s="16" t="n">
        <v>0</v>
      </c>
      <c r="Y209" s="16" t="n">
        <v>0</v>
      </c>
      <c r="Z209" s="16" t="n">
        <v>0</v>
      </c>
      <c r="AA209" s="16" t="n">
        <v>0</v>
      </c>
      <c r="AB209" s="16" t="n">
        <v>0</v>
      </c>
      <c r="AC209" s="16" t="n">
        <v>0</v>
      </c>
      <c r="AD209" s="16" t="n">
        <v>0</v>
      </c>
      <c r="AE209" s="16" t="n">
        <v>0</v>
      </c>
      <c r="AF209" s="16" t="n">
        <v>0</v>
      </c>
      <c r="AG209" s="16" t="n">
        <v>0</v>
      </c>
      <c r="AH209" s="16" t="n">
        <v>0</v>
      </c>
      <c r="AI209" s="16" t="n">
        <v>0</v>
      </c>
      <c r="AJ209" s="16" t="n">
        <v>0</v>
      </c>
      <c r="AK209" s="16" t="n">
        <v>0</v>
      </c>
      <c r="AL209" s="16" t="n">
        <v>0</v>
      </c>
      <c r="AM209" s="16" t="n">
        <v>0</v>
      </c>
      <c r="AN209" s="16" t="n">
        <v>0</v>
      </c>
      <c r="AO209" s="16" t="n">
        <v>0</v>
      </c>
      <c r="AP209" s="16" t="n">
        <v>0</v>
      </c>
      <c r="AQ209" s="16" t="n">
        <v>0</v>
      </c>
      <c r="AR209" s="16" t="n">
        <v>0</v>
      </c>
      <c r="AS209" s="16" t="n">
        <v>0</v>
      </c>
      <c r="AT209" s="16" t="n">
        <v>0</v>
      </c>
      <c r="AU209" s="16" t="n">
        <v>0</v>
      </c>
      <c r="AV209" s="16" t="n">
        <v>0</v>
      </c>
      <c r="AW209" s="16" t="n">
        <v>0</v>
      </c>
      <c r="AX209" s="16" t="n">
        <v>0</v>
      </c>
      <c r="AY209" s="16" t="n">
        <v>0</v>
      </c>
      <c r="AZ209" s="16" t="n">
        <v>0</v>
      </c>
      <c r="BA209" s="16" t="n">
        <v>0</v>
      </c>
      <c r="BB209" s="16" t="n">
        <v>0</v>
      </c>
      <c r="BC209" s="16" t="n">
        <v>0</v>
      </c>
      <c r="BD209" s="16" t="n">
        <v>0</v>
      </c>
      <c r="BE209" s="16" t="n">
        <v>0</v>
      </c>
      <c r="BF209" s="16" t="n">
        <v>0</v>
      </c>
      <c r="BG209" s="16" t="n">
        <v>0</v>
      </c>
      <c r="BH209" s="16" t="n">
        <v>0</v>
      </c>
      <c r="BI209" s="16" t="n">
        <v>0</v>
      </c>
      <c r="BJ209" s="16" t="n">
        <v>0</v>
      </c>
      <c r="BK209" s="16" t="n">
        <v>0</v>
      </c>
      <c r="BL209" s="16" t="n">
        <v>0</v>
      </c>
      <c r="BM209" s="16" t="n">
        <v>0</v>
      </c>
      <c r="BN209" s="16" t="n">
        <v>0</v>
      </c>
      <c r="BO209" s="16" t="n">
        <v>0</v>
      </c>
      <c r="BP209" s="16" t="n">
        <v>0</v>
      </c>
      <c r="BQ209" s="16" t="n">
        <v>0</v>
      </c>
      <c r="BR209" s="16" t="n">
        <v>0</v>
      </c>
      <c r="BS209" s="16" t="n">
        <v>0</v>
      </c>
      <c r="BT209" s="16" t="n">
        <v>0</v>
      </c>
      <c r="BU209" s="16" t="n">
        <v>0</v>
      </c>
      <c r="BV209" s="16" t="n">
        <v>0</v>
      </c>
      <c r="BW209" s="16" t="n">
        <v>0</v>
      </c>
      <c r="BX209" s="16" t="n">
        <v>0</v>
      </c>
      <c r="BY209" s="16" t="n">
        <v>0</v>
      </c>
      <c r="BZ209" s="16" t="n">
        <v>0</v>
      </c>
      <c r="CA209" s="16" t="n">
        <v>0</v>
      </c>
      <c r="CB209" s="16" t="n">
        <v>0</v>
      </c>
      <c r="CC209" s="16" t="n">
        <v>0</v>
      </c>
      <c r="CD209" s="16" t="n">
        <v>0</v>
      </c>
      <c r="CE209" s="16" t="n">
        <v>0</v>
      </c>
      <c r="CF209" s="16" t="n">
        <v>0</v>
      </c>
      <c r="CG209" s="16" t="n">
        <v>0</v>
      </c>
      <c r="CH209" s="16" t="n">
        <v>0</v>
      </c>
      <c r="CI209" s="16" t="n">
        <v>0</v>
      </c>
      <c r="CJ209" s="16" t="n">
        <v>0</v>
      </c>
      <c r="CK209" s="16" t="n">
        <v>0</v>
      </c>
      <c r="CL209" s="16" t="n">
        <v>0</v>
      </c>
      <c r="CM209" s="16" t="n">
        <v>0</v>
      </c>
      <c r="CN209" s="16" t="n">
        <v>0</v>
      </c>
      <c r="CO209" s="16" t="n">
        <v>0</v>
      </c>
      <c r="CP209" s="16" t="n">
        <v>0</v>
      </c>
      <c r="CQ209" s="16" t="n">
        <v>0</v>
      </c>
      <c r="CR209" s="16" t="n">
        <v>0</v>
      </c>
      <c r="CS209" s="16" t="n">
        <v>0</v>
      </c>
      <c r="CT209" s="16" t="n">
        <v>0</v>
      </c>
      <c r="CU209" s="16" t="n">
        <v>0</v>
      </c>
      <c r="CV209" s="16" t="n">
        <v>0</v>
      </c>
      <c r="CW209" s="16" t="n">
        <v>0</v>
      </c>
      <c r="CX209" s="16" t="n">
        <v>0</v>
      </c>
      <c r="CY209" s="16" t="n">
        <v>0</v>
      </c>
      <c r="CZ209" s="16" t="n">
        <v>0</v>
      </c>
      <c r="DA209" s="16" t="n">
        <v>0</v>
      </c>
      <c r="DB209" s="16" t="n">
        <v>0</v>
      </c>
      <c r="DC209" s="16" t="n">
        <v>0</v>
      </c>
      <c r="DD209" s="16" t="n">
        <v>0</v>
      </c>
      <c r="DE209" s="16" t="n">
        <v>0</v>
      </c>
      <c r="DF209" s="16" t="n">
        <v>0</v>
      </c>
      <c r="DG209" s="16" t="n">
        <v>0</v>
      </c>
      <c r="DH209" s="16" t="n">
        <v>0</v>
      </c>
      <c r="DI209" s="16" t="n">
        <v>0</v>
      </c>
      <c r="DJ209" s="16" t="n">
        <v>0</v>
      </c>
      <c r="DK209" s="16" t="n">
        <v>0</v>
      </c>
      <c r="DL209" s="16" t="n">
        <v>0</v>
      </c>
      <c r="DM209" s="16" t="n">
        <v>0</v>
      </c>
      <c r="DN209" s="16" t="n">
        <v>0</v>
      </c>
      <c r="DO209" s="16" t="n">
        <v>0</v>
      </c>
      <c r="DP209" s="16" t="n">
        <v>0</v>
      </c>
      <c r="DQ209" s="16" t="n">
        <v>0</v>
      </c>
      <c r="DR209" s="16" t="n">
        <v>0</v>
      </c>
      <c r="DS209" s="16" t="n">
        <v>0</v>
      </c>
      <c r="DT209" s="16" t="n">
        <v>0</v>
      </c>
      <c r="DU209" s="16" t="n">
        <v>0</v>
      </c>
      <c r="DV209" s="16" t="n">
        <v>0</v>
      </c>
      <c r="DW209" s="16" t="n">
        <v>0</v>
      </c>
      <c r="DX209" s="16" t="n">
        <v>0</v>
      </c>
      <c r="DY209" s="16" t="n">
        <v>0</v>
      </c>
      <c r="DZ209" s="16" t="n">
        <v>0</v>
      </c>
      <c r="EA209" s="16" t="n">
        <v>0</v>
      </c>
      <c r="EB209" s="16" t="n">
        <v>0</v>
      </c>
      <c r="EC209" s="16" t="n">
        <v>0</v>
      </c>
      <c r="ED209" s="16" t="n">
        <v>0</v>
      </c>
      <c r="EE209" s="16" t="n">
        <v>0</v>
      </c>
      <c r="EF209" s="16" t="n">
        <v>0</v>
      </c>
    </row>
    <row r="210" customFormat="false" ht="15" hidden="false" customHeight="true" outlineLevel="0" collapsed="false">
      <c r="A210" s="9" t="s">
        <v>12</v>
      </c>
      <c r="B210" s="9" t="s">
        <v>17</v>
      </c>
      <c r="C210" s="9" t="s">
        <v>17</v>
      </c>
      <c r="D210" s="9" t="s">
        <v>335</v>
      </c>
      <c r="E210" s="9" t="s">
        <v>14</v>
      </c>
      <c r="F210" s="9" t="s">
        <v>88</v>
      </c>
      <c r="G210" s="16" t="n">
        <v>0</v>
      </c>
      <c r="H210" s="16" t="n">
        <v>0</v>
      </c>
      <c r="I210" s="16" t="n">
        <v>80</v>
      </c>
      <c r="J210" s="16" t="n">
        <v>-80</v>
      </c>
      <c r="K210" s="16" t="n">
        <v>0</v>
      </c>
      <c r="L210" s="16" t="n">
        <v>0</v>
      </c>
      <c r="M210" s="16" t="n">
        <v>0</v>
      </c>
      <c r="N210" s="16" t="n">
        <v>0</v>
      </c>
      <c r="O210" s="16" t="n">
        <v>0</v>
      </c>
      <c r="P210" s="16" t="n">
        <v>0</v>
      </c>
      <c r="Q210" s="16" t="n">
        <v>0</v>
      </c>
      <c r="R210" s="16" t="n">
        <v>0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0</v>
      </c>
      <c r="X210" s="16" t="n">
        <v>0</v>
      </c>
      <c r="Y210" s="16" t="n">
        <v>0</v>
      </c>
      <c r="Z210" s="16" t="n">
        <v>0</v>
      </c>
      <c r="AA210" s="16" t="n">
        <v>0</v>
      </c>
      <c r="AB210" s="16" t="n">
        <v>0</v>
      </c>
      <c r="AC210" s="16" t="n">
        <v>0</v>
      </c>
      <c r="AD210" s="16" t="n">
        <v>0</v>
      </c>
      <c r="AE210" s="16" t="n">
        <v>0</v>
      </c>
      <c r="AF210" s="16" t="n">
        <v>0</v>
      </c>
      <c r="AG210" s="16" t="n">
        <v>0</v>
      </c>
      <c r="AH210" s="16" t="n">
        <v>0</v>
      </c>
      <c r="AI210" s="16" t="n">
        <v>0</v>
      </c>
      <c r="AJ210" s="16" t="n">
        <v>0</v>
      </c>
      <c r="AK210" s="16" t="n">
        <v>0</v>
      </c>
      <c r="AL210" s="16" t="n">
        <v>0</v>
      </c>
      <c r="AM210" s="16" t="n">
        <v>0</v>
      </c>
      <c r="AN210" s="16" t="n">
        <v>0</v>
      </c>
      <c r="AO210" s="16" t="n">
        <v>0</v>
      </c>
      <c r="AP210" s="16" t="n">
        <v>0</v>
      </c>
      <c r="AQ210" s="16" t="n">
        <v>0</v>
      </c>
      <c r="AR210" s="16" t="n">
        <v>0</v>
      </c>
      <c r="AS210" s="16" t="n">
        <v>0</v>
      </c>
      <c r="AT210" s="16" t="n">
        <v>0</v>
      </c>
      <c r="AU210" s="16" t="n">
        <v>0</v>
      </c>
      <c r="AV210" s="16" t="n">
        <v>0</v>
      </c>
      <c r="AW210" s="16" t="n">
        <v>0</v>
      </c>
      <c r="AX210" s="16" t="n">
        <v>0</v>
      </c>
      <c r="AY210" s="16" t="n">
        <v>0</v>
      </c>
      <c r="AZ210" s="16" t="n">
        <v>0</v>
      </c>
      <c r="BA210" s="16" t="n">
        <v>0</v>
      </c>
      <c r="BB210" s="16" t="n">
        <v>0</v>
      </c>
      <c r="BC210" s="16" t="n">
        <v>0</v>
      </c>
      <c r="BD210" s="16" t="n">
        <v>0</v>
      </c>
      <c r="BE210" s="16" t="n">
        <v>0</v>
      </c>
      <c r="BF210" s="16" t="n">
        <v>0</v>
      </c>
      <c r="BG210" s="16" t="n">
        <v>0</v>
      </c>
      <c r="BH210" s="16" t="n">
        <v>0</v>
      </c>
      <c r="BI210" s="16" t="n">
        <v>0</v>
      </c>
      <c r="BJ210" s="16" t="n">
        <v>0</v>
      </c>
      <c r="BK210" s="16" t="n">
        <v>0</v>
      </c>
      <c r="BL210" s="16" t="n">
        <v>0</v>
      </c>
      <c r="BM210" s="16" t="n">
        <v>0</v>
      </c>
      <c r="BN210" s="16" t="n">
        <v>0</v>
      </c>
      <c r="BO210" s="16" t="n">
        <v>0</v>
      </c>
      <c r="BP210" s="16" t="n">
        <v>0</v>
      </c>
      <c r="BQ210" s="16" t="n">
        <v>0</v>
      </c>
      <c r="BR210" s="16" t="n">
        <v>0</v>
      </c>
      <c r="BS210" s="16" t="n">
        <v>0</v>
      </c>
      <c r="BT210" s="16" t="n">
        <v>0</v>
      </c>
      <c r="BU210" s="16" t="n">
        <v>0</v>
      </c>
      <c r="BV210" s="16" t="n">
        <v>0</v>
      </c>
      <c r="BW210" s="16" t="n">
        <v>0</v>
      </c>
      <c r="BX210" s="16" t="n">
        <v>0</v>
      </c>
      <c r="BY210" s="16" t="n">
        <v>0</v>
      </c>
      <c r="BZ210" s="16" t="n">
        <v>0</v>
      </c>
      <c r="CA210" s="16" t="n">
        <v>0</v>
      </c>
      <c r="CB210" s="16" t="n">
        <v>0</v>
      </c>
      <c r="CC210" s="16" t="n">
        <v>0</v>
      </c>
      <c r="CD210" s="16" t="n">
        <v>0</v>
      </c>
      <c r="CE210" s="16" t="n">
        <v>0</v>
      </c>
      <c r="CF210" s="16" t="n">
        <v>0</v>
      </c>
      <c r="CG210" s="16" t="n">
        <v>0</v>
      </c>
      <c r="CH210" s="16" t="n">
        <v>0</v>
      </c>
      <c r="CI210" s="16" t="n">
        <v>0</v>
      </c>
      <c r="CJ210" s="16" t="n">
        <v>0</v>
      </c>
      <c r="CK210" s="16" t="n">
        <v>0</v>
      </c>
      <c r="CL210" s="16" t="n">
        <v>0</v>
      </c>
      <c r="CM210" s="16" t="n">
        <v>0</v>
      </c>
      <c r="CN210" s="16" t="n">
        <v>0</v>
      </c>
      <c r="CO210" s="16" t="n">
        <v>0</v>
      </c>
      <c r="CP210" s="16" t="n">
        <v>0</v>
      </c>
      <c r="CQ210" s="16" t="n">
        <v>0</v>
      </c>
      <c r="CR210" s="16" t="n">
        <v>0</v>
      </c>
      <c r="CS210" s="16" t="n">
        <v>0</v>
      </c>
      <c r="CT210" s="16" t="n">
        <v>0</v>
      </c>
      <c r="CU210" s="16" t="n">
        <v>0</v>
      </c>
      <c r="CV210" s="16" t="n">
        <v>0</v>
      </c>
      <c r="CW210" s="16" t="n">
        <v>0</v>
      </c>
      <c r="CX210" s="16" t="n">
        <v>10</v>
      </c>
      <c r="CY210" s="16" t="n">
        <v>10</v>
      </c>
      <c r="CZ210" s="16" t="n">
        <v>30</v>
      </c>
      <c r="DA210" s="16" t="n">
        <v>30</v>
      </c>
      <c r="DB210" s="16" t="n">
        <v>0</v>
      </c>
      <c r="DC210" s="16" t="n">
        <v>0</v>
      </c>
      <c r="DD210" s="16" t="n">
        <v>0</v>
      </c>
      <c r="DE210" s="16" t="n">
        <v>0</v>
      </c>
      <c r="DF210" s="16" t="n">
        <v>0</v>
      </c>
      <c r="DG210" s="16" t="n">
        <v>0</v>
      </c>
      <c r="DH210" s="16" t="n">
        <v>0</v>
      </c>
      <c r="DI210" s="16" t="n">
        <v>0</v>
      </c>
      <c r="DJ210" s="16" t="n">
        <v>0</v>
      </c>
      <c r="DK210" s="16" t="n">
        <v>0</v>
      </c>
      <c r="DL210" s="16" t="n">
        <v>0</v>
      </c>
      <c r="DM210" s="16" t="n">
        <v>0</v>
      </c>
      <c r="DN210" s="16" t="n">
        <v>0</v>
      </c>
      <c r="DO210" s="16" t="n">
        <v>0</v>
      </c>
      <c r="DP210" s="16" t="n">
        <v>0</v>
      </c>
      <c r="DQ210" s="16" t="n">
        <v>0</v>
      </c>
      <c r="DR210" s="16" t="n">
        <v>0</v>
      </c>
      <c r="DS210" s="16" t="n">
        <v>0</v>
      </c>
      <c r="DT210" s="16" t="n">
        <v>0</v>
      </c>
      <c r="DU210" s="16" t="n">
        <v>0</v>
      </c>
      <c r="DV210" s="16" t="n">
        <v>0</v>
      </c>
      <c r="DW210" s="16" t="n">
        <v>0</v>
      </c>
      <c r="DX210" s="16" t="n">
        <v>0</v>
      </c>
      <c r="DY210" s="16" t="n">
        <v>0</v>
      </c>
      <c r="DZ210" s="16" t="n">
        <v>0</v>
      </c>
      <c r="EA210" s="16" t="n">
        <v>0</v>
      </c>
      <c r="EB210" s="16" t="n">
        <v>0</v>
      </c>
      <c r="EC210" s="16" t="n">
        <v>0</v>
      </c>
      <c r="ED210" s="16" t="n">
        <v>0</v>
      </c>
      <c r="EE210" s="16" t="n">
        <v>0</v>
      </c>
      <c r="EF210" s="16" t="n">
        <v>0</v>
      </c>
    </row>
    <row r="211" customFormat="false" ht="15" hidden="false" customHeight="true" outlineLevel="0" collapsed="false">
      <c r="A211" s="9" t="s">
        <v>12</v>
      </c>
      <c r="B211" s="9" t="s">
        <v>17</v>
      </c>
      <c r="C211" s="9" t="s">
        <v>17</v>
      </c>
      <c r="D211" s="9" t="s">
        <v>336</v>
      </c>
      <c r="E211" s="9" t="s">
        <v>14</v>
      </c>
      <c r="F211" s="9" t="s">
        <v>88</v>
      </c>
      <c r="G211" s="16" t="n">
        <v>0</v>
      </c>
      <c r="H211" s="16" t="n">
        <v>80</v>
      </c>
      <c r="I211" s="16" t="n">
        <v>0</v>
      </c>
      <c r="J211" s="16" t="n">
        <v>80</v>
      </c>
      <c r="K211" s="16" t="n">
        <v>0</v>
      </c>
      <c r="L211" s="16" t="n">
        <v>0</v>
      </c>
      <c r="M211" s="16" t="n">
        <v>0</v>
      </c>
      <c r="N211" s="16" t="n">
        <v>0</v>
      </c>
      <c r="O211" s="16" t="n">
        <v>0</v>
      </c>
      <c r="P211" s="16" t="n">
        <v>0</v>
      </c>
      <c r="Q211" s="16" t="n">
        <v>0</v>
      </c>
      <c r="R211" s="16" t="n">
        <v>0</v>
      </c>
      <c r="S211" s="16" t="n">
        <v>0</v>
      </c>
      <c r="T211" s="16" t="n">
        <v>0</v>
      </c>
      <c r="U211" s="16" t="n">
        <v>0</v>
      </c>
      <c r="V211" s="16" t="n">
        <v>0</v>
      </c>
      <c r="W211" s="16" t="n">
        <v>0</v>
      </c>
      <c r="X211" s="16" t="n">
        <v>0</v>
      </c>
      <c r="Y211" s="16" t="n">
        <v>0</v>
      </c>
      <c r="Z211" s="16" t="n">
        <v>0</v>
      </c>
      <c r="AA211" s="16" t="n">
        <v>0</v>
      </c>
      <c r="AB211" s="16" t="n">
        <v>0</v>
      </c>
      <c r="AC211" s="16" t="n">
        <v>0</v>
      </c>
      <c r="AD211" s="16" t="n">
        <v>0</v>
      </c>
      <c r="AE211" s="16" t="n">
        <v>0</v>
      </c>
      <c r="AF211" s="16" t="n">
        <v>0</v>
      </c>
      <c r="AG211" s="16" t="n">
        <v>0</v>
      </c>
      <c r="AH211" s="16" t="n">
        <v>0</v>
      </c>
      <c r="AI211" s="16" t="n">
        <v>0</v>
      </c>
      <c r="AJ211" s="16" t="n">
        <v>0</v>
      </c>
      <c r="AK211" s="16" t="n">
        <v>0</v>
      </c>
      <c r="AL211" s="16" t="n">
        <v>0</v>
      </c>
      <c r="AM211" s="16" t="n">
        <v>0</v>
      </c>
      <c r="AN211" s="16" t="n">
        <v>0</v>
      </c>
      <c r="AO211" s="16" t="n">
        <v>0</v>
      </c>
      <c r="AP211" s="16" t="n">
        <v>0</v>
      </c>
      <c r="AQ211" s="16" t="n">
        <v>0</v>
      </c>
      <c r="AR211" s="16" t="n">
        <v>0</v>
      </c>
      <c r="AS211" s="16" t="n">
        <v>0</v>
      </c>
      <c r="AT211" s="16" t="n">
        <v>0</v>
      </c>
      <c r="AU211" s="16" t="n">
        <v>0</v>
      </c>
      <c r="AV211" s="16" t="n">
        <v>0</v>
      </c>
      <c r="AW211" s="16" t="n">
        <v>0</v>
      </c>
      <c r="AX211" s="16" t="n">
        <v>0</v>
      </c>
      <c r="AY211" s="16" t="n">
        <v>0</v>
      </c>
      <c r="AZ211" s="16" t="n">
        <v>0</v>
      </c>
      <c r="BA211" s="16" t="n">
        <v>0</v>
      </c>
      <c r="BB211" s="16" t="n">
        <v>0</v>
      </c>
      <c r="BC211" s="16" t="n">
        <v>0</v>
      </c>
      <c r="BD211" s="16" t="n">
        <v>0</v>
      </c>
      <c r="BE211" s="16" t="n">
        <v>0</v>
      </c>
      <c r="BF211" s="16" t="n">
        <v>0</v>
      </c>
      <c r="BG211" s="16" t="n">
        <v>0</v>
      </c>
      <c r="BH211" s="16" t="n">
        <v>0</v>
      </c>
      <c r="BI211" s="16" t="n">
        <v>0</v>
      </c>
      <c r="BJ211" s="16" t="n">
        <v>0</v>
      </c>
      <c r="BK211" s="16" t="n">
        <v>0</v>
      </c>
      <c r="BL211" s="16" t="n">
        <v>0</v>
      </c>
      <c r="BM211" s="16" t="n">
        <v>0</v>
      </c>
      <c r="BN211" s="16" t="n">
        <v>0</v>
      </c>
      <c r="BO211" s="16" t="n">
        <v>0</v>
      </c>
      <c r="BP211" s="16" t="n">
        <v>0</v>
      </c>
      <c r="BQ211" s="16" t="n">
        <v>0</v>
      </c>
      <c r="BR211" s="16" t="n">
        <v>0</v>
      </c>
      <c r="BS211" s="16" t="n">
        <v>0</v>
      </c>
      <c r="BT211" s="16" t="n">
        <v>0</v>
      </c>
      <c r="BU211" s="16" t="n">
        <v>0</v>
      </c>
      <c r="BV211" s="16" t="n">
        <v>0</v>
      </c>
      <c r="BW211" s="16" t="n">
        <v>0</v>
      </c>
      <c r="BX211" s="16" t="n">
        <v>0</v>
      </c>
      <c r="BY211" s="16" t="n">
        <v>0</v>
      </c>
      <c r="BZ211" s="16" t="n">
        <v>0</v>
      </c>
      <c r="CA211" s="16" t="n">
        <v>0</v>
      </c>
      <c r="CB211" s="16" t="n">
        <v>0</v>
      </c>
      <c r="CC211" s="16" t="n">
        <v>0</v>
      </c>
      <c r="CD211" s="16" t="n">
        <v>0</v>
      </c>
      <c r="CE211" s="16" t="n">
        <v>0</v>
      </c>
      <c r="CF211" s="16" t="n">
        <v>0</v>
      </c>
      <c r="CG211" s="16" t="n">
        <v>0</v>
      </c>
      <c r="CH211" s="16" t="n">
        <v>0</v>
      </c>
      <c r="CI211" s="16" t="n">
        <v>0</v>
      </c>
      <c r="CJ211" s="16" t="n">
        <v>0</v>
      </c>
      <c r="CK211" s="16" t="n">
        <v>0</v>
      </c>
      <c r="CL211" s="16" t="n">
        <v>0</v>
      </c>
      <c r="CM211" s="16" t="n">
        <v>0</v>
      </c>
      <c r="CN211" s="16" t="n">
        <v>0</v>
      </c>
      <c r="CO211" s="16" t="n">
        <v>0</v>
      </c>
      <c r="CP211" s="16" t="n">
        <v>0</v>
      </c>
      <c r="CQ211" s="16" t="n">
        <v>0</v>
      </c>
      <c r="CR211" s="16" t="n">
        <v>0</v>
      </c>
      <c r="CS211" s="16" t="n">
        <v>0</v>
      </c>
      <c r="CT211" s="16" t="n">
        <v>0</v>
      </c>
      <c r="CU211" s="16" t="n">
        <v>0</v>
      </c>
      <c r="CV211" s="16" t="n">
        <v>0</v>
      </c>
      <c r="CW211" s="16" t="n">
        <v>0</v>
      </c>
      <c r="CX211" s="16" t="n">
        <v>0</v>
      </c>
      <c r="CY211" s="16" t="n">
        <v>0</v>
      </c>
      <c r="CZ211" s="16" t="n">
        <v>0</v>
      </c>
      <c r="DA211" s="16" t="n">
        <v>0</v>
      </c>
      <c r="DB211" s="16" t="n">
        <v>0</v>
      </c>
      <c r="DC211" s="16" t="n">
        <v>0</v>
      </c>
      <c r="DD211" s="16" t="n">
        <v>0</v>
      </c>
      <c r="DE211" s="16" t="n">
        <v>0</v>
      </c>
      <c r="DF211" s="16" t="n">
        <v>0</v>
      </c>
      <c r="DG211" s="16" t="n">
        <v>0</v>
      </c>
      <c r="DH211" s="16" t="n">
        <v>0</v>
      </c>
      <c r="DI211" s="16" t="n">
        <v>0</v>
      </c>
      <c r="DJ211" s="16" t="n">
        <v>0</v>
      </c>
      <c r="DK211" s="16" t="n">
        <v>0</v>
      </c>
      <c r="DL211" s="16" t="n">
        <v>0</v>
      </c>
      <c r="DM211" s="16" t="n">
        <v>0</v>
      </c>
      <c r="DN211" s="16" t="n">
        <v>0</v>
      </c>
      <c r="DO211" s="16" t="n">
        <v>0</v>
      </c>
      <c r="DP211" s="16" t="n">
        <v>0</v>
      </c>
      <c r="DQ211" s="16" t="n">
        <v>0</v>
      </c>
      <c r="DR211" s="16" t="n">
        <v>0</v>
      </c>
      <c r="DS211" s="16" t="n">
        <v>0</v>
      </c>
      <c r="DT211" s="16" t="n">
        <v>0</v>
      </c>
      <c r="DU211" s="16" t="n">
        <v>0</v>
      </c>
      <c r="DV211" s="16" t="n">
        <v>0</v>
      </c>
      <c r="DW211" s="16" t="n">
        <v>0</v>
      </c>
      <c r="DX211" s="16" t="n">
        <v>0</v>
      </c>
      <c r="DY211" s="16" t="n">
        <v>0</v>
      </c>
      <c r="DZ211" s="16" t="n">
        <v>0</v>
      </c>
      <c r="EA211" s="16" t="n">
        <v>0</v>
      </c>
      <c r="EB211" s="16" t="n">
        <v>0</v>
      </c>
      <c r="EC211" s="16" t="n">
        <v>0</v>
      </c>
      <c r="ED211" s="16" t="n">
        <v>0</v>
      </c>
      <c r="EE211" s="16" t="n">
        <v>0</v>
      </c>
      <c r="EF211" s="16" t="n">
        <v>0</v>
      </c>
    </row>
    <row r="212" customFormat="false" ht="15" hidden="false" customHeight="true" outlineLevel="0" collapsed="false">
      <c r="A212" s="9" t="s">
        <v>12</v>
      </c>
      <c r="B212" s="9" t="s">
        <v>17</v>
      </c>
      <c r="C212" s="9" t="s">
        <v>17</v>
      </c>
      <c r="D212" s="9" t="s">
        <v>335</v>
      </c>
      <c r="E212" s="9" t="s">
        <v>14</v>
      </c>
      <c r="F212" s="9" t="s">
        <v>122</v>
      </c>
      <c r="G212" s="16" t="n">
        <v>0</v>
      </c>
      <c r="H212" s="16" t="n">
        <v>0</v>
      </c>
      <c r="I212" s="16" t="n">
        <v>114</v>
      </c>
      <c r="J212" s="16" t="n">
        <v>-114</v>
      </c>
      <c r="K212" s="16" t="n">
        <v>0</v>
      </c>
      <c r="L212" s="16" t="n">
        <v>0</v>
      </c>
      <c r="M212" s="16" t="n">
        <v>0</v>
      </c>
      <c r="N212" s="16" t="n">
        <v>0</v>
      </c>
      <c r="O212" s="16" t="n">
        <v>0</v>
      </c>
      <c r="P212" s="16" t="n">
        <v>0</v>
      </c>
      <c r="Q212" s="16" t="n">
        <v>0</v>
      </c>
      <c r="R212" s="16" t="n">
        <v>0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0</v>
      </c>
      <c r="X212" s="16" t="n">
        <v>0</v>
      </c>
      <c r="Y212" s="16" t="n">
        <v>0</v>
      </c>
      <c r="Z212" s="16" t="n">
        <v>0</v>
      </c>
      <c r="AA212" s="16" t="n">
        <v>0</v>
      </c>
      <c r="AB212" s="16" t="n">
        <v>0</v>
      </c>
      <c r="AC212" s="16" t="n">
        <v>0</v>
      </c>
      <c r="AD212" s="16" t="n">
        <v>0</v>
      </c>
      <c r="AE212" s="16" t="n">
        <v>0</v>
      </c>
      <c r="AF212" s="16" t="n">
        <v>0</v>
      </c>
      <c r="AG212" s="16" t="n">
        <v>0</v>
      </c>
      <c r="AH212" s="16" t="n">
        <v>0</v>
      </c>
      <c r="AI212" s="16" t="n">
        <v>0</v>
      </c>
      <c r="AJ212" s="16" t="n">
        <v>0</v>
      </c>
      <c r="AK212" s="16" t="n">
        <v>0</v>
      </c>
      <c r="AL212" s="16" t="n">
        <v>0</v>
      </c>
      <c r="AM212" s="16" t="n">
        <v>0</v>
      </c>
      <c r="AN212" s="16" t="n">
        <v>0</v>
      </c>
      <c r="AO212" s="16" t="n">
        <v>0</v>
      </c>
      <c r="AP212" s="16" t="n">
        <v>0</v>
      </c>
      <c r="AQ212" s="16" t="n">
        <v>0</v>
      </c>
      <c r="AR212" s="16" t="n">
        <v>0</v>
      </c>
      <c r="AS212" s="16" t="n">
        <v>0</v>
      </c>
      <c r="AT212" s="16" t="n">
        <v>0</v>
      </c>
      <c r="AU212" s="16" t="n">
        <v>0</v>
      </c>
      <c r="AV212" s="16" t="n">
        <v>0</v>
      </c>
      <c r="AW212" s="16" t="n">
        <v>0</v>
      </c>
      <c r="AX212" s="16" t="n">
        <v>0</v>
      </c>
      <c r="AY212" s="16" t="n">
        <v>0</v>
      </c>
      <c r="AZ212" s="16" t="n">
        <v>0</v>
      </c>
      <c r="BA212" s="16" t="n">
        <v>0</v>
      </c>
      <c r="BB212" s="16" t="n">
        <v>0</v>
      </c>
      <c r="BC212" s="16" t="n">
        <v>0</v>
      </c>
      <c r="BD212" s="16" t="n">
        <v>0</v>
      </c>
      <c r="BE212" s="16" t="n">
        <v>0</v>
      </c>
      <c r="BF212" s="16" t="n">
        <v>0</v>
      </c>
      <c r="BG212" s="16" t="n">
        <v>0</v>
      </c>
      <c r="BH212" s="16" t="n">
        <v>0</v>
      </c>
      <c r="BI212" s="16" t="n">
        <v>0</v>
      </c>
      <c r="BJ212" s="16" t="n">
        <v>0</v>
      </c>
      <c r="BK212" s="16" t="n">
        <v>0</v>
      </c>
      <c r="BL212" s="16" t="n">
        <v>0</v>
      </c>
      <c r="BM212" s="16" t="n">
        <v>0</v>
      </c>
      <c r="BN212" s="16" t="n">
        <v>0</v>
      </c>
      <c r="BO212" s="16" t="n">
        <v>0</v>
      </c>
      <c r="BP212" s="16" t="n">
        <v>0</v>
      </c>
      <c r="BQ212" s="16" t="n">
        <v>0</v>
      </c>
      <c r="BR212" s="16" t="n">
        <v>0</v>
      </c>
      <c r="BS212" s="16" t="n">
        <v>0</v>
      </c>
      <c r="BT212" s="16" t="n">
        <v>0</v>
      </c>
      <c r="BU212" s="16" t="n">
        <v>0</v>
      </c>
      <c r="BV212" s="16" t="n">
        <v>0</v>
      </c>
      <c r="BW212" s="16" t="n">
        <v>0</v>
      </c>
      <c r="BX212" s="16" t="n">
        <v>0</v>
      </c>
      <c r="BY212" s="16" t="n">
        <v>0</v>
      </c>
      <c r="BZ212" s="16" t="n">
        <v>0</v>
      </c>
      <c r="CA212" s="16" t="n">
        <v>0</v>
      </c>
      <c r="CB212" s="16" t="n">
        <v>0</v>
      </c>
      <c r="CC212" s="16" t="n">
        <v>0</v>
      </c>
      <c r="CD212" s="16" t="n">
        <v>0</v>
      </c>
      <c r="CE212" s="16" t="n">
        <v>0</v>
      </c>
      <c r="CF212" s="16" t="n">
        <v>0</v>
      </c>
      <c r="CG212" s="16" t="n">
        <v>0</v>
      </c>
      <c r="CH212" s="16" t="n">
        <v>0</v>
      </c>
      <c r="CI212" s="16" t="n">
        <v>0</v>
      </c>
      <c r="CJ212" s="16" t="n">
        <v>0</v>
      </c>
      <c r="CK212" s="16" t="n">
        <v>0</v>
      </c>
      <c r="CL212" s="16" t="n">
        <v>0</v>
      </c>
      <c r="CM212" s="16" t="n">
        <v>0</v>
      </c>
      <c r="CN212" s="16" t="n">
        <v>0</v>
      </c>
      <c r="CO212" s="16" t="n">
        <v>0</v>
      </c>
      <c r="CP212" s="16" t="n">
        <v>0</v>
      </c>
      <c r="CQ212" s="16" t="n">
        <v>0</v>
      </c>
      <c r="CR212" s="16" t="n">
        <v>0</v>
      </c>
      <c r="CS212" s="16" t="n">
        <v>0</v>
      </c>
      <c r="CT212" s="16" t="n">
        <v>0</v>
      </c>
      <c r="CU212" s="16" t="n">
        <v>0</v>
      </c>
      <c r="CV212" s="16" t="n">
        <v>0</v>
      </c>
      <c r="CW212" s="16" t="n">
        <v>0</v>
      </c>
      <c r="CX212" s="16" t="n">
        <v>0</v>
      </c>
      <c r="CY212" s="16" t="n">
        <v>0</v>
      </c>
      <c r="CZ212" s="16" t="n">
        <v>0</v>
      </c>
      <c r="DA212" s="16" t="n">
        <v>0</v>
      </c>
      <c r="DB212" s="16" t="n">
        <v>0</v>
      </c>
      <c r="DC212" s="16" t="n">
        <v>0</v>
      </c>
      <c r="DD212" s="16" t="n">
        <v>0</v>
      </c>
      <c r="DE212" s="16" t="n">
        <v>0</v>
      </c>
      <c r="DF212" s="16" t="n">
        <v>0</v>
      </c>
      <c r="DG212" s="16" t="n">
        <v>4</v>
      </c>
      <c r="DH212" s="16" t="n">
        <v>0</v>
      </c>
      <c r="DI212" s="16" t="n">
        <v>0</v>
      </c>
      <c r="DJ212" s="16" t="n">
        <v>0</v>
      </c>
      <c r="DK212" s="16" t="n">
        <v>0</v>
      </c>
      <c r="DL212" s="16" t="n">
        <v>0</v>
      </c>
      <c r="DM212" s="16" t="n">
        <v>10</v>
      </c>
      <c r="DN212" s="16" t="n">
        <v>20</v>
      </c>
      <c r="DO212" s="16" t="n">
        <v>50</v>
      </c>
      <c r="DP212" s="16" t="n">
        <v>30</v>
      </c>
      <c r="DQ212" s="16" t="n">
        <v>0</v>
      </c>
      <c r="DR212" s="16" t="n">
        <v>0</v>
      </c>
      <c r="DS212" s="16" t="n">
        <v>0</v>
      </c>
      <c r="DT212" s="16" t="n">
        <v>0</v>
      </c>
      <c r="DU212" s="16" t="n">
        <v>0</v>
      </c>
      <c r="DV212" s="16" t="n">
        <v>0</v>
      </c>
      <c r="DW212" s="16" t="n">
        <v>0</v>
      </c>
      <c r="DX212" s="16" t="n">
        <v>0</v>
      </c>
      <c r="DY212" s="16" t="n">
        <v>0</v>
      </c>
      <c r="DZ212" s="16" t="n">
        <v>0</v>
      </c>
      <c r="EA212" s="16" t="n">
        <v>0</v>
      </c>
      <c r="EB212" s="16" t="n">
        <v>0</v>
      </c>
      <c r="EC212" s="16" t="n">
        <v>0</v>
      </c>
      <c r="ED212" s="16" t="n">
        <v>0</v>
      </c>
      <c r="EE212" s="16" t="n">
        <v>0</v>
      </c>
      <c r="EF212" s="16" t="n">
        <v>0</v>
      </c>
    </row>
    <row r="213" customFormat="false" ht="15" hidden="false" customHeight="true" outlineLevel="0" collapsed="false">
      <c r="A213" s="9" t="s">
        <v>12</v>
      </c>
      <c r="B213" s="9" t="s">
        <v>17</v>
      </c>
      <c r="C213" s="9" t="s">
        <v>17</v>
      </c>
      <c r="D213" s="9" t="s">
        <v>336</v>
      </c>
      <c r="E213" s="9" t="s">
        <v>14</v>
      </c>
      <c r="F213" s="9" t="s">
        <v>122</v>
      </c>
      <c r="G213" s="16" t="n">
        <v>0</v>
      </c>
      <c r="H213" s="16" t="n">
        <v>114</v>
      </c>
      <c r="I213" s="16" t="n">
        <v>0</v>
      </c>
      <c r="J213" s="16" t="n">
        <v>114</v>
      </c>
      <c r="K213" s="16" t="n">
        <v>0</v>
      </c>
      <c r="L213" s="16" t="n">
        <v>0</v>
      </c>
      <c r="M213" s="16" t="n">
        <v>0</v>
      </c>
      <c r="N213" s="16" t="n">
        <v>0</v>
      </c>
      <c r="O213" s="16" t="n">
        <v>0</v>
      </c>
      <c r="P213" s="16" t="n">
        <v>0</v>
      </c>
      <c r="Q213" s="16" t="n">
        <v>0</v>
      </c>
      <c r="R213" s="16" t="n">
        <v>0</v>
      </c>
      <c r="S213" s="16" t="n">
        <v>0</v>
      </c>
      <c r="T213" s="16" t="n">
        <v>0</v>
      </c>
      <c r="U213" s="16" t="n">
        <v>0</v>
      </c>
      <c r="V213" s="16" t="n">
        <v>0</v>
      </c>
      <c r="W213" s="16" t="n">
        <v>0</v>
      </c>
      <c r="X213" s="16" t="n">
        <v>0</v>
      </c>
      <c r="Y213" s="16" t="n">
        <v>0</v>
      </c>
      <c r="Z213" s="16" t="n">
        <v>0</v>
      </c>
      <c r="AA213" s="16" t="n">
        <v>0</v>
      </c>
      <c r="AB213" s="16" t="n">
        <v>0</v>
      </c>
      <c r="AC213" s="16" t="n">
        <v>0</v>
      </c>
      <c r="AD213" s="16" t="n">
        <v>0</v>
      </c>
      <c r="AE213" s="16" t="n">
        <v>0</v>
      </c>
      <c r="AF213" s="16" t="n">
        <v>0</v>
      </c>
      <c r="AG213" s="16" t="n">
        <v>0</v>
      </c>
      <c r="AH213" s="16" t="n">
        <v>0</v>
      </c>
      <c r="AI213" s="16" t="n">
        <v>0</v>
      </c>
      <c r="AJ213" s="16" t="n">
        <v>0</v>
      </c>
      <c r="AK213" s="16" t="n">
        <v>0</v>
      </c>
      <c r="AL213" s="16" t="n">
        <v>0</v>
      </c>
      <c r="AM213" s="16" t="n">
        <v>0</v>
      </c>
      <c r="AN213" s="16" t="n">
        <v>0</v>
      </c>
      <c r="AO213" s="16" t="n">
        <v>0</v>
      </c>
      <c r="AP213" s="16" t="n">
        <v>0</v>
      </c>
      <c r="AQ213" s="16" t="n">
        <v>0</v>
      </c>
      <c r="AR213" s="16" t="n">
        <v>0</v>
      </c>
      <c r="AS213" s="16" t="n">
        <v>0</v>
      </c>
      <c r="AT213" s="16" t="n">
        <v>0</v>
      </c>
      <c r="AU213" s="16" t="n">
        <v>0</v>
      </c>
      <c r="AV213" s="16" t="n">
        <v>0</v>
      </c>
      <c r="AW213" s="16" t="n">
        <v>0</v>
      </c>
      <c r="AX213" s="16" t="n">
        <v>0</v>
      </c>
      <c r="AY213" s="16" t="n">
        <v>0</v>
      </c>
      <c r="AZ213" s="16" t="n">
        <v>0</v>
      </c>
      <c r="BA213" s="16" t="n">
        <v>0</v>
      </c>
      <c r="BB213" s="16" t="n">
        <v>0</v>
      </c>
      <c r="BC213" s="16" t="n">
        <v>0</v>
      </c>
      <c r="BD213" s="16" t="n">
        <v>0</v>
      </c>
      <c r="BE213" s="16" t="n">
        <v>0</v>
      </c>
      <c r="BF213" s="16" t="n">
        <v>0</v>
      </c>
      <c r="BG213" s="16" t="n">
        <v>0</v>
      </c>
      <c r="BH213" s="16" t="n">
        <v>0</v>
      </c>
      <c r="BI213" s="16" t="n">
        <v>0</v>
      </c>
      <c r="BJ213" s="16" t="n">
        <v>0</v>
      </c>
      <c r="BK213" s="16" t="n">
        <v>0</v>
      </c>
      <c r="BL213" s="16" t="n">
        <v>0</v>
      </c>
      <c r="BM213" s="16" t="n">
        <v>0</v>
      </c>
      <c r="BN213" s="16" t="n">
        <v>0</v>
      </c>
      <c r="BO213" s="16" t="n">
        <v>0</v>
      </c>
      <c r="BP213" s="16" t="n">
        <v>0</v>
      </c>
      <c r="BQ213" s="16" t="n">
        <v>0</v>
      </c>
      <c r="BR213" s="16" t="n">
        <v>0</v>
      </c>
      <c r="BS213" s="16" t="n">
        <v>0</v>
      </c>
      <c r="BT213" s="16" t="n">
        <v>0</v>
      </c>
      <c r="BU213" s="16" t="n">
        <v>0</v>
      </c>
      <c r="BV213" s="16" t="n">
        <v>0</v>
      </c>
      <c r="BW213" s="16" t="n">
        <v>0</v>
      </c>
      <c r="BX213" s="16" t="n">
        <v>0</v>
      </c>
      <c r="BY213" s="16" t="n">
        <v>0</v>
      </c>
      <c r="BZ213" s="16" t="n">
        <v>0</v>
      </c>
      <c r="CA213" s="16" t="n">
        <v>0</v>
      </c>
      <c r="CB213" s="16" t="n">
        <v>0</v>
      </c>
      <c r="CC213" s="16" t="n">
        <v>0</v>
      </c>
      <c r="CD213" s="16" t="n">
        <v>0</v>
      </c>
      <c r="CE213" s="16" t="n">
        <v>0</v>
      </c>
      <c r="CF213" s="16" t="n">
        <v>0</v>
      </c>
      <c r="CG213" s="16" t="n">
        <v>0</v>
      </c>
      <c r="CH213" s="16" t="n">
        <v>0</v>
      </c>
      <c r="CI213" s="16" t="n">
        <v>0</v>
      </c>
      <c r="CJ213" s="16" t="n">
        <v>0</v>
      </c>
      <c r="CK213" s="16" t="n">
        <v>0</v>
      </c>
      <c r="CL213" s="16" t="n">
        <v>0</v>
      </c>
      <c r="CM213" s="16" t="n">
        <v>0</v>
      </c>
      <c r="CN213" s="16" t="n">
        <v>0</v>
      </c>
      <c r="CO213" s="16" t="n">
        <v>0</v>
      </c>
      <c r="CP213" s="16" t="n">
        <v>0</v>
      </c>
      <c r="CQ213" s="16" t="n">
        <v>0</v>
      </c>
      <c r="CR213" s="16" t="n">
        <v>0</v>
      </c>
      <c r="CS213" s="16" t="n">
        <v>0</v>
      </c>
      <c r="CT213" s="16" t="n">
        <v>0</v>
      </c>
      <c r="CU213" s="16" t="n">
        <v>0</v>
      </c>
      <c r="CV213" s="16" t="n">
        <v>0</v>
      </c>
      <c r="CW213" s="16" t="n">
        <v>0</v>
      </c>
      <c r="CX213" s="16" t="n">
        <v>0</v>
      </c>
      <c r="CY213" s="16" t="n">
        <v>0</v>
      </c>
      <c r="CZ213" s="16" t="n">
        <v>0</v>
      </c>
      <c r="DA213" s="16" t="n">
        <v>0</v>
      </c>
      <c r="DB213" s="16" t="n">
        <v>0</v>
      </c>
      <c r="DC213" s="16" t="n">
        <v>0</v>
      </c>
      <c r="DD213" s="16" t="n">
        <v>0</v>
      </c>
      <c r="DE213" s="16" t="n">
        <v>0</v>
      </c>
      <c r="DF213" s="16" t="n">
        <v>0</v>
      </c>
      <c r="DG213" s="16" t="n">
        <v>0</v>
      </c>
      <c r="DH213" s="16" t="n">
        <v>0</v>
      </c>
      <c r="DI213" s="16" t="n">
        <v>0</v>
      </c>
      <c r="DJ213" s="16" t="n">
        <v>0</v>
      </c>
      <c r="DK213" s="16" t="n">
        <v>0</v>
      </c>
      <c r="DL213" s="16" t="n">
        <v>0</v>
      </c>
      <c r="DM213" s="16" t="n">
        <v>0</v>
      </c>
      <c r="DN213" s="16" t="n">
        <v>0</v>
      </c>
      <c r="DO213" s="16" t="n">
        <v>0</v>
      </c>
      <c r="DP213" s="16" t="n">
        <v>0</v>
      </c>
      <c r="DQ213" s="16" t="n">
        <v>0</v>
      </c>
      <c r="DR213" s="16" t="n">
        <v>0</v>
      </c>
      <c r="DS213" s="16" t="n">
        <v>0</v>
      </c>
      <c r="DT213" s="16" t="n">
        <v>0</v>
      </c>
      <c r="DU213" s="16" t="n">
        <v>0</v>
      </c>
      <c r="DV213" s="16" t="n">
        <v>0</v>
      </c>
      <c r="DW213" s="16" t="n">
        <v>0</v>
      </c>
      <c r="DX213" s="16" t="n">
        <v>0</v>
      </c>
      <c r="DY213" s="16" t="n">
        <v>0</v>
      </c>
      <c r="DZ213" s="16" t="n">
        <v>0</v>
      </c>
      <c r="EA213" s="16" t="n">
        <v>0</v>
      </c>
      <c r="EB213" s="16" t="n">
        <v>0</v>
      </c>
      <c r="EC213" s="16" t="n">
        <v>0</v>
      </c>
      <c r="ED213" s="16" t="n">
        <v>0</v>
      </c>
      <c r="EE213" s="16" t="n">
        <v>0</v>
      </c>
      <c r="EF213" s="16" t="n">
        <v>0</v>
      </c>
    </row>
    <row r="214" customFormat="false" ht="15" hidden="false" customHeight="true" outlineLevel="0" collapsed="false">
      <c r="A214" s="9" t="s">
        <v>12</v>
      </c>
      <c r="B214" s="9" t="s">
        <v>123</v>
      </c>
      <c r="C214" s="9" t="s">
        <v>123</v>
      </c>
      <c r="D214" s="9" t="s">
        <v>336</v>
      </c>
      <c r="E214" s="9" t="s">
        <v>14</v>
      </c>
      <c r="F214" s="9" t="s">
        <v>81</v>
      </c>
      <c r="G214" s="16" t="n">
        <v>9.9</v>
      </c>
      <c r="H214" s="16" t="n">
        <v>42.6</v>
      </c>
      <c r="I214" s="16" t="n">
        <v>0</v>
      </c>
      <c r="J214" s="16" t="n">
        <v>42.6</v>
      </c>
      <c r="K214" s="16" t="n">
        <v>0</v>
      </c>
      <c r="L214" s="16" t="n">
        <v>0</v>
      </c>
      <c r="M214" s="16" t="n">
        <v>0</v>
      </c>
      <c r="N214" s="16" t="n">
        <v>0</v>
      </c>
      <c r="O214" s="16" t="n">
        <v>0</v>
      </c>
      <c r="P214" s="16" t="n">
        <v>0</v>
      </c>
      <c r="Q214" s="16" t="n">
        <v>0</v>
      </c>
      <c r="R214" s="16" t="n">
        <v>0</v>
      </c>
      <c r="S214" s="16" t="n">
        <v>0</v>
      </c>
      <c r="T214" s="16" t="n">
        <v>0</v>
      </c>
      <c r="U214" s="16" t="n">
        <v>0</v>
      </c>
      <c r="V214" s="16" t="n">
        <v>0</v>
      </c>
      <c r="W214" s="16" t="n">
        <v>0</v>
      </c>
      <c r="X214" s="16" t="n">
        <v>0</v>
      </c>
      <c r="Y214" s="16" t="n">
        <v>0</v>
      </c>
      <c r="Z214" s="16" t="n">
        <v>0</v>
      </c>
      <c r="AA214" s="16" t="n">
        <v>0</v>
      </c>
      <c r="AB214" s="16" t="n">
        <v>0</v>
      </c>
      <c r="AC214" s="16" t="n">
        <v>0</v>
      </c>
      <c r="AD214" s="16" t="n">
        <v>0</v>
      </c>
      <c r="AE214" s="16" t="n">
        <v>0</v>
      </c>
      <c r="AF214" s="16" t="n">
        <v>0</v>
      </c>
      <c r="AG214" s="16" t="n">
        <v>0</v>
      </c>
      <c r="AH214" s="16" t="n">
        <v>0</v>
      </c>
      <c r="AI214" s="16" t="n">
        <v>0</v>
      </c>
      <c r="AJ214" s="16" t="n">
        <v>0</v>
      </c>
      <c r="AK214" s="16" t="n">
        <v>0</v>
      </c>
      <c r="AL214" s="16" t="n">
        <v>0</v>
      </c>
      <c r="AM214" s="16" t="n">
        <v>0</v>
      </c>
      <c r="AN214" s="16" t="n">
        <v>0</v>
      </c>
      <c r="AO214" s="16" t="n">
        <v>0</v>
      </c>
      <c r="AP214" s="16" t="n">
        <v>0</v>
      </c>
      <c r="AQ214" s="16" t="n">
        <v>0</v>
      </c>
      <c r="AR214" s="16" t="n">
        <v>0</v>
      </c>
      <c r="AS214" s="16" t="n">
        <v>0</v>
      </c>
      <c r="AT214" s="16" t="n">
        <v>0</v>
      </c>
      <c r="AU214" s="16" t="n">
        <v>0</v>
      </c>
      <c r="AV214" s="16" t="n">
        <v>0</v>
      </c>
      <c r="AW214" s="16" t="n">
        <v>0</v>
      </c>
      <c r="AX214" s="16" t="n">
        <v>0</v>
      </c>
      <c r="AY214" s="16" t="n">
        <v>0</v>
      </c>
      <c r="AZ214" s="16" t="n">
        <v>0</v>
      </c>
      <c r="BA214" s="16" t="n">
        <v>0</v>
      </c>
      <c r="BB214" s="16" t="n">
        <v>0</v>
      </c>
      <c r="BC214" s="16" t="n">
        <v>0</v>
      </c>
      <c r="BD214" s="16" t="n">
        <v>0</v>
      </c>
      <c r="BE214" s="16" t="n">
        <v>0</v>
      </c>
      <c r="BF214" s="16" t="n">
        <v>0</v>
      </c>
      <c r="BG214" s="16" t="n">
        <v>0</v>
      </c>
      <c r="BH214" s="16" t="n">
        <v>0</v>
      </c>
      <c r="BI214" s="16" t="n">
        <v>0</v>
      </c>
      <c r="BJ214" s="16" t="n">
        <v>0</v>
      </c>
      <c r="BK214" s="16" t="n">
        <v>0</v>
      </c>
      <c r="BL214" s="16" t="n">
        <v>0</v>
      </c>
      <c r="BM214" s="16" t="n">
        <v>0</v>
      </c>
      <c r="BN214" s="16" t="n">
        <v>0</v>
      </c>
      <c r="BO214" s="16" t="n">
        <v>0</v>
      </c>
      <c r="BP214" s="16" t="n">
        <v>0</v>
      </c>
      <c r="BQ214" s="16" t="n">
        <v>0</v>
      </c>
      <c r="BR214" s="16" t="n">
        <v>0</v>
      </c>
      <c r="BS214" s="16" t="n">
        <v>0</v>
      </c>
      <c r="BT214" s="16" t="n">
        <v>0</v>
      </c>
      <c r="BU214" s="16" t="n">
        <v>0</v>
      </c>
      <c r="BV214" s="16" t="n">
        <v>0</v>
      </c>
      <c r="BW214" s="16" t="n">
        <v>0</v>
      </c>
      <c r="BX214" s="16" t="n">
        <v>0</v>
      </c>
      <c r="BY214" s="16" t="n">
        <v>0</v>
      </c>
      <c r="BZ214" s="16" t="n">
        <v>0</v>
      </c>
      <c r="CA214" s="16" t="n">
        <v>0</v>
      </c>
      <c r="CB214" s="16" t="n">
        <v>0</v>
      </c>
      <c r="CC214" s="16" t="n">
        <v>0</v>
      </c>
      <c r="CD214" s="16" t="n">
        <v>0</v>
      </c>
      <c r="CE214" s="16" t="n">
        <v>0</v>
      </c>
      <c r="CF214" s="16" t="n">
        <v>0</v>
      </c>
      <c r="CG214" s="16" t="n">
        <v>0</v>
      </c>
      <c r="CH214" s="16" t="n">
        <v>0</v>
      </c>
      <c r="CI214" s="16" t="n">
        <v>0</v>
      </c>
      <c r="CJ214" s="16" t="n">
        <v>0</v>
      </c>
      <c r="CK214" s="16" t="n">
        <v>0</v>
      </c>
      <c r="CL214" s="16" t="n">
        <v>0</v>
      </c>
      <c r="CM214" s="16" t="n">
        <v>0</v>
      </c>
      <c r="CN214" s="16" t="n">
        <v>0</v>
      </c>
      <c r="CO214" s="16" t="n">
        <v>0</v>
      </c>
      <c r="CP214" s="16" t="n">
        <v>0</v>
      </c>
      <c r="CQ214" s="16" t="n">
        <v>0</v>
      </c>
      <c r="CR214" s="16" t="n">
        <v>0</v>
      </c>
      <c r="CS214" s="16" t="n">
        <v>0</v>
      </c>
      <c r="CT214" s="16" t="n">
        <v>0</v>
      </c>
      <c r="CU214" s="16" t="n">
        <v>0</v>
      </c>
      <c r="CV214" s="16" t="n">
        <v>0</v>
      </c>
      <c r="CW214" s="16" t="n">
        <v>0</v>
      </c>
      <c r="CX214" s="16" t="n">
        <v>0</v>
      </c>
      <c r="CY214" s="16" t="n">
        <v>0</v>
      </c>
      <c r="CZ214" s="16" t="n">
        <v>0</v>
      </c>
      <c r="DA214" s="16" t="n">
        <v>0</v>
      </c>
      <c r="DB214" s="16" t="n">
        <v>0</v>
      </c>
      <c r="DC214" s="16" t="n">
        <v>0</v>
      </c>
      <c r="DD214" s="16" t="n">
        <v>0</v>
      </c>
      <c r="DE214" s="16" t="n">
        <v>0</v>
      </c>
      <c r="DF214" s="16" t="n">
        <v>0</v>
      </c>
      <c r="DG214" s="16" t="n">
        <v>0</v>
      </c>
      <c r="DH214" s="16" t="n">
        <v>0</v>
      </c>
      <c r="DI214" s="16" t="n">
        <v>0</v>
      </c>
      <c r="DJ214" s="16" t="n">
        <v>0</v>
      </c>
      <c r="DK214" s="16" t="n">
        <v>0</v>
      </c>
      <c r="DL214" s="16" t="n">
        <v>0</v>
      </c>
      <c r="DM214" s="16" t="n">
        <v>0</v>
      </c>
      <c r="DN214" s="16" t="n">
        <v>0</v>
      </c>
      <c r="DO214" s="16" t="n">
        <v>0</v>
      </c>
      <c r="DP214" s="16" t="n">
        <v>0</v>
      </c>
      <c r="DQ214" s="16" t="n">
        <v>0</v>
      </c>
      <c r="DR214" s="16" t="n">
        <v>0</v>
      </c>
      <c r="DS214" s="16" t="n">
        <v>0</v>
      </c>
      <c r="DT214" s="16" t="n">
        <v>0</v>
      </c>
      <c r="DU214" s="16" t="n">
        <v>0</v>
      </c>
      <c r="DV214" s="16" t="n">
        <v>0</v>
      </c>
      <c r="DW214" s="16" t="n">
        <v>0</v>
      </c>
      <c r="DX214" s="16" t="n">
        <v>0</v>
      </c>
      <c r="DY214" s="16" t="n">
        <v>0</v>
      </c>
      <c r="DZ214" s="16" t="n">
        <v>0</v>
      </c>
      <c r="EA214" s="16" t="n">
        <v>0</v>
      </c>
      <c r="EB214" s="16" t="n">
        <v>0</v>
      </c>
      <c r="EC214" s="16" t="n">
        <v>0</v>
      </c>
      <c r="ED214" s="16" t="n">
        <v>0</v>
      </c>
      <c r="EE214" s="16" t="n">
        <v>0</v>
      </c>
      <c r="EF214" s="16" t="n">
        <v>0</v>
      </c>
    </row>
    <row r="215" customFormat="false" ht="15" hidden="false" customHeight="true" outlineLevel="0" collapsed="false">
      <c r="A215" s="9" t="s">
        <v>12</v>
      </c>
      <c r="B215" s="9" t="s">
        <v>123</v>
      </c>
      <c r="C215" s="9" t="s">
        <v>123</v>
      </c>
      <c r="D215" s="9" t="s">
        <v>342</v>
      </c>
      <c r="E215" s="9" t="s">
        <v>14</v>
      </c>
      <c r="F215" s="9" t="s">
        <v>81</v>
      </c>
      <c r="G215" s="16" t="n">
        <v>0</v>
      </c>
      <c r="H215" s="16" t="n">
        <v>0</v>
      </c>
      <c r="I215" s="16" t="n">
        <v>32.8</v>
      </c>
      <c r="J215" s="16" t="n">
        <v>-32.8</v>
      </c>
      <c r="K215" s="16" t="n">
        <v>0</v>
      </c>
      <c r="L215" s="16" t="n">
        <v>0</v>
      </c>
      <c r="M215" s="16" t="n">
        <v>0</v>
      </c>
      <c r="N215" s="16" t="n">
        <v>0</v>
      </c>
      <c r="O215" s="16" t="n">
        <v>0</v>
      </c>
      <c r="P215" s="16" t="n">
        <v>0</v>
      </c>
      <c r="Q215" s="16" t="n">
        <v>0</v>
      </c>
      <c r="R215" s="16" t="n">
        <v>0</v>
      </c>
      <c r="S215" s="16" t="n">
        <v>0</v>
      </c>
      <c r="T215" s="16" t="n">
        <v>0</v>
      </c>
      <c r="U215" s="16" t="n">
        <v>0</v>
      </c>
      <c r="V215" s="16" t="n">
        <v>0</v>
      </c>
      <c r="W215" s="16" t="n">
        <v>0</v>
      </c>
      <c r="X215" s="16" t="n">
        <v>0</v>
      </c>
      <c r="Y215" s="16" t="n">
        <v>0</v>
      </c>
      <c r="Z215" s="16" t="n">
        <v>0</v>
      </c>
      <c r="AA215" s="16" t="n">
        <v>0</v>
      </c>
      <c r="AB215" s="16" t="n">
        <v>0</v>
      </c>
      <c r="AC215" s="16" t="n">
        <v>0</v>
      </c>
      <c r="AD215" s="16" t="n">
        <v>0</v>
      </c>
      <c r="AE215" s="16" t="n">
        <v>0</v>
      </c>
      <c r="AF215" s="16" t="n">
        <v>0</v>
      </c>
      <c r="AG215" s="16" t="n">
        <v>0</v>
      </c>
      <c r="AH215" s="16" t="n">
        <v>0</v>
      </c>
      <c r="AI215" s="16" t="n">
        <v>0</v>
      </c>
      <c r="AJ215" s="16" t="n">
        <v>0</v>
      </c>
      <c r="AK215" s="16" t="n">
        <v>0</v>
      </c>
      <c r="AL215" s="16" t="n">
        <v>0</v>
      </c>
      <c r="AM215" s="16" t="n">
        <v>0</v>
      </c>
      <c r="AN215" s="16" t="n">
        <v>0</v>
      </c>
      <c r="AO215" s="16" t="n">
        <v>0</v>
      </c>
      <c r="AP215" s="16" t="n">
        <v>0</v>
      </c>
      <c r="AQ215" s="16" t="n">
        <v>0</v>
      </c>
      <c r="AR215" s="16" t="n">
        <v>0</v>
      </c>
      <c r="AS215" s="16" t="n">
        <v>0</v>
      </c>
      <c r="AT215" s="16" t="n">
        <v>0</v>
      </c>
      <c r="AU215" s="16" t="n">
        <v>0</v>
      </c>
      <c r="AV215" s="16" t="n">
        <v>0</v>
      </c>
      <c r="AW215" s="16" t="n">
        <v>0</v>
      </c>
      <c r="AX215" s="16" t="n">
        <v>0</v>
      </c>
      <c r="AY215" s="16" t="n">
        <v>0</v>
      </c>
      <c r="AZ215" s="16" t="n">
        <v>0</v>
      </c>
      <c r="BA215" s="16" t="n">
        <v>0</v>
      </c>
      <c r="BB215" s="16" t="n">
        <v>0</v>
      </c>
      <c r="BC215" s="16" t="n">
        <v>0</v>
      </c>
      <c r="BD215" s="16" t="n">
        <v>0</v>
      </c>
      <c r="BE215" s="16" t="n">
        <v>0</v>
      </c>
      <c r="BF215" s="16" t="n">
        <v>0</v>
      </c>
      <c r="BG215" s="16" t="n">
        <v>0</v>
      </c>
      <c r="BH215" s="16" t="n">
        <v>0</v>
      </c>
      <c r="BI215" s="16" t="n">
        <v>0</v>
      </c>
      <c r="BJ215" s="16" t="n">
        <v>0</v>
      </c>
      <c r="BK215" s="16" t="n">
        <v>0</v>
      </c>
      <c r="BL215" s="16" t="n">
        <v>0</v>
      </c>
      <c r="BM215" s="16" t="n">
        <v>0</v>
      </c>
      <c r="BN215" s="16" t="n">
        <v>0</v>
      </c>
      <c r="BO215" s="16" t="n">
        <v>0</v>
      </c>
      <c r="BP215" s="16" t="n">
        <v>0</v>
      </c>
      <c r="BQ215" s="16" t="n">
        <v>0</v>
      </c>
      <c r="BR215" s="16" t="n">
        <v>0</v>
      </c>
      <c r="BS215" s="16" t="n">
        <v>0</v>
      </c>
      <c r="BT215" s="16" t="n">
        <v>0</v>
      </c>
      <c r="BU215" s="16" t="n">
        <v>0</v>
      </c>
      <c r="BV215" s="16" t="n">
        <v>0</v>
      </c>
      <c r="BW215" s="16" t="n">
        <v>0</v>
      </c>
      <c r="BX215" s="16" t="n">
        <v>0</v>
      </c>
      <c r="BY215" s="16" t="n">
        <v>0</v>
      </c>
      <c r="BZ215" s="16" t="n">
        <v>0</v>
      </c>
      <c r="CA215" s="16" t="n">
        <v>0</v>
      </c>
      <c r="CB215" s="16" t="n">
        <v>0</v>
      </c>
      <c r="CC215" s="16" t="n">
        <v>0</v>
      </c>
      <c r="CD215" s="16" t="n">
        <v>0</v>
      </c>
      <c r="CE215" s="16" t="n">
        <v>0</v>
      </c>
      <c r="CF215" s="16" t="n">
        <v>0</v>
      </c>
      <c r="CG215" s="16" t="n">
        <v>0</v>
      </c>
      <c r="CH215" s="16" t="n">
        <v>0</v>
      </c>
      <c r="CI215" s="16" t="n">
        <v>0</v>
      </c>
      <c r="CJ215" s="16" t="n">
        <v>0</v>
      </c>
      <c r="CK215" s="16" t="n">
        <v>0</v>
      </c>
      <c r="CL215" s="16" t="n">
        <v>0</v>
      </c>
      <c r="CM215" s="16" t="n">
        <v>0</v>
      </c>
      <c r="CN215" s="16" t="n">
        <v>0</v>
      </c>
      <c r="CO215" s="16" t="n">
        <v>0</v>
      </c>
      <c r="CP215" s="16" t="n">
        <v>0</v>
      </c>
      <c r="CQ215" s="16" t="n">
        <v>0</v>
      </c>
      <c r="CR215" s="16" t="n">
        <v>0</v>
      </c>
      <c r="CS215" s="16" t="n">
        <v>0.884615</v>
      </c>
      <c r="CT215" s="16" t="n">
        <v>0.884615</v>
      </c>
      <c r="CU215" s="16" t="n">
        <v>0.884615</v>
      </c>
      <c r="CV215" s="16" t="n">
        <v>0.884615</v>
      </c>
      <c r="CW215" s="16" t="n">
        <v>0.884615</v>
      </c>
      <c r="CX215" s="16" t="n">
        <v>0.884615</v>
      </c>
      <c r="CY215" s="16" t="n">
        <v>0.884615</v>
      </c>
      <c r="CZ215" s="16" t="n">
        <v>0.884615</v>
      </c>
      <c r="DA215" s="16" t="n">
        <v>0.884615</v>
      </c>
      <c r="DB215" s="16" t="n">
        <v>0.884615</v>
      </c>
      <c r="DC215" s="16" t="n">
        <v>0.884615</v>
      </c>
      <c r="DD215" s="16" t="n">
        <v>0.884615</v>
      </c>
      <c r="DE215" s="16" t="n">
        <v>0.884615</v>
      </c>
      <c r="DF215" s="16" t="n">
        <v>0.884615</v>
      </c>
      <c r="DG215" s="16" t="n">
        <v>0.884615</v>
      </c>
      <c r="DH215" s="16" t="n">
        <v>0.884615</v>
      </c>
      <c r="DI215" s="16" t="n">
        <v>0.884615</v>
      </c>
      <c r="DJ215" s="16" t="n">
        <v>0.884615</v>
      </c>
      <c r="DK215" s="16" t="n">
        <v>2</v>
      </c>
      <c r="DL215" s="16" t="n">
        <v>2</v>
      </c>
      <c r="DM215" s="16" t="n">
        <v>2</v>
      </c>
      <c r="DN215" s="16" t="n">
        <v>2.5</v>
      </c>
      <c r="DO215" s="16" t="n">
        <v>2.4</v>
      </c>
      <c r="DP215" s="16" t="n">
        <v>2</v>
      </c>
      <c r="DQ215" s="16" t="n">
        <v>2</v>
      </c>
      <c r="DR215" s="16" t="n">
        <v>2</v>
      </c>
      <c r="DS215" s="16" t="n">
        <v>0</v>
      </c>
      <c r="DT215" s="16" t="n">
        <v>0</v>
      </c>
      <c r="DU215" s="16" t="n">
        <v>0</v>
      </c>
      <c r="DV215" s="16" t="n">
        <v>0</v>
      </c>
      <c r="DW215" s="16" t="n">
        <v>0</v>
      </c>
      <c r="DX215" s="16" t="n">
        <v>0</v>
      </c>
      <c r="DY215" s="16" t="n">
        <v>0</v>
      </c>
      <c r="DZ215" s="16" t="n">
        <v>0</v>
      </c>
      <c r="EA215" s="16" t="n">
        <v>0</v>
      </c>
      <c r="EB215" s="16" t="n">
        <v>0</v>
      </c>
      <c r="EC215" s="16" t="n">
        <v>0</v>
      </c>
      <c r="ED215" s="16" t="n">
        <v>0</v>
      </c>
      <c r="EE215" s="16" t="n">
        <v>0</v>
      </c>
      <c r="EF215" s="16" t="n">
        <v>0</v>
      </c>
    </row>
    <row r="216" customFormat="false" ht="15" hidden="false" customHeight="true" outlineLevel="0" collapsed="false">
      <c r="A216" s="9" t="s">
        <v>12</v>
      </c>
      <c r="B216" s="9" t="s">
        <v>123</v>
      </c>
      <c r="C216" s="9" t="s">
        <v>123</v>
      </c>
      <c r="D216" s="9" t="s">
        <v>336</v>
      </c>
      <c r="E216" s="9" t="s">
        <v>14</v>
      </c>
      <c r="F216" s="9" t="s">
        <v>82</v>
      </c>
      <c r="G216" s="16" t="n">
        <v>3</v>
      </c>
      <c r="H216" s="16" t="n">
        <v>3</v>
      </c>
      <c r="I216" s="16" t="n">
        <v>3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3</v>
      </c>
      <c r="AC216" s="16" t="n">
        <v>0</v>
      </c>
      <c r="AD216" s="16" t="n">
        <v>0</v>
      </c>
      <c r="AE216" s="16" t="n">
        <v>0</v>
      </c>
      <c r="AF216" s="16" t="n">
        <v>0</v>
      </c>
      <c r="AG216" s="16" t="n">
        <v>0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0</v>
      </c>
      <c r="AR216" s="16" t="n">
        <v>0</v>
      </c>
      <c r="AS216" s="16" t="n">
        <v>0</v>
      </c>
      <c r="AT216" s="16" t="n">
        <v>0</v>
      </c>
      <c r="AU216" s="16" t="n">
        <v>0</v>
      </c>
      <c r="AV216" s="16" t="n">
        <v>0</v>
      </c>
      <c r="AW216" s="16" t="n">
        <v>0</v>
      </c>
      <c r="AX216" s="16" t="n">
        <v>0</v>
      </c>
      <c r="AY216" s="16" t="n">
        <v>0</v>
      </c>
      <c r="AZ216" s="16" t="n">
        <v>0</v>
      </c>
      <c r="BA216" s="16" t="n">
        <v>0</v>
      </c>
      <c r="BB216" s="16" t="n">
        <v>0</v>
      </c>
      <c r="BC216" s="16" t="n">
        <v>0</v>
      </c>
      <c r="BD216" s="16" t="n">
        <v>0</v>
      </c>
      <c r="BE216" s="16" t="n">
        <v>0</v>
      </c>
      <c r="BF216" s="16" t="n">
        <v>0</v>
      </c>
      <c r="BG216" s="16" t="n">
        <v>0</v>
      </c>
      <c r="BH216" s="16" t="n">
        <v>0</v>
      </c>
      <c r="BI216" s="16" t="n">
        <v>0</v>
      </c>
      <c r="BJ216" s="16" t="n">
        <v>0</v>
      </c>
      <c r="BK216" s="16" t="n">
        <v>0</v>
      </c>
      <c r="BL216" s="16" t="n">
        <v>0</v>
      </c>
      <c r="BM216" s="16" t="n">
        <v>0</v>
      </c>
      <c r="BN216" s="16" t="n">
        <v>0</v>
      </c>
      <c r="BO216" s="16" t="n">
        <v>0</v>
      </c>
      <c r="BP216" s="16" t="n">
        <v>0</v>
      </c>
      <c r="BQ216" s="16" t="n">
        <v>0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0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0</v>
      </c>
      <c r="CD216" s="16" t="n">
        <v>0</v>
      </c>
      <c r="CE216" s="16" t="n">
        <v>0</v>
      </c>
      <c r="CF216" s="16" t="n">
        <v>0</v>
      </c>
      <c r="CG216" s="16" t="n">
        <v>0</v>
      </c>
      <c r="CH216" s="16" t="n">
        <v>0</v>
      </c>
      <c r="CI216" s="16" t="n">
        <v>0</v>
      </c>
      <c r="CJ216" s="16" t="n">
        <v>0</v>
      </c>
      <c r="CK216" s="16" t="n">
        <v>0</v>
      </c>
      <c r="CL216" s="16" t="n">
        <v>0</v>
      </c>
      <c r="CM216" s="16" t="n">
        <v>0</v>
      </c>
      <c r="CN216" s="16" t="n">
        <v>0</v>
      </c>
      <c r="CO216" s="16" t="n">
        <v>0</v>
      </c>
      <c r="CP216" s="16" t="n">
        <v>0</v>
      </c>
      <c r="CQ216" s="16" t="n">
        <v>0</v>
      </c>
      <c r="CR216" s="16" t="n">
        <v>0</v>
      </c>
      <c r="CS216" s="16" t="n">
        <v>0</v>
      </c>
      <c r="CT216" s="16" t="n">
        <v>0</v>
      </c>
      <c r="CU216" s="16" t="n">
        <v>0</v>
      </c>
      <c r="CV216" s="16" t="n">
        <v>0</v>
      </c>
      <c r="CW216" s="16" t="n">
        <v>0</v>
      </c>
      <c r="CX216" s="16" t="n">
        <v>0</v>
      </c>
      <c r="CY216" s="16" t="n">
        <v>0</v>
      </c>
      <c r="CZ216" s="16" t="n">
        <v>0</v>
      </c>
      <c r="DA216" s="16" t="n">
        <v>0</v>
      </c>
      <c r="DB216" s="16" t="n">
        <v>0</v>
      </c>
      <c r="DC216" s="16" t="n">
        <v>0</v>
      </c>
      <c r="DD216" s="16" t="n">
        <v>0</v>
      </c>
      <c r="DE216" s="16" t="n">
        <v>0</v>
      </c>
      <c r="DF216" s="16" t="n">
        <v>0</v>
      </c>
      <c r="DG216" s="16" t="n">
        <v>0</v>
      </c>
      <c r="DH216" s="16" t="n">
        <v>0</v>
      </c>
      <c r="DI216" s="16" t="n">
        <v>0</v>
      </c>
      <c r="DJ216" s="16" t="n">
        <v>0</v>
      </c>
      <c r="DK216" s="16" t="n">
        <v>0</v>
      </c>
      <c r="DL216" s="16" t="n">
        <v>0</v>
      </c>
      <c r="DM216" s="16" t="n">
        <v>0</v>
      </c>
      <c r="DN216" s="16" t="n">
        <v>0</v>
      </c>
      <c r="DO216" s="16" t="n">
        <v>0</v>
      </c>
      <c r="DP216" s="16" t="n">
        <v>0</v>
      </c>
      <c r="DQ216" s="16" t="n">
        <v>0</v>
      </c>
      <c r="DR216" s="16" t="n">
        <v>0</v>
      </c>
      <c r="DS216" s="16" t="n">
        <v>0</v>
      </c>
      <c r="DT216" s="16" t="n">
        <v>0</v>
      </c>
      <c r="DU216" s="16" t="n">
        <v>0</v>
      </c>
      <c r="DV216" s="16" t="n">
        <v>0</v>
      </c>
      <c r="DW216" s="16" t="n">
        <v>0</v>
      </c>
      <c r="DX216" s="16" t="n">
        <v>0</v>
      </c>
      <c r="DY216" s="16" t="n">
        <v>0</v>
      </c>
      <c r="DZ216" s="16" t="n">
        <v>0</v>
      </c>
      <c r="EA216" s="16" t="n">
        <v>0</v>
      </c>
      <c r="EB216" s="16" t="n">
        <v>0</v>
      </c>
      <c r="EC216" s="16" t="n">
        <v>0</v>
      </c>
      <c r="ED216" s="16" t="n">
        <v>0</v>
      </c>
      <c r="EE216" s="16" t="n">
        <v>0</v>
      </c>
      <c r="EF216" s="16" t="n">
        <v>0</v>
      </c>
    </row>
    <row r="217" customFormat="false" ht="15" hidden="false" customHeight="true" outlineLevel="0" collapsed="false">
      <c r="A217" s="9" t="s">
        <v>12</v>
      </c>
      <c r="B217" s="9" t="s">
        <v>123</v>
      </c>
      <c r="C217" s="9" t="s">
        <v>123</v>
      </c>
      <c r="D217" s="9" t="s">
        <v>336</v>
      </c>
      <c r="E217" s="9" t="s">
        <v>14</v>
      </c>
      <c r="F217" s="9" t="s">
        <v>82</v>
      </c>
      <c r="G217" s="16" t="n">
        <v>0</v>
      </c>
      <c r="H217" s="16" t="n">
        <v>0</v>
      </c>
      <c r="I217" s="16" t="n">
        <v>5</v>
      </c>
      <c r="J217" s="16" t="n">
        <v>-5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4</v>
      </c>
      <c r="AA217" s="16" t="n">
        <v>1</v>
      </c>
      <c r="AB217" s="16" t="n">
        <v>0</v>
      </c>
      <c r="AC217" s="16" t="n">
        <v>0</v>
      </c>
      <c r="AD217" s="16" t="n">
        <v>0</v>
      </c>
      <c r="AE217" s="16" t="n">
        <v>0</v>
      </c>
      <c r="AF217" s="16" t="n">
        <v>0</v>
      </c>
      <c r="AG217" s="16" t="n">
        <v>0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0</v>
      </c>
      <c r="AR217" s="16" t="n">
        <v>0</v>
      </c>
      <c r="AS217" s="16" t="n">
        <v>0</v>
      </c>
      <c r="AT217" s="16" t="n">
        <v>0</v>
      </c>
      <c r="AU217" s="16" t="n">
        <v>0</v>
      </c>
      <c r="AV217" s="16" t="n">
        <v>0</v>
      </c>
      <c r="AW217" s="16" t="n">
        <v>0</v>
      </c>
      <c r="AX217" s="16" t="n">
        <v>0</v>
      </c>
      <c r="AY217" s="16" t="n">
        <v>0</v>
      </c>
      <c r="AZ217" s="16" t="n">
        <v>0</v>
      </c>
      <c r="BA217" s="16" t="n">
        <v>0</v>
      </c>
      <c r="BB217" s="16" t="n">
        <v>0</v>
      </c>
      <c r="BC217" s="16" t="n">
        <v>0</v>
      </c>
      <c r="BD217" s="16" t="n">
        <v>0</v>
      </c>
      <c r="BE217" s="16" t="n">
        <v>0</v>
      </c>
      <c r="BF217" s="16" t="n">
        <v>0</v>
      </c>
      <c r="BG217" s="16" t="n">
        <v>0</v>
      </c>
      <c r="BH217" s="16" t="n">
        <v>0</v>
      </c>
      <c r="BI217" s="16" t="n">
        <v>0</v>
      </c>
      <c r="BJ217" s="16" t="n">
        <v>0</v>
      </c>
      <c r="BK217" s="16" t="n">
        <v>0</v>
      </c>
      <c r="BL217" s="16" t="n">
        <v>0</v>
      </c>
      <c r="BM217" s="16" t="n">
        <v>0</v>
      </c>
      <c r="BN217" s="16" t="n">
        <v>0</v>
      </c>
      <c r="BO217" s="16" t="n">
        <v>0</v>
      </c>
      <c r="BP217" s="16" t="n">
        <v>0</v>
      </c>
      <c r="BQ217" s="16" t="n">
        <v>0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0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0</v>
      </c>
      <c r="CD217" s="16" t="n">
        <v>0</v>
      </c>
      <c r="CE217" s="16" t="n">
        <v>0</v>
      </c>
      <c r="CF217" s="16" t="n">
        <v>0</v>
      </c>
      <c r="CG217" s="16" t="n">
        <v>0</v>
      </c>
      <c r="CH217" s="16" t="n">
        <v>0</v>
      </c>
      <c r="CI217" s="16" t="n">
        <v>0</v>
      </c>
      <c r="CJ217" s="16" t="n">
        <v>0</v>
      </c>
      <c r="CK217" s="16" t="n">
        <v>0</v>
      </c>
      <c r="CL217" s="16" t="n">
        <v>0</v>
      </c>
      <c r="CM217" s="16" t="n">
        <v>0</v>
      </c>
      <c r="CN217" s="16" t="n">
        <v>0</v>
      </c>
      <c r="CO217" s="16" t="n">
        <v>0</v>
      </c>
      <c r="CP217" s="16" t="n">
        <v>0</v>
      </c>
      <c r="CQ217" s="16" t="n">
        <v>0</v>
      </c>
      <c r="CR217" s="16" t="n">
        <v>0</v>
      </c>
      <c r="CS217" s="16" t="n">
        <v>0</v>
      </c>
      <c r="CT217" s="16" t="n">
        <v>0</v>
      </c>
      <c r="CU217" s="16" t="n">
        <v>0</v>
      </c>
      <c r="CV217" s="16" t="n">
        <v>0</v>
      </c>
      <c r="CW217" s="16" t="n">
        <v>0</v>
      </c>
      <c r="CX217" s="16" t="n">
        <v>0</v>
      </c>
      <c r="CY217" s="16" t="n">
        <v>0</v>
      </c>
      <c r="CZ217" s="16" t="n">
        <v>0</v>
      </c>
      <c r="DA217" s="16" t="n">
        <v>0</v>
      </c>
      <c r="DB217" s="16" t="n">
        <v>0</v>
      </c>
      <c r="DC217" s="16" t="n">
        <v>0</v>
      </c>
      <c r="DD217" s="16" t="n">
        <v>0</v>
      </c>
      <c r="DE217" s="16" t="n">
        <v>0</v>
      </c>
      <c r="DF217" s="16" t="n">
        <v>0</v>
      </c>
      <c r="DG217" s="16" t="n">
        <v>0</v>
      </c>
      <c r="DH217" s="16" t="n">
        <v>0</v>
      </c>
      <c r="DI217" s="16" t="n">
        <v>0</v>
      </c>
      <c r="DJ217" s="16" t="n">
        <v>0</v>
      </c>
      <c r="DK217" s="16" t="n">
        <v>0</v>
      </c>
      <c r="DL217" s="16" t="n">
        <v>0</v>
      </c>
      <c r="DM217" s="16" t="n">
        <v>0</v>
      </c>
      <c r="DN217" s="16" t="n">
        <v>0</v>
      </c>
      <c r="DO217" s="16" t="n">
        <v>0</v>
      </c>
      <c r="DP217" s="16" t="n">
        <v>0</v>
      </c>
      <c r="DQ217" s="16" t="n">
        <v>0</v>
      </c>
      <c r="DR217" s="16" t="n">
        <v>0</v>
      </c>
      <c r="DS217" s="16" t="n">
        <v>0</v>
      </c>
      <c r="DT217" s="16" t="n">
        <v>0</v>
      </c>
      <c r="DU217" s="16" t="n">
        <v>0</v>
      </c>
      <c r="DV217" s="16" t="n">
        <v>0</v>
      </c>
      <c r="DW217" s="16" t="n">
        <v>0</v>
      </c>
      <c r="DX217" s="16" t="n">
        <v>0</v>
      </c>
      <c r="DY217" s="16" t="n">
        <v>0</v>
      </c>
      <c r="DZ217" s="16" t="n">
        <v>0</v>
      </c>
      <c r="EA217" s="16" t="n">
        <v>0</v>
      </c>
      <c r="EB217" s="16" t="n">
        <v>0</v>
      </c>
      <c r="EC217" s="16" t="n">
        <v>0</v>
      </c>
      <c r="ED217" s="16" t="n">
        <v>0</v>
      </c>
      <c r="EE217" s="16" t="n">
        <v>0</v>
      </c>
      <c r="EF217" s="16" t="n">
        <v>0</v>
      </c>
    </row>
    <row r="218" customFormat="false" ht="15" hidden="false" customHeight="true" outlineLevel="0" collapsed="false">
      <c r="A218" s="9" t="s">
        <v>12</v>
      </c>
      <c r="B218" s="9" t="s">
        <v>123</v>
      </c>
      <c r="C218" s="9" t="s">
        <v>123</v>
      </c>
      <c r="D218" s="9" t="s">
        <v>342</v>
      </c>
      <c r="E218" s="9" t="s">
        <v>14</v>
      </c>
      <c r="F218" s="9" t="s">
        <v>82</v>
      </c>
      <c r="G218" s="16" t="n">
        <v>0</v>
      </c>
      <c r="H218" s="16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16" t="n">
        <v>0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16" t="n">
        <v>0</v>
      </c>
      <c r="AC218" s="16" t="n">
        <v>0</v>
      </c>
      <c r="AD218" s="16" t="n">
        <v>0</v>
      </c>
      <c r="AE218" s="16" t="n">
        <v>0</v>
      </c>
      <c r="AF218" s="16" t="n">
        <v>0</v>
      </c>
      <c r="AG218" s="16" t="n">
        <v>0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0</v>
      </c>
      <c r="AR218" s="16" t="n">
        <v>0</v>
      </c>
      <c r="AS218" s="16" t="n">
        <v>0</v>
      </c>
      <c r="AT218" s="16" t="n">
        <v>0</v>
      </c>
      <c r="AU218" s="16" t="n">
        <v>0</v>
      </c>
      <c r="AV218" s="16" t="n">
        <v>0</v>
      </c>
      <c r="AW218" s="16" t="n">
        <v>0</v>
      </c>
      <c r="AX218" s="16" t="n">
        <v>0</v>
      </c>
      <c r="AY218" s="16" t="n">
        <v>0</v>
      </c>
      <c r="AZ218" s="16" t="n">
        <v>0</v>
      </c>
      <c r="BA218" s="16" t="n">
        <v>0</v>
      </c>
      <c r="BB218" s="16" t="n">
        <v>0</v>
      </c>
      <c r="BC218" s="16" t="n">
        <v>0</v>
      </c>
      <c r="BD218" s="16" t="n">
        <v>0</v>
      </c>
      <c r="BE218" s="16" t="n">
        <v>0</v>
      </c>
      <c r="BF218" s="16" t="n">
        <v>0</v>
      </c>
      <c r="BG218" s="16" t="n">
        <v>0</v>
      </c>
      <c r="BH218" s="16" t="n">
        <v>0</v>
      </c>
      <c r="BI218" s="16" t="n">
        <v>0</v>
      </c>
      <c r="BJ218" s="16" t="n">
        <v>0</v>
      </c>
      <c r="BK218" s="16" t="n">
        <v>0</v>
      </c>
      <c r="BL218" s="16" t="n">
        <v>0</v>
      </c>
      <c r="BM218" s="16" t="n">
        <v>0</v>
      </c>
      <c r="BN218" s="16" t="n">
        <v>0</v>
      </c>
      <c r="BO218" s="16" t="n">
        <v>0</v>
      </c>
      <c r="BP218" s="16" t="n">
        <v>0</v>
      </c>
      <c r="BQ218" s="16" t="n">
        <v>0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0</v>
      </c>
      <c r="BY218" s="16" t="n">
        <v>0</v>
      </c>
      <c r="BZ218" s="16" t="n">
        <v>0</v>
      </c>
      <c r="CA218" s="16" t="n">
        <v>0</v>
      </c>
      <c r="CB218" s="16" t="n">
        <v>0</v>
      </c>
      <c r="CC218" s="16" t="n">
        <v>0</v>
      </c>
      <c r="CD218" s="16" t="n">
        <v>0</v>
      </c>
      <c r="CE218" s="16" t="n">
        <v>0</v>
      </c>
      <c r="CF218" s="16" t="n">
        <v>0</v>
      </c>
      <c r="CG218" s="16" t="n">
        <v>0</v>
      </c>
      <c r="CH218" s="16" t="n">
        <v>0</v>
      </c>
      <c r="CI218" s="16" t="n">
        <v>0</v>
      </c>
      <c r="CJ218" s="16" t="n">
        <v>0</v>
      </c>
      <c r="CK218" s="16" t="n">
        <v>0</v>
      </c>
      <c r="CL218" s="16" t="n">
        <v>0</v>
      </c>
      <c r="CM218" s="16" t="n">
        <v>0</v>
      </c>
      <c r="CN218" s="16" t="n">
        <v>0</v>
      </c>
      <c r="CO218" s="16" t="n">
        <v>0</v>
      </c>
      <c r="CP218" s="16" t="n">
        <v>0</v>
      </c>
      <c r="CQ218" s="16" t="n">
        <v>0</v>
      </c>
      <c r="CR218" s="16" t="n">
        <v>0</v>
      </c>
      <c r="CS218" s="16" t="n">
        <v>0</v>
      </c>
      <c r="CT218" s="16" t="n">
        <v>0</v>
      </c>
      <c r="CU218" s="16" t="n">
        <v>0</v>
      </c>
      <c r="CV218" s="16" t="n">
        <v>0</v>
      </c>
      <c r="CW218" s="16" t="n">
        <v>0</v>
      </c>
      <c r="CX218" s="16" t="n">
        <v>0</v>
      </c>
      <c r="CY218" s="16" t="n">
        <v>0</v>
      </c>
      <c r="CZ218" s="16" t="n">
        <v>0</v>
      </c>
      <c r="DA218" s="16" t="n">
        <v>0</v>
      </c>
      <c r="DB218" s="16" t="n">
        <v>0</v>
      </c>
      <c r="DC218" s="16" t="n">
        <v>0</v>
      </c>
      <c r="DD218" s="16" t="n">
        <v>0</v>
      </c>
      <c r="DE218" s="16" t="n">
        <v>0</v>
      </c>
      <c r="DF218" s="16" t="n">
        <v>0</v>
      </c>
      <c r="DG218" s="16" t="n">
        <v>0</v>
      </c>
      <c r="DH218" s="16" t="n">
        <v>0</v>
      </c>
      <c r="DI218" s="16" t="n">
        <v>0</v>
      </c>
      <c r="DJ218" s="16" t="n">
        <v>0</v>
      </c>
      <c r="DK218" s="16" t="n">
        <v>0</v>
      </c>
      <c r="DL218" s="16" t="n">
        <v>0</v>
      </c>
      <c r="DM218" s="16" t="n">
        <v>0</v>
      </c>
      <c r="DN218" s="16" t="n">
        <v>0</v>
      </c>
      <c r="DO218" s="16" t="n">
        <v>0</v>
      </c>
      <c r="DP218" s="16" t="n">
        <v>0</v>
      </c>
      <c r="DQ218" s="16" t="n">
        <v>0</v>
      </c>
      <c r="DR218" s="16" t="n">
        <v>0</v>
      </c>
      <c r="DS218" s="16" t="n">
        <v>0</v>
      </c>
      <c r="DT218" s="16" t="n">
        <v>0</v>
      </c>
      <c r="DU218" s="16" t="n">
        <v>0</v>
      </c>
      <c r="DV218" s="16" t="n">
        <v>0</v>
      </c>
      <c r="DW218" s="16" t="n">
        <v>0</v>
      </c>
      <c r="DX218" s="16" t="n">
        <v>0</v>
      </c>
      <c r="DY218" s="16" t="n">
        <v>0</v>
      </c>
      <c r="DZ218" s="16" t="n">
        <v>0</v>
      </c>
      <c r="EA218" s="16" t="n">
        <v>0</v>
      </c>
      <c r="EB218" s="16" t="n">
        <v>0</v>
      </c>
      <c r="EC218" s="16" t="n">
        <v>0</v>
      </c>
      <c r="ED218" s="16" t="n">
        <v>0</v>
      </c>
      <c r="EE218" s="16" t="n">
        <v>0</v>
      </c>
      <c r="EF218" s="16" t="n">
        <v>0</v>
      </c>
    </row>
    <row r="219" customFormat="false" ht="15" hidden="false" customHeight="true" outlineLevel="0" collapsed="false">
      <c r="A219" s="9" t="s">
        <v>12</v>
      </c>
      <c r="B219" s="9" t="s">
        <v>123</v>
      </c>
      <c r="C219" s="9" t="s">
        <v>123</v>
      </c>
      <c r="D219" s="9" t="s">
        <v>336</v>
      </c>
      <c r="E219" s="9" t="s">
        <v>14</v>
      </c>
      <c r="F219" s="9" t="s">
        <v>83</v>
      </c>
      <c r="G219" s="16" t="n">
        <v>0</v>
      </c>
      <c r="H219" s="16" t="n">
        <v>0</v>
      </c>
      <c r="I219" s="16" t="n">
        <v>0</v>
      </c>
      <c r="J219" s="16" t="n">
        <v>0</v>
      </c>
      <c r="K219" s="16" t="n">
        <v>0</v>
      </c>
      <c r="L219" s="16" t="n">
        <v>0</v>
      </c>
      <c r="M219" s="16" t="n">
        <v>0</v>
      </c>
      <c r="N219" s="16" t="n">
        <v>0</v>
      </c>
      <c r="O219" s="16" t="n">
        <v>0</v>
      </c>
      <c r="P219" s="16" t="n">
        <v>0</v>
      </c>
      <c r="Q219" s="16" t="n">
        <v>0</v>
      </c>
      <c r="R219" s="16" t="n">
        <v>0</v>
      </c>
      <c r="S219" s="16" t="n">
        <v>0</v>
      </c>
      <c r="T219" s="16" t="n">
        <v>0</v>
      </c>
      <c r="U219" s="16" t="n">
        <v>0</v>
      </c>
      <c r="V219" s="16" t="n">
        <v>0</v>
      </c>
      <c r="W219" s="16" t="n">
        <v>0</v>
      </c>
      <c r="X219" s="16" t="n">
        <v>0</v>
      </c>
      <c r="Y219" s="16" t="n">
        <v>0</v>
      </c>
      <c r="Z219" s="16" t="n">
        <v>0</v>
      </c>
      <c r="AA219" s="16" t="n">
        <v>0</v>
      </c>
      <c r="AB219" s="16" t="n">
        <v>0</v>
      </c>
      <c r="AC219" s="16" t="n">
        <v>0</v>
      </c>
      <c r="AD219" s="16" t="n">
        <v>0</v>
      </c>
      <c r="AE219" s="16" t="n">
        <v>0</v>
      </c>
      <c r="AF219" s="16" t="n">
        <v>0</v>
      </c>
      <c r="AG219" s="16" t="n">
        <v>0</v>
      </c>
      <c r="AH219" s="16" t="n">
        <v>0</v>
      </c>
      <c r="AI219" s="16" t="n">
        <v>0</v>
      </c>
      <c r="AJ219" s="16" t="n">
        <v>0</v>
      </c>
      <c r="AK219" s="16" t="n">
        <v>0</v>
      </c>
      <c r="AL219" s="16" t="n">
        <v>0</v>
      </c>
      <c r="AM219" s="16" t="n">
        <v>0</v>
      </c>
      <c r="AN219" s="16" t="n">
        <v>0</v>
      </c>
      <c r="AO219" s="16" t="n">
        <v>0</v>
      </c>
      <c r="AP219" s="16" t="n">
        <v>0</v>
      </c>
      <c r="AQ219" s="16" t="n">
        <v>0</v>
      </c>
      <c r="AR219" s="16" t="n">
        <v>0</v>
      </c>
      <c r="AS219" s="16" t="n">
        <v>0</v>
      </c>
      <c r="AT219" s="16" t="n">
        <v>0</v>
      </c>
      <c r="AU219" s="16" t="n">
        <v>0</v>
      </c>
      <c r="AV219" s="16" t="n">
        <v>0</v>
      </c>
      <c r="AW219" s="16" t="n">
        <v>0</v>
      </c>
      <c r="AX219" s="16" t="n">
        <v>0</v>
      </c>
      <c r="AY219" s="16" t="n">
        <v>0</v>
      </c>
      <c r="AZ219" s="16" t="n">
        <v>0</v>
      </c>
      <c r="BA219" s="16" t="n">
        <v>0</v>
      </c>
      <c r="BB219" s="16" t="n">
        <v>0</v>
      </c>
      <c r="BC219" s="16" t="n">
        <v>0</v>
      </c>
      <c r="BD219" s="16" t="n">
        <v>0</v>
      </c>
      <c r="BE219" s="16" t="n">
        <v>0</v>
      </c>
      <c r="BF219" s="16" t="n">
        <v>0</v>
      </c>
      <c r="BG219" s="16" t="n">
        <v>0</v>
      </c>
      <c r="BH219" s="16" t="n">
        <v>0</v>
      </c>
      <c r="BI219" s="16" t="n">
        <v>0</v>
      </c>
      <c r="BJ219" s="16" t="n">
        <v>0</v>
      </c>
      <c r="BK219" s="16" t="n">
        <v>0</v>
      </c>
      <c r="BL219" s="16" t="n">
        <v>0</v>
      </c>
      <c r="BM219" s="16" t="n">
        <v>0</v>
      </c>
      <c r="BN219" s="16" t="n">
        <v>0</v>
      </c>
      <c r="BO219" s="16" t="n">
        <v>0</v>
      </c>
      <c r="BP219" s="16" t="n">
        <v>0</v>
      </c>
      <c r="BQ219" s="16" t="n">
        <v>0</v>
      </c>
      <c r="BR219" s="16" t="n">
        <v>0</v>
      </c>
      <c r="BS219" s="16" t="n">
        <v>0</v>
      </c>
      <c r="BT219" s="16" t="n">
        <v>0</v>
      </c>
      <c r="BU219" s="16" t="n">
        <v>0</v>
      </c>
      <c r="BV219" s="16" t="n">
        <v>0</v>
      </c>
      <c r="BW219" s="16" t="n">
        <v>0</v>
      </c>
      <c r="BX219" s="16" t="n">
        <v>0</v>
      </c>
      <c r="BY219" s="16" t="n">
        <v>0</v>
      </c>
      <c r="BZ219" s="16" t="n">
        <v>0</v>
      </c>
      <c r="CA219" s="16" t="n">
        <v>0</v>
      </c>
      <c r="CB219" s="16" t="n">
        <v>0</v>
      </c>
      <c r="CC219" s="16" t="n">
        <v>0</v>
      </c>
      <c r="CD219" s="16" t="n">
        <v>0</v>
      </c>
      <c r="CE219" s="16" t="n">
        <v>0</v>
      </c>
      <c r="CF219" s="16" t="n">
        <v>0</v>
      </c>
      <c r="CG219" s="16" t="n">
        <v>0</v>
      </c>
      <c r="CH219" s="16" t="n">
        <v>0</v>
      </c>
      <c r="CI219" s="16" t="n">
        <v>0</v>
      </c>
      <c r="CJ219" s="16" t="n">
        <v>0</v>
      </c>
      <c r="CK219" s="16" t="n">
        <v>0</v>
      </c>
      <c r="CL219" s="16" t="n">
        <v>0</v>
      </c>
      <c r="CM219" s="16" t="n">
        <v>0</v>
      </c>
      <c r="CN219" s="16" t="n">
        <v>0</v>
      </c>
      <c r="CO219" s="16" t="n">
        <v>0</v>
      </c>
      <c r="CP219" s="16" t="n">
        <v>0</v>
      </c>
      <c r="CQ219" s="16" t="n">
        <v>0</v>
      </c>
      <c r="CR219" s="16" t="n">
        <v>0</v>
      </c>
      <c r="CS219" s="16" t="n">
        <v>0</v>
      </c>
      <c r="CT219" s="16" t="n">
        <v>0</v>
      </c>
      <c r="CU219" s="16" t="n">
        <v>0</v>
      </c>
      <c r="CV219" s="16" t="n">
        <v>0</v>
      </c>
      <c r="CW219" s="16" t="n">
        <v>0</v>
      </c>
      <c r="CX219" s="16" t="n">
        <v>0</v>
      </c>
      <c r="CY219" s="16" t="n">
        <v>0</v>
      </c>
      <c r="CZ219" s="16" t="n">
        <v>0</v>
      </c>
      <c r="DA219" s="16" t="n">
        <v>0</v>
      </c>
      <c r="DB219" s="16" t="n">
        <v>0</v>
      </c>
      <c r="DC219" s="16" t="n">
        <v>0</v>
      </c>
      <c r="DD219" s="16" t="n">
        <v>0</v>
      </c>
      <c r="DE219" s="16" t="n">
        <v>0</v>
      </c>
      <c r="DF219" s="16" t="n">
        <v>0</v>
      </c>
      <c r="DG219" s="16" t="n">
        <v>0</v>
      </c>
      <c r="DH219" s="16" t="n">
        <v>0</v>
      </c>
      <c r="DI219" s="16" t="n">
        <v>0</v>
      </c>
      <c r="DJ219" s="16" t="n">
        <v>0</v>
      </c>
      <c r="DK219" s="16" t="n">
        <v>0</v>
      </c>
      <c r="DL219" s="16" t="n">
        <v>0</v>
      </c>
      <c r="DM219" s="16" t="n">
        <v>0</v>
      </c>
      <c r="DN219" s="16" t="n">
        <v>0</v>
      </c>
      <c r="DO219" s="16" t="n">
        <v>0</v>
      </c>
      <c r="DP219" s="16" t="n">
        <v>0</v>
      </c>
      <c r="DQ219" s="16" t="n">
        <v>0</v>
      </c>
      <c r="DR219" s="16" t="n">
        <v>0</v>
      </c>
      <c r="DS219" s="16" t="n">
        <v>0</v>
      </c>
      <c r="DT219" s="16" t="n">
        <v>0</v>
      </c>
      <c r="DU219" s="16" t="n">
        <v>0</v>
      </c>
      <c r="DV219" s="16" t="n">
        <v>0</v>
      </c>
      <c r="DW219" s="16" t="n">
        <v>0</v>
      </c>
      <c r="DX219" s="16" t="n">
        <v>0</v>
      </c>
      <c r="DY219" s="16" t="n">
        <v>0</v>
      </c>
      <c r="DZ219" s="16" t="n">
        <v>0</v>
      </c>
      <c r="EA219" s="16" t="n">
        <v>0</v>
      </c>
      <c r="EB219" s="16" t="n">
        <v>0</v>
      </c>
      <c r="EC219" s="16" t="n">
        <v>0</v>
      </c>
      <c r="ED219" s="16" t="n">
        <v>0</v>
      </c>
      <c r="EE219" s="16" t="n">
        <v>0</v>
      </c>
      <c r="EF219" s="16" t="n">
        <v>0</v>
      </c>
    </row>
    <row r="220" customFormat="false" ht="15" hidden="false" customHeight="true" outlineLevel="0" collapsed="false">
      <c r="A220" s="9" t="s">
        <v>12</v>
      </c>
      <c r="B220" s="9" t="s">
        <v>123</v>
      </c>
      <c r="C220" s="9" t="s">
        <v>123</v>
      </c>
      <c r="D220" s="9" t="s">
        <v>342</v>
      </c>
      <c r="E220" s="9" t="s">
        <v>14</v>
      </c>
      <c r="F220" s="9" t="s">
        <v>83</v>
      </c>
      <c r="G220" s="16" t="n">
        <v>0</v>
      </c>
      <c r="H220" s="16" t="n">
        <v>0</v>
      </c>
      <c r="I220" s="16" t="n">
        <v>12</v>
      </c>
      <c r="J220" s="16" t="n">
        <v>-12</v>
      </c>
      <c r="K220" s="16" t="n">
        <v>0</v>
      </c>
      <c r="L220" s="16" t="n">
        <v>0</v>
      </c>
      <c r="M220" s="16" t="n">
        <v>0</v>
      </c>
      <c r="N220" s="16" t="n">
        <v>0</v>
      </c>
      <c r="O220" s="16" t="n">
        <v>0</v>
      </c>
      <c r="P220" s="16" t="n">
        <v>0</v>
      </c>
      <c r="Q220" s="16" t="n">
        <v>0</v>
      </c>
      <c r="R220" s="16" t="n">
        <v>0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0</v>
      </c>
      <c r="X220" s="16" t="n">
        <v>0</v>
      </c>
      <c r="Y220" s="16" t="n">
        <v>0</v>
      </c>
      <c r="Z220" s="16" t="n">
        <v>0</v>
      </c>
      <c r="AA220" s="16" t="n">
        <v>0</v>
      </c>
      <c r="AB220" s="16" t="n">
        <v>0</v>
      </c>
      <c r="AC220" s="16" t="n">
        <v>0</v>
      </c>
      <c r="AD220" s="16" t="n">
        <v>0</v>
      </c>
      <c r="AE220" s="16" t="n">
        <v>0</v>
      </c>
      <c r="AF220" s="16" t="n">
        <v>0</v>
      </c>
      <c r="AG220" s="16" t="n">
        <v>0</v>
      </c>
      <c r="AH220" s="16" t="n">
        <v>0</v>
      </c>
      <c r="AI220" s="16" t="n">
        <v>0</v>
      </c>
      <c r="AJ220" s="16" t="n">
        <v>0</v>
      </c>
      <c r="AK220" s="16" t="n">
        <v>0</v>
      </c>
      <c r="AL220" s="16" t="n">
        <v>0</v>
      </c>
      <c r="AM220" s="16" t="n">
        <v>8</v>
      </c>
      <c r="AN220" s="16" t="n">
        <v>4</v>
      </c>
      <c r="AO220" s="16" t="n">
        <v>0</v>
      </c>
      <c r="AP220" s="16" t="n">
        <v>0</v>
      </c>
      <c r="AQ220" s="16" t="n">
        <v>0</v>
      </c>
      <c r="AR220" s="16" t="n">
        <v>0</v>
      </c>
      <c r="AS220" s="16" t="n">
        <v>0</v>
      </c>
      <c r="AT220" s="16" t="n">
        <v>0</v>
      </c>
      <c r="AU220" s="16" t="n">
        <v>0</v>
      </c>
      <c r="AV220" s="16" t="n">
        <v>0</v>
      </c>
      <c r="AW220" s="16" t="n">
        <v>0</v>
      </c>
      <c r="AX220" s="16" t="n">
        <v>0</v>
      </c>
      <c r="AY220" s="16" t="n">
        <v>0</v>
      </c>
      <c r="AZ220" s="16" t="n">
        <v>0</v>
      </c>
      <c r="BA220" s="16" t="n">
        <v>0</v>
      </c>
      <c r="BB220" s="16" t="n">
        <v>0</v>
      </c>
      <c r="BC220" s="16" t="n">
        <v>0</v>
      </c>
      <c r="BD220" s="16" t="n">
        <v>0</v>
      </c>
      <c r="BE220" s="16" t="n">
        <v>0</v>
      </c>
      <c r="BF220" s="16" t="n">
        <v>0</v>
      </c>
      <c r="BG220" s="16" t="n">
        <v>0</v>
      </c>
      <c r="BH220" s="16" t="n">
        <v>0</v>
      </c>
      <c r="BI220" s="16" t="n">
        <v>0</v>
      </c>
      <c r="BJ220" s="16" t="n">
        <v>0</v>
      </c>
      <c r="BK220" s="16" t="n">
        <v>0</v>
      </c>
      <c r="BL220" s="16" t="n">
        <v>0</v>
      </c>
      <c r="BM220" s="16" t="n">
        <v>0</v>
      </c>
      <c r="BN220" s="16" t="n">
        <v>0</v>
      </c>
      <c r="BO220" s="16" t="n">
        <v>0</v>
      </c>
      <c r="BP220" s="16" t="n">
        <v>0</v>
      </c>
      <c r="BQ220" s="16" t="n">
        <v>0</v>
      </c>
      <c r="BR220" s="16" t="n">
        <v>0</v>
      </c>
      <c r="BS220" s="16" t="n">
        <v>0</v>
      </c>
      <c r="BT220" s="16" t="n">
        <v>0</v>
      </c>
      <c r="BU220" s="16" t="n">
        <v>0</v>
      </c>
      <c r="BV220" s="16" t="n">
        <v>0</v>
      </c>
      <c r="BW220" s="16" t="n">
        <v>0</v>
      </c>
      <c r="BX220" s="16" t="n">
        <v>0</v>
      </c>
      <c r="BY220" s="16" t="n">
        <v>0</v>
      </c>
      <c r="BZ220" s="16" t="n">
        <v>0</v>
      </c>
      <c r="CA220" s="16" t="n">
        <v>0</v>
      </c>
      <c r="CB220" s="16" t="n">
        <v>0</v>
      </c>
      <c r="CC220" s="16" t="n">
        <v>0</v>
      </c>
      <c r="CD220" s="16" t="n">
        <v>0</v>
      </c>
      <c r="CE220" s="16" t="n">
        <v>0</v>
      </c>
      <c r="CF220" s="16" t="n">
        <v>0</v>
      </c>
      <c r="CG220" s="16" t="n">
        <v>0</v>
      </c>
      <c r="CH220" s="16" t="n">
        <v>0</v>
      </c>
      <c r="CI220" s="16" t="n">
        <v>0</v>
      </c>
      <c r="CJ220" s="16" t="n">
        <v>0</v>
      </c>
      <c r="CK220" s="16" t="n">
        <v>0</v>
      </c>
      <c r="CL220" s="16" t="n">
        <v>0</v>
      </c>
      <c r="CM220" s="16" t="n">
        <v>0</v>
      </c>
      <c r="CN220" s="16" t="n">
        <v>0</v>
      </c>
      <c r="CO220" s="16" t="n">
        <v>0</v>
      </c>
      <c r="CP220" s="16" t="n">
        <v>0</v>
      </c>
      <c r="CQ220" s="16" t="n">
        <v>0</v>
      </c>
      <c r="CR220" s="16" t="n">
        <v>0</v>
      </c>
      <c r="CS220" s="16" t="n">
        <v>0</v>
      </c>
      <c r="CT220" s="16" t="n">
        <v>0</v>
      </c>
      <c r="CU220" s="16" t="n">
        <v>0</v>
      </c>
      <c r="CV220" s="16" t="n">
        <v>0</v>
      </c>
      <c r="CW220" s="16" t="n">
        <v>0</v>
      </c>
      <c r="CX220" s="16" t="n">
        <v>0</v>
      </c>
      <c r="CY220" s="16" t="n">
        <v>0</v>
      </c>
      <c r="CZ220" s="16" t="n">
        <v>0</v>
      </c>
      <c r="DA220" s="16" t="n">
        <v>0</v>
      </c>
      <c r="DB220" s="16" t="n">
        <v>0</v>
      </c>
      <c r="DC220" s="16" t="n">
        <v>0</v>
      </c>
      <c r="DD220" s="16" t="n">
        <v>0</v>
      </c>
      <c r="DE220" s="16" t="n">
        <v>0</v>
      </c>
      <c r="DF220" s="16" t="n">
        <v>0</v>
      </c>
      <c r="DG220" s="16" t="n">
        <v>0</v>
      </c>
      <c r="DH220" s="16" t="n">
        <v>0</v>
      </c>
      <c r="DI220" s="16" t="n">
        <v>0</v>
      </c>
      <c r="DJ220" s="16" t="n">
        <v>0</v>
      </c>
      <c r="DK220" s="16" t="n">
        <v>0</v>
      </c>
      <c r="DL220" s="16" t="n">
        <v>0</v>
      </c>
      <c r="DM220" s="16" t="n">
        <v>0</v>
      </c>
      <c r="DN220" s="16" t="n">
        <v>0</v>
      </c>
      <c r="DO220" s="16" t="n">
        <v>0</v>
      </c>
      <c r="DP220" s="16" t="n">
        <v>0</v>
      </c>
      <c r="DQ220" s="16" t="n">
        <v>0</v>
      </c>
      <c r="DR220" s="16" t="n">
        <v>0</v>
      </c>
      <c r="DS220" s="16" t="n">
        <v>0</v>
      </c>
      <c r="DT220" s="16" t="n">
        <v>0</v>
      </c>
      <c r="DU220" s="16" t="n">
        <v>0</v>
      </c>
      <c r="DV220" s="16" t="n">
        <v>0</v>
      </c>
      <c r="DW220" s="16" t="n">
        <v>0</v>
      </c>
      <c r="DX220" s="16" t="n">
        <v>0</v>
      </c>
      <c r="DY220" s="16" t="n">
        <v>0</v>
      </c>
      <c r="DZ220" s="16" t="n">
        <v>0</v>
      </c>
      <c r="EA220" s="16" t="n">
        <v>0</v>
      </c>
      <c r="EB220" s="16" t="n">
        <v>0</v>
      </c>
      <c r="EC220" s="16" t="n">
        <v>0</v>
      </c>
      <c r="ED220" s="16" t="n">
        <v>0</v>
      </c>
      <c r="EE220" s="16" t="n">
        <v>0</v>
      </c>
      <c r="EF220" s="16" t="n">
        <v>0</v>
      </c>
    </row>
    <row r="221" customFormat="false" ht="15" hidden="false" customHeight="true" outlineLevel="0" collapsed="false">
      <c r="A221" s="9" t="s">
        <v>12</v>
      </c>
      <c r="B221" s="9" t="s">
        <v>123</v>
      </c>
      <c r="C221" s="9" t="s">
        <v>123</v>
      </c>
      <c r="D221" s="9" t="s">
        <v>336</v>
      </c>
      <c r="E221" s="9" t="s">
        <v>14</v>
      </c>
      <c r="F221" s="9" t="s">
        <v>46</v>
      </c>
      <c r="G221" s="16" t="n">
        <v>60</v>
      </c>
      <c r="H221" s="16" t="n">
        <v>170</v>
      </c>
      <c r="I221" s="16" t="n">
        <v>26.5</v>
      </c>
      <c r="J221" s="16" t="n">
        <v>143.5</v>
      </c>
      <c r="K221" s="16" t="n">
        <v>0</v>
      </c>
      <c r="L221" s="16" t="n">
        <v>0</v>
      </c>
      <c r="M221" s="16" t="n">
        <v>0</v>
      </c>
      <c r="N221" s="16" t="n">
        <v>0</v>
      </c>
      <c r="O221" s="16" t="n">
        <v>0</v>
      </c>
      <c r="P221" s="16" t="n">
        <v>0</v>
      </c>
      <c r="Q221" s="16" t="n">
        <v>0</v>
      </c>
      <c r="R221" s="16" t="n">
        <v>0</v>
      </c>
      <c r="S221" s="16" t="n">
        <v>0</v>
      </c>
      <c r="T221" s="16" t="n">
        <v>0</v>
      </c>
      <c r="U221" s="16" t="n">
        <v>0</v>
      </c>
      <c r="V221" s="16" t="n">
        <v>0</v>
      </c>
      <c r="W221" s="16" t="n">
        <v>0</v>
      </c>
      <c r="X221" s="16" t="n">
        <v>0</v>
      </c>
      <c r="Y221" s="16" t="n">
        <v>0</v>
      </c>
      <c r="Z221" s="16" t="n">
        <v>0</v>
      </c>
      <c r="AA221" s="16" t="n">
        <v>0</v>
      </c>
      <c r="AB221" s="16" t="n">
        <v>0</v>
      </c>
      <c r="AC221" s="16" t="n">
        <v>16</v>
      </c>
      <c r="AD221" s="16" t="n">
        <v>3</v>
      </c>
      <c r="AE221" s="16" t="n">
        <v>5</v>
      </c>
      <c r="AF221" s="16" t="n">
        <v>1</v>
      </c>
      <c r="AG221" s="16" t="n">
        <v>1.5</v>
      </c>
      <c r="AH221" s="16" t="n">
        <v>0</v>
      </c>
      <c r="AI221" s="16" t="n">
        <v>0</v>
      </c>
      <c r="AJ221" s="16" t="n">
        <v>0</v>
      </c>
      <c r="AK221" s="16" t="n">
        <v>0</v>
      </c>
      <c r="AL221" s="16" t="n">
        <v>0</v>
      </c>
      <c r="AM221" s="16" t="n">
        <v>0</v>
      </c>
      <c r="AN221" s="16" t="n">
        <v>0</v>
      </c>
      <c r="AO221" s="16" t="n">
        <v>0</v>
      </c>
      <c r="AP221" s="16" t="n">
        <v>0</v>
      </c>
      <c r="AQ221" s="16" t="n">
        <v>0</v>
      </c>
      <c r="AR221" s="16" t="n">
        <v>0</v>
      </c>
      <c r="AS221" s="16" t="n">
        <v>0</v>
      </c>
      <c r="AT221" s="16" t="n">
        <v>0</v>
      </c>
      <c r="AU221" s="16" t="n">
        <v>0</v>
      </c>
      <c r="AV221" s="16" t="n">
        <v>0</v>
      </c>
      <c r="AW221" s="16" t="n">
        <v>0</v>
      </c>
      <c r="AX221" s="16" t="n">
        <v>0</v>
      </c>
      <c r="AY221" s="16" t="n">
        <v>0</v>
      </c>
      <c r="AZ221" s="16" t="n">
        <v>0</v>
      </c>
      <c r="BA221" s="16" t="n">
        <v>0</v>
      </c>
      <c r="BB221" s="16" t="n">
        <v>0</v>
      </c>
      <c r="BC221" s="16" t="n">
        <v>0</v>
      </c>
      <c r="BD221" s="16" t="n">
        <v>0</v>
      </c>
      <c r="BE221" s="16" t="n">
        <v>0</v>
      </c>
      <c r="BF221" s="16" t="n">
        <v>0</v>
      </c>
      <c r="BG221" s="16" t="n">
        <v>0</v>
      </c>
      <c r="BH221" s="16" t="n">
        <v>0</v>
      </c>
      <c r="BI221" s="16" t="n">
        <v>0</v>
      </c>
      <c r="BJ221" s="16" t="n">
        <v>0</v>
      </c>
      <c r="BK221" s="16" t="n">
        <v>0</v>
      </c>
      <c r="BL221" s="16" t="n">
        <v>0</v>
      </c>
      <c r="BM221" s="16" t="n">
        <v>0</v>
      </c>
      <c r="BN221" s="16" t="n">
        <v>0</v>
      </c>
      <c r="BO221" s="16" t="n">
        <v>0</v>
      </c>
      <c r="BP221" s="16" t="n">
        <v>0</v>
      </c>
      <c r="BQ221" s="16" t="n">
        <v>0</v>
      </c>
      <c r="BR221" s="16" t="n">
        <v>0</v>
      </c>
      <c r="BS221" s="16" t="n">
        <v>0</v>
      </c>
      <c r="BT221" s="16" t="n">
        <v>0</v>
      </c>
      <c r="BU221" s="16" t="n">
        <v>0</v>
      </c>
      <c r="BV221" s="16" t="n">
        <v>0</v>
      </c>
      <c r="BW221" s="16" t="n">
        <v>0</v>
      </c>
      <c r="BX221" s="16" t="n">
        <v>0</v>
      </c>
      <c r="BY221" s="16" t="n">
        <v>0</v>
      </c>
      <c r="BZ221" s="16" t="n">
        <v>0</v>
      </c>
      <c r="CA221" s="16" t="n">
        <v>0</v>
      </c>
      <c r="CB221" s="16" t="n">
        <v>0</v>
      </c>
      <c r="CC221" s="16" t="n">
        <v>0</v>
      </c>
      <c r="CD221" s="16" t="n">
        <v>0</v>
      </c>
      <c r="CE221" s="16" t="n">
        <v>0</v>
      </c>
      <c r="CF221" s="16" t="n">
        <v>0</v>
      </c>
      <c r="CG221" s="16" t="n">
        <v>0</v>
      </c>
      <c r="CH221" s="16" t="n">
        <v>0</v>
      </c>
      <c r="CI221" s="16" t="n">
        <v>0</v>
      </c>
      <c r="CJ221" s="16" t="n">
        <v>0</v>
      </c>
      <c r="CK221" s="16" t="n">
        <v>0</v>
      </c>
      <c r="CL221" s="16" t="n">
        <v>0</v>
      </c>
      <c r="CM221" s="16" t="n">
        <v>0</v>
      </c>
      <c r="CN221" s="16" t="n">
        <v>0</v>
      </c>
      <c r="CO221" s="16" t="n">
        <v>0</v>
      </c>
      <c r="CP221" s="16" t="n">
        <v>0</v>
      </c>
      <c r="CQ221" s="16" t="n">
        <v>0</v>
      </c>
      <c r="CR221" s="16" t="n">
        <v>0</v>
      </c>
      <c r="CS221" s="16" t="n">
        <v>0</v>
      </c>
      <c r="CT221" s="16" t="n">
        <v>0</v>
      </c>
      <c r="CU221" s="16" t="n">
        <v>0</v>
      </c>
      <c r="CV221" s="16" t="n">
        <v>0</v>
      </c>
      <c r="CW221" s="16" t="n">
        <v>0</v>
      </c>
      <c r="CX221" s="16" t="n">
        <v>0</v>
      </c>
      <c r="CY221" s="16" t="n">
        <v>0</v>
      </c>
      <c r="CZ221" s="16" t="n">
        <v>0</v>
      </c>
      <c r="DA221" s="16" t="n">
        <v>0</v>
      </c>
      <c r="DB221" s="16" t="n">
        <v>0</v>
      </c>
      <c r="DC221" s="16" t="n">
        <v>0</v>
      </c>
      <c r="DD221" s="16" t="n">
        <v>0</v>
      </c>
      <c r="DE221" s="16" t="n">
        <v>0</v>
      </c>
      <c r="DF221" s="16" t="n">
        <v>0</v>
      </c>
      <c r="DG221" s="16" t="n">
        <v>0</v>
      </c>
      <c r="DH221" s="16" t="n">
        <v>0</v>
      </c>
      <c r="DI221" s="16" t="n">
        <v>0</v>
      </c>
      <c r="DJ221" s="16" t="n">
        <v>0</v>
      </c>
      <c r="DK221" s="16" t="n">
        <v>0</v>
      </c>
      <c r="DL221" s="16" t="n">
        <v>0</v>
      </c>
      <c r="DM221" s="16" t="n">
        <v>0</v>
      </c>
      <c r="DN221" s="16" t="n">
        <v>0</v>
      </c>
      <c r="DO221" s="16" t="n">
        <v>0</v>
      </c>
      <c r="DP221" s="16" t="n">
        <v>0</v>
      </c>
      <c r="DQ221" s="16" t="n">
        <v>0</v>
      </c>
      <c r="DR221" s="16" t="n">
        <v>0</v>
      </c>
      <c r="DS221" s="16" t="n">
        <v>0</v>
      </c>
      <c r="DT221" s="16" t="n">
        <v>0</v>
      </c>
      <c r="DU221" s="16" t="n">
        <v>0</v>
      </c>
      <c r="DV221" s="16" t="n">
        <v>0</v>
      </c>
      <c r="DW221" s="16" t="n">
        <v>0</v>
      </c>
      <c r="DX221" s="16" t="n">
        <v>0</v>
      </c>
      <c r="DY221" s="16" t="n">
        <v>0</v>
      </c>
      <c r="DZ221" s="16" t="n">
        <v>0</v>
      </c>
      <c r="EA221" s="16" t="n">
        <v>0</v>
      </c>
      <c r="EB221" s="16" t="n">
        <v>0</v>
      </c>
      <c r="EC221" s="16" t="n">
        <v>0</v>
      </c>
      <c r="ED221" s="16" t="n">
        <v>0</v>
      </c>
      <c r="EE221" s="16" t="n">
        <v>0</v>
      </c>
      <c r="EF221" s="16" t="n">
        <v>0</v>
      </c>
    </row>
    <row r="222" customFormat="false" ht="15" hidden="false" customHeight="true" outlineLevel="0" collapsed="false">
      <c r="A222" s="9" t="s">
        <v>12</v>
      </c>
      <c r="B222" s="9" t="s">
        <v>123</v>
      </c>
      <c r="C222" s="9" t="s">
        <v>123</v>
      </c>
      <c r="D222" s="9" t="s">
        <v>342</v>
      </c>
      <c r="E222" s="9" t="s">
        <v>14</v>
      </c>
      <c r="F222" s="9" t="s">
        <v>46</v>
      </c>
      <c r="G222" s="16" t="n">
        <v>0</v>
      </c>
      <c r="H222" s="16" t="n">
        <v>0</v>
      </c>
      <c r="I222" s="16" t="n">
        <v>144</v>
      </c>
      <c r="J222" s="16" t="n">
        <v>-144</v>
      </c>
      <c r="K222" s="16" t="n">
        <v>0</v>
      </c>
      <c r="L222" s="16" t="n">
        <v>0</v>
      </c>
      <c r="M222" s="16" t="n">
        <v>0</v>
      </c>
      <c r="N222" s="16" t="n">
        <v>0</v>
      </c>
      <c r="O222" s="16" t="n">
        <v>0</v>
      </c>
      <c r="P222" s="16" t="n">
        <v>0</v>
      </c>
      <c r="Q222" s="16" t="n">
        <v>0</v>
      </c>
      <c r="R222" s="16" t="n">
        <v>0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0</v>
      </c>
      <c r="X222" s="16" t="n">
        <v>0</v>
      </c>
      <c r="Y222" s="16" t="n">
        <v>0</v>
      </c>
      <c r="Z222" s="16" t="n">
        <v>0</v>
      </c>
      <c r="AA222" s="16" t="n">
        <v>0</v>
      </c>
      <c r="AB222" s="16" t="n">
        <v>0</v>
      </c>
      <c r="AC222" s="16" t="n">
        <v>0</v>
      </c>
      <c r="AD222" s="16" t="n">
        <v>0</v>
      </c>
      <c r="AE222" s="16" t="n">
        <v>0</v>
      </c>
      <c r="AF222" s="16" t="n">
        <v>0</v>
      </c>
      <c r="AG222" s="16" t="n">
        <v>0</v>
      </c>
      <c r="AH222" s="16" t="n">
        <v>0</v>
      </c>
      <c r="AI222" s="16" t="n">
        <v>0</v>
      </c>
      <c r="AJ222" s="16" t="n">
        <v>2</v>
      </c>
      <c r="AK222" s="16" t="n">
        <v>4</v>
      </c>
      <c r="AL222" s="16" t="n">
        <v>6</v>
      </c>
      <c r="AM222" s="16" t="n">
        <v>3</v>
      </c>
      <c r="AN222" s="16" t="n">
        <v>0</v>
      </c>
      <c r="AO222" s="16" t="n">
        <v>0</v>
      </c>
      <c r="AP222" s="16" t="n">
        <v>6</v>
      </c>
      <c r="AQ222" s="16" t="n">
        <v>4</v>
      </c>
      <c r="AR222" s="16" t="n">
        <v>9</v>
      </c>
      <c r="AS222" s="16" t="n">
        <v>0</v>
      </c>
      <c r="AT222" s="16" t="n">
        <v>0</v>
      </c>
      <c r="AU222" s="16" t="n">
        <v>0</v>
      </c>
      <c r="AV222" s="16" t="n">
        <v>0</v>
      </c>
      <c r="AW222" s="16" t="n">
        <v>0</v>
      </c>
      <c r="AX222" s="16" t="n">
        <v>0</v>
      </c>
      <c r="AY222" s="16" t="n">
        <v>0</v>
      </c>
      <c r="AZ222" s="16" t="n">
        <v>0</v>
      </c>
      <c r="BA222" s="16" t="n">
        <v>0</v>
      </c>
      <c r="BB222" s="16" t="n">
        <v>0</v>
      </c>
      <c r="BC222" s="16" t="n">
        <v>0</v>
      </c>
      <c r="BD222" s="16" t="n">
        <v>0</v>
      </c>
      <c r="BE222" s="16" t="n">
        <v>0</v>
      </c>
      <c r="BF222" s="16" t="n">
        <v>0</v>
      </c>
      <c r="BG222" s="16" t="n">
        <v>0</v>
      </c>
      <c r="BH222" s="16" t="n">
        <v>0</v>
      </c>
      <c r="BI222" s="16" t="n">
        <v>0</v>
      </c>
      <c r="BJ222" s="16" t="n">
        <v>0</v>
      </c>
      <c r="BK222" s="16" t="n">
        <v>0</v>
      </c>
      <c r="BL222" s="16" t="n">
        <v>0</v>
      </c>
      <c r="BM222" s="16" t="n">
        <v>0</v>
      </c>
      <c r="BN222" s="16" t="n">
        <v>0</v>
      </c>
      <c r="BO222" s="16" t="n">
        <v>0</v>
      </c>
      <c r="BP222" s="16" t="n">
        <v>0</v>
      </c>
      <c r="BQ222" s="16" t="n">
        <v>0</v>
      </c>
      <c r="BR222" s="16" t="n">
        <v>0</v>
      </c>
      <c r="BS222" s="16" t="n">
        <v>0</v>
      </c>
      <c r="BT222" s="16" t="n">
        <v>0</v>
      </c>
      <c r="BU222" s="16" t="n">
        <v>0</v>
      </c>
      <c r="BV222" s="16" t="n">
        <v>0</v>
      </c>
      <c r="BW222" s="16" t="n">
        <v>0</v>
      </c>
      <c r="BX222" s="16" t="n">
        <v>0</v>
      </c>
      <c r="BY222" s="16" t="n">
        <v>0</v>
      </c>
      <c r="BZ222" s="16" t="n">
        <v>0</v>
      </c>
      <c r="CA222" s="16" t="n">
        <v>0</v>
      </c>
      <c r="CB222" s="16" t="n">
        <v>0</v>
      </c>
      <c r="CC222" s="16" t="n">
        <v>0</v>
      </c>
      <c r="CD222" s="16" t="n">
        <v>0</v>
      </c>
      <c r="CE222" s="16" t="n">
        <v>0</v>
      </c>
      <c r="CF222" s="16" t="n">
        <v>0</v>
      </c>
      <c r="CG222" s="16" t="n">
        <v>0</v>
      </c>
      <c r="CH222" s="16" t="n">
        <v>0</v>
      </c>
      <c r="CI222" s="16" t="n">
        <v>0</v>
      </c>
      <c r="CJ222" s="16" t="n">
        <v>0</v>
      </c>
      <c r="CK222" s="16" t="n">
        <v>0</v>
      </c>
      <c r="CL222" s="16" t="n">
        <v>0</v>
      </c>
      <c r="CM222" s="16" t="n">
        <v>0</v>
      </c>
      <c r="CN222" s="16" t="n">
        <v>0</v>
      </c>
      <c r="CO222" s="16" t="n">
        <v>0</v>
      </c>
      <c r="CP222" s="16" t="n">
        <v>0</v>
      </c>
      <c r="CQ222" s="16" t="n">
        <v>0</v>
      </c>
      <c r="CR222" s="16" t="n">
        <v>0</v>
      </c>
      <c r="CS222" s="16" t="n">
        <v>0.5</v>
      </c>
      <c r="CT222" s="16" t="n">
        <v>0.5</v>
      </c>
      <c r="CU222" s="16" t="n">
        <v>0.5</v>
      </c>
      <c r="CV222" s="16" t="n">
        <v>0.5</v>
      </c>
      <c r="CW222" s="16" t="n">
        <v>0.5</v>
      </c>
      <c r="CX222" s="16" t="n">
        <v>0.5</v>
      </c>
      <c r="CY222" s="16" t="n">
        <v>0.5</v>
      </c>
      <c r="CZ222" s="16" t="n">
        <v>0.5</v>
      </c>
      <c r="DA222" s="16" t="n">
        <v>0.5</v>
      </c>
      <c r="DB222" s="16" t="n">
        <v>0.5</v>
      </c>
      <c r="DC222" s="16" t="n">
        <v>0.5</v>
      </c>
      <c r="DD222" s="16" t="n">
        <v>0.5</v>
      </c>
      <c r="DE222" s="16" t="n">
        <v>0.5</v>
      </c>
      <c r="DF222" s="16" t="n">
        <v>0.5</v>
      </c>
      <c r="DG222" s="16" t="n">
        <v>0.5</v>
      </c>
      <c r="DH222" s="16" t="n">
        <v>0.5</v>
      </c>
      <c r="DI222" s="16" t="n">
        <v>0</v>
      </c>
      <c r="DJ222" s="16" t="n">
        <v>0</v>
      </c>
      <c r="DK222" s="16" t="n">
        <v>1.5</v>
      </c>
      <c r="DL222" s="16" t="n">
        <v>10.5</v>
      </c>
      <c r="DM222" s="16" t="n">
        <v>27</v>
      </c>
      <c r="DN222" s="16" t="n">
        <v>20</v>
      </c>
      <c r="DO222" s="16" t="n">
        <v>27</v>
      </c>
      <c r="DP222" s="16" t="n">
        <v>16</v>
      </c>
      <c r="DQ222" s="16" t="n">
        <v>0</v>
      </c>
      <c r="DR222" s="16" t="n">
        <v>0</v>
      </c>
      <c r="DS222" s="16" t="n">
        <v>0</v>
      </c>
      <c r="DT222" s="16" t="n">
        <v>0</v>
      </c>
      <c r="DU222" s="16" t="n">
        <v>0</v>
      </c>
      <c r="DV222" s="16" t="n">
        <v>0</v>
      </c>
      <c r="DW222" s="16" t="n">
        <v>0</v>
      </c>
      <c r="DX222" s="16" t="n">
        <v>0</v>
      </c>
      <c r="DY222" s="16" t="n">
        <v>0</v>
      </c>
      <c r="DZ222" s="16" t="n">
        <v>0</v>
      </c>
      <c r="EA222" s="16" t="n">
        <v>0</v>
      </c>
      <c r="EB222" s="16" t="n">
        <v>0</v>
      </c>
      <c r="EC222" s="16" t="n">
        <v>0</v>
      </c>
      <c r="ED222" s="16" t="n">
        <v>0</v>
      </c>
      <c r="EE222" s="16" t="n">
        <v>0</v>
      </c>
      <c r="EF222" s="16" t="n">
        <v>0</v>
      </c>
    </row>
    <row r="223" customFormat="false" ht="15" hidden="false" customHeight="true" outlineLevel="0" collapsed="false">
      <c r="A223" s="9" t="s">
        <v>12</v>
      </c>
      <c r="B223" s="9" t="s">
        <v>123</v>
      </c>
      <c r="C223" s="9" t="s">
        <v>123</v>
      </c>
      <c r="D223" s="9" t="s">
        <v>336</v>
      </c>
      <c r="E223" s="9" t="s">
        <v>14</v>
      </c>
      <c r="F223" s="9" t="s">
        <v>86</v>
      </c>
      <c r="G223" s="16" t="n">
        <v>8</v>
      </c>
      <c r="H223" s="16" t="n">
        <v>8</v>
      </c>
      <c r="I223" s="16" t="n">
        <v>8</v>
      </c>
      <c r="J223" s="16" t="n">
        <v>0</v>
      </c>
      <c r="K223" s="16" t="n">
        <v>0</v>
      </c>
      <c r="L223" s="16" t="n">
        <v>0</v>
      </c>
      <c r="M223" s="16" t="n">
        <v>0</v>
      </c>
      <c r="N223" s="16" t="n">
        <v>0</v>
      </c>
      <c r="O223" s="16" t="n">
        <v>0</v>
      </c>
      <c r="P223" s="16" t="n">
        <v>0</v>
      </c>
      <c r="Q223" s="16" t="n">
        <v>0</v>
      </c>
      <c r="R223" s="16" t="n">
        <v>0</v>
      </c>
      <c r="S223" s="16" t="n">
        <v>0</v>
      </c>
      <c r="T223" s="16" t="n">
        <v>0</v>
      </c>
      <c r="U223" s="16" t="n">
        <v>0</v>
      </c>
      <c r="V223" s="16" t="n">
        <v>0</v>
      </c>
      <c r="W223" s="16" t="n">
        <v>0</v>
      </c>
      <c r="X223" s="16" t="n">
        <v>0</v>
      </c>
      <c r="Y223" s="16" t="n">
        <v>0</v>
      </c>
      <c r="Z223" s="16" t="n">
        <v>0</v>
      </c>
      <c r="AA223" s="16" t="n">
        <v>0</v>
      </c>
      <c r="AB223" s="16" t="n">
        <v>8</v>
      </c>
      <c r="AC223" s="16" t="n">
        <v>0</v>
      </c>
      <c r="AD223" s="16" t="n">
        <v>0</v>
      </c>
      <c r="AE223" s="16" t="n">
        <v>0</v>
      </c>
      <c r="AF223" s="16" t="n">
        <v>0</v>
      </c>
      <c r="AG223" s="16" t="n">
        <v>0</v>
      </c>
      <c r="AH223" s="16" t="n">
        <v>0</v>
      </c>
      <c r="AI223" s="16" t="n">
        <v>0</v>
      </c>
      <c r="AJ223" s="16" t="n">
        <v>0</v>
      </c>
      <c r="AK223" s="16" t="n">
        <v>0</v>
      </c>
      <c r="AL223" s="16" t="n">
        <v>0</v>
      </c>
      <c r="AM223" s="16" t="n">
        <v>0</v>
      </c>
      <c r="AN223" s="16" t="n">
        <v>0</v>
      </c>
      <c r="AO223" s="16" t="n">
        <v>0</v>
      </c>
      <c r="AP223" s="16" t="n">
        <v>0</v>
      </c>
      <c r="AQ223" s="16" t="n">
        <v>0</v>
      </c>
      <c r="AR223" s="16" t="n">
        <v>0</v>
      </c>
      <c r="AS223" s="16" t="n">
        <v>0</v>
      </c>
      <c r="AT223" s="16" t="n">
        <v>0</v>
      </c>
      <c r="AU223" s="16" t="n">
        <v>0</v>
      </c>
      <c r="AV223" s="16" t="n">
        <v>0</v>
      </c>
      <c r="AW223" s="16" t="n">
        <v>0</v>
      </c>
      <c r="AX223" s="16" t="n">
        <v>0</v>
      </c>
      <c r="AY223" s="16" t="n">
        <v>0</v>
      </c>
      <c r="AZ223" s="16" t="n">
        <v>0</v>
      </c>
      <c r="BA223" s="16" t="n">
        <v>0</v>
      </c>
      <c r="BB223" s="16" t="n">
        <v>0</v>
      </c>
      <c r="BC223" s="16" t="n">
        <v>0</v>
      </c>
      <c r="BD223" s="16" t="n">
        <v>0</v>
      </c>
      <c r="BE223" s="16" t="n">
        <v>0</v>
      </c>
      <c r="BF223" s="16" t="n">
        <v>0</v>
      </c>
      <c r="BG223" s="16" t="n">
        <v>0</v>
      </c>
      <c r="BH223" s="16" t="n">
        <v>0</v>
      </c>
      <c r="BI223" s="16" t="n">
        <v>0</v>
      </c>
      <c r="BJ223" s="16" t="n">
        <v>0</v>
      </c>
      <c r="BK223" s="16" t="n">
        <v>0</v>
      </c>
      <c r="BL223" s="16" t="n">
        <v>0</v>
      </c>
      <c r="BM223" s="16" t="n">
        <v>0</v>
      </c>
      <c r="BN223" s="16" t="n">
        <v>0</v>
      </c>
      <c r="BO223" s="16" t="n">
        <v>0</v>
      </c>
      <c r="BP223" s="16" t="n">
        <v>0</v>
      </c>
      <c r="BQ223" s="16" t="n">
        <v>0</v>
      </c>
      <c r="BR223" s="16" t="n">
        <v>0</v>
      </c>
      <c r="BS223" s="16" t="n">
        <v>0</v>
      </c>
      <c r="BT223" s="16" t="n">
        <v>0</v>
      </c>
      <c r="BU223" s="16" t="n">
        <v>0</v>
      </c>
      <c r="BV223" s="16" t="n">
        <v>0</v>
      </c>
      <c r="BW223" s="16" t="n">
        <v>0</v>
      </c>
      <c r="BX223" s="16" t="n">
        <v>0</v>
      </c>
      <c r="BY223" s="16" t="n">
        <v>0</v>
      </c>
      <c r="BZ223" s="16" t="n">
        <v>0</v>
      </c>
      <c r="CA223" s="16" t="n">
        <v>0</v>
      </c>
      <c r="CB223" s="16" t="n">
        <v>0</v>
      </c>
      <c r="CC223" s="16" t="n">
        <v>0</v>
      </c>
      <c r="CD223" s="16" t="n">
        <v>0</v>
      </c>
      <c r="CE223" s="16" t="n">
        <v>0</v>
      </c>
      <c r="CF223" s="16" t="n">
        <v>0</v>
      </c>
      <c r="CG223" s="16" t="n">
        <v>0</v>
      </c>
      <c r="CH223" s="16" t="n">
        <v>0</v>
      </c>
      <c r="CI223" s="16" t="n">
        <v>0</v>
      </c>
      <c r="CJ223" s="16" t="n">
        <v>0</v>
      </c>
      <c r="CK223" s="16" t="n">
        <v>0</v>
      </c>
      <c r="CL223" s="16" t="n">
        <v>0</v>
      </c>
      <c r="CM223" s="16" t="n">
        <v>0</v>
      </c>
      <c r="CN223" s="16" t="n">
        <v>0</v>
      </c>
      <c r="CO223" s="16" t="n">
        <v>0</v>
      </c>
      <c r="CP223" s="16" t="n">
        <v>0</v>
      </c>
      <c r="CQ223" s="16" t="n">
        <v>0</v>
      </c>
      <c r="CR223" s="16" t="n">
        <v>0</v>
      </c>
      <c r="CS223" s="16" t="n">
        <v>0</v>
      </c>
      <c r="CT223" s="16" t="n">
        <v>0</v>
      </c>
      <c r="CU223" s="16" t="n">
        <v>0</v>
      </c>
      <c r="CV223" s="16" t="n">
        <v>0</v>
      </c>
      <c r="CW223" s="16" t="n">
        <v>0</v>
      </c>
      <c r="CX223" s="16" t="n">
        <v>0</v>
      </c>
      <c r="CY223" s="16" t="n">
        <v>0</v>
      </c>
      <c r="CZ223" s="16" t="n">
        <v>0</v>
      </c>
      <c r="DA223" s="16" t="n">
        <v>0</v>
      </c>
      <c r="DB223" s="16" t="n">
        <v>0</v>
      </c>
      <c r="DC223" s="16" t="n">
        <v>0</v>
      </c>
      <c r="DD223" s="16" t="n">
        <v>0</v>
      </c>
      <c r="DE223" s="16" t="n">
        <v>0</v>
      </c>
      <c r="DF223" s="16" t="n">
        <v>0</v>
      </c>
      <c r="DG223" s="16" t="n">
        <v>0</v>
      </c>
      <c r="DH223" s="16" t="n">
        <v>0</v>
      </c>
      <c r="DI223" s="16" t="n">
        <v>0</v>
      </c>
      <c r="DJ223" s="16" t="n">
        <v>0</v>
      </c>
      <c r="DK223" s="16" t="n">
        <v>0</v>
      </c>
      <c r="DL223" s="16" t="n">
        <v>0</v>
      </c>
      <c r="DM223" s="16" t="n">
        <v>0</v>
      </c>
      <c r="DN223" s="16" t="n">
        <v>0</v>
      </c>
      <c r="DO223" s="16" t="n">
        <v>0</v>
      </c>
      <c r="DP223" s="16" t="n">
        <v>0</v>
      </c>
      <c r="DQ223" s="16" t="n">
        <v>0</v>
      </c>
      <c r="DR223" s="16" t="n">
        <v>0</v>
      </c>
      <c r="DS223" s="16" t="n">
        <v>0</v>
      </c>
      <c r="DT223" s="16" t="n">
        <v>0</v>
      </c>
      <c r="DU223" s="16" t="n">
        <v>0</v>
      </c>
      <c r="DV223" s="16" t="n">
        <v>0</v>
      </c>
      <c r="DW223" s="16" t="n">
        <v>0</v>
      </c>
      <c r="DX223" s="16" t="n">
        <v>0</v>
      </c>
      <c r="DY223" s="16" t="n">
        <v>0</v>
      </c>
      <c r="DZ223" s="16" t="n">
        <v>0</v>
      </c>
      <c r="EA223" s="16" t="n">
        <v>0</v>
      </c>
      <c r="EB223" s="16" t="n">
        <v>0</v>
      </c>
      <c r="EC223" s="16" t="n">
        <v>0</v>
      </c>
      <c r="ED223" s="16" t="n">
        <v>0</v>
      </c>
      <c r="EE223" s="16" t="n">
        <v>0</v>
      </c>
      <c r="EF223" s="16" t="n">
        <v>0</v>
      </c>
    </row>
    <row r="224" customFormat="false" ht="15" hidden="false" customHeight="true" outlineLevel="0" collapsed="false">
      <c r="A224" s="9" t="s">
        <v>12</v>
      </c>
      <c r="B224" s="9" t="s">
        <v>123</v>
      </c>
      <c r="C224" s="9" t="s">
        <v>123</v>
      </c>
      <c r="D224" s="9" t="s">
        <v>336</v>
      </c>
      <c r="E224" s="9" t="s">
        <v>14</v>
      </c>
      <c r="F224" s="9" t="s">
        <v>86</v>
      </c>
      <c r="G224" s="16" t="n">
        <v>0</v>
      </c>
      <c r="H224" s="16" t="n">
        <v>0</v>
      </c>
      <c r="I224" s="16" t="n">
        <v>52</v>
      </c>
      <c r="J224" s="16" t="n">
        <v>-52</v>
      </c>
      <c r="K224" s="16" t="n">
        <v>0</v>
      </c>
      <c r="L224" s="16" t="n">
        <v>0</v>
      </c>
      <c r="M224" s="16" t="n">
        <v>0</v>
      </c>
      <c r="N224" s="16" t="n">
        <v>0</v>
      </c>
      <c r="O224" s="16" t="n">
        <v>0</v>
      </c>
      <c r="P224" s="16" t="n">
        <v>0</v>
      </c>
      <c r="Q224" s="16" t="n">
        <v>0</v>
      </c>
      <c r="R224" s="16" t="n">
        <v>0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2</v>
      </c>
      <c r="X224" s="16" t="n">
        <v>2</v>
      </c>
      <c r="Y224" s="16" t="n">
        <v>2</v>
      </c>
      <c r="Z224" s="16" t="n">
        <v>23</v>
      </c>
      <c r="AA224" s="16" t="n">
        <v>23</v>
      </c>
      <c r="AB224" s="16" t="n">
        <v>0</v>
      </c>
      <c r="AC224" s="16" t="n">
        <v>0</v>
      </c>
      <c r="AD224" s="16" t="n">
        <v>0</v>
      </c>
      <c r="AE224" s="16" t="n">
        <v>0</v>
      </c>
      <c r="AF224" s="16" t="n">
        <v>0</v>
      </c>
      <c r="AG224" s="16" t="n">
        <v>0</v>
      </c>
      <c r="AH224" s="16" t="n">
        <v>0</v>
      </c>
      <c r="AI224" s="16" t="n">
        <v>0</v>
      </c>
      <c r="AJ224" s="16" t="n">
        <v>0</v>
      </c>
      <c r="AK224" s="16" t="n">
        <v>0</v>
      </c>
      <c r="AL224" s="16" t="n">
        <v>0</v>
      </c>
      <c r="AM224" s="16" t="n">
        <v>0</v>
      </c>
      <c r="AN224" s="16" t="n">
        <v>0</v>
      </c>
      <c r="AO224" s="16" t="n">
        <v>0</v>
      </c>
      <c r="AP224" s="16" t="n">
        <v>0</v>
      </c>
      <c r="AQ224" s="16" t="n">
        <v>0</v>
      </c>
      <c r="AR224" s="16" t="n">
        <v>0</v>
      </c>
      <c r="AS224" s="16" t="n">
        <v>0</v>
      </c>
      <c r="AT224" s="16" t="n">
        <v>0</v>
      </c>
      <c r="AU224" s="16" t="n">
        <v>0</v>
      </c>
      <c r="AV224" s="16" t="n">
        <v>0</v>
      </c>
      <c r="AW224" s="16" t="n">
        <v>0</v>
      </c>
      <c r="AX224" s="16" t="n">
        <v>0</v>
      </c>
      <c r="AY224" s="16" t="n">
        <v>0</v>
      </c>
      <c r="AZ224" s="16" t="n">
        <v>0</v>
      </c>
      <c r="BA224" s="16" t="n">
        <v>0</v>
      </c>
      <c r="BB224" s="16" t="n">
        <v>0</v>
      </c>
      <c r="BC224" s="16" t="n">
        <v>0</v>
      </c>
      <c r="BD224" s="16" t="n">
        <v>0</v>
      </c>
      <c r="BE224" s="16" t="n">
        <v>0</v>
      </c>
      <c r="BF224" s="16" t="n">
        <v>0</v>
      </c>
      <c r="BG224" s="16" t="n">
        <v>0</v>
      </c>
      <c r="BH224" s="16" t="n">
        <v>0</v>
      </c>
      <c r="BI224" s="16" t="n">
        <v>0</v>
      </c>
      <c r="BJ224" s="16" t="n">
        <v>0</v>
      </c>
      <c r="BK224" s="16" t="n">
        <v>0</v>
      </c>
      <c r="BL224" s="16" t="n">
        <v>0</v>
      </c>
      <c r="BM224" s="16" t="n">
        <v>0</v>
      </c>
      <c r="BN224" s="16" t="n">
        <v>0</v>
      </c>
      <c r="BO224" s="16" t="n">
        <v>0</v>
      </c>
      <c r="BP224" s="16" t="n">
        <v>0</v>
      </c>
      <c r="BQ224" s="16" t="n">
        <v>0</v>
      </c>
      <c r="BR224" s="16" t="n">
        <v>0</v>
      </c>
      <c r="BS224" s="16" t="n">
        <v>0</v>
      </c>
      <c r="BT224" s="16" t="n">
        <v>0</v>
      </c>
      <c r="BU224" s="16" t="n">
        <v>0</v>
      </c>
      <c r="BV224" s="16" t="n">
        <v>0</v>
      </c>
      <c r="BW224" s="16" t="n">
        <v>0</v>
      </c>
      <c r="BX224" s="16" t="n">
        <v>0</v>
      </c>
      <c r="BY224" s="16" t="n">
        <v>0</v>
      </c>
      <c r="BZ224" s="16" t="n">
        <v>0</v>
      </c>
      <c r="CA224" s="16" t="n">
        <v>0</v>
      </c>
      <c r="CB224" s="16" t="n">
        <v>0</v>
      </c>
      <c r="CC224" s="16" t="n">
        <v>0</v>
      </c>
      <c r="CD224" s="16" t="n">
        <v>0</v>
      </c>
      <c r="CE224" s="16" t="n">
        <v>0</v>
      </c>
      <c r="CF224" s="16" t="n">
        <v>0</v>
      </c>
      <c r="CG224" s="16" t="n">
        <v>0</v>
      </c>
      <c r="CH224" s="16" t="n">
        <v>0</v>
      </c>
      <c r="CI224" s="16" t="n">
        <v>0</v>
      </c>
      <c r="CJ224" s="16" t="n">
        <v>0</v>
      </c>
      <c r="CK224" s="16" t="n">
        <v>0</v>
      </c>
      <c r="CL224" s="16" t="n">
        <v>0</v>
      </c>
      <c r="CM224" s="16" t="n">
        <v>0</v>
      </c>
      <c r="CN224" s="16" t="n">
        <v>0</v>
      </c>
      <c r="CO224" s="16" t="n">
        <v>0</v>
      </c>
      <c r="CP224" s="16" t="n">
        <v>0</v>
      </c>
      <c r="CQ224" s="16" t="n">
        <v>0</v>
      </c>
      <c r="CR224" s="16" t="n">
        <v>0</v>
      </c>
      <c r="CS224" s="16" t="n">
        <v>0</v>
      </c>
      <c r="CT224" s="16" t="n">
        <v>0</v>
      </c>
      <c r="CU224" s="16" t="n">
        <v>0</v>
      </c>
      <c r="CV224" s="16" t="n">
        <v>0</v>
      </c>
      <c r="CW224" s="16" t="n">
        <v>0</v>
      </c>
      <c r="CX224" s="16" t="n">
        <v>0</v>
      </c>
      <c r="CY224" s="16" t="n">
        <v>0</v>
      </c>
      <c r="CZ224" s="16" t="n">
        <v>0</v>
      </c>
      <c r="DA224" s="16" t="n">
        <v>0</v>
      </c>
      <c r="DB224" s="16" t="n">
        <v>0</v>
      </c>
      <c r="DC224" s="16" t="n">
        <v>0</v>
      </c>
      <c r="DD224" s="16" t="n">
        <v>0</v>
      </c>
      <c r="DE224" s="16" t="n">
        <v>0</v>
      </c>
      <c r="DF224" s="16" t="n">
        <v>0</v>
      </c>
      <c r="DG224" s="16" t="n">
        <v>0</v>
      </c>
      <c r="DH224" s="16" t="n">
        <v>0</v>
      </c>
      <c r="DI224" s="16" t="n">
        <v>0</v>
      </c>
      <c r="DJ224" s="16" t="n">
        <v>0</v>
      </c>
      <c r="DK224" s="16" t="n">
        <v>0</v>
      </c>
      <c r="DL224" s="16" t="n">
        <v>0</v>
      </c>
      <c r="DM224" s="16" t="n">
        <v>0</v>
      </c>
      <c r="DN224" s="16" t="n">
        <v>0</v>
      </c>
      <c r="DO224" s="16" t="n">
        <v>0</v>
      </c>
      <c r="DP224" s="16" t="n">
        <v>0</v>
      </c>
      <c r="DQ224" s="16" t="n">
        <v>0</v>
      </c>
      <c r="DR224" s="16" t="n">
        <v>0</v>
      </c>
      <c r="DS224" s="16" t="n">
        <v>0</v>
      </c>
      <c r="DT224" s="16" t="n">
        <v>0</v>
      </c>
      <c r="DU224" s="16" t="n">
        <v>0</v>
      </c>
      <c r="DV224" s="16" t="n">
        <v>0</v>
      </c>
      <c r="DW224" s="16" t="n">
        <v>0</v>
      </c>
      <c r="DX224" s="16" t="n">
        <v>0</v>
      </c>
      <c r="DY224" s="16" t="n">
        <v>0</v>
      </c>
      <c r="DZ224" s="16" t="n">
        <v>0</v>
      </c>
      <c r="EA224" s="16" t="n">
        <v>0</v>
      </c>
      <c r="EB224" s="16" t="n">
        <v>0</v>
      </c>
      <c r="EC224" s="16" t="n">
        <v>0</v>
      </c>
      <c r="ED224" s="16" t="n">
        <v>0</v>
      </c>
      <c r="EE224" s="16" t="n">
        <v>0</v>
      </c>
      <c r="EF224" s="16" t="n">
        <v>0</v>
      </c>
    </row>
    <row r="225" customFormat="false" ht="15" hidden="false" customHeight="true" outlineLevel="0" collapsed="false">
      <c r="A225" s="9" t="s">
        <v>12</v>
      </c>
      <c r="B225" s="9" t="s">
        <v>123</v>
      </c>
      <c r="C225" s="9" t="s">
        <v>123</v>
      </c>
      <c r="D225" s="9" t="s">
        <v>342</v>
      </c>
      <c r="E225" s="9" t="s">
        <v>14</v>
      </c>
      <c r="F225" s="9" t="s">
        <v>86</v>
      </c>
      <c r="G225" s="16" t="n">
        <v>0</v>
      </c>
      <c r="H225" s="16" t="n">
        <v>0</v>
      </c>
      <c r="I225" s="16" t="n">
        <v>0</v>
      </c>
      <c r="J225" s="16" t="n">
        <v>0</v>
      </c>
      <c r="K225" s="16" t="n">
        <v>0</v>
      </c>
      <c r="L225" s="16" t="n">
        <v>0</v>
      </c>
      <c r="M225" s="16" t="n">
        <v>0</v>
      </c>
      <c r="N225" s="16" t="n">
        <v>0</v>
      </c>
      <c r="O225" s="16" t="n">
        <v>0</v>
      </c>
      <c r="P225" s="16" t="n">
        <v>0</v>
      </c>
      <c r="Q225" s="16" t="n">
        <v>0</v>
      </c>
      <c r="R225" s="16" t="n">
        <v>0</v>
      </c>
      <c r="S225" s="16" t="n">
        <v>0</v>
      </c>
      <c r="T225" s="16" t="n">
        <v>0</v>
      </c>
      <c r="U225" s="16" t="n">
        <v>0</v>
      </c>
      <c r="V225" s="16" t="n">
        <v>0</v>
      </c>
      <c r="W225" s="16" t="n">
        <v>0</v>
      </c>
      <c r="X225" s="16" t="n">
        <v>0</v>
      </c>
      <c r="Y225" s="16" t="n">
        <v>0</v>
      </c>
      <c r="Z225" s="16" t="n">
        <v>0</v>
      </c>
      <c r="AA225" s="16" t="n">
        <v>0</v>
      </c>
      <c r="AB225" s="16" t="n">
        <v>0</v>
      </c>
      <c r="AC225" s="16" t="n">
        <v>0</v>
      </c>
      <c r="AD225" s="16" t="n">
        <v>0</v>
      </c>
      <c r="AE225" s="16" t="n">
        <v>0</v>
      </c>
      <c r="AF225" s="16" t="n">
        <v>0</v>
      </c>
      <c r="AG225" s="16" t="n">
        <v>0</v>
      </c>
      <c r="AH225" s="16" t="n">
        <v>0</v>
      </c>
      <c r="AI225" s="16" t="n">
        <v>0</v>
      </c>
      <c r="AJ225" s="16" t="n">
        <v>0</v>
      </c>
      <c r="AK225" s="16" t="n">
        <v>0</v>
      </c>
      <c r="AL225" s="16" t="n">
        <v>0</v>
      </c>
      <c r="AM225" s="16" t="n">
        <v>0</v>
      </c>
      <c r="AN225" s="16" t="n">
        <v>0</v>
      </c>
      <c r="AO225" s="16" t="n">
        <v>0</v>
      </c>
      <c r="AP225" s="16" t="n">
        <v>0</v>
      </c>
      <c r="AQ225" s="16" t="n">
        <v>0</v>
      </c>
      <c r="AR225" s="16" t="n">
        <v>0</v>
      </c>
      <c r="AS225" s="16" t="n">
        <v>0</v>
      </c>
      <c r="AT225" s="16" t="n">
        <v>0</v>
      </c>
      <c r="AU225" s="16" t="n">
        <v>0</v>
      </c>
      <c r="AV225" s="16" t="n">
        <v>0</v>
      </c>
      <c r="AW225" s="16" t="n">
        <v>0</v>
      </c>
      <c r="AX225" s="16" t="n">
        <v>0</v>
      </c>
      <c r="AY225" s="16" t="n">
        <v>0</v>
      </c>
      <c r="AZ225" s="16" t="n">
        <v>0</v>
      </c>
      <c r="BA225" s="16" t="n">
        <v>0</v>
      </c>
      <c r="BB225" s="16" t="n">
        <v>0</v>
      </c>
      <c r="BC225" s="16" t="n">
        <v>0</v>
      </c>
      <c r="BD225" s="16" t="n">
        <v>0</v>
      </c>
      <c r="BE225" s="16" t="n">
        <v>0</v>
      </c>
      <c r="BF225" s="16" t="n">
        <v>0</v>
      </c>
      <c r="BG225" s="16" t="n">
        <v>0</v>
      </c>
      <c r="BH225" s="16" t="n">
        <v>0</v>
      </c>
      <c r="BI225" s="16" t="n">
        <v>0</v>
      </c>
      <c r="BJ225" s="16" t="n">
        <v>0</v>
      </c>
      <c r="BK225" s="16" t="n">
        <v>0</v>
      </c>
      <c r="BL225" s="16" t="n">
        <v>0</v>
      </c>
      <c r="BM225" s="16" t="n">
        <v>0</v>
      </c>
      <c r="BN225" s="16" t="n">
        <v>0</v>
      </c>
      <c r="BO225" s="16" t="n">
        <v>0</v>
      </c>
      <c r="BP225" s="16" t="n">
        <v>0</v>
      </c>
      <c r="BQ225" s="16" t="n">
        <v>0</v>
      </c>
      <c r="BR225" s="16" t="n">
        <v>0</v>
      </c>
      <c r="BS225" s="16" t="n">
        <v>0</v>
      </c>
      <c r="BT225" s="16" t="n">
        <v>0</v>
      </c>
      <c r="BU225" s="16" t="n">
        <v>0</v>
      </c>
      <c r="BV225" s="16" t="n">
        <v>0</v>
      </c>
      <c r="BW225" s="16" t="n">
        <v>0</v>
      </c>
      <c r="BX225" s="16" t="n">
        <v>0</v>
      </c>
      <c r="BY225" s="16" t="n">
        <v>0</v>
      </c>
      <c r="BZ225" s="16" t="n">
        <v>0</v>
      </c>
      <c r="CA225" s="16" t="n">
        <v>0</v>
      </c>
      <c r="CB225" s="16" t="n">
        <v>0</v>
      </c>
      <c r="CC225" s="16" t="n">
        <v>0</v>
      </c>
      <c r="CD225" s="16" t="n">
        <v>0</v>
      </c>
      <c r="CE225" s="16" t="n">
        <v>0</v>
      </c>
      <c r="CF225" s="16" t="n">
        <v>0</v>
      </c>
      <c r="CG225" s="16" t="n">
        <v>0</v>
      </c>
      <c r="CH225" s="16" t="n">
        <v>0</v>
      </c>
      <c r="CI225" s="16" t="n">
        <v>0</v>
      </c>
      <c r="CJ225" s="16" t="n">
        <v>0</v>
      </c>
      <c r="CK225" s="16" t="n">
        <v>0</v>
      </c>
      <c r="CL225" s="16" t="n">
        <v>0</v>
      </c>
      <c r="CM225" s="16" t="n">
        <v>0</v>
      </c>
      <c r="CN225" s="16" t="n">
        <v>0</v>
      </c>
      <c r="CO225" s="16" t="n">
        <v>0</v>
      </c>
      <c r="CP225" s="16" t="n">
        <v>0</v>
      </c>
      <c r="CQ225" s="16" t="n">
        <v>0</v>
      </c>
      <c r="CR225" s="16" t="n">
        <v>0</v>
      </c>
      <c r="CS225" s="16" t="n">
        <v>0</v>
      </c>
      <c r="CT225" s="16" t="n">
        <v>0</v>
      </c>
      <c r="CU225" s="16" t="n">
        <v>0</v>
      </c>
      <c r="CV225" s="16" t="n">
        <v>0</v>
      </c>
      <c r="CW225" s="16" t="n">
        <v>0</v>
      </c>
      <c r="CX225" s="16" t="n">
        <v>0</v>
      </c>
      <c r="CY225" s="16" t="n">
        <v>0</v>
      </c>
      <c r="CZ225" s="16" t="n">
        <v>0</v>
      </c>
      <c r="DA225" s="16" t="n">
        <v>0</v>
      </c>
      <c r="DB225" s="16" t="n">
        <v>0</v>
      </c>
      <c r="DC225" s="16" t="n">
        <v>0</v>
      </c>
      <c r="DD225" s="16" t="n">
        <v>0</v>
      </c>
      <c r="DE225" s="16" t="n">
        <v>0</v>
      </c>
      <c r="DF225" s="16" t="n">
        <v>0</v>
      </c>
      <c r="DG225" s="16" t="n">
        <v>0</v>
      </c>
      <c r="DH225" s="16" t="n">
        <v>0</v>
      </c>
      <c r="DI225" s="16" t="n">
        <v>0</v>
      </c>
      <c r="DJ225" s="16" t="n">
        <v>0</v>
      </c>
      <c r="DK225" s="16" t="n">
        <v>0</v>
      </c>
      <c r="DL225" s="16" t="n">
        <v>0</v>
      </c>
      <c r="DM225" s="16" t="n">
        <v>0</v>
      </c>
      <c r="DN225" s="16" t="n">
        <v>0</v>
      </c>
      <c r="DO225" s="16" t="n">
        <v>0</v>
      </c>
      <c r="DP225" s="16" t="n">
        <v>0</v>
      </c>
      <c r="DQ225" s="16" t="n">
        <v>0</v>
      </c>
      <c r="DR225" s="16" t="n">
        <v>0</v>
      </c>
      <c r="DS225" s="16" t="n">
        <v>0</v>
      </c>
      <c r="DT225" s="16" t="n">
        <v>0</v>
      </c>
      <c r="DU225" s="16" t="n">
        <v>0</v>
      </c>
      <c r="DV225" s="16" t="n">
        <v>0</v>
      </c>
      <c r="DW225" s="16" t="n">
        <v>0</v>
      </c>
      <c r="DX225" s="16" t="n">
        <v>0</v>
      </c>
      <c r="DY225" s="16" t="n">
        <v>0</v>
      </c>
      <c r="DZ225" s="16" t="n">
        <v>0</v>
      </c>
      <c r="EA225" s="16" t="n">
        <v>0</v>
      </c>
      <c r="EB225" s="16" t="n">
        <v>0</v>
      </c>
      <c r="EC225" s="16" t="n">
        <v>0</v>
      </c>
      <c r="ED225" s="16" t="n">
        <v>0</v>
      </c>
      <c r="EE225" s="16" t="n">
        <v>0</v>
      </c>
      <c r="EF225" s="16" t="n">
        <v>0</v>
      </c>
    </row>
    <row r="226" customFormat="false" ht="15" hidden="false" customHeight="true" outlineLevel="0" collapsed="false">
      <c r="A226" s="9" t="s">
        <v>12</v>
      </c>
      <c r="B226" s="9" t="s">
        <v>123</v>
      </c>
      <c r="C226" s="9" t="s">
        <v>123</v>
      </c>
      <c r="D226" s="9" t="s">
        <v>336</v>
      </c>
      <c r="E226" s="9" t="s">
        <v>14</v>
      </c>
      <c r="F226" s="9" t="s">
        <v>87</v>
      </c>
      <c r="G226" s="16" t="n">
        <v>0</v>
      </c>
      <c r="H226" s="16" t="n">
        <v>0</v>
      </c>
      <c r="I226" s="16" t="n">
        <v>0</v>
      </c>
      <c r="J226" s="16" t="n">
        <v>0</v>
      </c>
      <c r="K226" s="16" t="n">
        <v>0</v>
      </c>
      <c r="L226" s="16" t="n">
        <v>0</v>
      </c>
      <c r="M226" s="16" t="n">
        <v>0</v>
      </c>
      <c r="N226" s="16" t="n">
        <v>0</v>
      </c>
      <c r="O226" s="16" t="n">
        <v>0</v>
      </c>
      <c r="P226" s="16" t="n">
        <v>0</v>
      </c>
      <c r="Q226" s="16" t="n">
        <v>0</v>
      </c>
      <c r="R226" s="16" t="n">
        <v>0</v>
      </c>
      <c r="S226" s="16" t="n">
        <v>0</v>
      </c>
      <c r="T226" s="16" t="n">
        <v>0</v>
      </c>
      <c r="U226" s="16" t="n">
        <v>0</v>
      </c>
      <c r="V226" s="16" t="n">
        <v>0</v>
      </c>
      <c r="W226" s="16" t="n">
        <v>0</v>
      </c>
      <c r="X226" s="16" t="n">
        <v>0</v>
      </c>
      <c r="Y226" s="16" t="n">
        <v>0</v>
      </c>
      <c r="Z226" s="16" t="n">
        <v>0</v>
      </c>
      <c r="AA226" s="16" t="n">
        <v>0</v>
      </c>
      <c r="AB226" s="16" t="n">
        <v>0</v>
      </c>
      <c r="AC226" s="16" t="n">
        <v>0</v>
      </c>
      <c r="AD226" s="16" t="n">
        <v>0</v>
      </c>
      <c r="AE226" s="16" t="n">
        <v>0</v>
      </c>
      <c r="AF226" s="16" t="n">
        <v>0</v>
      </c>
      <c r="AG226" s="16" t="n">
        <v>0</v>
      </c>
      <c r="AH226" s="16" t="n">
        <v>0</v>
      </c>
      <c r="AI226" s="16" t="n">
        <v>0</v>
      </c>
      <c r="AJ226" s="16" t="n">
        <v>0</v>
      </c>
      <c r="AK226" s="16" t="n">
        <v>0</v>
      </c>
      <c r="AL226" s="16" t="n">
        <v>0</v>
      </c>
      <c r="AM226" s="16" t="n">
        <v>0</v>
      </c>
      <c r="AN226" s="16" t="n">
        <v>0</v>
      </c>
      <c r="AO226" s="16" t="n">
        <v>0</v>
      </c>
      <c r="AP226" s="16" t="n">
        <v>0</v>
      </c>
      <c r="AQ226" s="16" t="n">
        <v>0</v>
      </c>
      <c r="AR226" s="16" t="n">
        <v>0</v>
      </c>
      <c r="AS226" s="16" t="n">
        <v>0</v>
      </c>
      <c r="AT226" s="16" t="n">
        <v>0</v>
      </c>
      <c r="AU226" s="16" t="n">
        <v>0</v>
      </c>
      <c r="AV226" s="16" t="n">
        <v>0</v>
      </c>
      <c r="AW226" s="16" t="n">
        <v>0</v>
      </c>
      <c r="AX226" s="16" t="n">
        <v>0</v>
      </c>
      <c r="AY226" s="16" t="n">
        <v>0</v>
      </c>
      <c r="AZ226" s="16" t="n">
        <v>0</v>
      </c>
      <c r="BA226" s="16" t="n">
        <v>0</v>
      </c>
      <c r="BB226" s="16" t="n">
        <v>0</v>
      </c>
      <c r="BC226" s="16" t="n">
        <v>0</v>
      </c>
      <c r="BD226" s="16" t="n">
        <v>0</v>
      </c>
      <c r="BE226" s="16" t="n">
        <v>0</v>
      </c>
      <c r="BF226" s="16" t="n">
        <v>0</v>
      </c>
      <c r="BG226" s="16" t="n">
        <v>0</v>
      </c>
      <c r="BH226" s="16" t="n">
        <v>0</v>
      </c>
      <c r="BI226" s="16" t="n">
        <v>0</v>
      </c>
      <c r="BJ226" s="16" t="n">
        <v>0</v>
      </c>
      <c r="BK226" s="16" t="n">
        <v>0</v>
      </c>
      <c r="BL226" s="16" t="n">
        <v>0</v>
      </c>
      <c r="BM226" s="16" t="n">
        <v>0</v>
      </c>
      <c r="BN226" s="16" t="n">
        <v>0</v>
      </c>
      <c r="BO226" s="16" t="n">
        <v>0</v>
      </c>
      <c r="BP226" s="16" t="n">
        <v>0</v>
      </c>
      <c r="BQ226" s="16" t="n">
        <v>0</v>
      </c>
      <c r="BR226" s="16" t="n">
        <v>0</v>
      </c>
      <c r="BS226" s="16" t="n">
        <v>0</v>
      </c>
      <c r="BT226" s="16" t="n">
        <v>0</v>
      </c>
      <c r="BU226" s="16" t="n">
        <v>0</v>
      </c>
      <c r="BV226" s="16" t="n">
        <v>0</v>
      </c>
      <c r="BW226" s="16" t="n">
        <v>0</v>
      </c>
      <c r="BX226" s="16" t="n">
        <v>0</v>
      </c>
      <c r="BY226" s="16" t="n">
        <v>0</v>
      </c>
      <c r="BZ226" s="16" t="n">
        <v>0</v>
      </c>
      <c r="CA226" s="16" t="n">
        <v>0</v>
      </c>
      <c r="CB226" s="16" t="n">
        <v>0</v>
      </c>
      <c r="CC226" s="16" t="n">
        <v>0</v>
      </c>
      <c r="CD226" s="16" t="n">
        <v>0</v>
      </c>
      <c r="CE226" s="16" t="n">
        <v>0</v>
      </c>
      <c r="CF226" s="16" t="n">
        <v>0</v>
      </c>
      <c r="CG226" s="16" t="n">
        <v>0</v>
      </c>
      <c r="CH226" s="16" t="n">
        <v>0</v>
      </c>
      <c r="CI226" s="16" t="n">
        <v>0</v>
      </c>
      <c r="CJ226" s="16" t="n">
        <v>0</v>
      </c>
      <c r="CK226" s="16" t="n">
        <v>0</v>
      </c>
      <c r="CL226" s="16" t="n">
        <v>0</v>
      </c>
      <c r="CM226" s="16" t="n">
        <v>0</v>
      </c>
      <c r="CN226" s="16" t="n">
        <v>0</v>
      </c>
      <c r="CO226" s="16" t="n">
        <v>0</v>
      </c>
      <c r="CP226" s="16" t="n">
        <v>0</v>
      </c>
      <c r="CQ226" s="16" t="n">
        <v>0</v>
      </c>
      <c r="CR226" s="16" t="n">
        <v>0</v>
      </c>
      <c r="CS226" s="16" t="n">
        <v>0</v>
      </c>
      <c r="CT226" s="16" t="n">
        <v>0</v>
      </c>
      <c r="CU226" s="16" t="n">
        <v>0</v>
      </c>
      <c r="CV226" s="16" t="n">
        <v>0</v>
      </c>
      <c r="CW226" s="16" t="n">
        <v>0</v>
      </c>
      <c r="CX226" s="16" t="n">
        <v>0</v>
      </c>
      <c r="CY226" s="16" t="n">
        <v>0</v>
      </c>
      <c r="CZ226" s="16" t="n">
        <v>0</v>
      </c>
      <c r="DA226" s="16" t="n">
        <v>0</v>
      </c>
      <c r="DB226" s="16" t="n">
        <v>0</v>
      </c>
      <c r="DC226" s="16" t="n">
        <v>0</v>
      </c>
      <c r="DD226" s="16" t="n">
        <v>0</v>
      </c>
      <c r="DE226" s="16" t="n">
        <v>0</v>
      </c>
      <c r="DF226" s="16" t="n">
        <v>0</v>
      </c>
      <c r="DG226" s="16" t="n">
        <v>0</v>
      </c>
      <c r="DH226" s="16" t="n">
        <v>0</v>
      </c>
      <c r="DI226" s="16" t="n">
        <v>0</v>
      </c>
      <c r="DJ226" s="16" t="n">
        <v>0</v>
      </c>
      <c r="DK226" s="16" t="n">
        <v>0</v>
      </c>
      <c r="DL226" s="16" t="n">
        <v>0</v>
      </c>
      <c r="DM226" s="16" t="n">
        <v>0</v>
      </c>
      <c r="DN226" s="16" t="n">
        <v>0</v>
      </c>
      <c r="DO226" s="16" t="n">
        <v>0</v>
      </c>
      <c r="DP226" s="16" t="n">
        <v>0</v>
      </c>
      <c r="DQ226" s="16" t="n">
        <v>0</v>
      </c>
      <c r="DR226" s="16" t="n">
        <v>0</v>
      </c>
      <c r="DS226" s="16" t="n">
        <v>0</v>
      </c>
      <c r="DT226" s="16" t="n">
        <v>0</v>
      </c>
      <c r="DU226" s="16" t="n">
        <v>0</v>
      </c>
      <c r="DV226" s="16" t="n">
        <v>0</v>
      </c>
      <c r="DW226" s="16" t="n">
        <v>0</v>
      </c>
      <c r="DX226" s="16" t="n">
        <v>0</v>
      </c>
      <c r="DY226" s="16" t="n">
        <v>0</v>
      </c>
      <c r="DZ226" s="16" t="n">
        <v>0</v>
      </c>
      <c r="EA226" s="16" t="n">
        <v>0</v>
      </c>
      <c r="EB226" s="16" t="n">
        <v>0</v>
      </c>
      <c r="EC226" s="16" t="n">
        <v>0</v>
      </c>
      <c r="ED226" s="16" t="n">
        <v>0</v>
      </c>
      <c r="EE226" s="16" t="n">
        <v>0</v>
      </c>
      <c r="EF226" s="16" t="n">
        <v>0</v>
      </c>
    </row>
    <row r="227" customFormat="false" ht="15" hidden="false" customHeight="true" outlineLevel="0" collapsed="false">
      <c r="A227" s="9" t="s">
        <v>12</v>
      </c>
      <c r="B227" s="9" t="s">
        <v>123</v>
      </c>
      <c r="C227" s="9" t="s">
        <v>123</v>
      </c>
      <c r="D227" s="9" t="s">
        <v>342</v>
      </c>
      <c r="E227" s="9" t="s">
        <v>14</v>
      </c>
      <c r="F227" s="9" t="s">
        <v>87</v>
      </c>
      <c r="G227" s="16" t="n">
        <v>0</v>
      </c>
      <c r="H227" s="16" t="n">
        <v>0</v>
      </c>
      <c r="I227" s="16" t="n">
        <v>21.5</v>
      </c>
      <c r="J227" s="16" t="n">
        <v>-21.5</v>
      </c>
      <c r="K227" s="16" t="n">
        <v>0</v>
      </c>
      <c r="L227" s="16" t="n">
        <v>0</v>
      </c>
      <c r="M227" s="16" t="n">
        <v>0</v>
      </c>
      <c r="N227" s="16" t="n">
        <v>0</v>
      </c>
      <c r="O227" s="16" t="n">
        <v>0</v>
      </c>
      <c r="P227" s="16" t="n">
        <v>0</v>
      </c>
      <c r="Q227" s="16" t="n">
        <v>0</v>
      </c>
      <c r="R227" s="16" t="n">
        <v>0</v>
      </c>
      <c r="S227" s="16" t="n">
        <v>0</v>
      </c>
      <c r="T227" s="16" t="n">
        <v>0</v>
      </c>
      <c r="U227" s="16" t="n">
        <v>0</v>
      </c>
      <c r="V227" s="16" t="n">
        <v>0</v>
      </c>
      <c r="W227" s="16" t="n">
        <v>0</v>
      </c>
      <c r="X227" s="16" t="n">
        <v>0</v>
      </c>
      <c r="Y227" s="16" t="n">
        <v>0</v>
      </c>
      <c r="Z227" s="16" t="n">
        <v>0</v>
      </c>
      <c r="AA227" s="16" t="n">
        <v>0</v>
      </c>
      <c r="AB227" s="16" t="n">
        <v>0</v>
      </c>
      <c r="AC227" s="16" t="n">
        <v>0</v>
      </c>
      <c r="AD227" s="16" t="n">
        <v>0</v>
      </c>
      <c r="AE227" s="16" t="n">
        <v>0</v>
      </c>
      <c r="AF227" s="16" t="n">
        <v>0</v>
      </c>
      <c r="AG227" s="16" t="n">
        <v>0</v>
      </c>
      <c r="AH227" s="16" t="n">
        <v>0</v>
      </c>
      <c r="AI227" s="16" t="n">
        <v>0</v>
      </c>
      <c r="AJ227" s="16" t="n">
        <v>0</v>
      </c>
      <c r="AK227" s="16" t="n">
        <v>0</v>
      </c>
      <c r="AL227" s="16" t="n">
        <v>0</v>
      </c>
      <c r="AM227" s="16" t="n">
        <v>19.5</v>
      </c>
      <c r="AN227" s="16" t="n">
        <v>2</v>
      </c>
      <c r="AO227" s="16" t="n">
        <v>0</v>
      </c>
      <c r="AP227" s="16" t="n">
        <v>0</v>
      </c>
      <c r="AQ227" s="16" t="n">
        <v>0</v>
      </c>
      <c r="AR227" s="16" t="n">
        <v>0</v>
      </c>
      <c r="AS227" s="16" t="n">
        <v>0</v>
      </c>
      <c r="AT227" s="16" t="n">
        <v>0</v>
      </c>
      <c r="AU227" s="16" t="n">
        <v>0</v>
      </c>
      <c r="AV227" s="16" t="n">
        <v>0</v>
      </c>
      <c r="AW227" s="16" t="n">
        <v>0</v>
      </c>
      <c r="AX227" s="16" t="n">
        <v>0</v>
      </c>
      <c r="AY227" s="16" t="n">
        <v>0</v>
      </c>
      <c r="AZ227" s="16" t="n">
        <v>0</v>
      </c>
      <c r="BA227" s="16" t="n">
        <v>0</v>
      </c>
      <c r="BB227" s="16" t="n">
        <v>0</v>
      </c>
      <c r="BC227" s="16" t="n">
        <v>0</v>
      </c>
      <c r="BD227" s="16" t="n">
        <v>0</v>
      </c>
      <c r="BE227" s="16" t="n">
        <v>0</v>
      </c>
      <c r="BF227" s="16" t="n">
        <v>0</v>
      </c>
      <c r="BG227" s="16" t="n">
        <v>0</v>
      </c>
      <c r="BH227" s="16" t="n">
        <v>0</v>
      </c>
      <c r="BI227" s="16" t="n">
        <v>0</v>
      </c>
      <c r="BJ227" s="16" t="n">
        <v>0</v>
      </c>
      <c r="BK227" s="16" t="n">
        <v>0</v>
      </c>
      <c r="BL227" s="16" t="n">
        <v>0</v>
      </c>
      <c r="BM227" s="16" t="n">
        <v>0</v>
      </c>
      <c r="BN227" s="16" t="n">
        <v>0</v>
      </c>
      <c r="BO227" s="16" t="n">
        <v>0</v>
      </c>
      <c r="BP227" s="16" t="n">
        <v>0</v>
      </c>
      <c r="BQ227" s="16" t="n">
        <v>0</v>
      </c>
      <c r="BR227" s="16" t="n">
        <v>0</v>
      </c>
      <c r="BS227" s="16" t="n">
        <v>0</v>
      </c>
      <c r="BT227" s="16" t="n">
        <v>0</v>
      </c>
      <c r="BU227" s="16" t="n">
        <v>0</v>
      </c>
      <c r="BV227" s="16" t="n">
        <v>0</v>
      </c>
      <c r="BW227" s="16" t="n">
        <v>0</v>
      </c>
      <c r="BX227" s="16" t="n">
        <v>0</v>
      </c>
      <c r="BY227" s="16" t="n">
        <v>0</v>
      </c>
      <c r="BZ227" s="16" t="n">
        <v>0</v>
      </c>
      <c r="CA227" s="16" t="n">
        <v>0</v>
      </c>
      <c r="CB227" s="16" t="n">
        <v>0</v>
      </c>
      <c r="CC227" s="16" t="n">
        <v>0</v>
      </c>
      <c r="CD227" s="16" t="n">
        <v>0</v>
      </c>
      <c r="CE227" s="16" t="n">
        <v>0</v>
      </c>
      <c r="CF227" s="16" t="n">
        <v>0</v>
      </c>
      <c r="CG227" s="16" t="n">
        <v>0</v>
      </c>
      <c r="CH227" s="16" t="n">
        <v>0</v>
      </c>
      <c r="CI227" s="16" t="n">
        <v>0</v>
      </c>
      <c r="CJ227" s="16" t="n">
        <v>0</v>
      </c>
      <c r="CK227" s="16" t="n">
        <v>0</v>
      </c>
      <c r="CL227" s="16" t="n">
        <v>0</v>
      </c>
      <c r="CM227" s="16" t="n">
        <v>0</v>
      </c>
      <c r="CN227" s="16" t="n">
        <v>0</v>
      </c>
      <c r="CO227" s="16" t="n">
        <v>0</v>
      </c>
      <c r="CP227" s="16" t="n">
        <v>0</v>
      </c>
      <c r="CQ227" s="16" t="n">
        <v>0</v>
      </c>
      <c r="CR227" s="16" t="n">
        <v>0</v>
      </c>
      <c r="CS227" s="16" t="n">
        <v>0</v>
      </c>
      <c r="CT227" s="16" t="n">
        <v>0</v>
      </c>
      <c r="CU227" s="16" t="n">
        <v>0</v>
      </c>
      <c r="CV227" s="16" t="n">
        <v>0</v>
      </c>
      <c r="CW227" s="16" t="n">
        <v>0</v>
      </c>
      <c r="CX227" s="16" t="n">
        <v>0</v>
      </c>
      <c r="CY227" s="16" t="n">
        <v>0</v>
      </c>
      <c r="CZ227" s="16" t="n">
        <v>0</v>
      </c>
      <c r="DA227" s="16" t="n">
        <v>0</v>
      </c>
      <c r="DB227" s="16" t="n">
        <v>0</v>
      </c>
      <c r="DC227" s="16" t="n">
        <v>0</v>
      </c>
      <c r="DD227" s="16" t="n">
        <v>0</v>
      </c>
      <c r="DE227" s="16" t="n">
        <v>0</v>
      </c>
      <c r="DF227" s="16" t="n">
        <v>0</v>
      </c>
      <c r="DG227" s="16" t="n">
        <v>0</v>
      </c>
      <c r="DH227" s="16" t="n">
        <v>0</v>
      </c>
      <c r="DI227" s="16" t="n">
        <v>0</v>
      </c>
      <c r="DJ227" s="16" t="n">
        <v>0</v>
      </c>
      <c r="DK227" s="16" t="n">
        <v>0</v>
      </c>
      <c r="DL227" s="16" t="n">
        <v>0</v>
      </c>
      <c r="DM227" s="16" t="n">
        <v>0</v>
      </c>
      <c r="DN227" s="16" t="n">
        <v>0</v>
      </c>
      <c r="DO227" s="16" t="n">
        <v>0</v>
      </c>
      <c r="DP227" s="16" t="n">
        <v>0</v>
      </c>
      <c r="DQ227" s="16" t="n">
        <v>0</v>
      </c>
      <c r="DR227" s="16" t="n">
        <v>0</v>
      </c>
      <c r="DS227" s="16" t="n">
        <v>0</v>
      </c>
      <c r="DT227" s="16" t="n">
        <v>0</v>
      </c>
      <c r="DU227" s="16" t="n">
        <v>0</v>
      </c>
      <c r="DV227" s="16" t="n">
        <v>0</v>
      </c>
      <c r="DW227" s="16" t="n">
        <v>0</v>
      </c>
      <c r="DX227" s="16" t="n">
        <v>0</v>
      </c>
      <c r="DY227" s="16" t="n">
        <v>0</v>
      </c>
      <c r="DZ227" s="16" t="n">
        <v>0</v>
      </c>
      <c r="EA227" s="16" t="n">
        <v>0</v>
      </c>
      <c r="EB227" s="16" t="n">
        <v>0</v>
      </c>
      <c r="EC227" s="16" t="n">
        <v>0</v>
      </c>
      <c r="ED227" s="16" t="n">
        <v>0</v>
      </c>
      <c r="EE227" s="16" t="n">
        <v>0</v>
      </c>
      <c r="EF227" s="16" t="n">
        <v>0</v>
      </c>
    </row>
    <row r="228" customFormat="false" ht="15" hidden="false" customHeight="true" outlineLevel="0" collapsed="false">
      <c r="A228" s="9" t="s">
        <v>12</v>
      </c>
      <c r="B228" s="9" t="s">
        <v>75</v>
      </c>
      <c r="C228" s="9" t="s">
        <v>75</v>
      </c>
      <c r="D228" s="9" t="s">
        <v>341</v>
      </c>
      <c r="E228" s="9" t="s">
        <v>16</v>
      </c>
      <c r="F228" s="9" t="s">
        <v>79</v>
      </c>
      <c r="G228" s="16" t="n">
        <v>0</v>
      </c>
      <c r="H228" s="16" t="n">
        <v>0</v>
      </c>
      <c r="I228" s="16" t="n">
        <v>60.9</v>
      </c>
      <c r="J228" s="16" t="n">
        <v>-60.9</v>
      </c>
      <c r="K228" s="16" t="n">
        <v>0</v>
      </c>
      <c r="L228" s="16" t="n">
        <v>0</v>
      </c>
      <c r="M228" s="16" t="n">
        <v>0</v>
      </c>
      <c r="N228" s="16" t="n">
        <v>0</v>
      </c>
      <c r="O228" s="16" t="n">
        <v>0</v>
      </c>
      <c r="P228" s="16" t="n">
        <v>0</v>
      </c>
      <c r="Q228" s="16" t="n">
        <v>0</v>
      </c>
      <c r="R228" s="16" t="n">
        <v>0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0</v>
      </c>
      <c r="X228" s="16" t="n">
        <v>0</v>
      </c>
      <c r="Y228" s="16" t="n">
        <v>0</v>
      </c>
      <c r="Z228" s="16" t="n">
        <v>0</v>
      </c>
      <c r="AA228" s="16" t="n">
        <v>0</v>
      </c>
      <c r="AB228" s="16" t="n">
        <v>0</v>
      </c>
      <c r="AC228" s="16" t="n">
        <v>0</v>
      </c>
      <c r="AD228" s="16" t="n">
        <v>0</v>
      </c>
      <c r="AE228" s="16" t="n">
        <v>0</v>
      </c>
      <c r="AF228" s="16" t="n">
        <v>0</v>
      </c>
      <c r="AG228" s="16" t="n">
        <v>0</v>
      </c>
      <c r="AH228" s="16" t="n">
        <v>0</v>
      </c>
      <c r="AI228" s="16" t="n">
        <v>0</v>
      </c>
      <c r="AJ228" s="16" t="n">
        <v>1.5</v>
      </c>
      <c r="AK228" s="16" t="n">
        <v>2</v>
      </c>
      <c r="AL228" s="16" t="n">
        <v>1</v>
      </c>
      <c r="AM228" s="16" t="n">
        <v>0</v>
      </c>
      <c r="AN228" s="16" t="n">
        <v>1</v>
      </c>
      <c r="AO228" s="16" t="n">
        <v>1</v>
      </c>
      <c r="AP228" s="16" t="n">
        <v>0.5</v>
      </c>
      <c r="AQ228" s="16" t="n">
        <v>0</v>
      </c>
      <c r="AR228" s="16" t="n">
        <v>2</v>
      </c>
      <c r="AS228" s="16" t="n">
        <v>1</v>
      </c>
      <c r="AT228" s="16" t="n">
        <v>0</v>
      </c>
      <c r="AU228" s="16" t="n">
        <v>0</v>
      </c>
      <c r="AV228" s="16" t="n">
        <v>0</v>
      </c>
      <c r="AW228" s="16" t="n">
        <v>0</v>
      </c>
      <c r="AX228" s="16" t="n">
        <v>0</v>
      </c>
      <c r="AY228" s="16" t="n">
        <v>0</v>
      </c>
      <c r="AZ228" s="16" t="n">
        <v>0</v>
      </c>
      <c r="BA228" s="16" t="n">
        <v>0</v>
      </c>
      <c r="BB228" s="16" t="n">
        <v>0</v>
      </c>
      <c r="BC228" s="16" t="n">
        <v>0</v>
      </c>
      <c r="BD228" s="16" t="n">
        <v>0</v>
      </c>
      <c r="BE228" s="16" t="n">
        <v>0</v>
      </c>
      <c r="BF228" s="16" t="n">
        <v>0</v>
      </c>
      <c r="BG228" s="16" t="n">
        <v>0</v>
      </c>
      <c r="BH228" s="16" t="n">
        <v>0</v>
      </c>
      <c r="BI228" s="16" t="n">
        <v>0</v>
      </c>
      <c r="BJ228" s="16" t="n">
        <v>0</v>
      </c>
      <c r="BK228" s="16" t="n">
        <v>0</v>
      </c>
      <c r="BL228" s="16" t="n">
        <v>0</v>
      </c>
      <c r="BM228" s="16" t="n">
        <v>0</v>
      </c>
      <c r="BN228" s="16" t="n">
        <v>0</v>
      </c>
      <c r="BO228" s="16" t="n">
        <v>0</v>
      </c>
      <c r="BP228" s="16" t="n">
        <v>0</v>
      </c>
      <c r="BQ228" s="16" t="n">
        <v>0</v>
      </c>
      <c r="BR228" s="16" t="n">
        <v>0</v>
      </c>
      <c r="BS228" s="16" t="n">
        <v>0</v>
      </c>
      <c r="BT228" s="16" t="n">
        <v>0</v>
      </c>
      <c r="BU228" s="16" t="n">
        <v>0</v>
      </c>
      <c r="BV228" s="16" t="n">
        <v>0</v>
      </c>
      <c r="BW228" s="16" t="n">
        <v>0</v>
      </c>
      <c r="BX228" s="16" t="n">
        <v>0</v>
      </c>
      <c r="BY228" s="16" t="n">
        <v>0</v>
      </c>
      <c r="BZ228" s="16" t="n">
        <v>0</v>
      </c>
      <c r="CA228" s="16" t="n">
        <v>0</v>
      </c>
      <c r="CB228" s="16" t="n">
        <v>0</v>
      </c>
      <c r="CC228" s="16" t="n">
        <v>0</v>
      </c>
      <c r="CD228" s="16" t="n">
        <v>0</v>
      </c>
      <c r="CE228" s="16" t="n">
        <v>0</v>
      </c>
      <c r="CF228" s="16" t="n">
        <v>0</v>
      </c>
      <c r="CG228" s="16" t="n">
        <v>0</v>
      </c>
      <c r="CH228" s="16" t="n">
        <v>0</v>
      </c>
      <c r="CI228" s="16" t="n">
        <v>0</v>
      </c>
      <c r="CJ228" s="16" t="n">
        <v>0</v>
      </c>
      <c r="CK228" s="16" t="n">
        <v>0</v>
      </c>
      <c r="CL228" s="16" t="n">
        <v>0</v>
      </c>
      <c r="CM228" s="16" t="n">
        <v>0</v>
      </c>
      <c r="CN228" s="16" t="n">
        <v>0</v>
      </c>
      <c r="CO228" s="16" t="n">
        <v>0</v>
      </c>
      <c r="CP228" s="16" t="n">
        <v>0</v>
      </c>
      <c r="CQ228" s="16" t="n">
        <v>0</v>
      </c>
      <c r="CR228" s="16" t="n">
        <v>0</v>
      </c>
      <c r="CS228" s="16" t="n">
        <v>1.403509</v>
      </c>
      <c r="CT228" s="16" t="n">
        <v>1.403509</v>
      </c>
      <c r="CU228" s="16" t="n">
        <v>1.403509</v>
      </c>
      <c r="CV228" s="16" t="n">
        <v>1.403509</v>
      </c>
      <c r="CW228" s="16" t="n">
        <v>1.403509</v>
      </c>
      <c r="CX228" s="16" t="n">
        <v>1.403509</v>
      </c>
      <c r="CY228" s="16" t="n">
        <v>1.403509</v>
      </c>
      <c r="CZ228" s="16" t="n">
        <v>1.403509</v>
      </c>
      <c r="DA228" s="16" t="n">
        <v>1.403509</v>
      </c>
      <c r="DB228" s="16" t="n">
        <v>1.403509</v>
      </c>
      <c r="DC228" s="16" t="n">
        <v>1.403509</v>
      </c>
      <c r="DD228" s="16" t="n">
        <v>1.403509</v>
      </c>
      <c r="DE228" s="16" t="n">
        <v>1.403509</v>
      </c>
      <c r="DF228" s="16" t="n">
        <v>1.403509</v>
      </c>
      <c r="DG228" s="16" t="n">
        <v>1.403509</v>
      </c>
      <c r="DH228" s="16" t="n">
        <v>1.403509</v>
      </c>
      <c r="DI228" s="16" t="n">
        <v>1.403509</v>
      </c>
      <c r="DJ228" s="16" t="n">
        <v>1.403509</v>
      </c>
      <c r="DK228" s="16" t="n">
        <v>1.403509</v>
      </c>
      <c r="DL228" s="16" t="n">
        <v>1.403509</v>
      </c>
      <c r="DM228" s="16" t="n">
        <v>1.403509</v>
      </c>
      <c r="DN228" s="16" t="n">
        <v>1.403509</v>
      </c>
      <c r="DO228" s="16" t="n">
        <v>1.403509</v>
      </c>
      <c r="DP228" s="16" t="n">
        <v>1.403509</v>
      </c>
      <c r="DQ228" s="16" t="n">
        <v>1.403509</v>
      </c>
      <c r="DR228" s="16" t="n">
        <v>1.403509</v>
      </c>
      <c r="DS228" s="16" t="n">
        <v>1.403509</v>
      </c>
      <c r="DT228" s="16" t="n">
        <v>1.403509</v>
      </c>
      <c r="DU228" s="16" t="n">
        <v>1.403509</v>
      </c>
      <c r="DV228" s="16" t="n">
        <v>1.403509</v>
      </c>
      <c r="DW228" s="16" t="n">
        <v>1.403509</v>
      </c>
      <c r="DX228" s="16" t="n">
        <v>1.403509</v>
      </c>
      <c r="DY228" s="16" t="n">
        <v>1.403509</v>
      </c>
      <c r="DZ228" s="16" t="n">
        <v>1.403509</v>
      </c>
      <c r="EA228" s="16" t="n">
        <v>1.403509</v>
      </c>
      <c r="EB228" s="16" t="n">
        <v>1.403509</v>
      </c>
      <c r="EC228" s="16" t="n">
        <v>1.403509</v>
      </c>
      <c r="ED228" s="16" t="n">
        <v>0</v>
      </c>
      <c r="EE228" s="16" t="n">
        <v>0</v>
      </c>
      <c r="EF228" s="16" t="n">
        <v>0</v>
      </c>
    </row>
    <row r="229" customFormat="false" ht="15" hidden="false" customHeight="true" outlineLevel="0" collapsed="false">
      <c r="A229" s="9" t="s">
        <v>12</v>
      </c>
      <c r="B229" s="9" t="s">
        <v>75</v>
      </c>
      <c r="C229" s="9" t="s">
        <v>75</v>
      </c>
      <c r="D229" s="9" t="s">
        <v>340</v>
      </c>
      <c r="E229" s="9" t="s">
        <v>16</v>
      </c>
      <c r="F229" s="9" t="s">
        <v>79</v>
      </c>
      <c r="G229" s="16" t="n">
        <v>19.4</v>
      </c>
      <c r="H229" s="16" t="n">
        <v>71.4</v>
      </c>
      <c r="I229" s="16" t="n">
        <v>6</v>
      </c>
      <c r="J229" s="16" t="n">
        <v>65.4</v>
      </c>
      <c r="K229" s="16" t="n">
        <v>0</v>
      </c>
      <c r="L229" s="16" t="n">
        <v>0</v>
      </c>
      <c r="M229" s="16" t="n">
        <v>0</v>
      </c>
      <c r="N229" s="16" t="n">
        <v>0</v>
      </c>
      <c r="O229" s="16" t="n">
        <v>0</v>
      </c>
      <c r="P229" s="16" t="n">
        <v>0</v>
      </c>
      <c r="Q229" s="16" t="n">
        <v>0</v>
      </c>
      <c r="R229" s="16" t="n">
        <v>0</v>
      </c>
      <c r="S229" s="16" t="n">
        <v>0</v>
      </c>
      <c r="T229" s="16" t="n">
        <v>0</v>
      </c>
      <c r="U229" s="16" t="n">
        <v>0</v>
      </c>
      <c r="V229" s="16" t="n">
        <v>0</v>
      </c>
      <c r="W229" s="16" t="n">
        <v>0</v>
      </c>
      <c r="X229" s="16" t="n">
        <v>0</v>
      </c>
      <c r="Y229" s="16" t="n">
        <v>0</v>
      </c>
      <c r="Z229" s="16" t="n">
        <v>0</v>
      </c>
      <c r="AA229" s="16" t="n">
        <v>0</v>
      </c>
      <c r="AB229" s="16" t="n">
        <v>1</v>
      </c>
      <c r="AC229" s="16" t="n">
        <v>1.5</v>
      </c>
      <c r="AD229" s="16" t="n">
        <v>1</v>
      </c>
      <c r="AE229" s="16" t="n">
        <v>0</v>
      </c>
      <c r="AF229" s="16" t="n">
        <v>0.5</v>
      </c>
      <c r="AG229" s="16" t="n">
        <v>0</v>
      </c>
      <c r="AH229" s="16" t="n">
        <v>1</v>
      </c>
      <c r="AI229" s="16" t="n">
        <v>1</v>
      </c>
      <c r="AJ229" s="16" t="n">
        <v>0</v>
      </c>
      <c r="AK229" s="16" t="n">
        <v>0</v>
      </c>
      <c r="AL229" s="16" t="n">
        <v>0</v>
      </c>
      <c r="AM229" s="16" t="n">
        <v>0</v>
      </c>
      <c r="AN229" s="16" t="n">
        <v>0</v>
      </c>
      <c r="AO229" s="16" t="n">
        <v>0</v>
      </c>
      <c r="AP229" s="16" t="n">
        <v>0</v>
      </c>
      <c r="AQ229" s="16" t="n">
        <v>0</v>
      </c>
      <c r="AR229" s="16" t="n">
        <v>0</v>
      </c>
      <c r="AS229" s="16" t="n">
        <v>0</v>
      </c>
      <c r="AT229" s="16" t="n">
        <v>0</v>
      </c>
      <c r="AU229" s="16" t="n">
        <v>0</v>
      </c>
      <c r="AV229" s="16" t="n">
        <v>0</v>
      </c>
      <c r="AW229" s="16" t="n">
        <v>0</v>
      </c>
      <c r="AX229" s="16" t="n">
        <v>0</v>
      </c>
      <c r="AY229" s="16" t="n">
        <v>0</v>
      </c>
      <c r="AZ229" s="16" t="n">
        <v>0</v>
      </c>
      <c r="BA229" s="16" t="n">
        <v>0</v>
      </c>
      <c r="BB229" s="16" t="n">
        <v>0</v>
      </c>
      <c r="BC229" s="16" t="n">
        <v>0</v>
      </c>
      <c r="BD229" s="16" t="n">
        <v>0</v>
      </c>
      <c r="BE229" s="16" t="n">
        <v>0</v>
      </c>
      <c r="BF229" s="16" t="n">
        <v>0</v>
      </c>
      <c r="BG229" s="16" t="n">
        <v>0</v>
      </c>
      <c r="BH229" s="16" t="n">
        <v>0</v>
      </c>
      <c r="BI229" s="16" t="n">
        <v>0</v>
      </c>
      <c r="BJ229" s="16" t="n">
        <v>0</v>
      </c>
      <c r="BK229" s="16" t="n">
        <v>0</v>
      </c>
      <c r="BL229" s="16" t="n">
        <v>0</v>
      </c>
      <c r="BM229" s="16" t="n">
        <v>0</v>
      </c>
      <c r="BN229" s="16" t="n">
        <v>0</v>
      </c>
      <c r="BO229" s="16" t="n">
        <v>0</v>
      </c>
      <c r="BP229" s="16" t="n">
        <v>0</v>
      </c>
      <c r="BQ229" s="16" t="n">
        <v>0</v>
      </c>
      <c r="BR229" s="16" t="n">
        <v>0</v>
      </c>
      <c r="BS229" s="16" t="n">
        <v>0</v>
      </c>
      <c r="BT229" s="16" t="n">
        <v>0</v>
      </c>
      <c r="BU229" s="16" t="n">
        <v>0</v>
      </c>
      <c r="BV229" s="16" t="n">
        <v>0</v>
      </c>
      <c r="BW229" s="16" t="n">
        <v>0</v>
      </c>
      <c r="BX229" s="16" t="n">
        <v>0</v>
      </c>
      <c r="BY229" s="16" t="n">
        <v>0</v>
      </c>
      <c r="BZ229" s="16" t="n">
        <v>0</v>
      </c>
      <c r="CA229" s="16" t="n">
        <v>0</v>
      </c>
      <c r="CB229" s="16" t="n">
        <v>0</v>
      </c>
      <c r="CC229" s="16" t="n">
        <v>0</v>
      </c>
      <c r="CD229" s="16" t="n">
        <v>0</v>
      </c>
      <c r="CE229" s="16" t="n">
        <v>0</v>
      </c>
      <c r="CF229" s="16" t="n">
        <v>0</v>
      </c>
      <c r="CG229" s="16" t="n">
        <v>0</v>
      </c>
      <c r="CH229" s="16" t="n">
        <v>0</v>
      </c>
      <c r="CI229" s="16" t="n">
        <v>0</v>
      </c>
      <c r="CJ229" s="16" t="n">
        <v>0</v>
      </c>
      <c r="CK229" s="16" t="n">
        <v>0</v>
      </c>
      <c r="CL229" s="16" t="n">
        <v>0</v>
      </c>
      <c r="CM229" s="16" t="n">
        <v>0</v>
      </c>
      <c r="CN229" s="16" t="n">
        <v>0</v>
      </c>
      <c r="CO229" s="16" t="n">
        <v>0</v>
      </c>
      <c r="CP229" s="16" t="n">
        <v>0</v>
      </c>
      <c r="CQ229" s="16" t="n">
        <v>0</v>
      </c>
      <c r="CR229" s="16" t="n">
        <v>0</v>
      </c>
      <c r="CS229" s="16" t="n">
        <v>0</v>
      </c>
      <c r="CT229" s="16" t="n">
        <v>0</v>
      </c>
      <c r="CU229" s="16" t="n">
        <v>0</v>
      </c>
      <c r="CV229" s="16" t="n">
        <v>0</v>
      </c>
      <c r="CW229" s="16" t="n">
        <v>0</v>
      </c>
      <c r="CX229" s="16" t="n">
        <v>0</v>
      </c>
      <c r="CY229" s="16" t="n">
        <v>0</v>
      </c>
      <c r="CZ229" s="16" t="n">
        <v>0</v>
      </c>
      <c r="DA229" s="16" t="n">
        <v>0</v>
      </c>
      <c r="DB229" s="16" t="n">
        <v>0</v>
      </c>
      <c r="DC229" s="16" t="n">
        <v>0</v>
      </c>
      <c r="DD229" s="16" t="n">
        <v>0</v>
      </c>
      <c r="DE229" s="16" t="n">
        <v>0</v>
      </c>
      <c r="DF229" s="16" t="n">
        <v>0</v>
      </c>
      <c r="DG229" s="16" t="n">
        <v>0</v>
      </c>
      <c r="DH229" s="16" t="n">
        <v>0</v>
      </c>
      <c r="DI229" s="16" t="n">
        <v>0</v>
      </c>
      <c r="DJ229" s="16" t="n">
        <v>0</v>
      </c>
      <c r="DK229" s="16" t="n">
        <v>0</v>
      </c>
      <c r="DL229" s="16" t="n">
        <v>0</v>
      </c>
      <c r="DM229" s="16" t="n">
        <v>0</v>
      </c>
      <c r="DN229" s="16" t="n">
        <v>0</v>
      </c>
      <c r="DO229" s="16" t="n">
        <v>0</v>
      </c>
      <c r="DP229" s="16" t="n">
        <v>0</v>
      </c>
      <c r="DQ229" s="16" t="n">
        <v>0</v>
      </c>
      <c r="DR229" s="16" t="n">
        <v>0</v>
      </c>
      <c r="DS229" s="16" t="n">
        <v>0</v>
      </c>
      <c r="DT229" s="16" t="n">
        <v>0</v>
      </c>
      <c r="DU229" s="16" t="n">
        <v>0</v>
      </c>
      <c r="DV229" s="16" t="n">
        <v>0</v>
      </c>
      <c r="DW229" s="16" t="n">
        <v>0</v>
      </c>
      <c r="DX229" s="16" t="n">
        <v>0</v>
      </c>
      <c r="DY229" s="16" t="n">
        <v>0</v>
      </c>
      <c r="DZ229" s="16" t="n">
        <v>0</v>
      </c>
      <c r="EA229" s="16" t="n">
        <v>0</v>
      </c>
      <c r="EB229" s="16" t="n">
        <v>0</v>
      </c>
      <c r="EC229" s="16" t="n">
        <v>0</v>
      </c>
      <c r="ED229" s="16" t="n">
        <v>0</v>
      </c>
      <c r="EE229" s="16" t="n">
        <v>0</v>
      </c>
      <c r="EF229" s="16" t="n">
        <v>0</v>
      </c>
    </row>
    <row r="230" customFormat="false" ht="15" hidden="false" customHeight="true" outlineLevel="0" collapsed="false">
      <c r="A230" s="9" t="s">
        <v>12</v>
      </c>
      <c r="B230" s="9" t="s">
        <v>75</v>
      </c>
      <c r="C230" s="9" t="s">
        <v>75</v>
      </c>
      <c r="D230" s="9" t="s">
        <v>340</v>
      </c>
      <c r="E230" s="9" t="s">
        <v>16</v>
      </c>
      <c r="F230" s="9" t="s">
        <v>79</v>
      </c>
      <c r="G230" s="16" t="n">
        <v>0</v>
      </c>
      <c r="H230" s="16" t="n">
        <v>0</v>
      </c>
      <c r="I230" s="16" t="n">
        <v>7.5</v>
      </c>
      <c r="J230" s="16" t="n">
        <v>-7.5</v>
      </c>
      <c r="K230" s="16" t="n">
        <v>0</v>
      </c>
      <c r="L230" s="16" t="n">
        <v>0</v>
      </c>
      <c r="M230" s="16" t="n">
        <v>0</v>
      </c>
      <c r="N230" s="16" t="n">
        <v>0</v>
      </c>
      <c r="O230" s="16" t="n">
        <v>0</v>
      </c>
      <c r="P230" s="16" t="n">
        <v>0</v>
      </c>
      <c r="Q230" s="16" t="n">
        <v>0</v>
      </c>
      <c r="R230" s="16" t="n">
        <v>0</v>
      </c>
      <c r="S230" s="16" t="n">
        <v>0</v>
      </c>
      <c r="T230" s="16" t="n">
        <v>0</v>
      </c>
      <c r="U230" s="16" t="n">
        <v>0</v>
      </c>
      <c r="V230" s="16" t="n">
        <v>0</v>
      </c>
      <c r="W230" s="16" t="n">
        <v>2</v>
      </c>
      <c r="X230" s="16" t="n">
        <v>2</v>
      </c>
      <c r="Y230" s="16" t="n">
        <v>3</v>
      </c>
      <c r="Z230" s="16" t="n">
        <v>0.5</v>
      </c>
      <c r="AA230" s="16" t="n">
        <v>0</v>
      </c>
      <c r="AB230" s="16" t="n">
        <v>0</v>
      </c>
      <c r="AC230" s="16" t="n">
        <v>0</v>
      </c>
      <c r="AD230" s="16" t="n">
        <v>0</v>
      </c>
      <c r="AE230" s="16" t="n">
        <v>0</v>
      </c>
      <c r="AF230" s="16" t="n">
        <v>0</v>
      </c>
      <c r="AG230" s="16" t="n">
        <v>0</v>
      </c>
      <c r="AH230" s="16" t="n">
        <v>0</v>
      </c>
      <c r="AI230" s="16" t="n">
        <v>0</v>
      </c>
      <c r="AJ230" s="16" t="n">
        <v>0</v>
      </c>
      <c r="AK230" s="16" t="n">
        <v>0</v>
      </c>
      <c r="AL230" s="16" t="n">
        <v>0</v>
      </c>
      <c r="AM230" s="16" t="n">
        <v>0</v>
      </c>
      <c r="AN230" s="16" t="n">
        <v>0</v>
      </c>
      <c r="AO230" s="16" t="n">
        <v>0</v>
      </c>
      <c r="AP230" s="16" t="n">
        <v>0</v>
      </c>
      <c r="AQ230" s="16" t="n">
        <v>0</v>
      </c>
      <c r="AR230" s="16" t="n">
        <v>0</v>
      </c>
      <c r="AS230" s="16" t="n">
        <v>0</v>
      </c>
      <c r="AT230" s="16" t="n">
        <v>0</v>
      </c>
      <c r="AU230" s="16" t="n">
        <v>0</v>
      </c>
      <c r="AV230" s="16" t="n">
        <v>0</v>
      </c>
      <c r="AW230" s="16" t="n">
        <v>0</v>
      </c>
      <c r="AX230" s="16" t="n">
        <v>0</v>
      </c>
      <c r="AY230" s="16" t="n">
        <v>0</v>
      </c>
      <c r="AZ230" s="16" t="n">
        <v>0</v>
      </c>
      <c r="BA230" s="16" t="n">
        <v>0</v>
      </c>
      <c r="BB230" s="16" t="n">
        <v>0</v>
      </c>
      <c r="BC230" s="16" t="n">
        <v>0</v>
      </c>
      <c r="BD230" s="16" t="n">
        <v>0</v>
      </c>
      <c r="BE230" s="16" t="n">
        <v>0</v>
      </c>
      <c r="BF230" s="16" t="n">
        <v>0</v>
      </c>
      <c r="BG230" s="16" t="n">
        <v>0</v>
      </c>
      <c r="BH230" s="16" t="n">
        <v>0</v>
      </c>
      <c r="BI230" s="16" t="n">
        <v>0</v>
      </c>
      <c r="BJ230" s="16" t="n">
        <v>0</v>
      </c>
      <c r="BK230" s="16" t="n">
        <v>0</v>
      </c>
      <c r="BL230" s="16" t="n">
        <v>0</v>
      </c>
      <c r="BM230" s="16" t="n">
        <v>0</v>
      </c>
      <c r="BN230" s="16" t="n">
        <v>0</v>
      </c>
      <c r="BO230" s="16" t="n">
        <v>0</v>
      </c>
      <c r="BP230" s="16" t="n">
        <v>0</v>
      </c>
      <c r="BQ230" s="16" t="n">
        <v>0</v>
      </c>
      <c r="BR230" s="16" t="n">
        <v>0</v>
      </c>
      <c r="BS230" s="16" t="n">
        <v>0</v>
      </c>
      <c r="BT230" s="16" t="n">
        <v>0</v>
      </c>
      <c r="BU230" s="16" t="n">
        <v>0</v>
      </c>
      <c r="BV230" s="16" t="n">
        <v>0</v>
      </c>
      <c r="BW230" s="16" t="n">
        <v>0</v>
      </c>
      <c r="BX230" s="16" t="n">
        <v>0</v>
      </c>
      <c r="BY230" s="16" t="n">
        <v>0</v>
      </c>
      <c r="BZ230" s="16" t="n">
        <v>0</v>
      </c>
      <c r="CA230" s="16" t="n">
        <v>0</v>
      </c>
      <c r="CB230" s="16" t="n">
        <v>0</v>
      </c>
      <c r="CC230" s="16" t="n">
        <v>0</v>
      </c>
      <c r="CD230" s="16" t="n">
        <v>0</v>
      </c>
      <c r="CE230" s="16" t="n">
        <v>0</v>
      </c>
      <c r="CF230" s="16" t="n">
        <v>0</v>
      </c>
      <c r="CG230" s="16" t="n">
        <v>0</v>
      </c>
      <c r="CH230" s="16" t="n">
        <v>0</v>
      </c>
      <c r="CI230" s="16" t="n">
        <v>0</v>
      </c>
      <c r="CJ230" s="16" t="n">
        <v>0</v>
      </c>
      <c r="CK230" s="16" t="n">
        <v>0</v>
      </c>
      <c r="CL230" s="16" t="n">
        <v>0</v>
      </c>
      <c r="CM230" s="16" t="n">
        <v>0</v>
      </c>
      <c r="CN230" s="16" t="n">
        <v>0</v>
      </c>
      <c r="CO230" s="16" t="n">
        <v>0</v>
      </c>
      <c r="CP230" s="16" t="n">
        <v>0</v>
      </c>
      <c r="CQ230" s="16" t="n">
        <v>0</v>
      </c>
      <c r="CR230" s="16" t="n">
        <v>0</v>
      </c>
      <c r="CS230" s="16" t="n">
        <v>0</v>
      </c>
      <c r="CT230" s="16" t="n">
        <v>0</v>
      </c>
      <c r="CU230" s="16" t="n">
        <v>0</v>
      </c>
      <c r="CV230" s="16" t="n">
        <v>0</v>
      </c>
      <c r="CW230" s="16" t="n">
        <v>0</v>
      </c>
      <c r="CX230" s="16" t="n">
        <v>0</v>
      </c>
      <c r="CY230" s="16" t="n">
        <v>0</v>
      </c>
      <c r="CZ230" s="16" t="n">
        <v>0</v>
      </c>
      <c r="DA230" s="16" t="n">
        <v>0</v>
      </c>
      <c r="DB230" s="16" t="n">
        <v>0</v>
      </c>
      <c r="DC230" s="16" t="n">
        <v>0</v>
      </c>
      <c r="DD230" s="16" t="n">
        <v>0</v>
      </c>
      <c r="DE230" s="16" t="n">
        <v>0</v>
      </c>
      <c r="DF230" s="16" t="n">
        <v>0</v>
      </c>
      <c r="DG230" s="16" t="n">
        <v>0</v>
      </c>
      <c r="DH230" s="16" t="n">
        <v>0</v>
      </c>
      <c r="DI230" s="16" t="n">
        <v>0</v>
      </c>
      <c r="DJ230" s="16" t="n">
        <v>0</v>
      </c>
      <c r="DK230" s="16" t="n">
        <v>0</v>
      </c>
      <c r="DL230" s="16" t="n">
        <v>0</v>
      </c>
      <c r="DM230" s="16" t="n">
        <v>0</v>
      </c>
      <c r="DN230" s="16" t="n">
        <v>0</v>
      </c>
      <c r="DO230" s="16" t="n">
        <v>0</v>
      </c>
      <c r="DP230" s="16" t="n">
        <v>0</v>
      </c>
      <c r="DQ230" s="16" t="n">
        <v>0</v>
      </c>
      <c r="DR230" s="16" t="n">
        <v>0</v>
      </c>
      <c r="DS230" s="16" t="n">
        <v>0</v>
      </c>
      <c r="DT230" s="16" t="n">
        <v>0</v>
      </c>
      <c r="DU230" s="16" t="n">
        <v>0</v>
      </c>
      <c r="DV230" s="16" t="n">
        <v>0</v>
      </c>
      <c r="DW230" s="16" t="n">
        <v>0</v>
      </c>
      <c r="DX230" s="16" t="n">
        <v>0</v>
      </c>
      <c r="DY230" s="16" t="n">
        <v>0</v>
      </c>
      <c r="DZ230" s="16" t="n">
        <v>0</v>
      </c>
      <c r="EA230" s="16" t="n">
        <v>0</v>
      </c>
      <c r="EB230" s="16" t="n">
        <v>0</v>
      </c>
      <c r="EC230" s="16" t="n">
        <v>0</v>
      </c>
      <c r="ED230" s="16" t="n">
        <v>0</v>
      </c>
      <c r="EE230" s="16" t="n">
        <v>0</v>
      </c>
      <c r="EF230" s="16" t="n">
        <v>0</v>
      </c>
    </row>
    <row r="231" customFormat="false" ht="15" hidden="false" customHeight="true" outlineLevel="0" collapsed="false">
      <c r="A231" s="9" t="s">
        <v>12</v>
      </c>
      <c r="B231" s="9" t="s">
        <v>75</v>
      </c>
      <c r="C231" s="9" t="s">
        <v>75</v>
      </c>
      <c r="D231" s="9" t="s">
        <v>341</v>
      </c>
      <c r="E231" s="9" t="s">
        <v>16</v>
      </c>
      <c r="F231" s="9" t="s">
        <v>80</v>
      </c>
      <c r="G231" s="16" t="n">
        <v>0</v>
      </c>
      <c r="H231" s="16" t="n">
        <v>0</v>
      </c>
      <c r="I231" s="16" t="n">
        <v>5</v>
      </c>
      <c r="J231" s="16" t="n">
        <v>-5</v>
      </c>
      <c r="K231" s="16" t="n">
        <v>0</v>
      </c>
      <c r="L231" s="16" t="n">
        <v>0</v>
      </c>
      <c r="M231" s="16" t="n">
        <v>0</v>
      </c>
      <c r="N231" s="16" t="n">
        <v>0</v>
      </c>
      <c r="O231" s="16" t="n">
        <v>0</v>
      </c>
      <c r="P231" s="16" t="n">
        <v>0</v>
      </c>
      <c r="Q231" s="16" t="n">
        <v>0</v>
      </c>
      <c r="R231" s="16" t="n">
        <v>0</v>
      </c>
      <c r="S231" s="16" t="n">
        <v>0</v>
      </c>
      <c r="T231" s="16" t="n">
        <v>0</v>
      </c>
      <c r="U231" s="16" t="n">
        <v>0</v>
      </c>
      <c r="V231" s="16" t="n">
        <v>0</v>
      </c>
      <c r="W231" s="16" t="n">
        <v>0</v>
      </c>
      <c r="X231" s="16" t="n">
        <v>0</v>
      </c>
      <c r="Y231" s="16" t="n">
        <v>0</v>
      </c>
      <c r="Z231" s="16" t="n">
        <v>0</v>
      </c>
      <c r="AA231" s="16" t="n">
        <v>0</v>
      </c>
      <c r="AB231" s="16" t="n">
        <v>0</v>
      </c>
      <c r="AC231" s="16" t="n">
        <v>0</v>
      </c>
      <c r="AD231" s="16" t="n">
        <v>0</v>
      </c>
      <c r="AE231" s="16" t="n">
        <v>0</v>
      </c>
      <c r="AF231" s="16" t="n">
        <v>0</v>
      </c>
      <c r="AG231" s="16" t="n">
        <v>0</v>
      </c>
      <c r="AH231" s="16" t="n">
        <v>0</v>
      </c>
      <c r="AI231" s="16" t="n">
        <v>0</v>
      </c>
      <c r="AJ231" s="16" t="n">
        <v>0</v>
      </c>
      <c r="AK231" s="16" t="n">
        <v>0</v>
      </c>
      <c r="AL231" s="16" t="n">
        <v>0</v>
      </c>
      <c r="AM231" s="16" t="n">
        <v>0</v>
      </c>
      <c r="AN231" s="16" t="n">
        <v>0</v>
      </c>
      <c r="AO231" s="16" t="n">
        <v>0</v>
      </c>
      <c r="AP231" s="16" t="n">
        <v>0</v>
      </c>
      <c r="AQ231" s="16" t="n">
        <v>0</v>
      </c>
      <c r="AR231" s="16" t="n">
        <v>0</v>
      </c>
      <c r="AS231" s="16" t="n">
        <v>0</v>
      </c>
      <c r="AT231" s="16" t="n">
        <v>0</v>
      </c>
      <c r="AU231" s="16" t="n">
        <v>0</v>
      </c>
      <c r="AV231" s="16" t="n">
        <v>0</v>
      </c>
      <c r="AW231" s="16" t="n">
        <v>0</v>
      </c>
      <c r="AX231" s="16" t="n">
        <v>0</v>
      </c>
      <c r="AY231" s="16" t="n">
        <v>0</v>
      </c>
      <c r="AZ231" s="16" t="n">
        <v>0</v>
      </c>
      <c r="BA231" s="16" t="n">
        <v>0</v>
      </c>
      <c r="BB231" s="16" t="n">
        <v>0</v>
      </c>
      <c r="BC231" s="16" t="n">
        <v>0</v>
      </c>
      <c r="BD231" s="16" t="n">
        <v>0</v>
      </c>
      <c r="BE231" s="16" t="n">
        <v>0</v>
      </c>
      <c r="BF231" s="16" t="n">
        <v>0</v>
      </c>
      <c r="BG231" s="16" t="n">
        <v>0</v>
      </c>
      <c r="BH231" s="16" t="n">
        <v>0</v>
      </c>
      <c r="BI231" s="16" t="n">
        <v>0</v>
      </c>
      <c r="BJ231" s="16" t="n">
        <v>0</v>
      </c>
      <c r="BK231" s="16" t="n">
        <v>0</v>
      </c>
      <c r="BL231" s="16" t="n">
        <v>0</v>
      </c>
      <c r="BM231" s="16" t="n">
        <v>0</v>
      </c>
      <c r="BN231" s="16" t="n">
        <v>0</v>
      </c>
      <c r="BO231" s="16" t="n">
        <v>0</v>
      </c>
      <c r="BP231" s="16" t="n">
        <v>0</v>
      </c>
      <c r="BQ231" s="16" t="n">
        <v>0</v>
      </c>
      <c r="BR231" s="16" t="n">
        <v>0</v>
      </c>
      <c r="BS231" s="16" t="n">
        <v>0</v>
      </c>
      <c r="BT231" s="16" t="n">
        <v>0</v>
      </c>
      <c r="BU231" s="16" t="n">
        <v>0</v>
      </c>
      <c r="BV231" s="16" t="n">
        <v>0</v>
      </c>
      <c r="BW231" s="16" t="n">
        <v>0</v>
      </c>
      <c r="BX231" s="16" t="n">
        <v>0</v>
      </c>
      <c r="BY231" s="16" t="n">
        <v>0</v>
      </c>
      <c r="BZ231" s="16" t="n">
        <v>0</v>
      </c>
      <c r="CA231" s="16" t="n">
        <v>0</v>
      </c>
      <c r="CB231" s="16" t="n">
        <v>0</v>
      </c>
      <c r="CC231" s="16" t="n">
        <v>0</v>
      </c>
      <c r="CD231" s="16" t="n">
        <v>0</v>
      </c>
      <c r="CE231" s="16" t="n">
        <v>0</v>
      </c>
      <c r="CF231" s="16" t="n">
        <v>0</v>
      </c>
      <c r="CG231" s="16" t="n">
        <v>0</v>
      </c>
      <c r="CH231" s="16" t="n">
        <v>0</v>
      </c>
      <c r="CI231" s="16" t="n">
        <v>0</v>
      </c>
      <c r="CJ231" s="16" t="n">
        <v>0</v>
      </c>
      <c r="CK231" s="16" t="n">
        <v>0</v>
      </c>
      <c r="CL231" s="16" t="n">
        <v>0</v>
      </c>
      <c r="CM231" s="16" t="n">
        <v>0</v>
      </c>
      <c r="CN231" s="16" t="n">
        <v>0</v>
      </c>
      <c r="CO231" s="16" t="n">
        <v>0</v>
      </c>
      <c r="CP231" s="16" t="n">
        <v>0</v>
      </c>
      <c r="CQ231" s="16" t="n">
        <v>0</v>
      </c>
      <c r="CR231" s="16" t="n">
        <v>0</v>
      </c>
      <c r="CS231" s="16" t="n">
        <v>0</v>
      </c>
      <c r="CT231" s="16" t="n">
        <v>0</v>
      </c>
      <c r="CU231" s="16" t="n">
        <v>0</v>
      </c>
      <c r="CV231" s="16" t="n">
        <v>0</v>
      </c>
      <c r="CW231" s="16" t="n">
        <v>0</v>
      </c>
      <c r="CX231" s="16" t="n">
        <v>0</v>
      </c>
      <c r="CY231" s="16" t="n">
        <v>0</v>
      </c>
      <c r="CZ231" s="16" t="n">
        <v>0</v>
      </c>
      <c r="DA231" s="16" t="n">
        <v>0</v>
      </c>
      <c r="DB231" s="16" t="n">
        <v>0</v>
      </c>
      <c r="DC231" s="16" t="n">
        <v>0</v>
      </c>
      <c r="DD231" s="16" t="n">
        <v>0</v>
      </c>
      <c r="DE231" s="16" t="n">
        <v>0</v>
      </c>
      <c r="DF231" s="16" t="n">
        <v>0</v>
      </c>
      <c r="DG231" s="16" t="n">
        <v>0</v>
      </c>
      <c r="DH231" s="16" t="n">
        <v>0</v>
      </c>
      <c r="DI231" s="16" t="n">
        <v>0</v>
      </c>
      <c r="DJ231" s="16" t="n">
        <v>0</v>
      </c>
      <c r="DK231" s="16" t="n">
        <v>0</v>
      </c>
      <c r="DL231" s="16" t="n">
        <v>0</v>
      </c>
      <c r="DM231" s="16" t="n">
        <v>0</v>
      </c>
      <c r="DN231" s="16" t="n">
        <v>0</v>
      </c>
      <c r="DO231" s="16" t="n">
        <v>0</v>
      </c>
      <c r="DP231" s="16" t="n">
        <v>0</v>
      </c>
      <c r="DQ231" s="16" t="n">
        <v>0</v>
      </c>
      <c r="DR231" s="16" t="n">
        <v>0</v>
      </c>
      <c r="DS231" s="16" t="n">
        <v>0</v>
      </c>
      <c r="DT231" s="16" t="n">
        <v>0</v>
      </c>
      <c r="DU231" s="16" t="n">
        <v>5</v>
      </c>
      <c r="DV231" s="16" t="n">
        <v>0</v>
      </c>
      <c r="DW231" s="16" t="n">
        <v>0</v>
      </c>
      <c r="DX231" s="16" t="n">
        <v>0</v>
      </c>
      <c r="DY231" s="16" t="n">
        <v>0</v>
      </c>
      <c r="DZ231" s="16" t="n">
        <v>0</v>
      </c>
      <c r="EA231" s="16" t="n">
        <v>0</v>
      </c>
      <c r="EB231" s="16" t="n">
        <v>0</v>
      </c>
      <c r="EC231" s="16" t="n">
        <v>0</v>
      </c>
      <c r="ED231" s="16" t="n">
        <v>0</v>
      </c>
      <c r="EE231" s="16" t="n">
        <v>0</v>
      </c>
      <c r="EF231" s="16" t="n">
        <v>0</v>
      </c>
    </row>
    <row r="232" customFormat="false" ht="15" hidden="false" customHeight="true" outlineLevel="0" collapsed="false">
      <c r="A232" s="9" t="s">
        <v>12</v>
      </c>
      <c r="B232" s="9" t="s">
        <v>75</v>
      </c>
      <c r="C232" s="9" t="s">
        <v>75</v>
      </c>
      <c r="D232" s="9" t="s">
        <v>340</v>
      </c>
      <c r="E232" s="9" t="s">
        <v>16</v>
      </c>
      <c r="F232" s="9" t="s">
        <v>80</v>
      </c>
      <c r="G232" s="16" t="n">
        <v>0</v>
      </c>
      <c r="H232" s="16" t="n">
        <v>5</v>
      </c>
      <c r="I232" s="16" t="n">
        <v>0</v>
      </c>
      <c r="J232" s="16" t="n">
        <v>5</v>
      </c>
      <c r="K232" s="16" t="n">
        <v>0</v>
      </c>
      <c r="L232" s="16" t="n">
        <v>0</v>
      </c>
      <c r="M232" s="16" t="n">
        <v>0</v>
      </c>
      <c r="N232" s="16" t="n">
        <v>0</v>
      </c>
      <c r="O232" s="16" t="n">
        <v>0</v>
      </c>
      <c r="P232" s="16" t="n">
        <v>0</v>
      </c>
      <c r="Q232" s="16" t="n">
        <v>0</v>
      </c>
      <c r="R232" s="16" t="n">
        <v>0</v>
      </c>
      <c r="S232" s="16" t="n">
        <v>0</v>
      </c>
      <c r="T232" s="16" t="n">
        <v>0</v>
      </c>
      <c r="U232" s="16" t="n">
        <v>0</v>
      </c>
      <c r="V232" s="16" t="n">
        <v>0</v>
      </c>
      <c r="W232" s="16" t="n">
        <v>0</v>
      </c>
      <c r="X232" s="16" t="n">
        <v>0</v>
      </c>
      <c r="Y232" s="16" t="n">
        <v>0</v>
      </c>
      <c r="Z232" s="16" t="n">
        <v>0</v>
      </c>
      <c r="AA232" s="16" t="n">
        <v>0</v>
      </c>
      <c r="AB232" s="16" t="n">
        <v>0</v>
      </c>
      <c r="AC232" s="16" t="n">
        <v>0</v>
      </c>
      <c r="AD232" s="16" t="n">
        <v>0</v>
      </c>
      <c r="AE232" s="16" t="n">
        <v>0</v>
      </c>
      <c r="AF232" s="16" t="n">
        <v>0</v>
      </c>
      <c r="AG232" s="16" t="n">
        <v>0</v>
      </c>
      <c r="AH232" s="16" t="n">
        <v>0</v>
      </c>
      <c r="AI232" s="16" t="n">
        <v>0</v>
      </c>
      <c r="AJ232" s="16" t="n">
        <v>0</v>
      </c>
      <c r="AK232" s="16" t="n">
        <v>0</v>
      </c>
      <c r="AL232" s="16" t="n">
        <v>0</v>
      </c>
      <c r="AM232" s="16" t="n">
        <v>0</v>
      </c>
      <c r="AN232" s="16" t="n">
        <v>0</v>
      </c>
      <c r="AO232" s="16" t="n">
        <v>0</v>
      </c>
      <c r="AP232" s="16" t="n">
        <v>0</v>
      </c>
      <c r="AQ232" s="16" t="n">
        <v>0</v>
      </c>
      <c r="AR232" s="16" t="n">
        <v>0</v>
      </c>
      <c r="AS232" s="16" t="n">
        <v>0</v>
      </c>
      <c r="AT232" s="16" t="n">
        <v>0</v>
      </c>
      <c r="AU232" s="16" t="n">
        <v>0</v>
      </c>
      <c r="AV232" s="16" t="n">
        <v>0</v>
      </c>
      <c r="AW232" s="16" t="n">
        <v>0</v>
      </c>
      <c r="AX232" s="16" t="n">
        <v>0</v>
      </c>
      <c r="AY232" s="16" t="n">
        <v>0</v>
      </c>
      <c r="AZ232" s="16" t="n">
        <v>0</v>
      </c>
      <c r="BA232" s="16" t="n">
        <v>0</v>
      </c>
      <c r="BB232" s="16" t="n">
        <v>0</v>
      </c>
      <c r="BC232" s="16" t="n">
        <v>0</v>
      </c>
      <c r="BD232" s="16" t="n">
        <v>0</v>
      </c>
      <c r="BE232" s="16" t="n">
        <v>0</v>
      </c>
      <c r="BF232" s="16" t="n">
        <v>0</v>
      </c>
      <c r="BG232" s="16" t="n">
        <v>0</v>
      </c>
      <c r="BH232" s="16" t="n">
        <v>0</v>
      </c>
      <c r="BI232" s="16" t="n">
        <v>0</v>
      </c>
      <c r="BJ232" s="16" t="n">
        <v>0</v>
      </c>
      <c r="BK232" s="16" t="n">
        <v>0</v>
      </c>
      <c r="BL232" s="16" t="n">
        <v>0</v>
      </c>
      <c r="BM232" s="16" t="n">
        <v>0</v>
      </c>
      <c r="BN232" s="16" t="n">
        <v>0</v>
      </c>
      <c r="BO232" s="16" t="n">
        <v>0</v>
      </c>
      <c r="BP232" s="16" t="n">
        <v>0</v>
      </c>
      <c r="BQ232" s="16" t="n">
        <v>0</v>
      </c>
      <c r="BR232" s="16" t="n">
        <v>0</v>
      </c>
      <c r="BS232" s="16" t="n">
        <v>0</v>
      </c>
      <c r="BT232" s="16" t="n">
        <v>0</v>
      </c>
      <c r="BU232" s="16" t="n">
        <v>0</v>
      </c>
      <c r="BV232" s="16" t="n">
        <v>0</v>
      </c>
      <c r="BW232" s="16" t="n">
        <v>0</v>
      </c>
      <c r="BX232" s="16" t="n">
        <v>0</v>
      </c>
      <c r="BY232" s="16" t="n">
        <v>0</v>
      </c>
      <c r="BZ232" s="16" t="n">
        <v>0</v>
      </c>
      <c r="CA232" s="16" t="n">
        <v>0</v>
      </c>
      <c r="CB232" s="16" t="n">
        <v>0</v>
      </c>
      <c r="CC232" s="16" t="n">
        <v>0</v>
      </c>
      <c r="CD232" s="16" t="n">
        <v>0</v>
      </c>
      <c r="CE232" s="16" t="n">
        <v>0</v>
      </c>
      <c r="CF232" s="16" t="n">
        <v>0</v>
      </c>
      <c r="CG232" s="16" t="n">
        <v>0</v>
      </c>
      <c r="CH232" s="16" t="n">
        <v>0</v>
      </c>
      <c r="CI232" s="16" t="n">
        <v>0</v>
      </c>
      <c r="CJ232" s="16" t="n">
        <v>0</v>
      </c>
      <c r="CK232" s="16" t="n">
        <v>0</v>
      </c>
      <c r="CL232" s="16" t="n">
        <v>0</v>
      </c>
      <c r="CM232" s="16" t="n">
        <v>0</v>
      </c>
      <c r="CN232" s="16" t="n">
        <v>0</v>
      </c>
      <c r="CO232" s="16" t="n">
        <v>0</v>
      </c>
      <c r="CP232" s="16" t="n">
        <v>0</v>
      </c>
      <c r="CQ232" s="16" t="n">
        <v>0</v>
      </c>
      <c r="CR232" s="16" t="n">
        <v>0</v>
      </c>
      <c r="CS232" s="16" t="n">
        <v>0</v>
      </c>
      <c r="CT232" s="16" t="n">
        <v>0</v>
      </c>
      <c r="CU232" s="16" t="n">
        <v>0</v>
      </c>
      <c r="CV232" s="16" t="n">
        <v>0</v>
      </c>
      <c r="CW232" s="16" t="n">
        <v>0</v>
      </c>
      <c r="CX232" s="16" t="n">
        <v>0</v>
      </c>
      <c r="CY232" s="16" t="n">
        <v>0</v>
      </c>
      <c r="CZ232" s="16" t="n">
        <v>0</v>
      </c>
      <c r="DA232" s="16" t="n">
        <v>0</v>
      </c>
      <c r="DB232" s="16" t="n">
        <v>0</v>
      </c>
      <c r="DC232" s="16" t="n">
        <v>0</v>
      </c>
      <c r="DD232" s="16" t="n">
        <v>0</v>
      </c>
      <c r="DE232" s="16" t="n">
        <v>0</v>
      </c>
      <c r="DF232" s="16" t="n">
        <v>0</v>
      </c>
      <c r="DG232" s="16" t="n">
        <v>0</v>
      </c>
      <c r="DH232" s="16" t="n">
        <v>0</v>
      </c>
      <c r="DI232" s="16" t="n">
        <v>0</v>
      </c>
      <c r="DJ232" s="16" t="n">
        <v>0</v>
      </c>
      <c r="DK232" s="16" t="n">
        <v>0</v>
      </c>
      <c r="DL232" s="16" t="n">
        <v>0</v>
      </c>
      <c r="DM232" s="16" t="n">
        <v>0</v>
      </c>
      <c r="DN232" s="16" t="n">
        <v>0</v>
      </c>
      <c r="DO232" s="16" t="n">
        <v>0</v>
      </c>
      <c r="DP232" s="16" t="n">
        <v>0</v>
      </c>
      <c r="DQ232" s="16" t="n">
        <v>0</v>
      </c>
      <c r="DR232" s="16" t="n">
        <v>0</v>
      </c>
      <c r="DS232" s="16" t="n">
        <v>0</v>
      </c>
      <c r="DT232" s="16" t="n">
        <v>0</v>
      </c>
      <c r="DU232" s="16" t="n">
        <v>0</v>
      </c>
      <c r="DV232" s="16" t="n">
        <v>0</v>
      </c>
      <c r="DW232" s="16" t="n">
        <v>0</v>
      </c>
      <c r="DX232" s="16" t="n">
        <v>0</v>
      </c>
      <c r="DY232" s="16" t="n">
        <v>0</v>
      </c>
      <c r="DZ232" s="16" t="n">
        <v>0</v>
      </c>
      <c r="EA232" s="16" t="n">
        <v>0</v>
      </c>
      <c r="EB232" s="16" t="n">
        <v>0</v>
      </c>
      <c r="EC232" s="16" t="n">
        <v>0</v>
      </c>
      <c r="ED232" s="16" t="n">
        <v>0</v>
      </c>
      <c r="EE232" s="16" t="n">
        <v>0</v>
      </c>
      <c r="EF232" s="16" t="n">
        <v>0</v>
      </c>
    </row>
    <row r="233" customFormat="false" ht="15" hidden="false" customHeight="true" outlineLevel="0" collapsed="false">
      <c r="A233" s="9" t="s">
        <v>12</v>
      </c>
      <c r="B233" s="9" t="s">
        <v>75</v>
      </c>
      <c r="C233" s="9" t="s">
        <v>75</v>
      </c>
      <c r="D233" s="9" t="s">
        <v>341</v>
      </c>
      <c r="E233" s="9" t="s">
        <v>16</v>
      </c>
      <c r="F233" s="9" t="s">
        <v>81</v>
      </c>
      <c r="G233" s="16" t="n">
        <v>0</v>
      </c>
      <c r="H233" s="16" t="n">
        <v>0</v>
      </c>
      <c r="I233" s="16" t="n">
        <v>19.5</v>
      </c>
      <c r="J233" s="16" t="n">
        <v>-19.5</v>
      </c>
      <c r="K233" s="16" t="n">
        <v>0</v>
      </c>
      <c r="L233" s="16" t="n">
        <v>0</v>
      </c>
      <c r="M233" s="16" t="n">
        <v>0</v>
      </c>
      <c r="N233" s="16" t="n">
        <v>0</v>
      </c>
      <c r="O233" s="16" t="n">
        <v>0</v>
      </c>
      <c r="P233" s="16" t="n">
        <v>0</v>
      </c>
      <c r="Q233" s="16" t="n">
        <v>0</v>
      </c>
      <c r="R233" s="16" t="n">
        <v>0</v>
      </c>
      <c r="S233" s="16" t="n">
        <v>0</v>
      </c>
      <c r="T233" s="16" t="n">
        <v>0</v>
      </c>
      <c r="U233" s="16" t="n">
        <v>0</v>
      </c>
      <c r="V233" s="16" t="n">
        <v>0</v>
      </c>
      <c r="W233" s="16" t="n">
        <v>0</v>
      </c>
      <c r="X233" s="16" t="n">
        <v>0</v>
      </c>
      <c r="Y233" s="16" t="n">
        <v>0</v>
      </c>
      <c r="Z233" s="16" t="n">
        <v>0</v>
      </c>
      <c r="AA233" s="16" t="n">
        <v>0</v>
      </c>
      <c r="AB233" s="16" t="n">
        <v>0</v>
      </c>
      <c r="AC233" s="16" t="n">
        <v>0</v>
      </c>
      <c r="AD233" s="16" t="n">
        <v>0</v>
      </c>
      <c r="AE233" s="16" t="n">
        <v>0</v>
      </c>
      <c r="AF233" s="16" t="n">
        <v>0</v>
      </c>
      <c r="AG233" s="16" t="n">
        <v>0</v>
      </c>
      <c r="AH233" s="16" t="n">
        <v>0</v>
      </c>
      <c r="AI233" s="16" t="n">
        <v>0</v>
      </c>
      <c r="AJ233" s="16" t="n">
        <v>0</v>
      </c>
      <c r="AK233" s="16" t="n">
        <v>0</v>
      </c>
      <c r="AL233" s="16" t="n">
        <v>0</v>
      </c>
      <c r="AM233" s="16" t="n">
        <v>0</v>
      </c>
      <c r="AN233" s="16" t="n">
        <v>0</v>
      </c>
      <c r="AO233" s="16" t="n">
        <v>0</v>
      </c>
      <c r="AP233" s="16" t="n">
        <v>0</v>
      </c>
      <c r="AQ233" s="16" t="n">
        <v>0</v>
      </c>
      <c r="AR233" s="16" t="n">
        <v>0</v>
      </c>
      <c r="AS233" s="16" t="n">
        <v>0</v>
      </c>
      <c r="AT233" s="16" t="n">
        <v>0</v>
      </c>
      <c r="AU233" s="16" t="n">
        <v>0</v>
      </c>
      <c r="AV233" s="16" t="n">
        <v>0</v>
      </c>
      <c r="AW233" s="16" t="n">
        <v>0</v>
      </c>
      <c r="AX233" s="16" t="n">
        <v>0</v>
      </c>
      <c r="AY233" s="16" t="n">
        <v>0</v>
      </c>
      <c r="AZ233" s="16" t="n">
        <v>0</v>
      </c>
      <c r="BA233" s="16" t="n">
        <v>0</v>
      </c>
      <c r="BB233" s="16" t="n">
        <v>0</v>
      </c>
      <c r="BC233" s="16" t="n">
        <v>0</v>
      </c>
      <c r="BD233" s="16" t="n">
        <v>0</v>
      </c>
      <c r="BE233" s="16" t="n">
        <v>0</v>
      </c>
      <c r="BF233" s="16" t="n">
        <v>0</v>
      </c>
      <c r="BG233" s="16" t="n">
        <v>0</v>
      </c>
      <c r="BH233" s="16" t="n">
        <v>0</v>
      </c>
      <c r="BI233" s="16" t="n">
        <v>0</v>
      </c>
      <c r="BJ233" s="16" t="n">
        <v>0</v>
      </c>
      <c r="BK233" s="16" t="n">
        <v>0</v>
      </c>
      <c r="BL233" s="16" t="n">
        <v>0</v>
      </c>
      <c r="BM233" s="16" t="n">
        <v>0</v>
      </c>
      <c r="BN233" s="16" t="n">
        <v>0</v>
      </c>
      <c r="BO233" s="16" t="n">
        <v>0</v>
      </c>
      <c r="BP233" s="16" t="n">
        <v>0</v>
      </c>
      <c r="BQ233" s="16" t="n">
        <v>0</v>
      </c>
      <c r="BR233" s="16" t="n">
        <v>0</v>
      </c>
      <c r="BS233" s="16" t="n">
        <v>0</v>
      </c>
      <c r="BT233" s="16" t="n">
        <v>0</v>
      </c>
      <c r="BU233" s="16" t="n">
        <v>0</v>
      </c>
      <c r="BV233" s="16" t="n">
        <v>0</v>
      </c>
      <c r="BW233" s="16" t="n">
        <v>0</v>
      </c>
      <c r="BX233" s="16" t="n">
        <v>0</v>
      </c>
      <c r="BY233" s="16" t="n">
        <v>0</v>
      </c>
      <c r="BZ233" s="16" t="n">
        <v>0</v>
      </c>
      <c r="CA233" s="16" t="n">
        <v>0</v>
      </c>
      <c r="CB233" s="16" t="n">
        <v>0</v>
      </c>
      <c r="CC233" s="16" t="n">
        <v>0</v>
      </c>
      <c r="CD233" s="16" t="n">
        <v>0</v>
      </c>
      <c r="CE233" s="16" t="n">
        <v>0</v>
      </c>
      <c r="CF233" s="16" t="n">
        <v>0</v>
      </c>
      <c r="CG233" s="16" t="n">
        <v>0</v>
      </c>
      <c r="CH233" s="16" t="n">
        <v>0</v>
      </c>
      <c r="CI233" s="16" t="n">
        <v>0</v>
      </c>
      <c r="CJ233" s="16" t="n">
        <v>0</v>
      </c>
      <c r="CK233" s="16" t="n">
        <v>0</v>
      </c>
      <c r="CL233" s="16" t="n">
        <v>0</v>
      </c>
      <c r="CM233" s="16" t="n">
        <v>0</v>
      </c>
      <c r="CN233" s="16" t="n">
        <v>0</v>
      </c>
      <c r="CO233" s="16" t="n">
        <v>0</v>
      </c>
      <c r="CP233" s="16" t="n">
        <v>0</v>
      </c>
      <c r="CQ233" s="16" t="n">
        <v>0</v>
      </c>
      <c r="CR233" s="16" t="n">
        <v>0</v>
      </c>
      <c r="CS233" s="16" t="n">
        <v>0.526316</v>
      </c>
      <c r="CT233" s="16" t="n">
        <v>0.526316</v>
      </c>
      <c r="CU233" s="16" t="n">
        <v>0.526316</v>
      </c>
      <c r="CV233" s="16" t="n">
        <v>0.526316</v>
      </c>
      <c r="CW233" s="16" t="n">
        <v>0.526316</v>
      </c>
      <c r="CX233" s="16" t="n">
        <v>0.526316</v>
      </c>
      <c r="CY233" s="16" t="n">
        <v>0.526316</v>
      </c>
      <c r="CZ233" s="16" t="n">
        <v>0.526316</v>
      </c>
      <c r="DA233" s="16" t="n">
        <v>0.526316</v>
      </c>
      <c r="DB233" s="16" t="n">
        <v>0.526316</v>
      </c>
      <c r="DC233" s="16" t="n">
        <v>0.526316</v>
      </c>
      <c r="DD233" s="16" t="n">
        <v>0.526316</v>
      </c>
      <c r="DE233" s="16" t="n">
        <v>0.526316</v>
      </c>
      <c r="DF233" s="16" t="n">
        <v>0.526316</v>
      </c>
      <c r="DG233" s="16" t="n">
        <v>0.526316</v>
      </c>
      <c r="DH233" s="16" t="n">
        <v>0.526316</v>
      </c>
      <c r="DI233" s="16" t="n">
        <v>0.526316</v>
      </c>
      <c r="DJ233" s="16" t="n">
        <v>0.526316</v>
      </c>
      <c r="DK233" s="16" t="n">
        <v>1</v>
      </c>
      <c r="DL233" s="16" t="n">
        <v>1</v>
      </c>
      <c r="DM233" s="16" t="n">
        <v>1</v>
      </c>
      <c r="DN233" s="16" t="n">
        <v>1</v>
      </c>
      <c r="DO233" s="16" t="n">
        <v>1.5</v>
      </c>
      <c r="DP233" s="16" t="n">
        <v>1.5</v>
      </c>
      <c r="DQ233" s="16" t="n">
        <v>1.5</v>
      </c>
      <c r="DR233" s="16" t="n">
        <v>1.5</v>
      </c>
      <c r="DS233" s="16" t="n">
        <v>0</v>
      </c>
      <c r="DT233" s="16" t="n">
        <v>0</v>
      </c>
      <c r="DU233" s="16" t="n">
        <v>0</v>
      </c>
      <c r="DV233" s="16" t="n">
        <v>0</v>
      </c>
      <c r="DW233" s="16" t="n">
        <v>0</v>
      </c>
      <c r="DX233" s="16" t="n">
        <v>0</v>
      </c>
      <c r="DY233" s="16" t="n">
        <v>0</v>
      </c>
      <c r="DZ233" s="16" t="n">
        <v>0</v>
      </c>
      <c r="EA233" s="16" t="n">
        <v>0</v>
      </c>
      <c r="EB233" s="16" t="n">
        <v>0</v>
      </c>
      <c r="EC233" s="16" t="n">
        <v>0</v>
      </c>
      <c r="ED233" s="16" t="n">
        <v>0</v>
      </c>
      <c r="EE233" s="16" t="n">
        <v>0</v>
      </c>
      <c r="EF233" s="16" t="n">
        <v>0</v>
      </c>
    </row>
    <row r="234" customFormat="false" ht="15" hidden="false" customHeight="true" outlineLevel="0" collapsed="false">
      <c r="A234" s="9" t="s">
        <v>12</v>
      </c>
      <c r="B234" s="9" t="s">
        <v>75</v>
      </c>
      <c r="C234" s="9" t="s">
        <v>75</v>
      </c>
      <c r="D234" s="9" t="s">
        <v>340</v>
      </c>
      <c r="E234" s="9" t="s">
        <v>16</v>
      </c>
      <c r="F234" s="9" t="s">
        <v>81</v>
      </c>
      <c r="G234" s="16" t="n">
        <v>5.5</v>
      </c>
      <c r="H234" s="16" t="n">
        <v>25.3</v>
      </c>
      <c r="I234" s="16" t="n">
        <v>0</v>
      </c>
      <c r="J234" s="16" t="n">
        <v>25.3</v>
      </c>
      <c r="K234" s="16" t="n">
        <v>0</v>
      </c>
      <c r="L234" s="16" t="n">
        <v>0</v>
      </c>
      <c r="M234" s="16" t="n">
        <v>0</v>
      </c>
      <c r="N234" s="16" t="n">
        <v>0</v>
      </c>
      <c r="O234" s="16" t="n">
        <v>0</v>
      </c>
      <c r="P234" s="16" t="n">
        <v>0</v>
      </c>
      <c r="Q234" s="16" t="n">
        <v>0</v>
      </c>
      <c r="R234" s="16" t="n">
        <v>0</v>
      </c>
      <c r="S234" s="16" t="n">
        <v>0</v>
      </c>
      <c r="T234" s="16" t="n">
        <v>0</v>
      </c>
      <c r="U234" s="16" t="n">
        <v>0</v>
      </c>
      <c r="V234" s="16" t="n">
        <v>0</v>
      </c>
      <c r="W234" s="16" t="n">
        <v>0</v>
      </c>
      <c r="X234" s="16" t="n">
        <v>0</v>
      </c>
      <c r="Y234" s="16" t="n">
        <v>0</v>
      </c>
      <c r="Z234" s="16" t="n">
        <v>0</v>
      </c>
      <c r="AA234" s="16" t="n">
        <v>0</v>
      </c>
      <c r="AB234" s="16" t="n">
        <v>0</v>
      </c>
      <c r="AC234" s="16" t="n">
        <v>0</v>
      </c>
      <c r="AD234" s="16" t="n">
        <v>0</v>
      </c>
      <c r="AE234" s="16" t="n">
        <v>0</v>
      </c>
      <c r="AF234" s="16" t="n">
        <v>0</v>
      </c>
      <c r="AG234" s="16" t="n">
        <v>0</v>
      </c>
      <c r="AH234" s="16" t="n">
        <v>0</v>
      </c>
      <c r="AI234" s="16" t="n">
        <v>0</v>
      </c>
      <c r="AJ234" s="16" t="n">
        <v>0</v>
      </c>
      <c r="AK234" s="16" t="n">
        <v>0</v>
      </c>
      <c r="AL234" s="16" t="n">
        <v>0</v>
      </c>
      <c r="AM234" s="16" t="n">
        <v>0</v>
      </c>
      <c r="AN234" s="16" t="n">
        <v>0</v>
      </c>
      <c r="AO234" s="16" t="n">
        <v>0</v>
      </c>
      <c r="AP234" s="16" t="n">
        <v>0</v>
      </c>
      <c r="AQ234" s="16" t="n">
        <v>0</v>
      </c>
      <c r="AR234" s="16" t="n">
        <v>0</v>
      </c>
      <c r="AS234" s="16" t="n">
        <v>0</v>
      </c>
      <c r="AT234" s="16" t="n">
        <v>0</v>
      </c>
      <c r="AU234" s="16" t="n">
        <v>0</v>
      </c>
      <c r="AV234" s="16" t="n">
        <v>0</v>
      </c>
      <c r="AW234" s="16" t="n">
        <v>0</v>
      </c>
      <c r="AX234" s="16" t="n">
        <v>0</v>
      </c>
      <c r="AY234" s="16" t="n">
        <v>0</v>
      </c>
      <c r="AZ234" s="16" t="n">
        <v>0</v>
      </c>
      <c r="BA234" s="16" t="n">
        <v>0</v>
      </c>
      <c r="BB234" s="16" t="n">
        <v>0</v>
      </c>
      <c r="BC234" s="16" t="n">
        <v>0</v>
      </c>
      <c r="BD234" s="16" t="n">
        <v>0</v>
      </c>
      <c r="BE234" s="16" t="n">
        <v>0</v>
      </c>
      <c r="BF234" s="16" t="n">
        <v>0</v>
      </c>
      <c r="BG234" s="16" t="n">
        <v>0</v>
      </c>
      <c r="BH234" s="16" t="n">
        <v>0</v>
      </c>
      <c r="BI234" s="16" t="n">
        <v>0</v>
      </c>
      <c r="BJ234" s="16" t="n">
        <v>0</v>
      </c>
      <c r="BK234" s="16" t="n">
        <v>0</v>
      </c>
      <c r="BL234" s="16" t="n">
        <v>0</v>
      </c>
      <c r="BM234" s="16" t="n">
        <v>0</v>
      </c>
      <c r="BN234" s="16" t="n">
        <v>0</v>
      </c>
      <c r="BO234" s="16" t="n">
        <v>0</v>
      </c>
      <c r="BP234" s="16" t="n">
        <v>0</v>
      </c>
      <c r="BQ234" s="16" t="n">
        <v>0</v>
      </c>
      <c r="BR234" s="16" t="n">
        <v>0</v>
      </c>
      <c r="BS234" s="16" t="n">
        <v>0</v>
      </c>
      <c r="BT234" s="16" t="n">
        <v>0</v>
      </c>
      <c r="BU234" s="16" t="n">
        <v>0</v>
      </c>
      <c r="BV234" s="16" t="n">
        <v>0</v>
      </c>
      <c r="BW234" s="16" t="n">
        <v>0</v>
      </c>
      <c r="BX234" s="16" t="n">
        <v>0</v>
      </c>
      <c r="BY234" s="16" t="n">
        <v>0</v>
      </c>
      <c r="BZ234" s="16" t="n">
        <v>0</v>
      </c>
      <c r="CA234" s="16" t="n">
        <v>0</v>
      </c>
      <c r="CB234" s="16" t="n">
        <v>0</v>
      </c>
      <c r="CC234" s="16" t="n">
        <v>0</v>
      </c>
      <c r="CD234" s="16" t="n">
        <v>0</v>
      </c>
      <c r="CE234" s="16" t="n">
        <v>0</v>
      </c>
      <c r="CF234" s="16" t="n">
        <v>0</v>
      </c>
      <c r="CG234" s="16" t="n">
        <v>0</v>
      </c>
      <c r="CH234" s="16" t="n">
        <v>0</v>
      </c>
      <c r="CI234" s="16" t="n">
        <v>0</v>
      </c>
      <c r="CJ234" s="16" t="n">
        <v>0</v>
      </c>
      <c r="CK234" s="16" t="n">
        <v>0</v>
      </c>
      <c r="CL234" s="16" t="n">
        <v>0</v>
      </c>
      <c r="CM234" s="16" t="n">
        <v>0</v>
      </c>
      <c r="CN234" s="16" t="n">
        <v>0</v>
      </c>
      <c r="CO234" s="16" t="n">
        <v>0</v>
      </c>
      <c r="CP234" s="16" t="n">
        <v>0</v>
      </c>
      <c r="CQ234" s="16" t="n">
        <v>0</v>
      </c>
      <c r="CR234" s="16" t="n">
        <v>0</v>
      </c>
      <c r="CS234" s="16" t="n">
        <v>0</v>
      </c>
      <c r="CT234" s="16" t="n">
        <v>0</v>
      </c>
      <c r="CU234" s="16" t="n">
        <v>0</v>
      </c>
      <c r="CV234" s="16" t="n">
        <v>0</v>
      </c>
      <c r="CW234" s="16" t="n">
        <v>0</v>
      </c>
      <c r="CX234" s="16" t="n">
        <v>0</v>
      </c>
      <c r="CY234" s="16" t="n">
        <v>0</v>
      </c>
      <c r="CZ234" s="16" t="n">
        <v>0</v>
      </c>
      <c r="DA234" s="16" t="n">
        <v>0</v>
      </c>
      <c r="DB234" s="16" t="n">
        <v>0</v>
      </c>
      <c r="DC234" s="16" t="n">
        <v>0</v>
      </c>
      <c r="DD234" s="16" t="n">
        <v>0</v>
      </c>
      <c r="DE234" s="16" t="n">
        <v>0</v>
      </c>
      <c r="DF234" s="16" t="n">
        <v>0</v>
      </c>
      <c r="DG234" s="16" t="n">
        <v>0</v>
      </c>
      <c r="DH234" s="16" t="n">
        <v>0</v>
      </c>
      <c r="DI234" s="16" t="n">
        <v>0</v>
      </c>
      <c r="DJ234" s="16" t="n">
        <v>0</v>
      </c>
      <c r="DK234" s="16" t="n">
        <v>0</v>
      </c>
      <c r="DL234" s="16" t="n">
        <v>0</v>
      </c>
      <c r="DM234" s="16" t="n">
        <v>0</v>
      </c>
      <c r="DN234" s="16" t="n">
        <v>0</v>
      </c>
      <c r="DO234" s="16" t="n">
        <v>0</v>
      </c>
      <c r="DP234" s="16" t="n">
        <v>0</v>
      </c>
      <c r="DQ234" s="16" t="n">
        <v>0</v>
      </c>
      <c r="DR234" s="16" t="n">
        <v>0</v>
      </c>
      <c r="DS234" s="16" t="n">
        <v>0</v>
      </c>
      <c r="DT234" s="16" t="n">
        <v>0</v>
      </c>
      <c r="DU234" s="16" t="n">
        <v>0</v>
      </c>
      <c r="DV234" s="16" t="n">
        <v>0</v>
      </c>
      <c r="DW234" s="16" t="n">
        <v>0</v>
      </c>
      <c r="DX234" s="16" t="n">
        <v>0</v>
      </c>
      <c r="DY234" s="16" t="n">
        <v>0</v>
      </c>
      <c r="DZ234" s="16" t="n">
        <v>0</v>
      </c>
      <c r="EA234" s="16" t="n">
        <v>0</v>
      </c>
      <c r="EB234" s="16" t="n">
        <v>0</v>
      </c>
      <c r="EC234" s="16" t="n">
        <v>0</v>
      </c>
      <c r="ED234" s="16" t="n">
        <v>0</v>
      </c>
      <c r="EE234" s="16" t="n">
        <v>0</v>
      </c>
      <c r="EF234" s="16" t="n">
        <v>0</v>
      </c>
    </row>
    <row r="235" customFormat="false" ht="15" hidden="false" customHeight="true" outlineLevel="0" collapsed="false">
      <c r="A235" s="9" t="s">
        <v>12</v>
      </c>
      <c r="B235" s="9" t="s">
        <v>75</v>
      </c>
      <c r="C235" s="9" t="s">
        <v>75</v>
      </c>
      <c r="D235" s="9" t="s">
        <v>341</v>
      </c>
      <c r="E235" s="9" t="s">
        <v>16</v>
      </c>
      <c r="F235" s="9" t="s">
        <v>82</v>
      </c>
      <c r="G235" s="16" t="n">
        <v>0</v>
      </c>
      <c r="H235" s="16" t="n">
        <v>0</v>
      </c>
      <c r="I235" s="16" t="n">
        <v>0</v>
      </c>
      <c r="J235" s="16" t="n">
        <v>0</v>
      </c>
      <c r="K235" s="16" t="n">
        <v>0</v>
      </c>
      <c r="L235" s="16" t="n">
        <v>0</v>
      </c>
      <c r="M235" s="16" t="n">
        <v>0</v>
      </c>
      <c r="N235" s="16" t="n">
        <v>0</v>
      </c>
      <c r="O235" s="16" t="n">
        <v>0</v>
      </c>
      <c r="P235" s="16" t="n">
        <v>0</v>
      </c>
      <c r="Q235" s="16" t="n">
        <v>0</v>
      </c>
      <c r="R235" s="16" t="n">
        <v>0</v>
      </c>
      <c r="S235" s="16" t="n">
        <v>0</v>
      </c>
      <c r="T235" s="16" t="n">
        <v>0</v>
      </c>
      <c r="U235" s="16" t="n">
        <v>0</v>
      </c>
      <c r="V235" s="16" t="n">
        <v>0</v>
      </c>
      <c r="W235" s="16" t="n">
        <v>0</v>
      </c>
      <c r="X235" s="16" t="n">
        <v>0</v>
      </c>
      <c r="Y235" s="16" t="n">
        <v>0</v>
      </c>
      <c r="Z235" s="16" t="n">
        <v>0</v>
      </c>
      <c r="AA235" s="16" t="n">
        <v>0</v>
      </c>
      <c r="AB235" s="16" t="n">
        <v>0</v>
      </c>
      <c r="AC235" s="16" t="n">
        <v>0</v>
      </c>
      <c r="AD235" s="16" t="n">
        <v>0</v>
      </c>
      <c r="AE235" s="16" t="n">
        <v>0</v>
      </c>
      <c r="AF235" s="16" t="n">
        <v>0</v>
      </c>
      <c r="AG235" s="16" t="n">
        <v>0</v>
      </c>
      <c r="AH235" s="16" t="n">
        <v>0</v>
      </c>
      <c r="AI235" s="16" t="n">
        <v>0</v>
      </c>
      <c r="AJ235" s="16" t="n">
        <v>0</v>
      </c>
      <c r="AK235" s="16" t="n">
        <v>0</v>
      </c>
      <c r="AL235" s="16" t="n">
        <v>0</v>
      </c>
      <c r="AM235" s="16" t="n">
        <v>0</v>
      </c>
      <c r="AN235" s="16" t="n">
        <v>0</v>
      </c>
      <c r="AO235" s="16" t="n">
        <v>0</v>
      </c>
      <c r="AP235" s="16" t="n">
        <v>0</v>
      </c>
      <c r="AQ235" s="16" t="n">
        <v>0</v>
      </c>
      <c r="AR235" s="16" t="n">
        <v>0</v>
      </c>
      <c r="AS235" s="16" t="n">
        <v>0</v>
      </c>
      <c r="AT235" s="16" t="n">
        <v>0</v>
      </c>
      <c r="AU235" s="16" t="n">
        <v>0</v>
      </c>
      <c r="AV235" s="16" t="n">
        <v>0</v>
      </c>
      <c r="AW235" s="16" t="n">
        <v>0</v>
      </c>
      <c r="AX235" s="16" t="n">
        <v>0</v>
      </c>
      <c r="AY235" s="16" t="n">
        <v>0</v>
      </c>
      <c r="AZ235" s="16" t="n">
        <v>0</v>
      </c>
      <c r="BA235" s="16" t="n">
        <v>0</v>
      </c>
      <c r="BB235" s="16" t="n">
        <v>0</v>
      </c>
      <c r="BC235" s="16" t="n">
        <v>0</v>
      </c>
      <c r="BD235" s="16" t="n">
        <v>0</v>
      </c>
      <c r="BE235" s="16" t="n">
        <v>0</v>
      </c>
      <c r="BF235" s="16" t="n">
        <v>0</v>
      </c>
      <c r="BG235" s="16" t="n">
        <v>0</v>
      </c>
      <c r="BH235" s="16" t="n">
        <v>0</v>
      </c>
      <c r="BI235" s="16" t="n">
        <v>0</v>
      </c>
      <c r="BJ235" s="16" t="n">
        <v>0</v>
      </c>
      <c r="BK235" s="16" t="n">
        <v>0</v>
      </c>
      <c r="BL235" s="16" t="n">
        <v>0</v>
      </c>
      <c r="BM235" s="16" t="n">
        <v>0</v>
      </c>
      <c r="BN235" s="16" t="n">
        <v>0</v>
      </c>
      <c r="BO235" s="16" t="n">
        <v>0</v>
      </c>
      <c r="BP235" s="16" t="n">
        <v>0</v>
      </c>
      <c r="BQ235" s="16" t="n">
        <v>0</v>
      </c>
      <c r="BR235" s="16" t="n">
        <v>0</v>
      </c>
      <c r="BS235" s="16" t="n">
        <v>0</v>
      </c>
      <c r="BT235" s="16" t="n">
        <v>0</v>
      </c>
      <c r="BU235" s="16" t="n">
        <v>0</v>
      </c>
      <c r="BV235" s="16" t="n">
        <v>0</v>
      </c>
      <c r="BW235" s="16" t="n">
        <v>0</v>
      </c>
      <c r="BX235" s="16" t="n">
        <v>0</v>
      </c>
      <c r="BY235" s="16" t="n">
        <v>0</v>
      </c>
      <c r="BZ235" s="16" t="n">
        <v>0</v>
      </c>
      <c r="CA235" s="16" t="n">
        <v>0</v>
      </c>
      <c r="CB235" s="16" t="n">
        <v>0</v>
      </c>
      <c r="CC235" s="16" t="n">
        <v>0</v>
      </c>
      <c r="CD235" s="16" t="n">
        <v>0</v>
      </c>
      <c r="CE235" s="16" t="n">
        <v>0</v>
      </c>
      <c r="CF235" s="16" t="n">
        <v>0</v>
      </c>
      <c r="CG235" s="16" t="n">
        <v>0</v>
      </c>
      <c r="CH235" s="16" t="n">
        <v>0</v>
      </c>
      <c r="CI235" s="16" t="n">
        <v>0</v>
      </c>
      <c r="CJ235" s="16" t="n">
        <v>0</v>
      </c>
      <c r="CK235" s="16" t="n">
        <v>0</v>
      </c>
      <c r="CL235" s="16" t="n">
        <v>0</v>
      </c>
      <c r="CM235" s="16" t="n">
        <v>0</v>
      </c>
      <c r="CN235" s="16" t="n">
        <v>0</v>
      </c>
      <c r="CO235" s="16" t="n">
        <v>0</v>
      </c>
      <c r="CP235" s="16" t="n">
        <v>0</v>
      </c>
      <c r="CQ235" s="16" t="n">
        <v>0</v>
      </c>
      <c r="CR235" s="16" t="n">
        <v>0</v>
      </c>
      <c r="CS235" s="16" t="n">
        <v>0</v>
      </c>
      <c r="CT235" s="16" t="n">
        <v>0</v>
      </c>
      <c r="CU235" s="16" t="n">
        <v>0</v>
      </c>
      <c r="CV235" s="16" t="n">
        <v>0</v>
      </c>
      <c r="CW235" s="16" t="n">
        <v>0</v>
      </c>
      <c r="CX235" s="16" t="n">
        <v>0</v>
      </c>
      <c r="CY235" s="16" t="n">
        <v>0</v>
      </c>
      <c r="CZ235" s="16" t="n">
        <v>0</v>
      </c>
      <c r="DA235" s="16" t="n">
        <v>0</v>
      </c>
      <c r="DB235" s="16" t="n">
        <v>0</v>
      </c>
      <c r="DC235" s="16" t="n">
        <v>0</v>
      </c>
      <c r="DD235" s="16" t="n">
        <v>0</v>
      </c>
      <c r="DE235" s="16" t="n">
        <v>0</v>
      </c>
      <c r="DF235" s="16" t="n">
        <v>0</v>
      </c>
      <c r="DG235" s="16" t="n">
        <v>0</v>
      </c>
      <c r="DH235" s="16" t="n">
        <v>0</v>
      </c>
      <c r="DI235" s="16" t="n">
        <v>0</v>
      </c>
      <c r="DJ235" s="16" t="n">
        <v>0</v>
      </c>
      <c r="DK235" s="16" t="n">
        <v>0</v>
      </c>
      <c r="DL235" s="16" t="n">
        <v>0</v>
      </c>
      <c r="DM235" s="16" t="n">
        <v>0</v>
      </c>
      <c r="DN235" s="16" t="n">
        <v>0</v>
      </c>
      <c r="DO235" s="16" t="n">
        <v>0</v>
      </c>
      <c r="DP235" s="16" t="n">
        <v>0</v>
      </c>
      <c r="DQ235" s="16" t="n">
        <v>0</v>
      </c>
      <c r="DR235" s="16" t="n">
        <v>0</v>
      </c>
      <c r="DS235" s="16" t="n">
        <v>0</v>
      </c>
      <c r="DT235" s="16" t="n">
        <v>0</v>
      </c>
      <c r="DU235" s="16" t="n">
        <v>0</v>
      </c>
      <c r="DV235" s="16" t="n">
        <v>0</v>
      </c>
      <c r="DW235" s="16" t="n">
        <v>0</v>
      </c>
      <c r="DX235" s="16" t="n">
        <v>0</v>
      </c>
      <c r="DY235" s="16" t="n">
        <v>0</v>
      </c>
      <c r="DZ235" s="16" t="n">
        <v>0</v>
      </c>
      <c r="EA235" s="16" t="n">
        <v>0</v>
      </c>
      <c r="EB235" s="16" t="n">
        <v>0</v>
      </c>
      <c r="EC235" s="16" t="n">
        <v>0</v>
      </c>
      <c r="ED235" s="16" t="n">
        <v>0</v>
      </c>
      <c r="EE235" s="16" t="n">
        <v>0</v>
      </c>
      <c r="EF235" s="16" t="n">
        <v>0</v>
      </c>
    </row>
    <row r="236" customFormat="false" ht="15" hidden="false" customHeight="true" outlineLevel="0" collapsed="false">
      <c r="A236" s="9" t="s">
        <v>12</v>
      </c>
      <c r="B236" s="9" t="s">
        <v>75</v>
      </c>
      <c r="C236" s="9" t="s">
        <v>75</v>
      </c>
      <c r="D236" s="9" t="s">
        <v>340</v>
      </c>
      <c r="E236" s="9" t="s">
        <v>16</v>
      </c>
      <c r="F236" s="9" t="s">
        <v>82</v>
      </c>
      <c r="G236" s="16" t="n">
        <v>11</v>
      </c>
      <c r="H236" s="16" t="n">
        <v>11</v>
      </c>
      <c r="I236" s="16" t="n">
        <v>11</v>
      </c>
      <c r="J236" s="16" t="n">
        <v>0</v>
      </c>
      <c r="K236" s="16" t="n">
        <v>0</v>
      </c>
      <c r="L236" s="16" t="n">
        <v>0</v>
      </c>
      <c r="M236" s="16" t="n">
        <v>0</v>
      </c>
      <c r="N236" s="16" t="n">
        <v>0</v>
      </c>
      <c r="O236" s="16" t="n">
        <v>0</v>
      </c>
      <c r="P236" s="16" t="n">
        <v>0</v>
      </c>
      <c r="Q236" s="16" t="n">
        <v>0</v>
      </c>
      <c r="R236" s="16" t="n">
        <v>0</v>
      </c>
      <c r="S236" s="16" t="n">
        <v>0</v>
      </c>
      <c r="T236" s="16" t="n">
        <v>0</v>
      </c>
      <c r="U236" s="16" t="n">
        <v>0</v>
      </c>
      <c r="V236" s="16" t="n">
        <v>0</v>
      </c>
      <c r="W236" s="16" t="n">
        <v>0</v>
      </c>
      <c r="X236" s="16" t="n">
        <v>0</v>
      </c>
      <c r="Y236" s="16" t="n">
        <v>0</v>
      </c>
      <c r="Z236" s="16" t="n">
        <v>0</v>
      </c>
      <c r="AA236" s="16" t="n">
        <v>0</v>
      </c>
      <c r="AB236" s="16" t="n">
        <v>11</v>
      </c>
      <c r="AC236" s="16" t="n">
        <v>0</v>
      </c>
      <c r="AD236" s="16" t="n">
        <v>0</v>
      </c>
      <c r="AE236" s="16" t="n">
        <v>0</v>
      </c>
      <c r="AF236" s="16" t="n">
        <v>0</v>
      </c>
      <c r="AG236" s="16" t="n">
        <v>0</v>
      </c>
      <c r="AH236" s="16" t="n">
        <v>0</v>
      </c>
      <c r="AI236" s="16" t="n">
        <v>0</v>
      </c>
      <c r="AJ236" s="16" t="n">
        <v>0</v>
      </c>
      <c r="AK236" s="16" t="n">
        <v>0</v>
      </c>
      <c r="AL236" s="16" t="n">
        <v>0</v>
      </c>
      <c r="AM236" s="16" t="n">
        <v>0</v>
      </c>
      <c r="AN236" s="16" t="n">
        <v>0</v>
      </c>
      <c r="AO236" s="16" t="n">
        <v>0</v>
      </c>
      <c r="AP236" s="16" t="n">
        <v>0</v>
      </c>
      <c r="AQ236" s="16" t="n">
        <v>0</v>
      </c>
      <c r="AR236" s="16" t="n">
        <v>0</v>
      </c>
      <c r="AS236" s="16" t="n">
        <v>0</v>
      </c>
      <c r="AT236" s="16" t="n">
        <v>0</v>
      </c>
      <c r="AU236" s="16" t="n">
        <v>0</v>
      </c>
      <c r="AV236" s="16" t="n">
        <v>0</v>
      </c>
      <c r="AW236" s="16" t="n">
        <v>0</v>
      </c>
      <c r="AX236" s="16" t="n">
        <v>0</v>
      </c>
      <c r="AY236" s="16" t="n">
        <v>0</v>
      </c>
      <c r="AZ236" s="16" t="n">
        <v>0</v>
      </c>
      <c r="BA236" s="16" t="n">
        <v>0</v>
      </c>
      <c r="BB236" s="16" t="n">
        <v>0</v>
      </c>
      <c r="BC236" s="16" t="n">
        <v>0</v>
      </c>
      <c r="BD236" s="16" t="n">
        <v>0</v>
      </c>
      <c r="BE236" s="16" t="n">
        <v>0</v>
      </c>
      <c r="BF236" s="16" t="n">
        <v>0</v>
      </c>
      <c r="BG236" s="16" t="n">
        <v>0</v>
      </c>
      <c r="BH236" s="16" t="n">
        <v>0</v>
      </c>
      <c r="BI236" s="16" t="n">
        <v>0</v>
      </c>
      <c r="BJ236" s="16" t="n">
        <v>0</v>
      </c>
      <c r="BK236" s="16" t="n">
        <v>0</v>
      </c>
      <c r="BL236" s="16" t="n">
        <v>0</v>
      </c>
      <c r="BM236" s="16" t="n">
        <v>0</v>
      </c>
      <c r="BN236" s="16" t="n">
        <v>0</v>
      </c>
      <c r="BO236" s="16" t="n">
        <v>0</v>
      </c>
      <c r="BP236" s="16" t="n">
        <v>0</v>
      </c>
      <c r="BQ236" s="16" t="n">
        <v>0</v>
      </c>
      <c r="BR236" s="16" t="n">
        <v>0</v>
      </c>
      <c r="BS236" s="16" t="n">
        <v>0</v>
      </c>
      <c r="BT236" s="16" t="n">
        <v>0</v>
      </c>
      <c r="BU236" s="16" t="n">
        <v>0</v>
      </c>
      <c r="BV236" s="16" t="n">
        <v>0</v>
      </c>
      <c r="BW236" s="16" t="n">
        <v>0</v>
      </c>
      <c r="BX236" s="16" t="n">
        <v>0</v>
      </c>
      <c r="BY236" s="16" t="n">
        <v>0</v>
      </c>
      <c r="BZ236" s="16" t="n">
        <v>0</v>
      </c>
      <c r="CA236" s="16" t="n">
        <v>0</v>
      </c>
      <c r="CB236" s="16" t="n">
        <v>0</v>
      </c>
      <c r="CC236" s="16" t="n">
        <v>0</v>
      </c>
      <c r="CD236" s="16" t="n">
        <v>0</v>
      </c>
      <c r="CE236" s="16" t="n">
        <v>0</v>
      </c>
      <c r="CF236" s="16" t="n">
        <v>0</v>
      </c>
      <c r="CG236" s="16" t="n">
        <v>0</v>
      </c>
      <c r="CH236" s="16" t="n">
        <v>0</v>
      </c>
      <c r="CI236" s="16" t="n">
        <v>0</v>
      </c>
      <c r="CJ236" s="16" t="n">
        <v>0</v>
      </c>
      <c r="CK236" s="16" t="n">
        <v>0</v>
      </c>
      <c r="CL236" s="16" t="n">
        <v>0</v>
      </c>
      <c r="CM236" s="16" t="n">
        <v>0</v>
      </c>
      <c r="CN236" s="16" t="n">
        <v>0</v>
      </c>
      <c r="CO236" s="16" t="n">
        <v>0</v>
      </c>
      <c r="CP236" s="16" t="n">
        <v>0</v>
      </c>
      <c r="CQ236" s="16" t="n">
        <v>0</v>
      </c>
      <c r="CR236" s="16" t="n">
        <v>0</v>
      </c>
      <c r="CS236" s="16" t="n">
        <v>0</v>
      </c>
      <c r="CT236" s="16" t="n">
        <v>0</v>
      </c>
      <c r="CU236" s="16" t="n">
        <v>0</v>
      </c>
      <c r="CV236" s="16" t="n">
        <v>0</v>
      </c>
      <c r="CW236" s="16" t="n">
        <v>0</v>
      </c>
      <c r="CX236" s="16" t="n">
        <v>0</v>
      </c>
      <c r="CY236" s="16" t="n">
        <v>0</v>
      </c>
      <c r="CZ236" s="16" t="n">
        <v>0</v>
      </c>
      <c r="DA236" s="16" t="n">
        <v>0</v>
      </c>
      <c r="DB236" s="16" t="n">
        <v>0</v>
      </c>
      <c r="DC236" s="16" t="n">
        <v>0</v>
      </c>
      <c r="DD236" s="16" t="n">
        <v>0</v>
      </c>
      <c r="DE236" s="16" t="n">
        <v>0</v>
      </c>
      <c r="DF236" s="16" t="n">
        <v>0</v>
      </c>
      <c r="DG236" s="16" t="n">
        <v>0</v>
      </c>
      <c r="DH236" s="16" t="n">
        <v>0</v>
      </c>
      <c r="DI236" s="16" t="n">
        <v>0</v>
      </c>
      <c r="DJ236" s="16" t="n">
        <v>0</v>
      </c>
      <c r="DK236" s="16" t="n">
        <v>0</v>
      </c>
      <c r="DL236" s="16" t="n">
        <v>0</v>
      </c>
      <c r="DM236" s="16" t="n">
        <v>0</v>
      </c>
      <c r="DN236" s="16" t="n">
        <v>0</v>
      </c>
      <c r="DO236" s="16" t="n">
        <v>0</v>
      </c>
      <c r="DP236" s="16" t="n">
        <v>0</v>
      </c>
      <c r="DQ236" s="16" t="n">
        <v>0</v>
      </c>
      <c r="DR236" s="16" t="n">
        <v>0</v>
      </c>
      <c r="DS236" s="16" t="n">
        <v>0</v>
      </c>
      <c r="DT236" s="16" t="n">
        <v>0</v>
      </c>
      <c r="DU236" s="16" t="n">
        <v>0</v>
      </c>
      <c r="DV236" s="16" t="n">
        <v>0</v>
      </c>
      <c r="DW236" s="16" t="n">
        <v>0</v>
      </c>
      <c r="DX236" s="16" t="n">
        <v>0</v>
      </c>
      <c r="DY236" s="16" t="n">
        <v>0</v>
      </c>
      <c r="DZ236" s="16" t="n">
        <v>0</v>
      </c>
      <c r="EA236" s="16" t="n">
        <v>0</v>
      </c>
      <c r="EB236" s="16" t="n">
        <v>0</v>
      </c>
      <c r="EC236" s="16" t="n">
        <v>0</v>
      </c>
      <c r="ED236" s="16" t="n">
        <v>0</v>
      </c>
      <c r="EE236" s="16" t="n">
        <v>0</v>
      </c>
      <c r="EF236" s="16" t="n">
        <v>0</v>
      </c>
    </row>
    <row r="237" customFormat="false" ht="15" hidden="false" customHeight="true" outlineLevel="0" collapsed="false">
      <c r="A237" s="9" t="s">
        <v>12</v>
      </c>
      <c r="B237" s="9" t="s">
        <v>75</v>
      </c>
      <c r="C237" s="9" t="s">
        <v>75</v>
      </c>
      <c r="D237" s="9" t="s">
        <v>340</v>
      </c>
      <c r="E237" s="9" t="s">
        <v>16</v>
      </c>
      <c r="F237" s="9" t="s">
        <v>82</v>
      </c>
      <c r="G237" s="16" t="n">
        <v>0</v>
      </c>
      <c r="H237" s="16" t="n">
        <v>0</v>
      </c>
      <c r="I237" s="16" t="n">
        <v>13</v>
      </c>
      <c r="J237" s="16" t="n">
        <v>-13</v>
      </c>
      <c r="K237" s="16" t="n">
        <v>0</v>
      </c>
      <c r="L237" s="16" t="n">
        <v>0</v>
      </c>
      <c r="M237" s="16" t="n">
        <v>0</v>
      </c>
      <c r="N237" s="16" t="n">
        <v>0</v>
      </c>
      <c r="O237" s="16" t="n">
        <v>0</v>
      </c>
      <c r="P237" s="16" t="n">
        <v>0</v>
      </c>
      <c r="Q237" s="16" t="n">
        <v>0</v>
      </c>
      <c r="R237" s="16" t="n">
        <v>0</v>
      </c>
      <c r="S237" s="16" t="n">
        <v>0</v>
      </c>
      <c r="T237" s="16" t="n">
        <v>0</v>
      </c>
      <c r="U237" s="16" t="n">
        <v>0</v>
      </c>
      <c r="V237" s="16" t="n">
        <v>0</v>
      </c>
      <c r="W237" s="16" t="n">
        <v>0</v>
      </c>
      <c r="X237" s="16" t="n">
        <v>0</v>
      </c>
      <c r="Y237" s="16" t="n">
        <v>0</v>
      </c>
      <c r="Z237" s="16" t="n">
        <v>10</v>
      </c>
      <c r="AA237" s="16" t="n">
        <v>3</v>
      </c>
      <c r="AB237" s="16" t="n">
        <v>0</v>
      </c>
      <c r="AC237" s="16" t="n">
        <v>0</v>
      </c>
      <c r="AD237" s="16" t="n">
        <v>0</v>
      </c>
      <c r="AE237" s="16" t="n">
        <v>0</v>
      </c>
      <c r="AF237" s="16" t="n">
        <v>0</v>
      </c>
      <c r="AG237" s="16" t="n">
        <v>0</v>
      </c>
      <c r="AH237" s="16" t="n">
        <v>0</v>
      </c>
      <c r="AI237" s="16" t="n">
        <v>0</v>
      </c>
      <c r="AJ237" s="16" t="n">
        <v>0</v>
      </c>
      <c r="AK237" s="16" t="n">
        <v>0</v>
      </c>
      <c r="AL237" s="16" t="n">
        <v>0</v>
      </c>
      <c r="AM237" s="16" t="n">
        <v>0</v>
      </c>
      <c r="AN237" s="16" t="n">
        <v>0</v>
      </c>
      <c r="AO237" s="16" t="n">
        <v>0</v>
      </c>
      <c r="AP237" s="16" t="n">
        <v>0</v>
      </c>
      <c r="AQ237" s="16" t="n">
        <v>0</v>
      </c>
      <c r="AR237" s="16" t="n">
        <v>0</v>
      </c>
      <c r="AS237" s="16" t="n">
        <v>0</v>
      </c>
      <c r="AT237" s="16" t="n">
        <v>0</v>
      </c>
      <c r="AU237" s="16" t="n">
        <v>0</v>
      </c>
      <c r="AV237" s="16" t="n">
        <v>0</v>
      </c>
      <c r="AW237" s="16" t="n">
        <v>0</v>
      </c>
      <c r="AX237" s="16" t="n">
        <v>0</v>
      </c>
      <c r="AY237" s="16" t="n">
        <v>0</v>
      </c>
      <c r="AZ237" s="16" t="n">
        <v>0</v>
      </c>
      <c r="BA237" s="16" t="n">
        <v>0</v>
      </c>
      <c r="BB237" s="16" t="n">
        <v>0</v>
      </c>
      <c r="BC237" s="16" t="n">
        <v>0</v>
      </c>
      <c r="BD237" s="16" t="n">
        <v>0</v>
      </c>
      <c r="BE237" s="16" t="n">
        <v>0</v>
      </c>
      <c r="BF237" s="16" t="n">
        <v>0</v>
      </c>
      <c r="BG237" s="16" t="n">
        <v>0</v>
      </c>
      <c r="BH237" s="16" t="n">
        <v>0</v>
      </c>
      <c r="BI237" s="16" t="n">
        <v>0</v>
      </c>
      <c r="BJ237" s="16" t="n">
        <v>0</v>
      </c>
      <c r="BK237" s="16" t="n">
        <v>0</v>
      </c>
      <c r="BL237" s="16" t="n">
        <v>0</v>
      </c>
      <c r="BM237" s="16" t="n">
        <v>0</v>
      </c>
      <c r="BN237" s="16" t="n">
        <v>0</v>
      </c>
      <c r="BO237" s="16" t="n">
        <v>0</v>
      </c>
      <c r="BP237" s="16" t="n">
        <v>0</v>
      </c>
      <c r="BQ237" s="16" t="n">
        <v>0</v>
      </c>
      <c r="BR237" s="16" t="n">
        <v>0</v>
      </c>
      <c r="BS237" s="16" t="n">
        <v>0</v>
      </c>
      <c r="BT237" s="16" t="n">
        <v>0</v>
      </c>
      <c r="BU237" s="16" t="n">
        <v>0</v>
      </c>
      <c r="BV237" s="16" t="n">
        <v>0</v>
      </c>
      <c r="BW237" s="16" t="n">
        <v>0</v>
      </c>
      <c r="BX237" s="16" t="n">
        <v>0</v>
      </c>
      <c r="BY237" s="16" t="n">
        <v>0</v>
      </c>
      <c r="BZ237" s="16" t="n">
        <v>0</v>
      </c>
      <c r="CA237" s="16" t="n">
        <v>0</v>
      </c>
      <c r="CB237" s="16" t="n">
        <v>0</v>
      </c>
      <c r="CC237" s="16" t="n">
        <v>0</v>
      </c>
      <c r="CD237" s="16" t="n">
        <v>0</v>
      </c>
      <c r="CE237" s="16" t="n">
        <v>0</v>
      </c>
      <c r="CF237" s="16" t="n">
        <v>0</v>
      </c>
      <c r="CG237" s="16" t="n">
        <v>0</v>
      </c>
      <c r="CH237" s="16" t="n">
        <v>0</v>
      </c>
      <c r="CI237" s="16" t="n">
        <v>0</v>
      </c>
      <c r="CJ237" s="16" t="n">
        <v>0</v>
      </c>
      <c r="CK237" s="16" t="n">
        <v>0</v>
      </c>
      <c r="CL237" s="16" t="n">
        <v>0</v>
      </c>
      <c r="CM237" s="16" t="n">
        <v>0</v>
      </c>
      <c r="CN237" s="16" t="n">
        <v>0</v>
      </c>
      <c r="CO237" s="16" t="n">
        <v>0</v>
      </c>
      <c r="CP237" s="16" t="n">
        <v>0</v>
      </c>
      <c r="CQ237" s="16" t="n">
        <v>0</v>
      </c>
      <c r="CR237" s="16" t="n">
        <v>0</v>
      </c>
      <c r="CS237" s="16" t="n">
        <v>0</v>
      </c>
      <c r="CT237" s="16" t="n">
        <v>0</v>
      </c>
      <c r="CU237" s="16" t="n">
        <v>0</v>
      </c>
      <c r="CV237" s="16" t="n">
        <v>0</v>
      </c>
      <c r="CW237" s="16" t="n">
        <v>0</v>
      </c>
      <c r="CX237" s="16" t="n">
        <v>0</v>
      </c>
      <c r="CY237" s="16" t="n">
        <v>0</v>
      </c>
      <c r="CZ237" s="16" t="n">
        <v>0</v>
      </c>
      <c r="DA237" s="16" t="n">
        <v>0</v>
      </c>
      <c r="DB237" s="16" t="n">
        <v>0</v>
      </c>
      <c r="DC237" s="16" t="n">
        <v>0</v>
      </c>
      <c r="DD237" s="16" t="n">
        <v>0</v>
      </c>
      <c r="DE237" s="16" t="n">
        <v>0</v>
      </c>
      <c r="DF237" s="16" t="n">
        <v>0</v>
      </c>
      <c r="DG237" s="16" t="n">
        <v>0</v>
      </c>
      <c r="DH237" s="16" t="n">
        <v>0</v>
      </c>
      <c r="DI237" s="16" t="n">
        <v>0</v>
      </c>
      <c r="DJ237" s="16" t="n">
        <v>0</v>
      </c>
      <c r="DK237" s="16" t="n">
        <v>0</v>
      </c>
      <c r="DL237" s="16" t="n">
        <v>0</v>
      </c>
      <c r="DM237" s="16" t="n">
        <v>0</v>
      </c>
      <c r="DN237" s="16" t="n">
        <v>0</v>
      </c>
      <c r="DO237" s="16" t="n">
        <v>0</v>
      </c>
      <c r="DP237" s="16" t="n">
        <v>0</v>
      </c>
      <c r="DQ237" s="16" t="n">
        <v>0</v>
      </c>
      <c r="DR237" s="16" t="n">
        <v>0</v>
      </c>
      <c r="DS237" s="16" t="n">
        <v>0</v>
      </c>
      <c r="DT237" s="16" t="n">
        <v>0</v>
      </c>
      <c r="DU237" s="16" t="n">
        <v>0</v>
      </c>
      <c r="DV237" s="16" t="n">
        <v>0</v>
      </c>
      <c r="DW237" s="16" t="n">
        <v>0</v>
      </c>
      <c r="DX237" s="16" t="n">
        <v>0</v>
      </c>
      <c r="DY237" s="16" t="n">
        <v>0</v>
      </c>
      <c r="DZ237" s="16" t="n">
        <v>0</v>
      </c>
      <c r="EA237" s="16" t="n">
        <v>0</v>
      </c>
      <c r="EB237" s="16" t="n">
        <v>0</v>
      </c>
      <c r="EC237" s="16" t="n">
        <v>0</v>
      </c>
      <c r="ED237" s="16" t="n">
        <v>0</v>
      </c>
      <c r="EE237" s="16" t="n">
        <v>0</v>
      </c>
      <c r="EF237" s="16" t="n">
        <v>0</v>
      </c>
    </row>
    <row r="238" customFormat="false" ht="15" hidden="false" customHeight="true" outlineLevel="0" collapsed="false">
      <c r="A238" s="9" t="s">
        <v>12</v>
      </c>
      <c r="B238" s="9" t="s">
        <v>75</v>
      </c>
      <c r="C238" s="9" t="s">
        <v>75</v>
      </c>
      <c r="D238" s="9" t="s">
        <v>341</v>
      </c>
      <c r="E238" s="9" t="s">
        <v>16</v>
      </c>
      <c r="F238" s="9" t="s">
        <v>83</v>
      </c>
      <c r="G238" s="16" t="n">
        <v>0</v>
      </c>
      <c r="H238" s="16" t="n">
        <v>0</v>
      </c>
      <c r="I238" s="16" t="n">
        <v>25</v>
      </c>
      <c r="J238" s="16" t="n">
        <v>-25</v>
      </c>
      <c r="K238" s="16" t="n">
        <v>0</v>
      </c>
      <c r="L238" s="16" t="n">
        <v>0</v>
      </c>
      <c r="M238" s="16" t="n">
        <v>0</v>
      </c>
      <c r="N238" s="16" t="n">
        <v>0</v>
      </c>
      <c r="O238" s="16" t="n">
        <v>0</v>
      </c>
      <c r="P238" s="16" t="n">
        <v>0</v>
      </c>
      <c r="Q238" s="16" t="n">
        <v>0</v>
      </c>
      <c r="R238" s="16" t="n">
        <v>0</v>
      </c>
      <c r="S238" s="16" t="n">
        <v>0</v>
      </c>
      <c r="T238" s="16" t="n">
        <v>0</v>
      </c>
      <c r="U238" s="16" t="n">
        <v>0</v>
      </c>
      <c r="V238" s="16" t="n">
        <v>0</v>
      </c>
      <c r="W238" s="16" t="n">
        <v>0</v>
      </c>
      <c r="X238" s="16" t="n">
        <v>0</v>
      </c>
      <c r="Y238" s="16" t="n">
        <v>0</v>
      </c>
      <c r="Z238" s="16" t="n">
        <v>0</v>
      </c>
      <c r="AA238" s="16" t="n">
        <v>0</v>
      </c>
      <c r="AB238" s="16" t="n">
        <v>0</v>
      </c>
      <c r="AC238" s="16" t="n">
        <v>0</v>
      </c>
      <c r="AD238" s="16" t="n">
        <v>0</v>
      </c>
      <c r="AE238" s="16" t="n">
        <v>0</v>
      </c>
      <c r="AF238" s="16" t="n">
        <v>0</v>
      </c>
      <c r="AG238" s="16" t="n">
        <v>0</v>
      </c>
      <c r="AH238" s="16" t="n">
        <v>0</v>
      </c>
      <c r="AI238" s="16" t="n">
        <v>0</v>
      </c>
      <c r="AJ238" s="16" t="n">
        <v>0</v>
      </c>
      <c r="AK238" s="16" t="n">
        <v>0</v>
      </c>
      <c r="AL238" s="16" t="n">
        <v>0</v>
      </c>
      <c r="AM238" s="16" t="n">
        <v>10</v>
      </c>
      <c r="AN238" s="16" t="n">
        <v>5.5</v>
      </c>
      <c r="AO238" s="16" t="n">
        <v>9.5</v>
      </c>
      <c r="AP238" s="16" t="n">
        <v>0</v>
      </c>
      <c r="AQ238" s="16" t="n">
        <v>0</v>
      </c>
      <c r="AR238" s="16" t="n">
        <v>0</v>
      </c>
      <c r="AS238" s="16" t="n">
        <v>0</v>
      </c>
      <c r="AT238" s="16" t="n">
        <v>0</v>
      </c>
      <c r="AU238" s="16" t="n">
        <v>0</v>
      </c>
      <c r="AV238" s="16" t="n">
        <v>0</v>
      </c>
      <c r="AW238" s="16" t="n">
        <v>0</v>
      </c>
      <c r="AX238" s="16" t="n">
        <v>0</v>
      </c>
      <c r="AY238" s="16" t="n">
        <v>0</v>
      </c>
      <c r="AZ238" s="16" t="n">
        <v>0</v>
      </c>
      <c r="BA238" s="16" t="n">
        <v>0</v>
      </c>
      <c r="BB238" s="16" t="n">
        <v>0</v>
      </c>
      <c r="BC238" s="16" t="n">
        <v>0</v>
      </c>
      <c r="BD238" s="16" t="n">
        <v>0</v>
      </c>
      <c r="BE238" s="16" t="n">
        <v>0</v>
      </c>
      <c r="BF238" s="16" t="n">
        <v>0</v>
      </c>
      <c r="BG238" s="16" t="n">
        <v>0</v>
      </c>
      <c r="BH238" s="16" t="n">
        <v>0</v>
      </c>
      <c r="BI238" s="16" t="n">
        <v>0</v>
      </c>
      <c r="BJ238" s="16" t="n">
        <v>0</v>
      </c>
      <c r="BK238" s="16" t="n">
        <v>0</v>
      </c>
      <c r="BL238" s="16" t="n">
        <v>0</v>
      </c>
      <c r="BM238" s="16" t="n">
        <v>0</v>
      </c>
      <c r="BN238" s="16" t="n">
        <v>0</v>
      </c>
      <c r="BO238" s="16" t="n">
        <v>0</v>
      </c>
      <c r="BP238" s="16" t="n">
        <v>0</v>
      </c>
      <c r="BQ238" s="16" t="n">
        <v>0</v>
      </c>
      <c r="BR238" s="16" t="n">
        <v>0</v>
      </c>
      <c r="BS238" s="16" t="n">
        <v>0</v>
      </c>
      <c r="BT238" s="16" t="n">
        <v>0</v>
      </c>
      <c r="BU238" s="16" t="n">
        <v>0</v>
      </c>
      <c r="BV238" s="16" t="n">
        <v>0</v>
      </c>
      <c r="BW238" s="16" t="n">
        <v>0</v>
      </c>
      <c r="BX238" s="16" t="n">
        <v>0</v>
      </c>
      <c r="BY238" s="16" t="n">
        <v>0</v>
      </c>
      <c r="BZ238" s="16" t="n">
        <v>0</v>
      </c>
      <c r="CA238" s="16" t="n">
        <v>0</v>
      </c>
      <c r="CB238" s="16" t="n">
        <v>0</v>
      </c>
      <c r="CC238" s="16" t="n">
        <v>0</v>
      </c>
      <c r="CD238" s="16" t="n">
        <v>0</v>
      </c>
      <c r="CE238" s="16" t="n">
        <v>0</v>
      </c>
      <c r="CF238" s="16" t="n">
        <v>0</v>
      </c>
      <c r="CG238" s="16" t="n">
        <v>0</v>
      </c>
      <c r="CH238" s="16" t="n">
        <v>0</v>
      </c>
      <c r="CI238" s="16" t="n">
        <v>0</v>
      </c>
      <c r="CJ238" s="16" t="n">
        <v>0</v>
      </c>
      <c r="CK238" s="16" t="n">
        <v>0</v>
      </c>
      <c r="CL238" s="16" t="n">
        <v>0</v>
      </c>
      <c r="CM238" s="16" t="n">
        <v>0</v>
      </c>
      <c r="CN238" s="16" t="n">
        <v>0</v>
      </c>
      <c r="CO238" s="16" t="n">
        <v>0</v>
      </c>
      <c r="CP238" s="16" t="n">
        <v>0</v>
      </c>
      <c r="CQ238" s="16" t="n">
        <v>0</v>
      </c>
      <c r="CR238" s="16" t="n">
        <v>0</v>
      </c>
      <c r="CS238" s="16" t="n">
        <v>0</v>
      </c>
      <c r="CT238" s="16" t="n">
        <v>0</v>
      </c>
      <c r="CU238" s="16" t="n">
        <v>0</v>
      </c>
      <c r="CV238" s="16" t="n">
        <v>0</v>
      </c>
      <c r="CW238" s="16" t="n">
        <v>0</v>
      </c>
      <c r="CX238" s="16" t="n">
        <v>0</v>
      </c>
      <c r="CY238" s="16" t="n">
        <v>0</v>
      </c>
      <c r="CZ238" s="16" t="n">
        <v>0</v>
      </c>
      <c r="DA238" s="16" t="n">
        <v>0</v>
      </c>
      <c r="DB238" s="16" t="n">
        <v>0</v>
      </c>
      <c r="DC238" s="16" t="n">
        <v>0</v>
      </c>
      <c r="DD238" s="16" t="n">
        <v>0</v>
      </c>
      <c r="DE238" s="16" t="n">
        <v>0</v>
      </c>
      <c r="DF238" s="16" t="n">
        <v>0</v>
      </c>
      <c r="DG238" s="16" t="n">
        <v>0</v>
      </c>
      <c r="DH238" s="16" t="n">
        <v>0</v>
      </c>
      <c r="DI238" s="16" t="n">
        <v>0</v>
      </c>
      <c r="DJ238" s="16" t="n">
        <v>0</v>
      </c>
      <c r="DK238" s="16" t="n">
        <v>0</v>
      </c>
      <c r="DL238" s="16" t="n">
        <v>0</v>
      </c>
      <c r="DM238" s="16" t="n">
        <v>0</v>
      </c>
      <c r="DN238" s="16" t="n">
        <v>0</v>
      </c>
      <c r="DO238" s="16" t="n">
        <v>0</v>
      </c>
      <c r="DP238" s="16" t="n">
        <v>0</v>
      </c>
      <c r="DQ238" s="16" t="n">
        <v>0</v>
      </c>
      <c r="DR238" s="16" t="n">
        <v>0</v>
      </c>
      <c r="DS238" s="16" t="n">
        <v>0</v>
      </c>
      <c r="DT238" s="16" t="n">
        <v>0</v>
      </c>
      <c r="DU238" s="16" t="n">
        <v>0</v>
      </c>
      <c r="DV238" s="16" t="n">
        <v>0</v>
      </c>
      <c r="DW238" s="16" t="n">
        <v>0</v>
      </c>
      <c r="DX238" s="16" t="n">
        <v>0</v>
      </c>
      <c r="DY238" s="16" t="n">
        <v>0</v>
      </c>
      <c r="DZ238" s="16" t="n">
        <v>0</v>
      </c>
      <c r="EA238" s="16" t="n">
        <v>0</v>
      </c>
      <c r="EB238" s="16" t="n">
        <v>0</v>
      </c>
      <c r="EC238" s="16" t="n">
        <v>0</v>
      </c>
      <c r="ED238" s="16" t="n">
        <v>0</v>
      </c>
      <c r="EE238" s="16" t="n">
        <v>0</v>
      </c>
      <c r="EF238" s="16" t="n">
        <v>0</v>
      </c>
    </row>
    <row r="239" customFormat="false" ht="15" hidden="false" customHeight="true" outlineLevel="0" collapsed="false">
      <c r="A239" s="9" t="s">
        <v>12</v>
      </c>
      <c r="B239" s="9" t="s">
        <v>75</v>
      </c>
      <c r="C239" s="9" t="s">
        <v>75</v>
      </c>
      <c r="D239" s="9" t="s">
        <v>340</v>
      </c>
      <c r="E239" s="9" t="s">
        <v>16</v>
      </c>
      <c r="F239" s="9" t="s">
        <v>83</v>
      </c>
      <c r="G239" s="16" t="n">
        <v>10</v>
      </c>
      <c r="H239" s="16" t="n">
        <v>10</v>
      </c>
      <c r="I239" s="16" t="n">
        <v>0</v>
      </c>
      <c r="J239" s="16" t="n">
        <v>10</v>
      </c>
      <c r="K239" s="16" t="n">
        <v>0</v>
      </c>
      <c r="L239" s="16" t="n">
        <v>0</v>
      </c>
      <c r="M239" s="16" t="n">
        <v>0</v>
      </c>
      <c r="N239" s="16" t="n">
        <v>0</v>
      </c>
      <c r="O239" s="16" t="n">
        <v>0</v>
      </c>
      <c r="P239" s="16" t="n">
        <v>0</v>
      </c>
      <c r="Q239" s="16" t="n">
        <v>0</v>
      </c>
      <c r="R239" s="16" t="n">
        <v>0</v>
      </c>
      <c r="S239" s="16" t="n">
        <v>0</v>
      </c>
      <c r="T239" s="16" t="n">
        <v>0</v>
      </c>
      <c r="U239" s="16" t="n">
        <v>0</v>
      </c>
      <c r="V239" s="16" t="n">
        <v>0</v>
      </c>
      <c r="W239" s="16" t="n">
        <v>0</v>
      </c>
      <c r="X239" s="16" t="n">
        <v>0</v>
      </c>
      <c r="Y239" s="16" t="n">
        <v>0</v>
      </c>
      <c r="Z239" s="16" t="n">
        <v>0</v>
      </c>
      <c r="AA239" s="16" t="n">
        <v>0</v>
      </c>
      <c r="AB239" s="16" t="n">
        <v>0</v>
      </c>
      <c r="AC239" s="16" t="n">
        <v>0</v>
      </c>
      <c r="AD239" s="16" t="n">
        <v>0</v>
      </c>
      <c r="AE239" s="16" t="n">
        <v>0</v>
      </c>
      <c r="AF239" s="16" t="n">
        <v>0</v>
      </c>
      <c r="AG239" s="16" t="n">
        <v>0</v>
      </c>
      <c r="AH239" s="16" t="n">
        <v>0</v>
      </c>
      <c r="AI239" s="16" t="n">
        <v>0</v>
      </c>
      <c r="AJ239" s="16" t="n">
        <v>0</v>
      </c>
      <c r="AK239" s="16" t="n">
        <v>0</v>
      </c>
      <c r="AL239" s="16" t="n">
        <v>0</v>
      </c>
      <c r="AM239" s="16" t="n">
        <v>0</v>
      </c>
      <c r="AN239" s="16" t="n">
        <v>0</v>
      </c>
      <c r="AO239" s="16" t="n">
        <v>0</v>
      </c>
      <c r="AP239" s="16" t="n">
        <v>0</v>
      </c>
      <c r="AQ239" s="16" t="n">
        <v>0</v>
      </c>
      <c r="AR239" s="16" t="n">
        <v>0</v>
      </c>
      <c r="AS239" s="16" t="n">
        <v>0</v>
      </c>
      <c r="AT239" s="16" t="n">
        <v>0</v>
      </c>
      <c r="AU239" s="16" t="n">
        <v>0</v>
      </c>
      <c r="AV239" s="16" t="n">
        <v>0</v>
      </c>
      <c r="AW239" s="16" t="n">
        <v>0</v>
      </c>
      <c r="AX239" s="16" t="n">
        <v>0</v>
      </c>
      <c r="AY239" s="16" t="n">
        <v>0</v>
      </c>
      <c r="AZ239" s="16" t="n">
        <v>0</v>
      </c>
      <c r="BA239" s="16" t="n">
        <v>0</v>
      </c>
      <c r="BB239" s="16" t="n">
        <v>0</v>
      </c>
      <c r="BC239" s="16" t="n">
        <v>0</v>
      </c>
      <c r="BD239" s="16" t="n">
        <v>0</v>
      </c>
      <c r="BE239" s="16" t="n">
        <v>0</v>
      </c>
      <c r="BF239" s="16" t="n">
        <v>0</v>
      </c>
      <c r="BG239" s="16" t="n">
        <v>0</v>
      </c>
      <c r="BH239" s="16" t="n">
        <v>0</v>
      </c>
      <c r="BI239" s="16" t="n">
        <v>0</v>
      </c>
      <c r="BJ239" s="16" t="n">
        <v>0</v>
      </c>
      <c r="BK239" s="16" t="n">
        <v>0</v>
      </c>
      <c r="BL239" s="16" t="n">
        <v>0</v>
      </c>
      <c r="BM239" s="16" t="n">
        <v>0</v>
      </c>
      <c r="BN239" s="16" t="n">
        <v>0</v>
      </c>
      <c r="BO239" s="16" t="n">
        <v>0</v>
      </c>
      <c r="BP239" s="16" t="n">
        <v>0</v>
      </c>
      <c r="BQ239" s="16" t="n">
        <v>0</v>
      </c>
      <c r="BR239" s="16" t="n">
        <v>0</v>
      </c>
      <c r="BS239" s="16" t="n">
        <v>0</v>
      </c>
      <c r="BT239" s="16" t="n">
        <v>0</v>
      </c>
      <c r="BU239" s="16" t="n">
        <v>0</v>
      </c>
      <c r="BV239" s="16" t="n">
        <v>0</v>
      </c>
      <c r="BW239" s="16" t="n">
        <v>0</v>
      </c>
      <c r="BX239" s="16" t="n">
        <v>0</v>
      </c>
      <c r="BY239" s="16" t="n">
        <v>0</v>
      </c>
      <c r="BZ239" s="16" t="n">
        <v>0</v>
      </c>
      <c r="CA239" s="16" t="n">
        <v>0</v>
      </c>
      <c r="CB239" s="16" t="n">
        <v>0</v>
      </c>
      <c r="CC239" s="16" t="n">
        <v>0</v>
      </c>
      <c r="CD239" s="16" t="n">
        <v>0</v>
      </c>
      <c r="CE239" s="16" t="n">
        <v>0</v>
      </c>
      <c r="CF239" s="16" t="n">
        <v>0</v>
      </c>
      <c r="CG239" s="16" t="n">
        <v>0</v>
      </c>
      <c r="CH239" s="16" t="n">
        <v>0</v>
      </c>
      <c r="CI239" s="16" t="n">
        <v>0</v>
      </c>
      <c r="CJ239" s="16" t="n">
        <v>0</v>
      </c>
      <c r="CK239" s="16" t="n">
        <v>0</v>
      </c>
      <c r="CL239" s="16" t="n">
        <v>0</v>
      </c>
      <c r="CM239" s="16" t="n">
        <v>0</v>
      </c>
      <c r="CN239" s="16" t="n">
        <v>0</v>
      </c>
      <c r="CO239" s="16" t="n">
        <v>0</v>
      </c>
      <c r="CP239" s="16" t="n">
        <v>0</v>
      </c>
      <c r="CQ239" s="16" t="n">
        <v>0</v>
      </c>
      <c r="CR239" s="16" t="n">
        <v>0</v>
      </c>
      <c r="CS239" s="16" t="n">
        <v>0</v>
      </c>
      <c r="CT239" s="16" t="n">
        <v>0</v>
      </c>
      <c r="CU239" s="16" t="n">
        <v>0</v>
      </c>
      <c r="CV239" s="16" t="n">
        <v>0</v>
      </c>
      <c r="CW239" s="16" t="n">
        <v>0</v>
      </c>
      <c r="CX239" s="16" t="n">
        <v>0</v>
      </c>
      <c r="CY239" s="16" t="n">
        <v>0</v>
      </c>
      <c r="CZ239" s="16" t="n">
        <v>0</v>
      </c>
      <c r="DA239" s="16" t="n">
        <v>0</v>
      </c>
      <c r="DB239" s="16" t="n">
        <v>0</v>
      </c>
      <c r="DC239" s="16" t="n">
        <v>0</v>
      </c>
      <c r="DD239" s="16" t="n">
        <v>0</v>
      </c>
      <c r="DE239" s="16" t="n">
        <v>0</v>
      </c>
      <c r="DF239" s="16" t="n">
        <v>0</v>
      </c>
      <c r="DG239" s="16" t="n">
        <v>0</v>
      </c>
      <c r="DH239" s="16" t="n">
        <v>0</v>
      </c>
      <c r="DI239" s="16" t="n">
        <v>0</v>
      </c>
      <c r="DJ239" s="16" t="n">
        <v>0</v>
      </c>
      <c r="DK239" s="16" t="n">
        <v>0</v>
      </c>
      <c r="DL239" s="16" t="n">
        <v>0</v>
      </c>
      <c r="DM239" s="16" t="n">
        <v>0</v>
      </c>
      <c r="DN239" s="16" t="n">
        <v>0</v>
      </c>
      <c r="DO239" s="16" t="n">
        <v>0</v>
      </c>
      <c r="DP239" s="16" t="n">
        <v>0</v>
      </c>
      <c r="DQ239" s="16" t="n">
        <v>0</v>
      </c>
      <c r="DR239" s="16" t="n">
        <v>0</v>
      </c>
      <c r="DS239" s="16" t="n">
        <v>0</v>
      </c>
      <c r="DT239" s="16" t="n">
        <v>0</v>
      </c>
      <c r="DU239" s="16" t="n">
        <v>0</v>
      </c>
      <c r="DV239" s="16" t="n">
        <v>0</v>
      </c>
      <c r="DW239" s="16" t="n">
        <v>0</v>
      </c>
      <c r="DX239" s="16" t="n">
        <v>0</v>
      </c>
      <c r="DY239" s="16" t="n">
        <v>0</v>
      </c>
      <c r="DZ239" s="16" t="n">
        <v>0</v>
      </c>
      <c r="EA239" s="16" t="n">
        <v>0</v>
      </c>
      <c r="EB239" s="16" t="n">
        <v>0</v>
      </c>
      <c r="EC239" s="16" t="n">
        <v>0</v>
      </c>
      <c r="ED239" s="16" t="n">
        <v>0</v>
      </c>
      <c r="EE239" s="16" t="n">
        <v>0</v>
      </c>
      <c r="EF239" s="16" t="n">
        <v>0</v>
      </c>
    </row>
    <row r="240" customFormat="false" ht="15" hidden="false" customHeight="true" outlineLevel="0" collapsed="false">
      <c r="A240" s="9" t="s">
        <v>12</v>
      </c>
      <c r="B240" s="9" t="s">
        <v>75</v>
      </c>
      <c r="C240" s="9" t="s">
        <v>75</v>
      </c>
      <c r="D240" s="9" t="s">
        <v>341</v>
      </c>
      <c r="E240" s="9" t="s">
        <v>16</v>
      </c>
      <c r="F240" s="9" t="s">
        <v>84</v>
      </c>
      <c r="G240" s="16" t="n">
        <v>0</v>
      </c>
      <c r="H240" s="16" t="n">
        <v>0</v>
      </c>
      <c r="I240" s="16" t="n">
        <v>10</v>
      </c>
      <c r="J240" s="16" t="n">
        <v>-10</v>
      </c>
      <c r="K240" s="16" t="n">
        <v>0</v>
      </c>
      <c r="L240" s="16" t="n">
        <v>0</v>
      </c>
      <c r="M240" s="16" t="n">
        <v>0</v>
      </c>
      <c r="N240" s="16" t="n">
        <v>0</v>
      </c>
      <c r="O240" s="16" t="n">
        <v>0</v>
      </c>
      <c r="P240" s="16" t="n">
        <v>0</v>
      </c>
      <c r="Q240" s="16" t="n">
        <v>0</v>
      </c>
      <c r="R240" s="16" t="n">
        <v>0</v>
      </c>
      <c r="S240" s="16" t="n">
        <v>0</v>
      </c>
      <c r="T240" s="16" t="n">
        <v>0</v>
      </c>
      <c r="U240" s="16" t="n">
        <v>0</v>
      </c>
      <c r="V240" s="16" t="n">
        <v>0</v>
      </c>
      <c r="W240" s="16" t="n">
        <v>0</v>
      </c>
      <c r="X240" s="16" t="n">
        <v>0</v>
      </c>
      <c r="Y240" s="16" t="n">
        <v>0</v>
      </c>
      <c r="Z240" s="16" t="n">
        <v>0</v>
      </c>
      <c r="AA240" s="16" t="n">
        <v>0</v>
      </c>
      <c r="AB240" s="16" t="n">
        <v>0</v>
      </c>
      <c r="AC240" s="16" t="n">
        <v>0</v>
      </c>
      <c r="AD240" s="16" t="n">
        <v>0</v>
      </c>
      <c r="AE240" s="16" t="n">
        <v>0</v>
      </c>
      <c r="AF240" s="16" t="n">
        <v>0</v>
      </c>
      <c r="AG240" s="16" t="n">
        <v>0</v>
      </c>
      <c r="AH240" s="16" t="n">
        <v>0</v>
      </c>
      <c r="AI240" s="16" t="n">
        <v>0</v>
      </c>
      <c r="AJ240" s="16" t="n">
        <v>0</v>
      </c>
      <c r="AK240" s="16" t="n">
        <v>0</v>
      </c>
      <c r="AL240" s="16" t="n">
        <v>0</v>
      </c>
      <c r="AM240" s="16" t="n">
        <v>0</v>
      </c>
      <c r="AN240" s="16" t="n">
        <v>0</v>
      </c>
      <c r="AO240" s="16" t="n">
        <v>0</v>
      </c>
      <c r="AP240" s="16" t="n">
        <v>0</v>
      </c>
      <c r="AQ240" s="16" t="n">
        <v>0</v>
      </c>
      <c r="AR240" s="16" t="n">
        <v>0</v>
      </c>
      <c r="AS240" s="16" t="n">
        <v>0</v>
      </c>
      <c r="AT240" s="16" t="n">
        <v>0</v>
      </c>
      <c r="AU240" s="16" t="n">
        <v>0</v>
      </c>
      <c r="AV240" s="16" t="n">
        <v>0</v>
      </c>
      <c r="AW240" s="16" t="n">
        <v>0</v>
      </c>
      <c r="AX240" s="16" t="n">
        <v>0</v>
      </c>
      <c r="AY240" s="16" t="n">
        <v>0</v>
      </c>
      <c r="AZ240" s="16" t="n">
        <v>0</v>
      </c>
      <c r="BA240" s="16" t="n">
        <v>0</v>
      </c>
      <c r="BB240" s="16" t="n">
        <v>0</v>
      </c>
      <c r="BC240" s="16" t="n">
        <v>0</v>
      </c>
      <c r="BD240" s="16" t="n">
        <v>0</v>
      </c>
      <c r="BE240" s="16" t="n">
        <v>0</v>
      </c>
      <c r="BF240" s="16" t="n">
        <v>0</v>
      </c>
      <c r="BG240" s="16" t="n">
        <v>0</v>
      </c>
      <c r="BH240" s="16" t="n">
        <v>0</v>
      </c>
      <c r="BI240" s="16" t="n">
        <v>0</v>
      </c>
      <c r="BJ240" s="16" t="n">
        <v>0</v>
      </c>
      <c r="BK240" s="16" t="n">
        <v>0</v>
      </c>
      <c r="BL240" s="16" t="n">
        <v>0</v>
      </c>
      <c r="BM240" s="16" t="n">
        <v>0</v>
      </c>
      <c r="BN240" s="16" t="n">
        <v>0</v>
      </c>
      <c r="BO240" s="16" t="n">
        <v>0</v>
      </c>
      <c r="BP240" s="16" t="n">
        <v>0</v>
      </c>
      <c r="BQ240" s="16" t="n">
        <v>0</v>
      </c>
      <c r="BR240" s="16" t="n">
        <v>0</v>
      </c>
      <c r="BS240" s="16" t="n">
        <v>0</v>
      </c>
      <c r="BT240" s="16" t="n">
        <v>0</v>
      </c>
      <c r="BU240" s="16" t="n">
        <v>0</v>
      </c>
      <c r="BV240" s="16" t="n">
        <v>0</v>
      </c>
      <c r="BW240" s="16" t="n">
        <v>0</v>
      </c>
      <c r="BX240" s="16" t="n">
        <v>0</v>
      </c>
      <c r="BY240" s="16" t="n">
        <v>0</v>
      </c>
      <c r="BZ240" s="16" t="n">
        <v>0</v>
      </c>
      <c r="CA240" s="16" t="n">
        <v>0</v>
      </c>
      <c r="CB240" s="16" t="n">
        <v>0</v>
      </c>
      <c r="CC240" s="16" t="n">
        <v>0</v>
      </c>
      <c r="CD240" s="16" t="n">
        <v>0</v>
      </c>
      <c r="CE240" s="16" t="n">
        <v>0</v>
      </c>
      <c r="CF240" s="16" t="n">
        <v>0</v>
      </c>
      <c r="CG240" s="16" t="n">
        <v>0</v>
      </c>
      <c r="CH240" s="16" t="n">
        <v>0</v>
      </c>
      <c r="CI240" s="16" t="n">
        <v>0</v>
      </c>
      <c r="CJ240" s="16" t="n">
        <v>0</v>
      </c>
      <c r="CK240" s="16" t="n">
        <v>0</v>
      </c>
      <c r="CL240" s="16" t="n">
        <v>0</v>
      </c>
      <c r="CM240" s="16" t="n">
        <v>0</v>
      </c>
      <c r="CN240" s="16" t="n">
        <v>0</v>
      </c>
      <c r="CO240" s="16" t="n">
        <v>0</v>
      </c>
      <c r="CP240" s="16" t="n">
        <v>0</v>
      </c>
      <c r="CQ240" s="16" t="n">
        <v>0</v>
      </c>
      <c r="CR240" s="16" t="n">
        <v>0</v>
      </c>
      <c r="CS240" s="16" t="n">
        <v>0</v>
      </c>
      <c r="CT240" s="16" t="n">
        <v>0</v>
      </c>
      <c r="CU240" s="16" t="n">
        <v>0</v>
      </c>
      <c r="CV240" s="16" t="n">
        <v>0</v>
      </c>
      <c r="CW240" s="16" t="n">
        <v>0</v>
      </c>
      <c r="CX240" s="16" t="n">
        <v>0</v>
      </c>
      <c r="CY240" s="16" t="n">
        <v>0</v>
      </c>
      <c r="CZ240" s="16" t="n">
        <v>5</v>
      </c>
      <c r="DA240" s="16" t="n">
        <v>5</v>
      </c>
      <c r="DB240" s="16" t="n">
        <v>0</v>
      </c>
      <c r="DC240" s="16" t="n">
        <v>0</v>
      </c>
      <c r="DD240" s="16" t="n">
        <v>0</v>
      </c>
      <c r="DE240" s="16" t="n">
        <v>0</v>
      </c>
      <c r="DF240" s="16" t="n">
        <v>0</v>
      </c>
      <c r="DG240" s="16" t="n">
        <v>0</v>
      </c>
      <c r="DH240" s="16" t="n">
        <v>0</v>
      </c>
      <c r="DI240" s="16" t="n">
        <v>0</v>
      </c>
      <c r="DJ240" s="16" t="n">
        <v>0</v>
      </c>
      <c r="DK240" s="16" t="n">
        <v>0</v>
      </c>
      <c r="DL240" s="16" t="n">
        <v>0</v>
      </c>
      <c r="DM240" s="16" t="n">
        <v>0</v>
      </c>
      <c r="DN240" s="16" t="n">
        <v>0</v>
      </c>
      <c r="DO240" s="16" t="n">
        <v>0</v>
      </c>
      <c r="DP240" s="16" t="n">
        <v>0</v>
      </c>
      <c r="DQ240" s="16" t="n">
        <v>0</v>
      </c>
      <c r="DR240" s="16" t="n">
        <v>0</v>
      </c>
      <c r="DS240" s="16" t="n">
        <v>0</v>
      </c>
      <c r="DT240" s="16" t="n">
        <v>0</v>
      </c>
      <c r="DU240" s="16" t="n">
        <v>0</v>
      </c>
      <c r="DV240" s="16" t="n">
        <v>0</v>
      </c>
      <c r="DW240" s="16" t="n">
        <v>0</v>
      </c>
      <c r="DX240" s="16" t="n">
        <v>0</v>
      </c>
      <c r="DY240" s="16" t="n">
        <v>0</v>
      </c>
      <c r="DZ240" s="16" t="n">
        <v>0</v>
      </c>
      <c r="EA240" s="16" t="n">
        <v>0</v>
      </c>
      <c r="EB240" s="16" t="n">
        <v>0</v>
      </c>
      <c r="EC240" s="16" t="n">
        <v>0</v>
      </c>
      <c r="ED240" s="16" t="n">
        <v>0</v>
      </c>
      <c r="EE240" s="16" t="n">
        <v>0</v>
      </c>
      <c r="EF240" s="16" t="n">
        <v>0</v>
      </c>
    </row>
    <row r="241" customFormat="false" ht="15" hidden="false" customHeight="true" outlineLevel="0" collapsed="false">
      <c r="A241" s="9" t="s">
        <v>12</v>
      </c>
      <c r="B241" s="9" t="s">
        <v>75</v>
      </c>
      <c r="C241" s="9" t="s">
        <v>75</v>
      </c>
      <c r="D241" s="9" t="s">
        <v>340</v>
      </c>
      <c r="E241" s="9" t="s">
        <v>16</v>
      </c>
      <c r="F241" s="9" t="s">
        <v>84</v>
      </c>
      <c r="G241" s="16" t="n">
        <v>0</v>
      </c>
      <c r="H241" s="16" t="n">
        <v>10</v>
      </c>
      <c r="I241" s="16" t="n">
        <v>0</v>
      </c>
      <c r="J241" s="16" t="n">
        <v>10</v>
      </c>
      <c r="K241" s="16" t="n">
        <v>0</v>
      </c>
      <c r="L241" s="16" t="n">
        <v>0</v>
      </c>
      <c r="M241" s="16" t="n">
        <v>0</v>
      </c>
      <c r="N241" s="16" t="n">
        <v>0</v>
      </c>
      <c r="O241" s="16" t="n">
        <v>0</v>
      </c>
      <c r="P241" s="16" t="n">
        <v>0</v>
      </c>
      <c r="Q241" s="16" t="n">
        <v>0</v>
      </c>
      <c r="R241" s="16" t="n">
        <v>0</v>
      </c>
      <c r="S241" s="16" t="n">
        <v>0</v>
      </c>
      <c r="T241" s="16" t="n">
        <v>0</v>
      </c>
      <c r="U241" s="16" t="n">
        <v>0</v>
      </c>
      <c r="V241" s="16" t="n">
        <v>0</v>
      </c>
      <c r="W241" s="16" t="n">
        <v>0</v>
      </c>
      <c r="X241" s="16" t="n">
        <v>0</v>
      </c>
      <c r="Y241" s="16" t="n">
        <v>0</v>
      </c>
      <c r="Z241" s="16" t="n">
        <v>0</v>
      </c>
      <c r="AA241" s="16" t="n">
        <v>0</v>
      </c>
      <c r="AB241" s="16" t="n">
        <v>0</v>
      </c>
      <c r="AC241" s="16" t="n">
        <v>0</v>
      </c>
      <c r="AD241" s="16" t="n">
        <v>0</v>
      </c>
      <c r="AE241" s="16" t="n">
        <v>0</v>
      </c>
      <c r="AF241" s="16" t="n">
        <v>0</v>
      </c>
      <c r="AG241" s="16" t="n">
        <v>0</v>
      </c>
      <c r="AH241" s="16" t="n">
        <v>0</v>
      </c>
      <c r="AI241" s="16" t="n">
        <v>0</v>
      </c>
      <c r="AJ241" s="16" t="n">
        <v>0</v>
      </c>
      <c r="AK241" s="16" t="n">
        <v>0</v>
      </c>
      <c r="AL241" s="16" t="n">
        <v>0</v>
      </c>
      <c r="AM241" s="16" t="n">
        <v>0</v>
      </c>
      <c r="AN241" s="16" t="n">
        <v>0</v>
      </c>
      <c r="AO241" s="16" t="n">
        <v>0</v>
      </c>
      <c r="AP241" s="16" t="n">
        <v>0</v>
      </c>
      <c r="AQ241" s="16" t="n">
        <v>0</v>
      </c>
      <c r="AR241" s="16" t="n">
        <v>0</v>
      </c>
      <c r="AS241" s="16" t="n">
        <v>0</v>
      </c>
      <c r="AT241" s="16" t="n">
        <v>0</v>
      </c>
      <c r="AU241" s="16" t="n">
        <v>0</v>
      </c>
      <c r="AV241" s="16" t="n">
        <v>0</v>
      </c>
      <c r="AW241" s="16" t="n">
        <v>0</v>
      </c>
      <c r="AX241" s="16" t="n">
        <v>0</v>
      </c>
      <c r="AY241" s="16" t="n">
        <v>0</v>
      </c>
      <c r="AZ241" s="16" t="n">
        <v>0</v>
      </c>
      <c r="BA241" s="16" t="n">
        <v>0</v>
      </c>
      <c r="BB241" s="16" t="n">
        <v>0</v>
      </c>
      <c r="BC241" s="16" t="n">
        <v>0</v>
      </c>
      <c r="BD241" s="16" t="n">
        <v>0</v>
      </c>
      <c r="BE241" s="16" t="n">
        <v>0</v>
      </c>
      <c r="BF241" s="16" t="n">
        <v>0</v>
      </c>
      <c r="BG241" s="16" t="n">
        <v>0</v>
      </c>
      <c r="BH241" s="16" t="n">
        <v>0</v>
      </c>
      <c r="BI241" s="16" t="n">
        <v>0</v>
      </c>
      <c r="BJ241" s="16" t="n">
        <v>0</v>
      </c>
      <c r="BK241" s="16" t="n">
        <v>0</v>
      </c>
      <c r="BL241" s="16" t="n">
        <v>0</v>
      </c>
      <c r="BM241" s="16" t="n">
        <v>0</v>
      </c>
      <c r="BN241" s="16" t="n">
        <v>0</v>
      </c>
      <c r="BO241" s="16" t="n">
        <v>0</v>
      </c>
      <c r="BP241" s="16" t="n">
        <v>0</v>
      </c>
      <c r="BQ241" s="16" t="n">
        <v>0</v>
      </c>
      <c r="BR241" s="16" t="n">
        <v>0</v>
      </c>
      <c r="BS241" s="16" t="n">
        <v>0</v>
      </c>
      <c r="BT241" s="16" t="n">
        <v>0</v>
      </c>
      <c r="BU241" s="16" t="n">
        <v>0</v>
      </c>
      <c r="BV241" s="16" t="n">
        <v>0</v>
      </c>
      <c r="BW241" s="16" t="n">
        <v>0</v>
      </c>
      <c r="BX241" s="16" t="n">
        <v>0</v>
      </c>
      <c r="BY241" s="16" t="n">
        <v>0</v>
      </c>
      <c r="BZ241" s="16" t="n">
        <v>0</v>
      </c>
      <c r="CA241" s="16" t="n">
        <v>0</v>
      </c>
      <c r="CB241" s="16" t="n">
        <v>0</v>
      </c>
      <c r="CC241" s="16" t="n">
        <v>0</v>
      </c>
      <c r="CD241" s="16" t="n">
        <v>0</v>
      </c>
      <c r="CE241" s="16" t="n">
        <v>0</v>
      </c>
      <c r="CF241" s="16" t="n">
        <v>0</v>
      </c>
      <c r="CG241" s="16" t="n">
        <v>0</v>
      </c>
      <c r="CH241" s="16" t="n">
        <v>0</v>
      </c>
      <c r="CI241" s="16" t="n">
        <v>0</v>
      </c>
      <c r="CJ241" s="16" t="n">
        <v>0</v>
      </c>
      <c r="CK241" s="16" t="n">
        <v>0</v>
      </c>
      <c r="CL241" s="16" t="n">
        <v>0</v>
      </c>
      <c r="CM241" s="16" t="n">
        <v>0</v>
      </c>
      <c r="CN241" s="16" t="n">
        <v>0</v>
      </c>
      <c r="CO241" s="16" t="n">
        <v>0</v>
      </c>
      <c r="CP241" s="16" t="n">
        <v>0</v>
      </c>
      <c r="CQ241" s="16" t="n">
        <v>0</v>
      </c>
      <c r="CR241" s="16" t="n">
        <v>0</v>
      </c>
      <c r="CS241" s="16" t="n">
        <v>0</v>
      </c>
      <c r="CT241" s="16" t="n">
        <v>0</v>
      </c>
      <c r="CU241" s="16" t="n">
        <v>0</v>
      </c>
      <c r="CV241" s="16" t="n">
        <v>0</v>
      </c>
      <c r="CW241" s="16" t="n">
        <v>0</v>
      </c>
      <c r="CX241" s="16" t="n">
        <v>0</v>
      </c>
      <c r="CY241" s="16" t="n">
        <v>0</v>
      </c>
      <c r="CZ241" s="16" t="n">
        <v>0</v>
      </c>
      <c r="DA241" s="16" t="n">
        <v>0</v>
      </c>
      <c r="DB241" s="16" t="n">
        <v>0</v>
      </c>
      <c r="DC241" s="16" t="n">
        <v>0</v>
      </c>
      <c r="DD241" s="16" t="n">
        <v>0</v>
      </c>
      <c r="DE241" s="16" t="n">
        <v>0</v>
      </c>
      <c r="DF241" s="16" t="n">
        <v>0</v>
      </c>
      <c r="DG241" s="16" t="n">
        <v>0</v>
      </c>
      <c r="DH241" s="16" t="n">
        <v>0</v>
      </c>
      <c r="DI241" s="16" t="n">
        <v>0</v>
      </c>
      <c r="DJ241" s="16" t="n">
        <v>0</v>
      </c>
      <c r="DK241" s="16" t="n">
        <v>0</v>
      </c>
      <c r="DL241" s="16" t="n">
        <v>0</v>
      </c>
      <c r="DM241" s="16" t="n">
        <v>0</v>
      </c>
      <c r="DN241" s="16" t="n">
        <v>0</v>
      </c>
      <c r="DO241" s="16" t="n">
        <v>0</v>
      </c>
      <c r="DP241" s="16" t="n">
        <v>0</v>
      </c>
      <c r="DQ241" s="16" t="n">
        <v>0</v>
      </c>
      <c r="DR241" s="16" t="n">
        <v>0</v>
      </c>
      <c r="DS241" s="16" t="n">
        <v>0</v>
      </c>
      <c r="DT241" s="16" t="n">
        <v>0</v>
      </c>
      <c r="DU241" s="16" t="n">
        <v>0</v>
      </c>
      <c r="DV241" s="16" t="n">
        <v>0</v>
      </c>
      <c r="DW241" s="16" t="n">
        <v>0</v>
      </c>
      <c r="DX241" s="16" t="n">
        <v>0</v>
      </c>
      <c r="DY241" s="16" t="n">
        <v>0</v>
      </c>
      <c r="DZ241" s="16" t="n">
        <v>0</v>
      </c>
      <c r="EA241" s="16" t="n">
        <v>0</v>
      </c>
      <c r="EB241" s="16" t="n">
        <v>0</v>
      </c>
      <c r="EC241" s="16" t="n">
        <v>0</v>
      </c>
      <c r="ED241" s="16" t="n">
        <v>0</v>
      </c>
      <c r="EE241" s="16" t="n">
        <v>0</v>
      </c>
      <c r="EF241" s="16" t="n">
        <v>0</v>
      </c>
    </row>
    <row r="242" customFormat="false" ht="15" hidden="false" customHeight="true" outlineLevel="0" collapsed="false">
      <c r="A242" s="9" t="s">
        <v>12</v>
      </c>
      <c r="B242" s="9" t="s">
        <v>75</v>
      </c>
      <c r="C242" s="9" t="s">
        <v>75</v>
      </c>
      <c r="D242" s="9" t="s">
        <v>341</v>
      </c>
      <c r="E242" s="9" t="s">
        <v>16</v>
      </c>
      <c r="F242" s="9" t="s">
        <v>40</v>
      </c>
      <c r="G242" s="16" t="n">
        <v>0</v>
      </c>
      <c r="H242" s="16" t="n">
        <v>0</v>
      </c>
      <c r="I242" s="16" t="n">
        <v>20.5</v>
      </c>
      <c r="J242" s="16" t="n">
        <v>-20.5</v>
      </c>
      <c r="K242" s="16" t="n">
        <v>0</v>
      </c>
      <c r="L242" s="16" t="n">
        <v>0</v>
      </c>
      <c r="M242" s="16" t="n">
        <v>0</v>
      </c>
      <c r="N242" s="16" t="n">
        <v>0</v>
      </c>
      <c r="O242" s="16" t="n">
        <v>0</v>
      </c>
      <c r="P242" s="16" t="n">
        <v>0</v>
      </c>
      <c r="Q242" s="16" t="n">
        <v>0</v>
      </c>
      <c r="R242" s="16" t="n">
        <v>0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>0</v>
      </c>
      <c r="AB242" s="16" t="n">
        <v>0</v>
      </c>
      <c r="AC242" s="16" t="n">
        <v>0</v>
      </c>
      <c r="AD242" s="16" t="n">
        <v>0</v>
      </c>
      <c r="AE242" s="16" t="n">
        <v>0</v>
      </c>
      <c r="AF242" s="16" t="n">
        <v>0</v>
      </c>
      <c r="AG242" s="16" t="n">
        <v>0</v>
      </c>
      <c r="AH242" s="16" t="n">
        <v>0</v>
      </c>
      <c r="AI242" s="16" t="n">
        <v>0</v>
      </c>
      <c r="AJ242" s="16" t="n">
        <v>4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1.5</v>
      </c>
      <c r="AS242" s="16" t="n">
        <v>0</v>
      </c>
      <c r="AT242" s="16" t="n">
        <v>0</v>
      </c>
      <c r="AU242" s="16" t="n">
        <v>0</v>
      </c>
      <c r="AV242" s="16" t="n">
        <v>0</v>
      </c>
      <c r="AW242" s="16" t="n">
        <v>0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0</v>
      </c>
      <c r="BC242" s="16" t="n">
        <v>0</v>
      </c>
      <c r="BD242" s="16" t="n">
        <v>0</v>
      </c>
      <c r="BE242" s="16" t="n">
        <v>0</v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0</v>
      </c>
      <c r="BN242" s="16" t="n">
        <v>0</v>
      </c>
      <c r="BO242" s="16" t="n">
        <v>0</v>
      </c>
      <c r="BP242" s="16" t="n">
        <v>0</v>
      </c>
      <c r="BQ242" s="16" t="n">
        <v>0</v>
      </c>
      <c r="BR242" s="16" t="n">
        <v>0</v>
      </c>
      <c r="BS242" s="16" t="n">
        <v>0</v>
      </c>
      <c r="BT242" s="16" t="n">
        <v>0</v>
      </c>
      <c r="BU242" s="16" t="n">
        <v>0</v>
      </c>
      <c r="BV242" s="16" t="n">
        <v>0</v>
      </c>
      <c r="BW242" s="16" t="n">
        <v>0</v>
      </c>
      <c r="BX242" s="16" t="n">
        <v>0</v>
      </c>
      <c r="BY242" s="16" t="n">
        <v>0</v>
      </c>
      <c r="BZ242" s="16" t="n">
        <v>0</v>
      </c>
      <c r="CA242" s="16" t="n">
        <v>0</v>
      </c>
      <c r="CB242" s="16" t="n">
        <v>0</v>
      </c>
      <c r="CC242" s="16" t="n">
        <v>0</v>
      </c>
      <c r="CD242" s="16" t="n">
        <v>0</v>
      </c>
      <c r="CE242" s="16" t="n">
        <v>0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0</v>
      </c>
      <c r="CL242" s="16" t="n">
        <v>0</v>
      </c>
      <c r="CM242" s="16" t="n">
        <v>0</v>
      </c>
      <c r="CN242" s="16" t="n">
        <v>0</v>
      </c>
      <c r="CO242" s="16" t="n">
        <v>0</v>
      </c>
      <c r="CP242" s="16" t="n">
        <v>0</v>
      </c>
      <c r="CQ242" s="16" t="n">
        <v>0</v>
      </c>
      <c r="CR242" s="16" t="n">
        <v>0</v>
      </c>
      <c r="CS242" s="16" t="n">
        <v>0</v>
      </c>
      <c r="CT242" s="16" t="n">
        <v>0</v>
      </c>
      <c r="CU242" s="16" t="n">
        <v>0</v>
      </c>
      <c r="CV242" s="16" t="n">
        <v>0</v>
      </c>
      <c r="CW242" s="16" t="n">
        <v>0</v>
      </c>
      <c r="CX242" s="16" t="n">
        <v>0</v>
      </c>
      <c r="CY242" s="16" t="n">
        <v>0</v>
      </c>
      <c r="CZ242" s="16" t="n">
        <v>0</v>
      </c>
      <c r="DA242" s="16" t="n">
        <v>0</v>
      </c>
      <c r="DB242" s="16" t="n">
        <v>0</v>
      </c>
      <c r="DC242" s="16" t="n">
        <v>0</v>
      </c>
      <c r="DD242" s="16" t="n">
        <v>0</v>
      </c>
      <c r="DE242" s="16" t="n">
        <v>0</v>
      </c>
      <c r="DF242" s="16" t="n">
        <v>0</v>
      </c>
      <c r="DG242" s="16" t="n">
        <v>0</v>
      </c>
      <c r="DH242" s="16" t="n">
        <v>0</v>
      </c>
      <c r="DI242" s="16" t="n">
        <v>0</v>
      </c>
      <c r="DJ242" s="16" t="n">
        <v>0</v>
      </c>
      <c r="DK242" s="16" t="n">
        <v>0</v>
      </c>
      <c r="DL242" s="16" t="n">
        <v>0</v>
      </c>
      <c r="DM242" s="16" t="n">
        <v>0</v>
      </c>
      <c r="DN242" s="16" t="n">
        <v>0</v>
      </c>
      <c r="DO242" s="16" t="n">
        <v>0</v>
      </c>
      <c r="DP242" s="16" t="n">
        <v>5</v>
      </c>
      <c r="DQ242" s="16" t="n">
        <v>5</v>
      </c>
      <c r="DR242" s="16" t="n">
        <v>5</v>
      </c>
      <c r="DS242" s="16" t="n">
        <v>0</v>
      </c>
      <c r="DT242" s="16" t="n">
        <v>0</v>
      </c>
      <c r="DU242" s="16" t="n">
        <v>0</v>
      </c>
      <c r="DV242" s="16" t="n">
        <v>0</v>
      </c>
      <c r="DW242" s="16" t="n">
        <v>0</v>
      </c>
      <c r="DX242" s="16" t="n">
        <v>0</v>
      </c>
      <c r="DY242" s="16" t="n">
        <v>0</v>
      </c>
      <c r="DZ242" s="16" t="n">
        <v>0</v>
      </c>
      <c r="EA242" s="16" t="n">
        <v>0</v>
      </c>
      <c r="EB242" s="16" t="n">
        <v>0</v>
      </c>
      <c r="EC242" s="16" t="n">
        <v>0</v>
      </c>
      <c r="ED242" s="16" t="n">
        <v>0</v>
      </c>
      <c r="EE242" s="16" t="n">
        <v>0</v>
      </c>
      <c r="EF242" s="16" t="n">
        <v>0</v>
      </c>
    </row>
    <row r="243" customFormat="false" ht="15" hidden="false" customHeight="true" outlineLevel="0" collapsed="false">
      <c r="A243" s="9" t="s">
        <v>12</v>
      </c>
      <c r="B243" s="9" t="s">
        <v>75</v>
      </c>
      <c r="C243" s="9" t="s">
        <v>75</v>
      </c>
      <c r="D243" s="9" t="s">
        <v>340</v>
      </c>
      <c r="E243" s="9" t="s">
        <v>16</v>
      </c>
      <c r="F243" s="9" t="s">
        <v>40</v>
      </c>
      <c r="G243" s="16" t="n">
        <v>0</v>
      </c>
      <c r="H243" s="16" t="n">
        <v>15</v>
      </c>
      <c r="I243" s="16" t="n">
        <v>0</v>
      </c>
      <c r="J243" s="16" t="n">
        <v>15</v>
      </c>
      <c r="K243" s="16" t="n">
        <v>0</v>
      </c>
      <c r="L243" s="16" t="n">
        <v>0</v>
      </c>
      <c r="M243" s="16" t="n">
        <v>0</v>
      </c>
      <c r="N243" s="16" t="n">
        <v>0</v>
      </c>
      <c r="O243" s="16" t="n">
        <v>0</v>
      </c>
      <c r="P243" s="16" t="n">
        <v>0</v>
      </c>
      <c r="Q243" s="16" t="n">
        <v>0</v>
      </c>
      <c r="R243" s="16" t="n">
        <v>0</v>
      </c>
      <c r="S243" s="16" t="n">
        <v>0</v>
      </c>
      <c r="T243" s="16" t="n">
        <v>0</v>
      </c>
      <c r="U243" s="16" t="n">
        <v>0</v>
      </c>
      <c r="V243" s="16" t="n">
        <v>0</v>
      </c>
      <c r="W243" s="16" t="n">
        <v>0</v>
      </c>
      <c r="X243" s="16" t="n">
        <v>0</v>
      </c>
      <c r="Y243" s="16" t="n">
        <v>0</v>
      </c>
      <c r="Z243" s="16" t="n">
        <v>0</v>
      </c>
      <c r="AA243" s="16" t="n">
        <v>0</v>
      </c>
      <c r="AB243" s="16" t="n">
        <v>0</v>
      </c>
      <c r="AC243" s="16" t="n">
        <v>0</v>
      </c>
      <c r="AD243" s="16" t="n">
        <v>0</v>
      </c>
      <c r="AE243" s="16" t="n">
        <v>0</v>
      </c>
      <c r="AF243" s="16" t="n">
        <v>0</v>
      </c>
      <c r="AG243" s="16" t="n">
        <v>0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0</v>
      </c>
      <c r="BC243" s="16" t="n">
        <v>0</v>
      </c>
      <c r="BD243" s="16" t="n">
        <v>0</v>
      </c>
      <c r="BE243" s="16" t="n">
        <v>0</v>
      </c>
      <c r="BF243" s="16" t="n">
        <v>0</v>
      </c>
      <c r="BG243" s="16" t="n">
        <v>0</v>
      </c>
      <c r="BH243" s="16" t="n">
        <v>0</v>
      </c>
      <c r="BI243" s="16" t="n">
        <v>0</v>
      </c>
      <c r="BJ243" s="16" t="n">
        <v>0</v>
      </c>
      <c r="BK243" s="16" t="n">
        <v>0</v>
      </c>
      <c r="BL243" s="16" t="n">
        <v>0</v>
      </c>
      <c r="BM243" s="16" t="n">
        <v>0</v>
      </c>
      <c r="BN243" s="16" t="n">
        <v>0</v>
      </c>
      <c r="BO243" s="16" t="n">
        <v>0</v>
      </c>
      <c r="BP243" s="16" t="n">
        <v>0</v>
      </c>
      <c r="BQ243" s="16" t="n">
        <v>0</v>
      </c>
      <c r="BR243" s="16" t="n">
        <v>0</v>
      </c>
      <c r="BS243" s="16" t="n">
        <v>0</v>
      </c>
      <c r="BT243" s="16" t="n">
        <v>0</v>
      </c>
      <c r="BU243" s="16" t="n">
        <v>0</v>
      </c>
      <c r="BV243" s="16" t="n">
        <v>0</v>
      </c>
      <c r="BW243" s="16" t="n">
        <v>0</v>
      </c>
      <c r="BX243" s="16" t="n">
        <v>0</v>
      </c>
      <c r="BY243" s="16" t="n">
        <v>0</v>
      </c>
      <c r="BZ243" s="16" t="n">
        <v>0</v>
      </c>
      <c r="CA243" s="16" t="n">
        <v>0</v>
      </c>
      <c r="CB243" s="16" t="n">
        <v>0</v>
      </c>
      <c r="CC243" s="16" t="n">
        <v>0</v>
      </c>
      <c r="CD243" s="16" t="n">
        <v>0</v>
      </c>
      <c r="CE243" s="16" t="n">
        <v>0</v>
      </c>
      <c r="CF243" s="16" t="n">
        <v>0</v>
      </c>
      <c r="CG243" s="16" t="n">
        <v>0</v>
      </c>
      <c r="CH243" s="16" t="n">
        <v>0</v>
      </c>
      <c r="CI243" s="16" t="n">
        <v>0</v>
      </c>
      <c r="CJ243" s="16" t="n">
        <v>0</v>
      </c>
      <c r="CK243" s="16" t="n">
        <v>0</v>
      </c>
      <c r="CL243" s="16" t="n">
        <v>0</v>
      </c>
      <c r="CM243" s="16" t="n">
        <v>0</v>
      </c>
      <c r="CN243" s="16" t="n">
        <v>0</v>
      </c>
      <c r="CO243" s="16" t="n">
        <v>0</v>
      </c>
      <c r="CP243" s="16" t="n">
        <v>0</v>
      </c>
      <c r="CQ243" s="16" t="n">
        <v>0</v>
      </c>
      <c r="CR243" s="16" t="n">
        <v>0</v>
      </c>
      <c r="CS243" s="16" t="n">
        <v>0</v>
      </c>
      <c r="CT243" s="16" t="n">
        <v>0</v>
      </c>
      <c r="CU243" s="16" t="n">
        <v>0</v>
      </c>
      <c r="CV243" s="16" t="n">
        <v>0</v>
      </c>
      <c r="CW243" s="16" t="n">
        <v>0</v>
      </c>
      <c r="CX243" s="16" t="n">
        <v>0</v>
      </c>
      <c r="CY243" s="16" t="n">
        <v>0</v>
      </c>
      <c r="CZ243" s="16" t="n">
        <v>0</v>
      </c>
      <c r="DA243" s="16" t="n">
        <v>0</v>
      </c>
      <c r="DB243" s="16" t="n">
        <v>0</v>
      </c>
      <c r="DC243" s="16" t="n">
        <v>0</v>
      </c>
      <c r="DD243" s="16" t="n">
        <v>0</v>
      </c>
      <c r="DE243" s="16" t="n">
        <v>0</v>
      </c>
      <c r="DF243" s="16" t="n">
        <v>0</v>
      </c>
      <c r="DG243" s="16" t="n">
        <v>0</v>
      </c>
      <c r="DH243" s="16" t="n">
        <v>0</v>
      </c>
      <c r="DI243" s="16" t="n">
        <v>0</v>
      </c>
      <c r="DJ243" s="16" t="n">
        <v>0</v>
      </c>
      <c r="DK243" s="16" t="n">
        <v>0</v>
      </c>
      <c r="DL243" s="16" t="n">
        <v>0</v>
      </c>
      <c r="DM243" s="16" t="n">
        <v>0</v>
      </c>
      <c r="DN243" s="16" t="n">
        <v>0</v>
      </c>
      <c r="DO243" s="16" t="n">
        <v>0</v>
      </c>
      <c r="DP243" s="16" t="n">
        <v>0</v>
      </c>
      <c r="DQ243" s="16" t="n">
        <v>0</v>
      </c>
      <c r="DR243" s="16" t="n">
        <v>0</v>
      </c>
      <c r="DS243" s="16" t="n">
        <v>0</v>
      </c>
      <c r="DT243" s="16" t="n">
        <v>0</v>
      </c>
      <c r="DU243" s="16" t="n">
        <v>0</v>
      </c>
      <c r="DV243" s="16" t="n">
        <v>0</v>
      </c>
      <c r="DW243" s="16" t="n">
        <v>0</v>
      </c>
      <c r="DX243" s="16" t="n">
        <v>0</v>
      </c>
      <c r="DY243" s="16" t="n">
        <v>0</v>
      </c>
      <c r="DZ243" s="16" t="n">
        <v>0</v>
      </c>
      <c r="EA243" s="16" t="n">
        <v>0</v>
      </c>
      <c r="EB243" s="16" t="n">
        <v>0</v>
      </c>
      <c r="EC243" s="16" t="n">
        <v>0</v>
      </c>
      <c r="ED243" s="16" t="n">
        <v>0</v>
      </c>
      <c r="EE243" s="16" t="n">
        <v>0</v>
      </c>
      <c r="EF243" s="16" t="n">
        <v>0</v>
      </c>
    </row>
    <row r="244" customFormat="false" ht="15" hidden="false" customHeight="true" outlineLevel="0" collapsed="false">
      <c r="A244" s="9" t="s">
        <v>12</v>
      </c>
      <c r="B244" s="9" t="s">
        <v>75</v>
      </c>
      <c r="C244" s="9" t="s">
        <v>75</v>
      </c>
      <c r="D244" s="9" t="s">
        <v>341</v>
      </c>
      <c r="E244" s="9" t="s">
        <v>16</v>
      </c>
      <c r="F244" s="9" t="s">
        <v>85</v>
      </c>
      <c r="G244" s="16" t="n">
        <v>0</v>
      </c>
      <c r="H244" s="16" t="n">
        <v>0</v>
      </c>
      <c r="I244" s="16" t="n">
        <v>238</v>
      </c>
      <c r="J244" s="16" t="n">
        <v>-238</v>
      </c>
      <c r="K244" s="16" t="n">
        <v>0</v>
      </c>
      <c r="L244" s="16" t="n">
        <v>0</v>
      </c>
      <c r="M244" s="16" t="n">
        <v>0</v>
      </c>
      <c r="N244" s="16" t="n">
        <v>0</v>
      </c>
      <c r="O244" s="16" t="n">
        <v>0</v>
      </c>
      <c r="P244" s="16" t="n">
        <v>0</v>
      </c>
      <c r="Q244" s="16" t="n">
        <v>0</v>
      </c>
      <c r="R244" s="16" t="n">
        <v>0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0</v>
      </c>
      <c r="X244" s="16" t="n">
        <v>0</v>
      </c>
      <c r="Y244" s="16" t="n">
        <v>0</v>
      </c>
      <c r="Z244" s="16" t="n">
        <v>0</v>
      </c>
      <c r="AA244" s="16" t="n">
        <v>0</v>
      </c>
      <c r="AB244" s="16" t="n">
        <v>0</v>
      </c>
      <c r="AC244" s="16" t="n">
        <v>0</v>
      </c>
      <c r="AD244" s="16" t="n">
        <v>0</v>
      </c>
      <c r="AE244" s="16" t="n">
        <v>0</v>
      </c>
      <c r="AF244" s="16" t="n">
        <v>0</v>
      </c>
      <c r="AG244" s="16" t="n">
        <v>0</v>
      </c>
      <c r="AH244" s="16" t="n">
        <v>0</v>
      </c>
      <c r="AI244" s="16" t="n">
        <v>0</v>
      </c>
      <c r="AJ244" s="16" t="n">
        <v>8</v>
      </c>
      <c r="AK244" s="16" t="n">
        <v>6</v>
      </c>
      <c r="AL244" s="16" t="n">
        <v>6</v>
      </c>
      <c r="AM244" s="16" t="n">
        <v>3.5</v>
      </c>
      <c r="AN244" s="16" t="n">
        <v>3</v>
      </c>
      <c r="AO244" s="16" t="n">
        <v>3.5</v>
      </c>
      <c r="AP244" s="16" t="n">
        <v>20.5</v>
      </c>
      <c r="AQ244" s="16" t="n">
        <v>21</v>
      </c>
      <c r="AR244" s="16" t="n">
        <v>4.5</v>
      </c>
      <c r="AS244" s="16" t="n">
        <v>4</v>
      </c>
      <c r="AT244" s="16" t="n">
        <v>0</v>
      </c>
      <c r="AU244" s="16" t="n">
        <v>0</v>
      </c>
      <c r="AV244" s="16" t="n">
        <v>0</v>
      </c>
      <c r="AW244" s="16" t="n">
        <v>0</v>
      </c>
      <c r="AX244" s="16" t="n">
        <v>0</v>
      </c>
      <c r="AY244" s="16" t="n">
        <v>0</v>
      </c>
      <c r="AZ244" s="16" t="n">
        <v>0</v>
      </c>
      <c r="BA244" s="16" t="n">
        <v>0</v>
      </c>
      <c r="BB244" s="16" t="n">
        <v>0</v>
      </c>
      <c r="BC244" s="16" t="n">
        <v>0</v>
      </c>
      <c r="BD244" s="16" t="n">
        <v>0</v>
      </c>
      <c r="BE244" s="16" t="n">
        <v>0</v>
      </c>
      <c r="BF244" s="16" t="n">
        <v>0</v>
      </c>
      <c r="BG244" s="16" t="n">
        <v>0</v>
      </c>
      <c r="BH244" s="16" t="n">
        <v>0</v>
      </c>
      <c r="BI244" s="16" t="n">
        <v>0</v>
      </c>
      <c r="BJ244" s="16" t="n">
        <v>0</v>
      </c>
      <c r="BK244" s="16" t="n">
        <v>0</v>
      </c>
      <c r="BL244" s="16" t="n">
        <v>0</v>
      </c>
      <c r="BM244" s="16" t="n">
        <v>0</v>
      </c>
      <c r="BN244" s="16" t="n">
        <v>0</v>
      </c>
      <c r="BO244" s="16" t="n">
        <v>0</v>
      </c>
      <c r="BP244" s="16" t="n">
        <v>0</v>
      </c>
      <c r="BQ244" s="16" t="n">
        <v>0</v>
      </c>
      <c r="BR244" s="16" t="n">
        <v>0</v>
      </c>
      <c r="BS244" s="16" t="n">
        <v>0</v>
      </c>
      <c r="BT244" s="16" t="n">
        <v>0</v>
      </c>
      <c r="BU244" s="16" t="n">
        <v>0</v>
      </c>
      <c r="BV244" s="16" t="n">
        <v>0</v>
      </c>
      <c r="BW244" s="16" t="n">
        <v>0</v>
      </c>
      <c r="BX244" s="16" t="n">
        <v>0</v>
      </c>
      <c r="BY244" s="16" t="n">
        <v>0</v>
      </c>
      <c r="BZ244" s="16" t="n">
        <v>0</v>
      </c>
      <c r="CA244" s="16" t="n">
        <v>0</v>
      </c>
      <c r="CB244" s="16" t="n">
        <v>0</v>
      </c>
      <c r="CC244" s="16" t="n">
        <v>0</v>
      </c>
      <c r="CD244" s="16" t="n">
        <v>0</v>
      </c>
      <c r="CE244" s="16" t="n">
        <v>0</v>
      </c>
      <c r="CF244" s="16" t="n">
        <v>0</v>
      </c>
      <c r="CG244" s="16" t="n">
        <v>0</v>
      </c>
      <c r="CH244" s="16" t="n">
        <v>0</v>
      </c>
      <c r="CI244" s="16" t="n">
        <v>0</v>
      </c>
      <c r="CJ244" s="16" t="n">
        <v>0</v>
      </c>
      <c r="CK244" s="16" t="n">
        <v>0</v>
      </c>
      <c r="CL244" s="16" t="n">
        <v>0</v>
      </c>
      <c r="CM244" s="16" t="n">
        <v>0</v>
      </c>
      <c r="CN244" s="16" t="n">
        <v>0</v>
      </c>
      <c r="CO244" s="16" t="n">
        <v>0</v>
      </c>
      <c r="CP244" s="16" t="n">
        <v>0</v>
      </c>
      <c r="CQ244" s="16" t="n">
        <v>0</v>
      </c>
      <c r="CR244" s="16" t="n">
        <v>0</v>
      </c>
      <c r="CS244" s="16" t="n">
        <v>7</v>
      </c>
      <c r="CT244" s="16" t="n">
        <v>14</v>
      </c>
      <c r="CU244" s="16" t="n">
        <v>14</v>
      </c>
      <c r="CV244" s="16" t="n">
        <v>3</v>
      </c>
      <c r="CW244" s="16" t="n">
        <v>3</v>
      </c>
      <c r="CX244" s="16" t="n">
        <v>3</v>
      </c>
      <c r="CY244" s="16" t="n">
        <v>3</v>
      </c>
      <c r="CZ244" s="16" t="n">
        <v>3</v>
      </c>
      <c r="DA244" s="16" t="n">
        <v>3</v>
      </c>
      <c r="DB244" s="16" t="n">
        <v>3</v>
      </c>
      <c r="DC244" s="16" t="n">
        <v>3</v>
      </c>
      <c r="DD244" s="16" t="n">
        <v>3</v>
      </c>
      <c r="DE244" s="16" t="n">
        <v>13</v>
      </c>
      <c r="DF244" s="16" t="n">
        <v>19</v>
      </c>
      <c r="DG244" s="16" t="n">
        <v>3</v>
      </c>
      <c r="DH244" s="16" t="n">
        <v>3</v>
      </c>
      <c r="DI244" s="16" t="n">
        <v>3</v>
      </c>
      <c r="DJ244" s="16" t="n">
        <v>0</v>
      </c>
      <c r="DK244" s="16" t="n">
        <v>4.5</v>
      </c>
      <c r="DL244" s="16" t="n">
        <v>6.5</v>
      </c>
      <c r="DM244" s="16" t="n">
        <v>3.5</v>
      </c>
      <c r="DN244" s="16" t="n">
        <v>3.5</v>
      </c>
      <c r="DO244" s="16" t="n">
        <v>7</v>
      </c>
      <c r="DP244" s="16" t="n">
        <v>12</v>
      </c>
      <c r="DQ244" s="16" t="n">
        <v>11</v>
      </c>
      <c r="DR244" s="16" t="n">
        <v>11</v>
      </c>
      <c r="DS244" s="16" t="n">
        <v>0</v>
      </c>
      <c r="DT244" s="16" t="n">
        <v>0</v>
      </c>
      <c r="DU244" s="16" t="n">
        <v>0</v>
      </c>
      <c r="DV244" s="16" t="n">
        <v>0</v>
      </c>
      <c r="DW244" s="16" t="n">
        <v>0</v>
      </c>
      <c r="DX244" s="16" t="n">
        <v>0</v>
      </c>
      <c r="DY244" s="16" t="n">
        <v>0</v>
      </c>
      <c r="DZ244" s="16" t="n">
        <v>0</v>
      </c>
      <c r="EA244" s="16" t="n">
        <v>0</v>
      </c>
      <c r="EB244" s="16" t="n">
        <v>0</v>
      </c>
      <c r="EC244" s="16" t="n">
        <v>0</v>
      </c>
      <c r="ED244" s="16" t="n">
        <v>0</v>
      </c>
      <c r="EE244" s="16" t="n">
        <v>0</v>
      </c>
      <c r="EF244" s="16" t="n">
        <v>0</v>
      </c>
    </row>
    <row r="245" customFormat="false" ht="15" hidden="false" customHeight="true" outlineLevel="0" collapsed="false">
      <c r="A245" s="9" t="s">
        <v>12</v>
      </c>
      <c r="B245" s="9" t="s">
        <v>75</v>
      </c>
      <c r="C245" s="9" t="s">
        <v>75</v>
      </c>
      <c r="D245" s="9" t="s">
        <v>340</v>
      </c>
      <c r="E245" s="9" t="s">
        <v>16</v>
      </c>
      <c r="F245" s="9" t="s">
        <v>85</v>
      </c>
      <c r="G245" s="16" t="n">
        <v>112</v>
      </c>
      <c r="H245" s="16" t="n">
        <v>458</v>
      </c>
      <c r="I245" s="16" t="n">
        <v>19.5</v>
      </c>
      <c r="J245" s="16" t="n">
        <v>438.5</v>
      </c>
      <c r="K245" s="16" t="n">
        <v>0</v>
      </c>
      <c r="L245" s="16" t="n">
        <v>0</v>
      </c>
      <c r="M245" s="16" t="n">
        <v>0</v>
      </c>
      <c r="N245" s="16" t="n">
        <v>0</v>
      </c>
      <c r="O245" s="16" t="n">
        <v>0</v>
      </c>
      <c r="P245" s="16" t="n">
        <v>0</v>
      </c>
      <c r="Q245" s="16" t="n">
        <v>0</v>
      </c>
      <c r="R245" s="16" t="n">
        <v>0</v>
      </c>
      <c r="S245" s="16" t="n">
        <v>0</v>
      </c>
      <c r="T245" s="16" t="n">
        <v>0</v>
      </c>
      <c r="U245" s="16" t="n">
        <v>0</v>
      </c>
      <c r="V245" s="16" t="n">
        <v>0</v>
      </c>
      <c r="W245" s="16" t="n">
        <v>0</v>
      </c>
      <c r="X245" s="16" t="n">
        <v>0</v>
      </c>
      <c r="Y245" s="16" t="n">
        <v>0</v>
      </c>
      <c r="Z245" s="16" t="n">
        <v>0</v>
      </c>
      <c r="AA245" s="16" t="n">
        <v>0</v>
      </c>
      <c r="AB245" s="16" t="n">
        <v>0</v>
      </c>
      <c r="AC245" s="16" t="n">
        <v>0.5</v>
      </c>
      <c r="AD245" s="16" t="n">
        <v>0.5</v>
      </c>
      <c r="AE245" s="16" t="n">
        <v>0.5</v>
      </c>
      <c r="AF245" s="16" t="n">
        <v>9</v>
      </c>
      <c r="AG245" s="16" t="n">
        <v>1.5</v>
      </c>
      <c r="AH245" s="16" t="n">
        <v>2.5</v>
      </c>
      <c r="AI245" s="16" t="n">
        <v>5</v>
      </c>
      <c r="AJ245" s="16" t="n">
        <v>0</v>
      </c>
      <c r="AK245" s="16" t="n">
        <v>0</v>
      </c>
      <c r="AL245" s="16" t="n">
        <v>0</v>
      </c>
      <c r="AM245" s="16" t="n">
        <v>0</v>
      </c>
      <c r="AN245" s="16" t="n">
        <v>0</v>
      </c>
      <c r="AO245" s="16" t="n">
        <v>0</v>
      </c>
      <c r="AP245" s="16" t="n">
        <v>0</v>
      </c>
      <c r="AQ245" s="16" t="n">
        <v>0</v>
      </c>
      <c r="AR245" s="16" t="n">
        <v>0</v>
      </c>
      <c r="AS245" s="16" t="n">
        <v>0</v>
      </c>
      <c r="AT245" s="16" t="n">
        <v>0</v>
      </c>
      <c r="AU245" s="16" t="n">
        <v>0</v>
      </c>
      <c r="AV245" s="16" t="n">
        <v>0</v>
      </c>
      <c r="AW245" s="16" t="n">
        <v>0</v>
      </c>
      <c r="AX245" s="16" t="n">
        <v>0</v>
      </c>
      <c r="AY245" s="16" t="n">
        <v>0</v>
      </c>
      <c r="AZ245" s="16" t="n">
        <v>0</v>
      </c>
      <c r="BA245" s="16" t="n">
        <v>0</v>
      </c>
      <c r="BB245" s="16" t="n">
        <v>0</v>
      </c>
      <c r="BC245" s="16" t="n">
        <v>0</v>
      </c>
      <c r="BD245" s="16" t="n">
        <v>0</v>
      </c>
      <c r="BE245" s="16" t="n">
        <v>0</v>
      </c>
      <c r="BF245" s="16" t="n">
        <v>0</v>
      </c>
      <c r="BG245" s="16" t="n">
        <v>0</v>
      </c>
      <c r="BH245" s="16" t="n">
        <v>0</v>
      </c>
      <c r="BI245" s="16" t="n">
        <v>0</v>
      </c>
      <c r="BJ245" s="16" t="n">
        <v>0</v>
      </c>
      <c r="BK245" s="16" t="n">
        <v>0</v>
      </c>
      <c r="BL245" s="16" t="n">
        <v>0</v>
      </c>
      <c r="BM245" s="16" t="n">
        <v>0</v>
      </c>
      <c r="BN245" s="16" t="n">
        <v>0</v>
      </c>
      <c r="BO245" s="16" t="n">
        <v>0</v>
      </c>
      <c r="BP245" s="16" t="n">
        <v>0</v>
      </c>
      <c r="BQ245" s="16" t="n">
        <v>0</v>
      </c>
      <c r="BR245" s="16" t="n">
        <v>0</v>
      </c>
      <c r="BS245" s="16" t="n">
        <v>0</v>
      </c>
      <c r="BT245" s="16" t="n">
        <v>0</v>
      </c>
      <c r="BU245" s="16" t="n">
        <v>0</v>
      </c>
      <c r="BV245" s="16" t="n">
        <v>0</v>
      </c>
      <c r="BW245" s="16" t="n">
        <v>0</v>
      </c>
      <c r="BX245" s="16" t="n">
        <v>0</v>
      </c>
      <c r="BY245" s="16" t="n">
        <v>0</v>
      </c>
      <c r="BZ245" s="16" t="n">
        <v>0</v>
      </c>
      <c r="CA245" s="16" t="n">
        <v>0</v>
      </c>
      <c r="CB245" s="16" t="n">
        <v>0</v>
      </c>
      <c r="CC245" s="16" t="n">
        <v>0</v>
      </c>
      <c r="CD245" s="16" t="n">
        <v>0</v>
      </c>
      <c r="CE245" s="16" t="n">
        <v>0</v>
      </c>
      <c r="CF245" s="16" t="n">
        <v>0</v>
      </c>
      <c r="CG245" s="16" t="n">
        <v>0</v>
      </c>
      <c r="CH245" s="16" t="n">
        <v>0</v>
      </c>
      <c r="CI245" s="16" t="n">
        <v>0</v>
      </c>
      <c r="CJ245" s="16" t="n">
        <v>0</v>
      </c>
      <c r="CK245" s="16" t="n">
        <v>0</v>
      </c>
      <c r="CL245" s="16" t="n">
        <v>0</v>
      </c>
      <c r="CM245" s="16" t="n">
        <v>0</v>
      </c>
      <c r="CN245" s="16" t="n">
        <v>0</v>
      </c>
      <c r="CO245" s="16" t="n">
        <v>0</v>
      </c>
      <c r="CP245" s="16" t="n">
        <v>0</v>
      </c>
      <c r="CQ245" s="16" t="n">
        <v>0</v>
      </c>
      <c r="CR245" s="16" t="n">
        <v>0</v>
      </c>
      <c r="CS245" s="16" t="n">
        <v>0</v>
      </c>
      <c r="CT245" s="16" t="n">
        <v>0</v>
      </c>
      <c r="CU245" s="16" t="n">
        <v>0</v>
      </c>
      <c r="CV245" s="16" t="n">
        <v>0</v>
      </c>
      <c r="CW245" s="16" t="n">
        <v>0</v>
      </c>
      <c r="CX245" s="16" t="n">
        <v>0</v>
      </c>
      <c r="CY245" s="16" t="n">
        <v>0</v>
      </c>
      <c r="CZ245" s="16" t="n">
        <v>0</v>
      </c>
      <c r="DA245" s="16" t="n">
        <v>0</v>
      </c>
      <c r="DB245" s="16" t="n">
        <v>0</v>
      </c>
      <c r="DC245" s="16" t="n">
        <v>0</v>
      </c>
      <c r="DD245" s="16" t="n">
        <v>0</v>
      </c>
      <c r="DE245" s="16" t="n">
        <v>0</v>
      </c>
      <c r="DF245" s="16" t="n">
        <v>0</v>
      </c>
      <c r="DG245" s="16" t="n">
        <v>0</v>
      </c>
      <c r="DH245" s="16" t="n">
        <v>0</v>
      </c>
      <c r="DI245" s="16" t="n">
        <v>0</v>
      </c>
      <c r="DJ245" s="16" t="n">
        <v>0</v>
      </c>
      <c r="DK245" s="16" t="n">
        <v>0</v>
      </c>
      <c r="DL245" s="16" t="n">
        <v>0</v>
      </c>
      <c r="DM245" s="16" t="n">
        <v>0</v>
      </c>
      <c r="DN245" s="16" t="n">
        <v>0</v>
      </c>
      <c r="DO245" s="16" t="n">
        <v>0</v>
      </c>
      <c r="DP245" s="16" t="n">
        <v>0</v>
      </c>
      <c r="DQ245" s="16" t="n">
        <v>0</v>
      </c>
      <c r="DR245" s="16" t="n">
        <v>0</v>
      </c>
      <c r="DS245" s="16" t="n">
        <v>0</v>
      </c>
      <c r="DT245" s="16" t="n">
        <v>0</v>
      </c>
      <c r="DU245" s="16" t="n">
        <v>0</v>
      </c>
      <c r="DV245" s="16" t="n">
        <v>0</v>
      </c>
      <c r="DW245" s="16" t="n">
        <v>0</v>
      </c>
      <c r="DX245" s="16" t="n">
        <v>0</v>
      </c>
      <c r="DY245" s="16" t="n">
        <v>0</v>
      </c>
      <c r="DZ245" s="16" t="n">
        <v>0</v>
      </c>
      <c r="EA245" s="16" t="n">
        <v>0</v>
      </c>
      <c r="EB245" s="16" t="n">
        <v>0</v>
      </c>
      <c r="EC245" s="16" t="n">
        <v>0</v>
      </c>
      <c r="ED245" s="16" t="n">
        <v>0</v>
      </c>
      <c r="EE245" s="16" t="n">
        <v>0</v>
      </c>
      <c r="EF245" s="16" t="n">
        <v>0</v>
      </c>
    </row>
    <row r="246" customFormat="false" ht="15" hidden="false" customHeight="true" outlineLevel="0" collapsed="false">
      <c r="A246" s="9" t="s">
        <v>12</v>
      </c>
      <c r="B246" s="9" t="s">
        <v>75</v>
      </c>
      <c r="C246" s="9" t="s">
        <v>75</v>
      </c>
      <c r="D246" s="9" t="s">
        <v>341</v>
      </c>
      <c r="E246" s="9" t="s">
        <v>16</v>
      </c>
      <c r="F246" s="9" t="s">
        <v>46</v>
      </c>
      <c r="G246" s="16" t="n">
        <v>0</v>
      </c>
      <c r="H246" s="16" t="n">
        <v>0</v>
      </c>
      <c r="I246" s="16" t="n">
        <v>266.5</v>
      </c>
      <c r="J246" s="16" t="n">
        <v>-266.5</v>
      </c>
      <c r="K246" s="16" t="n">
        <v>0</v>
      </c>
      <c r="L246" s="16" t="n">
        <v>0</v>
      </c>
      <c r="M246" s="16" t="n">
        <v>0</v>
      </c>
      <c r="N246" s="16" t="n">
        <v>0</v>
      </c>
      <c r="O246" s="16" t="n">
        <v>0</v>
      </c>
      <c r="P246" s="16" t="n">
        <v>0</v>
      </c>
      <c r="Q246" s="16" t="n">
        <v>0</v>
      </c>
      <c r="R246" s="16" t="n">
        <v>0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0</v>
      </c>
      <c r="X246" s="16" t="n">
        <v>0</v>
      </c>
      <c r="Y246" s="16" t="n">
        <v>0</v>
      </c>
      <c r="Z246" s="16" t="n">
        <v>0</v>
      </c>
      <c r="AA246" s="16" t="n">
        <v>0</v>
      </c>
      <c r="AB246" s="16" t="n">
        <v>0</v>
      </c>
      <c r="AC246" s="16" t="n">
        <v>0</v>
      </c>
      <c r="AD246" s="16" t="n">
        <v>0</v>
      </c>
      <c r="AE246" s="16" t="n">
        <v>0</v>
      </c>
      <c r="AF246" s="16" t="n">
        <v>0</v>
      </c>
      <c r="AG246" s="16" t="n">
        <v>0</v>
      </c>
      <c r="AH246" s="16" t="n">
        <v>0</v>
      </c>
      <c r="AI246" s="16" t="n">
        <v>0</v>
      </c>
      <c r="AJ246" s="16" t="n">
        <v>2</v>
      </c>
      <c r="AK246" s="16" t="n">
        <v>8.5</v>
      </c>
      <c r="AL246" s="16" t="n">
        <v>12.5</v>
      </c>
      <c r="AM246" s="16" t="n">
        <v>3.5</v>
      </c>
      <c r="AN246" s="16" t="n">
        <v>3</v>
      </c>
      <c r="AO246" s="16" t="n">
        <v>2.5</v>
      </c>
      <c r="AP246" s="16" t="n">
        <v>7</v>
      </c>
      <c r="AQ246" s="16" t="n">
        <v>7</v>
      </c>
      <c r="AR246" s="16" t="n">
        <v>10.5</v>
      </c>
      <c r="AS246" s="16" t="n">
        <v>3.5</v>
      </c>
      <c r="AT246" s="16" t="n">
        <v>0</v>
      </c>
      <c r="AU246" s="16" t="n">
        <v>0</v>
      </c>
      <c r="AV246" s="16" t="n">
        <v>0</v>
      </c>
      <c r="AW246" s="16" t="n">
        <v>0</v>
      </c>
      <c r="AX246" s="16" t="n">
        <v>0</v>
      </c>
      <c r="AY246" s="16" t="n">
        <v>0</v>
      </c>
      <c r="AZ246" s="16" t="n">
        <v>0</v>
      </c>
      <c r="BA246" s="16" t="n">
        <v>0</v>
      </c>
      <c r="BB246" s="16" t="n">
        <v>0</v>
      </c>
      <c r="BC246" s="16" t="n">
        <v>0</v>
      </c>
      <c r="BD246" s="16" t="n">
        <v>0</v>
      </c>
      <c r="BE246" s="16" t="n">
        <v>0</v>
      </c>
      <c r="BF246" s="16" t="n">
        <v>0</v>
      </c>
      <c r="BG246" s="16" t="n">
        <v>0</v>
      </c>
      <c r="BH246" s="16" t="n">
        <v>0</v>
      </c>
      <c r="BI246" s="16" t="n">
        <v>0</v>
      </c>
      <c r="BJ246" s="16" t="n">
        <v>0</v>
      </c>
      <c r="BK246" s="16" t="n">
        <v>0</v>
      </c>
      <c r="BL246" s="16" t="n">
        <v>0</v>
      </c>
      <c r="BM246" s="16" t="n">
        <v>0</v>
      </c>
      <c r="BN246" s="16" t="n">
        <v>0</v>
      </c>
      <c r="BO246" s="16" t="n">
        <v>0</v>
      </c>
      <c r="BP246" s="16" t="n">
        <v>0</v>
      </c>
      <c r="BQ246" s="16" t="n">
        <v>0</v>
      </c>
      <c r="BR246" s="16" t="n">
        <v>0</v>
      </c>
      <c r="BS246" s="16" t="n">
        <v>0</v>
      </c>
      <c r="BT246" s="16" t="n">
        <v>0</v>
      </c>
      <c r="BU246" s="16" t="n">
        <v>0</v>
      </c>
      <c r="BV246" s="16" t="n">
        <v>0</v>
      </c>
      <c r="BW246" s="16" t="n">
        <v>0</v>
      </c>
      <c r="BX246" s="16" t="n">
        <v>0</v>
      </c>
      <c r="BY246" s="16" t="n">
        <v>0</v>
      </c>
      <c r="BZ246" s="16" t="n">
        <v>0</v>
      </c>
      <c r="CA246" s="16" t="n">
        <v>0</v>
      </c>
      <c r="CB246" s="16" t="n">
        <v>0</v>
      </c>
      <c r="CC246" s="16" t="n">
        <v>0</v>
      </c>
      <c r="CD246" s="16" t="n">
        <v>0</v>
      </c>
      <c r="CE246" s="16" t="n">
        <v>0</v>
      </c>
      <c r="CF246" s="16" t="n">
        <v>0</v>
      </c>
      <c r="CG246" s="16" t="n">
        <v>0</v>
      </c>
      <c r="CH246" s="16" t="n">
        <v>0</v>
      </c>
      <c r="CI246" s="16" t="n">
        <v>0</v>
      </c>
      <c r="CJ246" s="16" t="n">
        <v>0</v>
      </c>
      <c r="CK246" s="16" t="n">
        <v>0</v>
      </c>
      <c r="CL246" s="16" t="n">
        <v>0</v>
      </c>
      <c r="CM246" s="16" t="n">
        <v>0</v>
      </c>
      <c r="CN246" s="16" t="n">
        <v>0</v>
      </c>
      <c r="CO246" s="16" t="n">
        <v>0</v>
      </c>
      <c r="CP246" s="16" t="n">
        <v>0</v>
      </c>
      <c r="CQ246" s="16" t="n">
        <v>0</v>
      </c>
      <c r="CR246" s="16" t="n">
        <v>0</v>
      </c>
      <c r="CS246" s="16" t="n">
        <v>4</v>
      </c>
      <c r="CT246" s="16" t="n">
        <v>4</v>
      </c>
      <c r="CU246" s="16" t="n">
        <v>5</v>
      </c>
      <c r="CV246" s="16" t="n">
        <v>4</v>
      </c>
      <c r="CW246" s="16" t="n">
        <v>4</v>
      </c>
      <c r="CX246" s="16" t="n">
        <v>4</v>
      </c>
      <c r="CY246" s="16" t="n">
        <v>4</v>
      </c>
      <c r="CZ246" s="16" t="n">
        <v>4</v>
      </c>
      <c r="DA246" s="16" t="n">
        <v>4</v>
      </c>
      <c r="DB246" s="16" t="n">
        <v>4</v>
      </c>
      <c r="DC246" s="16" t="n">
        <v>4</v>
      </c>
      <c r="DD246" s="16" t="n">
        <v>8</v>
      </c>
      <c r="DE246" s="16" t="n">
        <v>4</v>
      </c>
      <c r="DF246" s="16" t="n">
        <v>4</v>
      </c>
      <c r="DG246" s="16" t="n">
        <v>10</v>
      </c>
      <c r="DH246" s="16" t="n">
        <v>4</v>
      </c>
      <c r="DI246" s="16" t="n">
        <v>0</v>
      </c>
      <c r="DJ246" s="16" t="n">
        <v>0</v>
      </c>
      <c r="DK246" s="16" t="n">
        <v>4</v>
      </c>
      <c r="DL246" s="16" t="n">
        <v>11</v>
      </c>
      <c r="DM246" s="16" t="n">
        <v>21</v>
      </c>
      <c r="DN246" s="16" t="n">
        <v>20</v>
      </c>
      <c r="DO246" s="16" t="n">
        <v>21</v>
      </c>
      <c r="DP246" s="16" t="n">
        <v>22</v>
      </c>
      <c r="DQ246" s="16" t="n">
        <v>15</v>
      </c>
      <c r="DR246" s="16" t="n">
        <v>9</v>
      </c>
      <c r="DS246" s="16" t="n">
        <v>4</v>
      </c>
      <c r="DT246" s="16" t="n">
        <v>4</v>
      </c>
      <c r="DU246" s="16" t="n">
        <v>4</v>
      </c>
      <c r="DV246" s="16" t="n">
        <v>0</v>
      </c>
      <c r="DW246" s="16" t="n">
        <v>0</v>
      </c>
      <c r="DX246" s="16" t="n">
        <v>0</v>
      </c>
      <c r="DY246" s="16" t="n">
        <v>0</v>
      </c>
      <c r="DZ246" s="16" t="n">
        <v>0</v>
      </c>
      <c r="EA246" s="16" t="n">
        <v>0</v>
      </c>
      <c r="EB246" s="16" t="n">
        <v>0</v>
      </c>
      <c r="EC246" s="16" t="n">
        <v>0</v>
      </c>
      <c r="ED246" s="16" t="n">
        <v>0</v>
      </c>
      <c r="EE246" s="16" t="n">
        <v>0</v>
      </c>
      <c r="EF246" s="16" t="n">
        <v>0</v>
      </c>
    </row>
    <row r="247" customFormat="false" ht="15" hidden="false" customHeight="true" outlineLevel="0" collapsed="false">
      <c r="A247" s="9" t="s">
        <v>12</v>
      </c>
      <c r="B247" s="9" t="s">
        <v>75</v>
      </c>
      <c r="C247" s="9" t="s">
        <v>75</v>
      </c>
      <c r="D247" s="9" t="s">
        <v>340</v>
      </c>
      <c r="E247" s="9" t="s">
        <v>16</v>
      </c>
      <c r="F247" s="9" t="s">
        <v>46</v>
      </c>
      <c r="G247" s="16" t="n">
        <v>94.5</v>
      </c>
      <c r="H247" s="16" t="n">
        <v>304.5</v>
      </c>
      <c r="I247" s="16" t="n">
        <v>46</v>
      </c>
      <c r="J247" s="16" t="n">
        <v>258.5</v>
      </c>
      <c r="K247" s="16" t="n">
        <v>0</v>
      </c>
      <c r="L247" s="16" t="n">
        <v>0</v>
      </c>
      <c r="M247" s="16" t="n">
        <v>0</v>
      </c>
      <c r="N247" s="16" t="n">
        <v>0</v>
      </c>
      <c r="O247" s="16" t="n">
        <v>0</v>
      </c>
      <c r="P247" s="16" t="n">
        <v>0</v>
      </c>
      <c r="Q247" s="16" t="n">
        <v>0</v>
      </c>
      <c r="R247" s="16" t="n">
        <v>0</v>
      </c>
      <c r="S247" s="16" t="n">
        <v>0</v>
      </c>
      <c r="T247" s="16" t="n">
        <v>0</v>
      </c>
      <c r="U247" s="16" t="n">
        <v>0</v>
      </c>
      <c r="V247" s="16" t="n">
        <v>0</v>
      </c>
      <c r="W247" s="16" t="n">
        <v>0</v>
      </c>
      <c r="X247" s="16" t="n">
        <v>0</v>
      </c>
      <c r="Y247" s="16" t="n">
        <v>0</v>
      </c>
      <c r="Z247" s="16" t="n">
        <v>0</v>
      </c>
      <c r="AA247" s="16" t="n">
        <v>0</v>
      </c>
      <c r="AB247" s="16" t="n">
        <v>2.5</v>
      </c>
      <c r="AC247" s="16" t="n">
        <v>6</v>
      </c>
      <c r="AD247" s="16" t="n">
        <v>1</v>
      </c>
      <c r="AE247" s="16" t="n">
        <v>14</v>
      </c>
      <c r="AF247" s="16" t="n">
        <v>9</v>
      </c>
      <c r="AG247" s="16" t="n">
        <v>6</v>
      </c>
      <c r="AH247" s="16" t="n">
        <v>4.5</v>
      </c>
      <c r="AI247" s="16" t="n">
        <v>3</v>
      </c>
      <c r="AJ247" s="16" t="n">
        <v>0</v>
      </c>
      <c r="AK247" s="16" t="n">
        <v>0</v>
      </c>
      <c r="AL247" s="16" t="n">
        <v>0</v>
      </c>
      <c r="AM247" s="16" t="n">
        <v>0</v>
      </c>
      <c r="AN247" s="16" t="n">
        <v>0</v>
      </c>
      <c r="AO247" s="16" t="n">
        <v>0</v>
      </c>
      <c r="AP247" s="16" t="n">
        <v>0</v>
      </c>
      <c r="AQ247" s="16" t="n">
        <v>0</v>
      </c>
      <c r="AR247" s="16" t="n">
        <v>0</v>
      </c>
      <c r="AS247" s="16" t="n">
        <v>0</v>
      </c>
      <c r="AT247" s="16" t="n">
        <v>0</v>
      </c>
      <c r="AU247" s="16" t="n">
        <v>0</v>
      </c>
      <c r="AV247" s="16" t="n">
        <v>0</v>
      </c>
      <c r="AW247" s="16" t="n">
        <v>0</v>
      </c>
      <c r="AX247" s="16" t="n">
        <v>0</v>
      </c>
      <c r="AY247" s="16" t="n">
        <v>0</v>
      </c>
      <c r="AZ247" s="16" t="n">
        <v>0</v>
      </c>
      <c r="BA247" s="16" t="n">
        <v>0</v>
      </c>
      <c r="BB247" s="16" t="n">
        <v>0</v>
      </c>
      <c r="BC247" s="16" t="n">
        <v>0</v>
      </c>
      <c r="BD247" s="16" t="n">
        <v>0</v>
      </c>
      <c r="BE247" s="16" t="n">
        <v>0</v>
      </c>
      <c r="BF247" s="16" t="n">
        <v>0</v>
      </c>
      <c r="BG247" s="16" t="n">
        <v>0</v>
      </c>
      <c r="BH247" s="16" t="n">
        <v>0</v>
      </c>
      <c r="BI247" s="16" t="n">
        <v>0</v>
      </c>
      <c r="BJ247" s="16" t="n">
        <v>0</v>
      </c>
      <c r="BK247" s="16" t="n">
        <v>0</v>
      </c>
      <c r="BL247" s="16" t="n">
        <v>0</v>
      </c>
      <c r="BM247" s="16" t="n">
        <v>0</v>
      </c>
      <c r="BN247" s="16" t="n">
        <v>0</v>
      </c>
      <c r="BO247" s="16" t="n">
        <v>0</v>
      </c>
      <c r="BP247" s="16" t="n">
        <v>0</v>
      </c>
      <c r="BQ247" s="16" t="n">
        <v>0</v>
      </c>
      <c r="BR247" s="16" t="n">
        <v>0</v>
      </c>
      <c r="BS247" s="16" t="n">
        <v>0</v>
      </c>
      <c r="BT247" s="16" t="n">
        <v>0</v>
      </c>
      <c r="BU247" s="16" t="n">
        <v>0</v>
      </c>
      <c r="BV247" s="16" t="n">
        <v>0</v>
      </c>
      <c r="BW247" s="16" t="n">
        <v>0</v>
      </c>
      <c r="BX247" s="16" t="n">
        <v>0</v>
      </c>
      <c r="BY247" s="16" t="n">
        <v>0</v>
      </c>
      <c r="BZ247" s="16" t="n">
        <v>0</v>
      </c>
      <c r="CA247" s="16" t="n">
        <v>0</v>
      </c>
      <c r="CB247" s="16" t="n">
        <v>0</v>
      </c>
      <c r="CC247" s="16" t="n">
        <v>0</v>
      </c>
      <c r="CD247" s="16" t="n">
        <v>0</v>
      </c>
      <c r="CE247" s="16" t="n">
        <v>0</v>
      </c>
      <c r="CF247" s="16" t="n">
        <v>0</v>
      </c>
      <c r="CG247" s="16" t="n">
        <v>0</v>
      </c>
      <c r="CH247" s="16" t="n">
        <v>0</v>
      </c>
      <c r="CI247" s="16" t="n">
        <v>0</v>
      </c>
      <c r="CJ247" s="16" t="n">
        <v>0</v>
      </c>
      <c r="CK247" s="16" t="n">
        <v>0</v>
      </c>
      <c r="CL247" s="16" t="n">
        <v>0</v>
      </c>
      <c r="CM247" s="16" t="n">
        <v>0</v>
      </c>
      <c r="CN247" s="16" t="n">
        <v>0</v>
      </c>
      <c r="CO247" s="16" t="n">
        <v>0</v>
      </c>
      <c r="CP247" s="16" t="n">
        <v>0</v>
      </c>
      <c r="CQ247" s="16" t="n">
        <v>0</v>
      </c>
      <c r="CR247" s="16" t="n">
        <v>0</v>
      </c>
      <c r="CS247" s="16" t="n">
        <v>0</v>
      </c>
      <c r="CT247" s="16" t="n">
        <v>0</v>
      </c>
      <c r="CU247" s="16" t="n">
        <v>0</v>
      </c>
      <c r="CV247" s="16" t="n">
        <v>0</v>
      </c>
      <c r="CW247" s="16" t="n">
        <v>0</v>
      </c>
      <c r="CX247" s="16" t="n">
        <v>0</v>
      </c>
      <c r="CY247" s="16" t="n">
        <v>0</v>
      </c>
      <c r="CZ247" s="16" t="n">
        <v>0</v>
      </c>
      <c r="DA247" s="16" t="n">
        <v>0</v>
      </c>
      <c r="DB247" s="16" t="n">
        <v>0</v>
      </c>
      <c r="DC247" s="16" t="n">
        <v>0</v>
      </c>
      <c r="DD247" s="16" t="n">
        <v>0</v>
      </c>
      <c r="DE247" s="16" t="n">
        <v>0</v>
      </c>
      <c r="DF247" s="16" t="n">
        <v>0</v>
      </c>
      <c r="DG247" s="16" t="n">
        <v>0</v>
      </c>
      <c r="DH247" s="16" t="n">
        <v>0</v>
      </c>
      <c r="DI247" s="16" t="n">
        <v>0</v>
      </c>
      <c r="DJ247" s="16" t="n">
        <v>0</v>
      </c>
      <c r="DK247" s="16" t="n">
        <v>0</v>
      </c>
      <c r="DL247" s="16" t="n">
        <v>0</v>
      </c>
      <c r="DM247" s="16" t="n">
        <v>0</v>
      </c>
      <c r="DN247" s="16" t="n">
        <v>0</v>
      </c>
      <c r="DO247" s="16" t="n">
        <v>0</v>
      </c>
      <c r="DP247" s="16" t="n">
        <v>0</v>
      </c>
      <c r="DQ247" s="16" t="n">
        <v>0</v>
      </c>
      <c r="DR247" s="16" t="n">
        <v>0</v>
      </c>
      <c r="DS247" s="16" t="n">
        <v>0</v>
      </c>
      <c r="DT247" s="16" t="n">
        <v>0</v>
      </c>
      <c r="DU247" s="16" t="n">
        <v>0</v>
      </c>
      <c r="DV247" s="16" t="n">
        <v>0</v>
      </c>
      <c r="DW247" s="16" t="n">
        <v>0</v>
      </c>
      <c r="DX247" s="16" t="n">
        <v>0</v>
      </c>
      <c r="DY247" s="16" t="n">
        <v>0</v>
      </c>
      <c r="DZ247" s="16" t="n">
        <v>0</v>
      </c>
      <c r="EA247" s="16" t="n">
        <v>0</v>
      </c>
      <c r="EB247" s="16" t="n">
        <v>0</v>
      </c>
      <c r="EC247" s="16" t="n">
        <v>0</v>
      </c>
      <c r="ED247" s="16" t="n">
        <v>0</v>
      </c>
      <c r="EE247" s="16" t="n">
        <v>0</v>
      </c>
      <c r="EF247" s="16" t="n">
        <v>0</v>
      </c>
    </row>
    <row r="248" customFormat="false" ht="15" hidden="false" customHeight="true" outlineLevel="0" collapsed="false">
      <c r="A248" s="9" t="s">
        <v>12</v>
      </c>
      <c r="B248" s="9" t="s">
        <v>75</v>
      </c>
      <c r="C248" s="9" t="s">
        <v>75</v>
      </c>
      <c r="D248" s="9" t="s">
        <v>340</v>
      </c>
      <c r="E248" s="9" t="s">
        <v>16</v>
      </c>
      <c r="F248" s="9" t="s">
        <v>46</v>
      </c>
      <c r="G248" s="16" t="n">
        <v>0</v>
      </c>
      <c r="H248" s="16" t="n">
        <v>0</v>
      </c>
      <c r="I248" s="16" t="n">
        <v>12</v>
      </c>
      <c r="J248" s="16" t="n">
        <v>-12</v>
      </c>
      <c r="K248" s="16" t="n">
        <v>0</v>
      </c>
      <c r="L248" s="16" t="n">
        <v>0</v>
      </c>
      <c r="M248" s="16" t="n">
        <v>0</v>
      </c>
      <c r="N248" s="16" t="n">
        <v>0</v>
      </c>
      <c r="O248" s="16" t="n">
        <v>0</v>
      </c>
      <c r="P248" s="16" t="n">
        <v>0</v>
      </c>
      <c r="Q248" s="16" t="n">
        <v>0</v>
      </c>
      <c r="R248" s="16" t="n">
        <v>0</v>
      </c>
      <c r="S248" s="16" t="n">
        <v>0</v>
      </c>
      <c r="T248" s="16" t="n">
        <v>0</v>
      </c>
      <c r="U248" s="16" t="n">
        <v>0</v>
      </c>
      <c r="V248" s="16" t="n">
        <v>0</v>
      </c>
      <c r="W248" s="16" t="n">
        <v>2</v>
      </c>
      <c r="X248" s="16" t="n">
        <v>10</v>
      </c>
      <c r="Y248" s="16" t="n">
        <v>0</v>
      </c>
      <c r="Z248" s="16" t="n">
        <v>0</v>
      </c>
      <c r="AA248" s="16" t="n">
        <v>0</v>
      </c>
      <c r="AB248" s="16" t="n">
        <v>0</v>
      </c>
      <c r="AC248" s="16" t="n">
        <v>0</v>
      </c>
      <c r="AD248" s="16" t="n">
        <v>0</v>
      </c>
      <c r="AE248" s="16" t="n">
        <v>0</v>
      </c>
      <c r="AF248" s="16" t="n">
        <v>0</v>
      </c>
      <c r="AG248" s="16" t="n">
        <v>0</v>
      </c>
      <c r="AH248" s="16" t="n">
        <v>0</v>
      </c>
      <c r="AI248" s="16" t="n">
        <v>0</v>
      </c>
      <c r="AJ248" s="16" t="n">
        <v>0</v>
      </c>
      <c r="AK248" s="16" t="n">
        <v>0</v>
      </c>
      <c r="AL248" s="16" t="n">
        <v>0</v>
      </c>
      <c r="AM248" s="16" t="n">
        <v>0</v>
      </c>
      <c r="AN248" s="16" t="n">
        <v>0</v>
      </c>
      <c r="AO248" s="16" t="n">
        <v>0</v>
      </c>
      <c r="AP248" s="16" t="n">
        <v>0</v>
      </c>
      <c r="AQ248" s="16" t="n">
        <v>0</v>
      </c>
      <c r="AR248" s="16" t="n">
        <v>0</v>
      </c>
      <c r="AS248" s="16" t="n">
        <v>0</v>
      </c>
      <c r="AT248" s="16" t="n">
        <v>0</v>
      </c>
      <c r="AU248" s="16" t="n">
        <v>0</v>
      </c>
      <c r="AV248" s="16" t="n">
        <v>0</v>
      </c>
      <c r="AW248" s="16" t="n">
        <v>0</v>
      </c>
      <c r="AX248" s="16" t="n">
        <v>0</v>
      </c>
      <c r="AY248" s="16" t="n">
        <v>0</v>
      </c>
      <c r="AZ248" s="16" t="n">
        <v>0</v>
      </c>
      <c r="BA248" s="16" t="n">
        <v>0</v>
      </c>
      <c r="BB248" s="16" t="n">
        <v>0</v>
      </c>
      <c r="BC248" s="16" t="n">
        <v>0</v>
      </c>
      <c r="BD248" s="16" t="n">
        <v>0</v>
      </c>
      <c r="BE248" s="16" t="n">
        <v>0</v>
      </c>
      <c r="BF248" s="16" t="n">
        <v>0</v>
      </c>
      <c r="BG248" s="16" t="n">
        <v>0</v>
      </c>
      <c r="BH248" s="16" t="n">
        <v>0</v>
      </c>
      <c r="BI248" s="16" t="n">
        <v>0</v>
      </c>
      <c r="BJ248" s="16" t="n">
        <v>0</v>
      </c>
      <c r="BK248" s="16" t="n">
        <v>0</v>
      </c>
      <c r="BL248" s="16" t="n">
        <v>0</v>
      </c>
      <c r="BM248" s="16" t="n">
        <v>0</v>
      </c>
      <c r="BN248" s="16" t="n">
        <v>0</v>
      </c>
      <c r="BO248" s="16" t="n">
        <v>0</v>
      </c>
      <c r="BP248" s="16" t="n">
        <v>0</v>
      </c>
      <c r="BQ248" s="16" t="n">
        <v>0</v>
      </c>
      <c r="BR248" s="16" t="n">
        <v>0</v>
      </c>
      <c r="BS248" s="16" t="n">
        <v>0</v>
      </c>
      <c r="BT248" s="16" t="n">
        <v>0</v>
      </c>
      <c r="BU248" s="16" t="n">
        <v>0</v>
      </c>
      <c r="BV248" s="16" t="n">
        <v>0</v>
      </c>
      <c r="BW248" s="16" t="n">
        <v>0</v>
      </c>
      <c r="BX248" s="16" t="n">
        <v>0</v>
      </c>
      <c r="BY248" s="16" t="n">
        <v>0</v>
      </c>
      <c r="BZ248" s="16" t="n">
        <v>0</v>
      </c>
      <c r="CA248" s="16" t="n">
        <v>0</v>
      </c>
      <c r="CB248" s="16" t="n">
        <v>0</v>
      </c>
      <c r="CC248" s="16" t="n">
        <v>0</v>
      </c>
      <c r="CD248" s="16" t="n">
        <v>0</v>
      </c>
      <c r="CE248" s="16" t="n">
        <v>0</v>
      </c>
      <c r="CF248" s="16" t="n">
        <v>0</v>
      </c>
      <c r="CG248" s="16" t="n">
        <v>0</v>
      </c>
      <c r="CH248" s="16" t="n">
        <v>0</v>
      </c>
      <c r="CI248" s="16" t="n">
        <v>0</v>
      </c>
      <c r="CJ248" s="16" t="n">
        <v>0</v>
      </c>
      <c r="CK248" s="16" t="n">
        <v>0</v>
      </c>
      <c r="CL248" s="16" t="n">
        <v>0</v>
      </c>
      <c r="CM248" s="16" t="n">
        <v>0</v>
      </c>
      <c r="CN248" s="16" t="n">
        <v>0</v>
      </c>
      <c r="CO248" s="16" t="n">
        <v>0</v>
      </c>
      <c r="CP248" s="16" t="n">
        <v>0</v>
      </c>
      <c r="CQ248" s="16" t="n">
        <v>0</v>
      </c>
      <c r="CR248" s="16" t="n">
        <v>0</v>
      </c>
      <c r="CS248" s="16" t="n">
        <v>0</v>
      </c>
      <c r="CT248" s="16" t="n">
        <v>0</v>
      </c>
      <c r="CU248" s="16" t="n">
        <v>0</v>
      </c>
      <c r="CV248" s="16" t="n">
        <v>0</v>
      </c>
      <c r="CW248" s="16" t="n">
        <v>0</v>
      </c>
      <c r="CX248" s="16" t="n">
        <v>0</v>
      </c>
      <c r="CY248" s="16" t="n">
        <v>0</v>
      </c>
      <c r="CZ248" s="16" t="n">
        <v>0</v>
      </c>
      <c r="DA248" s="16" t="n">
        <v>0</v>
      </c>
      <c r="DB248" s="16" t="n">
        <v>0</v>
      </c>
      <c r="DC248" s="16" t="n">
        <v>0</v>
      </c>
      <c r="DD248" s="16" t="n">
        <v>0</v>
      </c>
      <c r="DE248" s="16" t="n">
        <v>0</v>
      </c>
      <c r="DF248" s="16" t="n">
        <v>0</v>
      </c>
      <c r="DG248" s="16" t="n">
        <v>0</v>
      </c>
      <c r="DH248" s="16" t="n">
        <v>0</v>
      </c>
      <c r="DI248" s="16" t="n">
        <v>0</v>
      </c>
      <c r="DJ248" s="16" t="n">
        <v>0</v>
      </c>
      <c r="DK248" s="16" t="n">
        <v>0</v>
      </c>
      <c r="DL248" s="16" t="n">
        <v>0</v>
      </c>
      <c r="DM248" s="16" t="n">
        <v>0</v>
      </c>
      <c r="DN248" s="16" t="n">
        <v>0</v>
      </c>
      <c r="DO248" s="16" t="n">
        <v>0</v>
      </c>
      <c r="DP248" s="16" t="n">
        <v>0</v>
      </c>
      <c r="DQ248" s="16" t="n">
        <v>0</v>
      </c>
      <c r="DR248" s="16" t="n">
        <v>0</v>
      </c>
      <c r="DS248" s="16" t="n">
        <v>0</v>
      </c>
      <c r="DT248" s="16" t="n">
        <v>0</v>
      </c>
      <c r="DU248" s="16" t="n">
        <v>0</v>
      </c>
      <c r="DV248" s="16" t="n">
        <v>0</v>
      </c>
      <c r="DW248" s="16" t="n">
        <v>0</v>
      </c>
      <c r="DX248" s="16" t="n">
        <v>0</v>
      </c>
      <c r="DY248" s="16" t="n">
        <v>0</v>
      </c>
      <c r="DZ248" s="16" t="n">
        <v>0</v>
      </c>
      <c r="EA248" s="16" t="n">
        <v>0</v>
      </c>
      <c r="EB248" s="16" t="n">
        <v>0</v>
      </c>
      <c r="EC248" s="16" t="n">
        <v>0</v>
      </c>
      <c r="ED248" s="16" t="n">
        <v>0</v>
      </c>
      <c r="EE248" s="16" t="n">
        <v>0</v>
      </c>
      <c r="EF248" s="16" t="n">
        <v>0</v>
      </c>
    </row>
    <row r="249" customFormat="false" ht="15" hidden="false" customHeight="true" outlineLevel="0" collapsed="false">
      <c r="A249" s="9" t="s">
        <v>12</v>
      </c>
      <c r="B249" s="9" t="s">
        <v>75</v>
      </c>
      <c r="C249" s="9" t="s">
        <v>75</v>
      </c>
      <c r="D249" s="9" t="s">
        <v>341</v>
      </c>
      <c r="E249" s="9" t="s">
        <v>16</v>
      </c>
      <c r="F249" s="9" t="s">
        <v>86</v>
      </c>
      <c r="G249" s="16" t="n">
        <v>0</v>
      </c>
      <c r="H249" s="16" t="n">
        <v>0</v>
      </c>
      <c r="I249" s="16" t="n">
        <v>0</v>
      </c>
      <c r="J249" s="16" t="n">
        <v>0</v>
      </c>
      <c r="K249" s="16" t="n">
        <v>0</v>
      </c>
      <c r="L249" s="16" t="n">
        <v>0</v>
      </c>
      <c r="M249" s="16" t="n">
        <v>0</v>
      </c>
      <c r="N249" s="16" t="n">
        <v>0</v>
      </c>
      <c r="O249" s="16" t="n">
        <v>0</v>
      </c>
      <c r="P249" s="16" t="n">
        <v>0</v>
      </c>
      <c r="Q249" s="16" t="n">
        <v>0</v>
      </c>
      <c r="R249" s="16" t="n">
        <v>0</v>
      </c>
      <c r="S249" s="16" t="n">
        <v>0</v>
      </c>
      <c r="T249" s="16" t="n">
        <v>0</v>
      </c>
      <c r="U249" s="16" t="n">
        <v>0</v>
      </c>
      <c r="V249" s="16" t="n">
        <v>0</v>
      </c>
      <c r="W249" s="16" t="n">
        <v>0</v>
      </c>
      <c r="X249" s="16" t="n">
        <v>0</v>
      </c>
      <c r="Y249" s="16" t="n">
        <v>0</v>
      </c>
      <c r="Z249" s="16" t="n">
        <v>0</v>
      </c>
      <c r="AA249" s="16" t="n">
        <v>0</v>
      </c>
      <c r="AB249" s="16" t="n">
        <v>0</v>
      </c>
      <c r="AC249" s="16" t="n">
        <v>0</v>
      </c>
      <c r="AD249" s="16" t="n">
        <v>0</v>
      </c>
      <c r="AE249" s="16" t="n">
        <v>0</v>
      </c>
      <c r="AF249" s="16" t="n">
        <v>0</v>
      </c>
      <c r="AG249" s="16" t="n">
        <v>0</v>
      </c>
      <c r="AH249" s="16" t="n">
        <v>0</v>
      </c>
      <c r="AI249" s="16" t="n">
        <v>0</v>
      </c>
      <c r="AJ249" s="16" t="n">
        <v>0</v>
      </c>
      <c r="AK249" s="16" t="n">
        <v>0</v>
      </c>
      <c r="AL249" s="16" t="n">
        <v>0</v>
      </c>
      <c r="AM249" s="16" t="n">
        <v>0</v>
      </c>
      <c r="AN249" s="16" t="n">
        <v>0</v>
      </c>
      <c r="AO249" s="16" t="n">
        <v>0</v>
      </c>
      <c r="AP249" s="16" t="n">
        <v>0</v>
      </c>
      <c r="AQ249" s="16" t="n">
        <v>0</v>
      </c>
      <c r="AR249" s="16" t="n">
        <v>0</v>
      </c>
      <c r="AS249" s="16" t="n">
        <v>0</v>
      </c>
      <c r="AT249" s="16" t="n">
        <v>0</v>
      </c>
      <c r="AU249" s="16" t="n">
        <v>0</v>
      </c>
      <c r="AV249" s="16" t="n">
        <v>0</v>
      </c>
      <c r="AW249" s="16" t="n">
        <v>0</v>
      </c>
      <c r="AX249" s="16" t="n">
        <v>0</v>
      </c>
      <c r="AY249" s="16" t="n">
        <v>0</v>
      </c>
      <c r="AZ249" s="16" t="n">
        <v>0</v>
      </c>
      <c r="BA249" s="16" t="n">
        <v>0</v>
      </c>
      <c r="BB249" s="16" t="n">
        <v>0</v>
      </c>
      <c r="BC249" s="16" t="n">
        <v>0</v>
      </c>
      <c r="BD249" s="16" t="n">
        <v>0</v>
      </c>
      <c r="BE249" s="16" t="n">
        <v>0</v>
      </c>
      <c r="BF249" s="16" t="n">
        <v>0</v>
      </c>
      <c r="BG249" s="16" t="n">
        <v>0</v>
      </c>
      <c r="BH249" s="16" t="n">
        <v>0</v>
      </c>
      <c r="BI249" s="16" t="n">
        <v>0</v>
      </c>
      <c r="BJ249" s="16" t="n">
        <v>0</v>
      </c>
      <c r="BK249" s="16" t="n">
        <v>0</v>
      </c>
      <c r="BL249" s="16" t="n">
        <v>0</v>
      </c>
      <c r="BM249" s="16" t="n">
        <v>0</v>
      </c>
      <c r="BN249" s="16" t="n">
        <v>0</v>
      </c>
      <c r="BO249" s="16" t="n">
        <v>0</v>
      </c>
      <c r="BP249" s="16" t="n">
        <v>0</v>
      </c>
      <c r="BQ249" s="16" t="n">
        <v>0</v>
      </c>
      <c r="BR249" s="16" t="n">
        <v>0</v>
      </c>
      <c r="BS249" s="16" t="n">
        <v>0</v>
      </c>
      <c r="BT249" s="16" t="n">
        <v>0</v>
      </c>
      <c r="BU249" s="16" t="n">
        <v>0</v>
      </c>
      <c r="BV249" s="16" t="n">
        <v>0</v>
      </c>
      <c r="BW249" s="16" t="n">
        <v>0</v>
      </c>
      <c r="BX249" s="16" t="n">
        <v>0</v>
      </c>
      <c r="BY249" s="16" t="n">
        <v>0</v>
      </c>
      <c r="BZ249" s="16" t="n">
        <v>0</v>
      </c>
      <c r="CA249" s="16" t="n">
        <v>0</v>
      </c>
      <c r="CB249" s="16" t="n">
        <v>0</v>
      </c>
      <c r="CC249" s="16" t="n">
        <v>0</v>
      </c>
      <c r="CD249" s="16" t="n">
        <v>0</v>
      </c>
      <c r="CE249" s="16" t="n">
        <v>0</v>
      </c>
      <c r="CF249" s="16" t="n">
        <v>0</v>
      </c>
      <c r="CG249" s="16" t="n">
        <v>0</v>
      </c>
      <c r="CH249" s="16" t="n">
        <v>0</v>
      </c>
      <c r="CI249" s="16" t="n">
        <v>0</v>
      </c>
      <c r="CJ249" s="16" t="n">
        <v>0</v>
      </c>
      <c r="CK249" s="16" t="n">
        <v>0</v>
      </c>
      <c r="CL249" s="16" t="n">
        <v>0</v>
      </c>
      <c r="CM249" s="16" t="n">
        <v>0</v>
      </c>
      <c r="CN249" s="16" t="n">
        <v>0</v>
      </c>
      <c r="CO249" s="16" t="n">
        <v>0</v>
      </c>
      <c r="CP249" s="16" t="n">
        <v>0</v>
      </c>
      <c r="CQ249" s="16" t="n">
        <v>0</v>
      </c>
      <c r="CR249" s="16" t="n">
        <v>0</v>
      </c>
      <c r="CS249" s="16" t="n">
        <v>0</v>
      </c>
      <c r="CT249" s="16" t="n">
        <v>0</v>
      </c>
      <c r="CU249" s="16" t="n">
        <v>0</v>
      </c>
      <c r="CV249" s="16" t="n">
        <v>0</v>
      </c>
      <c r="CW249" s="16" t="n">
        <v>0</v>
      </c>
      <c r="CX249" s="16" t="n">
        <v>0</v>
      </c>
      <c r="CY249" s="16" t="n">
        <v>0</v>
      </c>
      <c r="CZ249" s="16" t="n">
        <v>0</v>
      </c>
      <c r="DA249" s="16" t="n">
        <v>0</v>
      </c>
      <c r="DB249" s="16" t="n">
        <v>0</v>
      </c>
      <c r="DC249" s="16" t="n">
        <v>0</v>
      </c>
      <c r="DD249" s="16" t="n">
        <v>0</v>
      </c>
      <c r="DE249" s="16" t="n">
        <v>0</v>
      </c>
      <c r="DF249" s="16" t="n">
        <v>0</v>
      </c>
      <c r="DG249" s="16" t="n">
        <v>0</v>
      </c>
      <c r="DH249" s="16" t="n">
        <v>0</v>
      </c>
      <c r="DI249" s="16" t="n">
        <v>0</v>
      </c>
      <c r="DJ249" s="16" t="n">
        <v>0</v>
      </c>
      <c r="DK249" s="16" t="n">
        <v>0</v>
      </c>
      <c r="DL249" s="16" t="n">
        <v>0</v>
      </c>
      <c r="DM249" s="16" t="n">
        <v>0</v>
      </c>
      <c r="DN249" s="16" t="n">
        <v>0</v>
      </c>
      <c r="DO249" s="16" t="n">
        <v>0</v>
      </c>
      <c r="DP249" s="16" t="n">
        <v>0</v>
      </c>
      <c r="DQ249" s="16" t="n">
        <v>0</v>
      </c>
      <c r="DR249" s="16" t="n">
        <v>0</v>
      </c>
      <c r="DS249" s="16" t="n">
        <v>0</v>
      </c>
      <c r="DT249" s="16" t="n">
        <v>0</v>
      </c>
      <c r="DU249" s="16" t="n">
        <v>0</v>
      </c>
      <c r="DV249" s="16" t="n">
        <v>0</v>
      </c>
      <c r="DW249" s="16" t="n">
        <v>0</v>
      </c>
      <c r="DX249" s="16" t="n">
        <v>0</v>
      </c>
      <c r="DY249" s="16" t="n">
        <v>0</v>
      </c>
      <c r="DZ249" s="16" t="n">
        <v>0</v>
      </c>
      <c r="EA249" s="16" t="n">
        <v>0</v>
      </c>
      <c r="EB249" s="16" t="n">
        <v>0</v>
      </c>
      <c r="EC249" s="16" t="n">
        <v>0</v>
      </c>
      <c r="ED249" s="16" t="n">
        <v>0</v>
      </c>
      <c r="EE249" s="16" t="n">
        <v>0</v>
      </c>
      <c r="EF249" s="16" t="n">
        <v>0</v>
      </c>
    </row>
    <row r="250" customFormat="false" ht="15" hidden="false" customHeight="true" outlineLevel="0" collapsed="false">
      <c r="A250" s="9" t="s">
        <v>12</v>
      </c>
      <c r="B250" s="9" t="s">
        <v>75</v>
      </c>
      <c r="C250" s="9" t="s">
        <v>75</v>
      </c>
      <c r="D250" s="9" t="s">
        <v>340</v>
      </c>
      <c r="E250" s="9" t="s">
        <v>16</v>
      </c>
      <c r="F250" s="9" t="s">
        <v>86</v>
      </c>
      <c r="G250" s="16" t="n">
        <v>4.5</v>
      </c>
      <c r="H250" s="16" t="n">
        <v>4.5</v>
      </c>
      <c r="I250" s="16" t="n">
        <v>4.5</v>
      </c>
      <c r="J250" s="16" t="n">
        <v>0</v>
      </c>
      <c r="K250" s="16" t="n">
        <v>0</v>
      </c>
      <c r="L250" s="16" t="n">
        <v>0</v>
      </c>
      <c r="M250" s="16" t="n">
        <v>0</v>
      </c>
      <c r="N250" s="16" t="n">
        <v>0</v>
      </c>
      <c r="O250" s="16" t="n">
        <v>0</v>
      </c>
      <c r="P250" s="16" t="n">
        <v>0</v>
      </c>
      <c r="Q250" s="16" t="n">
        <v>0</v>
      </c>
      <c r="R250" s="16" t="n">
        <v>0</v>
      </c>
      <c r="S250" s="16" t="n">
        <v>0</v>
      </c>
      <c r="T250" s="16" t="n">
        <v>0</v>
      </c>
      <c r="U250" s="16" t="n">
        <v>0</v>
      </c>
      <c r="V250" s="16" t="n">
        <v>0</v>
      </c>
      <c r="W250" s="16" t="n">
        <v>0</v>
      </c>
      <c r="X250" s="16" t="n">
        <v>0</v>
      </c>
      <c r="Y250" s="16" t="n">
        <v>0</v>
      </c>
      <c r="Z250" s="16" t="n">
        <v>0</v>
      </c>
      <c r="AA250" s="16" t="n">
        <v>0</v>
      </c>
      <c r="AB250" s="16" t="n">
        <v>4.5</v>
      </c>
      <c r="AC250" s="16" t="n">
        <v>0</v>
      </c>
      <c r="AD250" s="16" t="n">
        <v>0</v>
      </c>
      <c r="AE250" s="16" t="n">
        <v>0</v>
      </c>
      <c r="AF250" s="16" t="n">
        <v>0</v>
      </c>
      <c r="AG250" s="16" t="n">
        <v>0</v>
      </c>
      <c r="AH250" s="16" t="n">
        <v>0</v>
      </c>
      <c r="AI250" s="16" t="n">
        <v>0</v>
      </c>
      <c r="AJ250" s="16" t="n">
        <v>0</v>
      </c>
      <c r="AK250" s="16" t="n">
        <v>0</v>
      </c>
      <c r="AL250" s="16" t="n">
        <v>0</v>
      </c>
      <c r="AM250" s="16" t="n">
        <v>0</v>
      </c>
      <c r="AN250" s="16" t="n">
        <v>0</v>
      </c>
      <c r="AO250" s="16" t="n">
        <v>0</v>
      </c>
      <c r="AP250" s="16" t="n">
        <v>0</v>
      </c>
      <c r="AQ250" s="16" t="n">
        <v>0</v>
      </c>
      <c r="AR250" s="16" t="n">
        <v>0</v>
      </c>
      <c r="AS250" s="16" t="n">
        <v>0</v>
      </c>
      <c r="AT250" s="16" t="n">
        <v>0</v>
      </c>
      <c r="AU250" s="16" t="n">
        <v>0</v>
      </c>
      <c r="AV250" s="16" t="n">
        <v>0</v>
      </c>
      <c r="AW250" s="16" t="n">
        <v>0</v>
      </c>
      <c r="AX250" s="16" t="n">
        <v>0</v>
      </c>
      <c r="AY250" s="16" t="n">
        <v>0</v>
      </c>
      <c r="AZ250" s="16" t="n">
        <v>0</v>
      </c>
      <c r="BA250" s="16" t="n">
        <v>0</v>
      </c>
      <c r="BB250" s="16" t="n">
        <v>0</v>
      </c>
      <c r="BC250" s="16" t="n">
        <v>0</v>
      </c>
      <c r="BD250" s="16" t="n">
        <v>0</v>
      </c>
      <c r="BE250" s="16" t="n">
        <v>0</v>
      </c>
      <c r="BF250" s="16" t="n">
        <v>0</v>
      </c>
      <c r="BG250" s="16" t="n">
        <v>0</v>
      </c>
      <c r="BH250" s="16" t="n">
        <v>0</v>
      </c>
      <c r="BI250" s="16" t="n">
        <v>0</v>
      </c>
      <c r="BJ250" s="16" t="n">
        <v>0</v>
      </c>
      <c r="BK250" s="16" t="n">
        <v>0</v>
      </c>
      <c r="BL250" s="16" t="n">
        <v>0</v>
      </c>
      <c r="BM250" s="16" t="n">
        <v>0</v>
      </c>
      <c r="BN250" s="16" t="n">
        <v>0</v>
      </c>
      <c r="BO250" s="16" t="n">
        <v>0</v>
      </c>
      <c r="BP250" s="16" t="n">
        <v>0</v>
      </c>
      <c r="BQ250" s="16" t="n">
        <v>0</v>
      </c>
      <c r="BR250" s="16" t="n">
        <v>0</v>
      </c>
      <c r="BS250" s="16" t="n">
        <v>0</v>
      </c>
      <c r="BT250" s="16" t="n">
        <v>0</v>
      </c>
      <c r="BU250" s="16" t="n">
        <v>0</v>
      </c>
      <c r="BV250" s="16" t="n">
        <v>0</v>
      </c>
      <c r="BW250" s="16" t="n">
        <v>0</v>
      </c>
      <c r="BX250" s="16" t="n">
        <v>0</v>
      </c>
      <c r="BY250" s="16" t="n">
        <v>0</v>
      </c>
      <c r="BZ250" s="16" t="n">
        <v>0</v>
      </c>
      <c r="CA250" s="16" t="n">
        <v>0</v>
      </c>
      <c r="CB250" s="16" t="n">
        <v>0</v>
      </c>
      <c r="CC250" s="16" t="n">
        <v>0</v>
      </c>
      <c r="CD250" s="16" t="n">
        <v>0</v>
      </c>
      <c r="CE250" s="16" t="n">
        <v>0</v>
      </c>
      <c r="CF250" s="16" t="n">
        <v>0</v>
      </c>
      <c r="CG250" s="16" t="n">
        <v>0</v>
      </c>
      <c r="CH250" s="16" t="n">
        <v>0</v>
      </c>
      <c r="CI250" s="16" t="n">
        <v>0</v>
      </c>
      <c r="CJ250" s="16" t="n">
        <v>0</v>
      </c>
      <c r="CK250" s="16" t="n">
        <v>0</v>
      </c>
      <c r="CL250" s="16" t="n">
        <v>0</v>
      </c>
      <c r="CM250" s="16" t="n">
        <v>0</v>
      </c>
      <c r="CN250" s="16" t="n">
        <v>0</v>
      </c>
      <c r="CO250" s="16" t="n">
        <v>0</v>
      </c>
      <c r="CP250" s="16" t="n">
        <v>0</v>
      </c>
      <c r="CQ250" s="16" t="n">
        <v>0</v>
      </c>
      <c r="CR250" s="16" t="n">
        <v>0</v>
      </c>
      <c r="CS250" s="16" t="n">
        <v>0</v>
      </c>
      <c r="CT250" s="16" t="n">
        <v>0</v>
      </c>
      <c r="CU250" s="16" t="n">
        <v>0</v>
      </c>
      <c r="CV250" s="16" t="n">
        <v>0</v>
      </c>
      <c r="CW250" s="16" t="n">
        <v>0</v>
      </c>
      <c r="CX250" s="16" t="n">
        <v>0</v>
      </c>
      <c r="CY250" s="16" t="n">
        <v>0</v>
      </c>
      <c r="CZ250" s="16" t="n">
        <v>0</v>
      </c>
      <c r="DA250" s="16" t="n">
        <v>0</v>
      </c>
      <c r="DB250" s="16" t="n">
        <v>0</v>
      </c>
      <c r="DC250" s="16" t="n">
        <v>0</v>
      </c>
      <c r="DD250" s="16" t="n">
        <v>0</v>
      </c>
      <c r="DE250" s="16" t="n">
        <v>0</v>
      </c>
      <c r="DF250" s="16" t="n">
        <v>0</v>
      </c>
      <c r="DG250" s="16" t="n">
        <v>0</v>
      </c>
      <c r="DH250" s="16" t="n">
        <v>0</v>
      </c>
      <c r="DI250" s="16" t="n">
        <v>0</v>
      </c>
      <c r="DJ250" s="16" t="n">
        <v>0</v>
      </c>
      <c r="DK250" s="16" t="n">
        <v>0</v>
      </c>
      <c r="DL250" s="16" t="n">
        <v>0</v>
      </c>
      <c r="DM250" s="16" t="n">
        <v>0</v>
      </c>
      <c r="DN250" s="16" t="n">
        <v>0</v>
      </c>
      <c r="DO250" s="16" t="n">
        <v>0</v>
      </c>
      <c r="DP250" s="16" t="n">
        <v>0</v>
      </c>
      <c r="DQ250" s="16" t="n">
        <v>0</v>
      </c>
      <c r="DR250" s="16" t="n">
        <v>0</v>
      </c>
      <c r="DS250" s="16" t="n">
        <v>0</v>
      </c>
      <c r="DT250" s="16" t="n">
        <v>0</v>
      </c>
      <c r="DU250" s="16" t="n">
        <v>0</v>
      </c>
      <c r="DV250" s="16" t="n">
        <v>0</v>
      </c>
      <c r="DW250" s="16" t="n">
        <v>0</v>
      </c>
      <c r="DX250" s="16" t="n">
        <v>0</v>
      </c>
      <c r="DY250" s="16" t="n">
        <v>0</v>
      </c>
      <c r="DZ250" s="16" t="n">
        <v>0</v>
      </c>
      <c r="EA250" s="16" t="n">
        <v>0</v>
      </c>
      <c r="EB250" s="16" t="n">
        <v>0</v>
      </c>
      <c r="EC250" s="16" t="n">
        <v>0</v>
      </c>
      <c r="ED250" s="16" t="n">
        <v>0</v>
      </c>
      <c r="EE250" s="16" t="n">
        <v>0</v>
      </c>
      <c r="EF250" s="16" t="n">
        <v>0</v>
      </c>
    </row>
    <row r="251" customFormat="false" ht="15" hidden="false" customHeight="true" outlineLevel="0" collapsed="false">
      <c r="A251" s="9" t="s">
        <v>12</v>
      </c>
      <c r="B251" s="9" t="s">
        <v>75</v>
      </c>
      <c r="C251" s="9" t="s">
        <v>75</v>
      </c>
      <c r="D251" s="9" t="s">
        <v>340</v>
      </c>
      <c r="E251" s="9" t="s">
        <v>16</v>
      </c>
      <c r="F251" s="9" t="s">
        <v>86</v>
      </c>
      <c r="G251" s="16" t="n">
        <v>0</v>
      </c>
      <c r="H251" s="16" t="n">
        <v>0</v>
      </c>
      <c r="I251" s="16" t="n">
        <v>63</v>
      </c>
      <c r="J251" s="16" t="n">
        <v>-63</v>
      </c>
      <c r="K251" s="16" t="n">
        <v>0</v>
      </c>
      <c r="L251" s="16" t="n">
        <v>0</v>
      </c>
      <c r="M251" s="16" t="n">
        <v>0</v>
      </c>
      <c r="N251" s="16" t="n">
        <v>0</v>
      </c>
      <c r="O251" s="16" t="n">
        <v>0</v>
      </c>
      <c r="P251" s="16" t="n">
        <v>0</v>
      </c>
      <c r="Q251" s="16" t="n">
        <v>0</v>
      </c>
      <c r="R251" s="16" t="n">
        <v>0</v>
      </c>
      <c r="S251" s="16" t="n">
        <v>0</v>
      </c>
      <c r="T251" s="16" t="n">
        <v>0</v>
      </c>
      <c r="U251" s="16" t="n">
        <v>0</v>
      </c>
      <c r="V251" s="16" t="n">
        <v>0</v>
      </c>
      <c r="W251" s="16" t="n">
        <v>0</v>
      </c>
      <c r="X251" s="16" t="n">
        <v>0</v>
      </c>
      <c r="Y251" s="16" t="n">
        <v>4.5</v>
      </c>
      <c r="Z251" s="16" t="n">
        <v>29.5</v>
      </c>
      <c r="AA251" s="16" t="n">
        <v>29</v>
      </c>
      <c r="AB251" s="16" t="n">
        <v>0</v>
      </c>
      <c r="AC251" s="16" t="n">
        <v>0</v>
      </c>
      <c r="AD251" s="16" t="n">
        <v>0</v>
      </c>
      <c r="AE251" s="16" t="n">
        <v>0</v>
      </c>
      <c r="AF251" s="16" t="n">
        <v>0</v>
      </c>
      <c r="AG251" s="16" t="n">
        <v>0</v>
      </c>
      <c r="AH251" s="16" t="n">
        <v>0</v>
      </c>
      <c r="AI251" s="16" t="n">
        <v>0</v>
      </c>
      <c r="AJ251" s="16" t="n">
        <v>0</v>
      </c>
      <c r="AK251" s="16" t="n">
        <v>0</v>
      </c>
      <c r="AL251" s="16" t="n">
        <v>0</v>
      </c>
      <c r="AM251" s="16" t="n">
        <v>0</v>
      </c>
      <c r="AN251" s="16" t="n">
        <v>0</v>
      </c>
      <c r="AO251" s="16" t="n">
        <v>0</v>
      </c>
      <c r="AP251" s="16" t="n">
        <v>0</v>
      </c>
      <c r="AQ251" s="16" t="n">
        <v>0</v>
      </c>
      <c r="AR251" s="16" t="n">
        <v>0</v>
      </c>
      <c r="AS251" s="16" t="n">
        <v>0</v>
      </c>
      <c r="AT251" s="16" t="n">
        <v>0</v>
      </c>
      <c r="AU251" s="16" t="n">
        <v>0</v>
      </c>
      <c r="AV251" s="16" t="n">
        <v>0</v>
      </c>
      <c r="AW251" s="16" t="n">
        <v>0</v>
      </c>
      <c r="AX251" s="16" t="n">
        <v>0</v>
      </c>
      <c r="AY251" s="16" t="n">
        <v>0</v>
      </c>
      <c r="AZ251" s="16" t="n">
        <v>0</v>
      </c>
      <c r="BA251" s="16" t="n">
        <v>0</v>
      </c>
      <c r="BB251" s="16" t="n">
        <v>0</v>
      </c>
      <c r="BC251" s="16" t="n">
        <v>0</v>
      </c>
      <c r="BD251" s="16" t="n">
        <v>0</v>
      </c>
      <c r="BE251" s="16" t="n">
        <v>0</v>
      </c>
      <c r="BF251" s="16" t="n">
        <v>0</v>
      </c>
      <c r="BG251" s="16" t="n">
        <v>0</v>
      </c>
      <c r="BH251" s="16" t="n">
        <v>0</v>
      </c>
      <c r="BI251" s="16" t="n">
        <v>0</v>
      </c>
      <c r="BJ251" s="16" t="n">
        <v>0</v>
      </c>
      <c r="BK251" s="16" t="n">
        <v>0</v>
      </c>
      <c r="BL251" s="16" t="n">
        <v>0</v>
      </c>
      <c r="BM251" s="16" t="n">
        <v>0</v>
      </c>
      <c r="BN251" s="16" t="n">
        <v>0</v>
      </c>
      <c r="BO251" s="16" t="n">
        <v>0</v>
      </c>
      <c r="BP251" s="16" t="n">
        <v>0</v>
      </c>
      <c r="BQ251" s="16" t="n">
        <v>0</v>
      </c>
      <c r="BR251" s="16" t="n">
        <v>0</v>
      </c>
      <c r="BS251" s="16" t="n">
        <v>0</v>
      </c>
      <c r="BT251" s="16" t="n">
        <v>0</v>
      </c>
      <c r="BU251" s="16" t="n">
        <v>0</v>
      </c>
      <c r="BV251" s="16" t="n">
        <v>0</v>
      </c>
      <c r="BW251" s="16" t="n">
        <v>0</v>
      </c>
      <c r="BX251" s="16" t="n">
        <v>0</v>
      </c>
      <c r="BY251" s="16" t="n">
        <v>0</v>
      </c>
      <c r="BZ251" s="16" t="n">
        <v>0</v>
      </c>
      <c r="CA251" s="16" t="n">
        <v>0</v>
      </c>
      <c r="CB251" s="16" t="n">
        <v>0</v>
      </c>
      <c r="CC251" s="16" t="n">
        <v>0</v>
      </c>
      <c r="CD251" s="16" t="n">
        <v>0</v>
      </c>
      <c r="CE251" s="16" t="n">
        <v>0</v>
      </c>
      <c r="CF251" s="16" t="n">
        <v>0</v>
      </c>
      <c r="CG251" s="16" t="n">
        <v>0</v>
      </c>
      <c r="CH251" s="16" t="n">
        <v>0</v>
      </c>
      <c r="CI251" s="16" t="n">
        <v>0</v>
      </c>
      <c r="CJ251" s="16" t="n">
        <v>0</v>
      </c>
      <c r="CK251" s="16" t="n">
        <v>0</v>
      </c>
      <c r="CL251" s="16" t="n">
        <v>0</v>
      </c>
      <c r="CM251" s="16" t="n">
        <v>0</v>
      </c>
      <c r="CN251" s="16" t="n">
        <v>0</v>
      </c>
      <c r="CO251" s="16" t="n">
        <v>0</v>
      </c>
      <c r="CP251" s="16" t="n">
        <v>0</v>
      </c>
      <c r="CQ251" s="16" t="n">
        <v>0</v>
      </c>
      <c r="CR251" s="16" t="n">
        <v>0</v>
      </c>
      <c r="CS251" s="16" t="n">
        <v>0</v>
      </c>
      <c r="CT251" s="16" t="n">
        <v>0</v>
      </c>
      <c r="CU251" s="16" t="n">
        <v>0</v>
      </c>
      <c r="CV251" s="16" t="n">
        <v>0</v>
      </c>
      <c r="CW251" s="16" t="n">
        <v>0</v>
      </c>
      <c r="CX251" s="16" t="n">
        <v>0</v>
      </c>
      <c r="CY251" s="16" t="n">
        <v>0</v>
      </c>
      <c r="CZ251" s="16" t="n">
        <v>0</v>
      </c>
      <c r="DA251" s="16" t="n">
        <v>0</v>
      </c>
      <c r="DB251" s="16" t="n">
        <v>0</v>
      </c>
      <c r="DC251" s="16" t="n">
        <v>0</v>
      </c>
      <c r="DD251" s="16" t="n">
        <v>0</v>
      </c>
      <c r="DE251" s="16" t="n">
        <v>0</v>
      </c>
      <c r="DF251" s="16" t="n">
        <v>0</v>
      </c>
      <c r="DG251" s="16" t="n">
        <v>0</v>
      </c>
      <c r="DH251" s="16" t="n">
        <v>0</v>
      </c>
      <c r="DI251" s="16" t="n">
        <v>0</v>
      </c>
      <c r="DJ251" s="16" t="n">
        <v>0</v>
      </c>
      <c r="DK251" s="16" t="n">
        <v>0</v>
      </c>
      <c r="DL251" s="16" t="n">
        <v>0</v>
      </c>
      <c r="DM251" s="16" t="n">
        <v>0</v>
      </c>
      <c r="DN251" s="16" t="n">
        <v>0</v>
      </c>
      <c r="DO251" s="16" t="n">
        <v>0</v>
      </c>
      <c r="DP251" s="16" t="n">
        <v>0</v>
      </c>
      <c r="DQ251" s="16" t="n">
        <v>0</v>
      </c>
      <c r="DR251" s="16" t="n">
        <v>0</v>
      </c>
      <c r="DS251" s="16" t="n">
        <v>0</v>
      </c>
      <c r="DT251" s="16" t="n">
        <v>0</v>
      </c>
      <c r="DU251" s="16" t="n">
        <v>0</v>
      </c>
      <c r="DV251" s="16" t="n">
        <v>0</v>
      </c>
      <c r="DW251" s="16" t="n">
        <v>0</v>
      </c>
      <c r="DX251" s="16" t="n">
        <v>0</v>
      </c>
      <c r="DY251" s="16" t="n">
        <v>0</v>
      </c>
      <c r="DZ251" s="16" t="n">
        <v>0</v>
      </c>
      <c r="EA251" s="16" t="n">
        <v>0</v>
      </c>
      <c r="EB251" s="16" t="n">
        <v>0</v>
      </c>
      <c r="EC251" s="16" t="n">
        <v>0</v>
      </c>
      <c r="ED251" s="16" t="n">
        <v>0</v>
      </c>
      <c r="EE251" s="16" t="n">
        <v>0</v>
      </c>
      <c r="EF251" s="16" t="n">
        <v>0</v>
      </c>
    </row>
    <row r="252" customFormat="false" ht="15" hidden="false" customHeight="true" outlineLevel="0" collapsed="false">
      <c r="A252" s="9" t="s">
        <v>12</v>
      </c>
      <c r="B252" s="9" t="s">
        <v>75</v>
      </c>
      <c r="C252" s="9" t="s">
        <v>75</v>
      </c>
      <c r="D252" s="9" t="s">
        <v>341</v>
      </c>
      <c r="E252" s="9" t="s">
        <v>16</v>
      </c>
      <c r="F252" s="9" t="s">
        <v>43</v>
      </c>
      <c r="G252" s="16" t="n">
        <v>0</v>
      </c>
      <c r="H252" s="16" t="n">
        <v>0</v>
      </c>
      <c r="I252" s="16" t="n">
        <v>42</v>
      </c>
      <c r="J252" s="16" t="n">
        <v>-42</v>
      </c>
      <c r="K252" s="16" t="n">
        <v>0</v>
      </c>
      <c r="L252" s="16" t="n">
        <v>0</v>
      </c>
      <c r="M252" s="16" t="n">
        <v>0</v>
      </c>
      <c r="N252" s="16" t="n">
        <v>0</v>
      </c>
      <c r="O252" s="16" t="n">
        <v>0</v>
      </c>
      <c r="P252" s="16" t="n">
        <v>0</v>
      </c>
      <c r="Q252" s="16" t="n">
        <v>0</v>
      </c>
      <c r="R252" s="16" t="n">
        <v>0</v>
      </c>
      <c r="S252" s="16" t="n">
        <v>0</v>
      </c>
      <c r="T252" s="16" t="n">
        <v>0</v>
      </c>
      <c r="U252" s="16" t="n">
        <v>0</v>
      </c>
      <c r="V252" s="16" t="n">
        <v>0</v>
      </c>
      <c r="W252" s="16" t="n">
        <v>0</v>
      </c>
      <c r="X252" s="16" t="n">
        <v>0</v>
      </c>
      <c r="Y252" s="16" t="n">
        <v>0</v>
      </c>
      <c r="Z252" s="16" t="n">
        <v>0</v>
      </c>
      <c r="AA252" s="16" t="n">
        <v>0</v>
      </c>
      <c r="AB252" s="16" t="n">
        <v>0</v>
      </c>
      <c r="AC252" s="16" t="n">
        <v>0</v>
      </c>
      <c r="AD252" s="16" t="n">
        <v>0</v>
      </c>
      <c r="AE252" s="16" t="n">
        <v>0</v>
      </c>
      <c r="AF252" s="16" t="n">
        <v>0</v>
      </c>
      <c r="AG252" s="16" t="n">
        <v>0</v>
      </c>
      <c r="AH252" s="16" t="n">
        <v>0</v>
      </c>
      <c r="AI252" s="16" t="n">
        <v>0</v>
      </c>
      <c r="AJ252" s="16" t="n">
        <v>3</v>
      </c>
      <c r="AK252" s="16" t="n">
        <v>0</v>
      </c>
      <c r="AL252" s="16" t="n">
        <v>0</v>
      </c>
      <c r="AM252" s="16" t="n">
        <v>0</v>
      </c>
      <c r="AN252" s="16" t="n">
        <v>0</v>
      </c>
      <c r="AO252" s="16" t="n">
        <v>0</v>
      </c>
      <c r="AP252" s="16" t="n">
        <v>0</v>
      </c>
      <c r="AQ252" s="16" t="n">
        <v>0</v>
      </c>
      <c r="AR252" s="16" t="n">
        <v>0</v>
      </c>
      <c r="AS252" s="16" t="n">
        <v>0</v>
      </c>
      <c r="AT252" s="16" t="n">
        <v>0</v>
      </c>
      <c r="AU252" s="16" t="n">
        <v>0</v>
      </c>
      <c r="AV252" s="16" t="n">
        <v>0</v>
      </c>
      <c r="AW252" s="16" t="n">
        <v>0</v>
      </c>
      <c r="AX252" s="16" t="n">
        <v>0</v>
      </c>
      <c r="AY252" s="16" t="n">
        <v>0</v>
      </c>
      <c r="AZ252" s="16" t="n">
        <v>0</v>
      </c>
      <c r="BA252" s="16" t="n">
        <v>0</v>
      </c>
      <c r="BB252" s="16" t="n">
        <v>0</v>
      </c>
      <c r="BC252" s="16" t="n">
        <v>0</v>
      </c>
      <c r="BD252" s="16" t="n">
        <v>0</v>
      </c>
      <c r="BE252" s="16" t="n">
        <v>0</v>
      </c>
      <c r="BF252" s="16" t="n">
        <v>0</v>
      </c>
      <c r="BG252" s="16" t="n">
        <v>0</v>
      </c>
      <c r="BH252" s="16" t="n">
        <v>0</v>
      </c>
      <c r="BI252" s="16" t="n">
        <v>0</v>
      </c>
      <c r="BJ252" s="16" t="n">
        <v>0</v>
      </c>
      <c r="BK252" s="16" t="n">
        <v>0</v>
      </c>
      <c r="BL252" s="16" t="n">
        <v>0</v>
      </c>
      <c r="BM252" s="16" t="n">
        <v>0</v>
      </c>
      <c r="BN252" s="16" t="n">
        <v>0</v>
      </c>
      <c r="BO252" s="16" t="n">
        <v>0</v>
      </c>
      <c r="BP252" s="16" t="n">
        <v>0</v>
      </c>
      <c r="BQ252" s="16" t="n">
        <v>0</v>
      </c>
      <c r="BR252" s="16" t="n">
        <v>0</v>
      </c>
      <c r="BS252" s="16" t="n">
        <v>0</v>
      </c>
      <c r="BT252" s="16" t="n">
        <v>0</v>
      </c>
      <c r="BU252" s="16" t="n">
        <v>0</v>
      </c>
      <c r="BV252" s="16" t="n">
        <v>0</v>
      </c>
      <c r="BW252" s="16" t="n">
        <v>0</v>
      </c>
      <c r="BX252" s="16" t="n">
        <v>0</v>
      </c>
      <c r="BY252" s="16" t="n">
        <v>0</v>
      </c>
      <c r="BZ252" s="16" t="n">
        <v>0</v>
      </c>
      <c r="CA252" s="16" t="n">
        <v>0</v>
      </c>
      <c r="CB252" s="16" t="n">
        <v>0</v>
      </c>
      <c r="CC252" s="16" t="n">
        <v>0</v>
      </c>
      <c r="CD252" s="16" t="n">
        <v>0</v>
      </c>
      <c r="CE252" s="16" t="n">
        <v>0</v>
      </c>
      <c r="CF252" s="16" t="n">
        <v>0</v>
      </c>
      <c r="CG252" s="16" t="n">
        <v>0</v>
      </c>
      <c r="CH252" s="16" t="n">
        <v>0</v>
      </c>
      <c r="CI252" s="16" t="n">
        <v>0</v>
      </c>
      <c r="CJ252" s="16" t="n">
        <v>0</v>
      </c>
      <c r="CK252" s="16" t="n">
        <v>0</v>
      </c>
      <c r="CL252" s="16" t="n">
        <v>0</v>
      </c>
      <c r="CM252" s="16" t="n">
        <v>0</v>
      </c>
      <c r="CN252" s="16" t="n">
        <v>0</v>
      </c>
      <c r="CO252" s="16" t="n">
        <v>0</v>
      </c>
      <c r="CP252" s="16" t="n">
        <v>0</v>
      </c>
      <c r="CQ252" s="16" t="n">
        <v>0</v>
      </c>
      <c r="CR252" s="16" t="n">
        <v>0</v>
      </c>
      <c r="CS252" s="16" t="n">
        <v>1</v>
      </c>
      <c r="CT252" s="16" t="n">
        <v>1</v>
      </c>
      <c r="CU252" s="16" t="n">
        <v>1</v>
      </c>
      <c r="CV252" s="16" t="n">
        <v>1</v>
      </c>
      <c r="CW252" s="16" t="n">
        <v>1</v>
      </c>
      <c r="CX252" s="16" t="n">
        <v>1</v>
      </c>
      <c r="CY252" s="16" t="n">
        <v>1</v>
      </c>
      <c r="CZ252" s="16" t="n">
        <v>0</v>
      </c>
      <c r="DA252" s="16" t="n">
        <v>0</v>
      </c>
      <c r="DB252" s="16" t="n">
        <v>1</v>
      </c>
      <c r="DC252" s="16" t="n">
        <v>1</v>
      </c>
      <c r="DD252" s="16" t="n">
        <v>1</v>
      </c>
      <c r="DE252" s="16" t="n">
        <v>1</v>
      </c>
      <c r="DF252" s="16" t="n">
        <v>1</v>
      </c>
      <c r="DG252" s="16" t="n">
        <v>1</v>
      </c>
      <c r="DH252" s="16" t="n">
        <v>1</v>
      </c>
      <c r="DI252" s="16" t="n">
        <v>0</v>
      </c>
      <c r="DJ252" s="16" t="n">
        <v>0</v>
      </c>
      <c r="DK252" s="16" t="n">
        <v>0</v>
      </c>
      <c r="DL252" s="16" t="n">
        <v>1</v>
      </c>
      <c r="DM252" s="16" t="n">
        <v>5</v>
      </c>
      <c r="DN252" s="16" t="n">
        <v>5</v>
      </c>
      <c r="DO252" s="16" t="n">
        <v>6</v>
      </c>
      <c r="DP252" s="16" t="n">
        <v>6</v>
      </c>
      <c r="DQ252" s="16" t="n">
        <v>1</v>
      </c>
      <c r="DR252" s="16" t="n">
        <v>1</v>
      </c>
      <c r="DS252" s="16" t="n">
        <v>0</v>
      </c>
      <c r="DT252" s="16" t="n">
        <v>0</v>
      </c>
      <c r="DU252" s="16" t="n">
        <v>0</v>
      </c>
      <c r="DV252" s="16" t="n">
        <v>0</v>
      </c>
      <c r="DW252" s="16" t="n">
        <v>0</v>
      </c>
      <c r="DX252" s="16" t="n">
        <v>0</v>
      </c>
      <c r="DY252" s="16" t="n">
        <v>0</v>
      </c>
      <c r="DZ252" s="16" t="n">
        <v>0</v>
      </c>
      <c r="EA252" s="16" t="n">
        <v>0</v>
      </c>
      <c r="EB252" s="16" t="n">
        <v>0</v>
      </c>
      <c r="EC252" s="16" t="n">
        <v>0</v>
      </c>
      <c r="ED252" s="16" t="n">
        <v>0</v>
      </c>
      <c r="EE252" s="16" t="n">
        <v>0</v>
      </c>
      <c r="EF252" s="16" t="n">
        <v>0</v>
      </c>
    </row>
    <row r="253" customFormat="false" ht="15" hidden="false" customHeight="true" outlineLevel="0" collapsed="false">
      <c r="A253" s="9" t="s">
        <v>12</v>
      </c>
      <c r="B253" s="9" t="s">
        <v>75</v>
      </c>
      <c r="C253" s="9" t="s">
        <v>75</v>
      </c>
      <c r="D253" s="9" t="s">
        <v>340</v>
      </c>
      <c r="E253" s="9" t="s">
        <v>16</v>
      </c>
      <c r="F253" s="9" t="s">
        <v>43</v>
      </c>
      <c r="G253" s="16" t="n">
        <v>4</v>
      </c>
      <c r="H253" s="16" t="n">
        <v>49</v>
      </c>
      <c r="I253" s="16" t="n">
        <v>0</v>
      </c>
      <c r="J253" s="16" t="n">
        <v>49</v>
      </c>
      <c r="K253" s="16" t="n">
        <v>0</v>
      </c>
      <c r="L253" s="16" t="n">
        <v>0</v>
      </c>
      <c r="M253" s="16" t="n">
        <v>0</v>
      </c>
      <c r="N253" s="16" t="n">
        <v>0</v>
      </c>
      <c r="O253" s="16" t="n">
        <v>0</v>
      </c>
      <c r="P253" s="16" t="n">
        <v>0</v>
      </c>
      <c r="Q253" s="16" t="n">
        <v>0</v>
      </c>
      <c r="R253" s="16" t="n">
        <v>0</v>
      </c>
      <c r="S253" s="16" t="n">
        <v>0</v>
      </c>
      <c r="T253" s="16" t="n">
        <v>0</v>
      </c>
      <c r="U253" s="16" t="n">
        <v>0</v>
      </c>
      <c r="V253" s="16" t="n">
        <v>0</v>
      </c>
      <c r="W253" s="16" t="n">
        <v>0</v>
      </c>
      <c r="X253" s="16" t="n">
        <v>0</v>
      </c>
      <c r="Y253" s="16" t="n">
        <v>0</v>
      </c>
      <c r="Z253" s="16" t="n">
        <v>0</v>
      </c>
      <c r="AA253" s="16" t="n">
        <v>0</v>
      </c>
      <c r="AB253" s="16" t="n">
        <v>0</v>
      </c>
      <c r="AC253" s="16" t="n">
        <v>0</v>
      </c>
      <c r="AD253" s="16" t="n">
        <v>0</v>
      </c>
      <c r="AE253" s="16" t="n">
        <v>0</v>
      </c>
      <c r="AF253" s="16" t="n">
        <v>0</v>
      </c>
      <c r="AG253" s="16" t="n">
        <v>0</v>
      </c>
      <c r="AH253" s="16" t="n">
        <v>0</v>
      </c>
      <c r="AI253" s="16" t="n">
        <v>0</v>
      </c>
      <c r="AJ253" s="16" t="n">
        <v>0</v>
      </c>
      <c r="AK253" s="16" t="n">
        <v>0</v>
      </c>
      <c r="AL253" s="16" t="n">
        <v>0</v>
      </c>
      <c r="AM253" s="16" t="n">
        <v>0</v>
      </c>
      <c r="AN253" s="16" t="n">
        <v>0</v>
      </c>
      <c r="AO253" s="16" t="n">
        <v>0</v>
      </c>
      <c r="AP253" s="16" t="n">
        <v>0</v>
      </c>
      <c r="AQ253" s="16" t="n">
        <v>0</v>
      </c>
      <c r="AR253" s="16" t="n">
        <v>0</v>
      </c>
      <c r="AS253" s="16" t="n">
        <v>0</v>
      </c>
      <c r="AT253" s="16" t="n">
        <v>0</v>
      </c>
      <c r="AU253" s="16" t="n">
        <v>0</v>
      </c>
      <c r="AV253" s="16" t="n">
        <v>0</v>
      </c>
      <c r="AW253" s="16" t="n">
        <v>0</v>
      </c>
      <c r="AX253" s="16" t="n">
        <v>0</v>
      </c>
      <c r="AY253" s="16" t="n">
        <v>0</v>
      </c>
      <c r="AZ253" s="16" t="n">
        <v>0</v>
      </c>
      <c r="BA253" s="16" t="n">
        <v>0</v>
      </c>
      <c r="BB253" s="16" t="n">
        <v>0</v>
      </c>
      <c r="BC253" s="16" t="n">
        <v>0</v>
      </c>
      <c r="BD253" s="16" t="n">
        <v>0</v>
      </c>
      <c r="BE253" s="16" t="n">
        <v>0</v>
      </c>
      <c r="BF253" s="16" t="n">
        <v>0</v>
      </c>
      <c r="BG253" s="16" t="n">
        <v>0</v>
      </c>
      <c r="BH253" s="16" t="n">
        <v>0</v>
      </c>
      <c r="BI253" s="16" t="n">
        <v>0</v>
      </c>
      <c r="BJ253" s="16" t="n">
        <v>0</v>
      </c>
      <c r="BK253" s="16" t="n">
        <v>0</v>
      </c>
      <c r="BL253" s="16" t="n">
        <v>0</v>
      </c>
      <c r="BM253" s="16" t="n">
        <v>0</v>
      </c>
      <c r="BN253" s="16" t="n">
        <v>0</v>
      </c>
      <c r="BO253" s="16" t="n">
        <v>0</v>
      </c>
      <c r="BP253" s="16" t="n">
        <v>0</v>
      </c>
      <c r="BQ253" s="16" t="n">
        <v>0</v>
      </c>
      <c r="BR253" s="16" t="n">
        <v>0</v>
      </c>
      <c r="BS253" s="16" t="n">
        <v>0</v>
      </c>
      <c r="BT253" s="16" t="n">
        <v>0</v>
      </c>
      <c r="BU253" s="16" t="n">
        <v>0</v>
      </c>
      <c r="BV253" s="16" t="n">
        <v>0</v>
      </c>
      <c r="BW253" s="16" t="n">
        <v>0</v>
      </c>
      <c r="BX253" s="16" t="n">
        <v>0</v>
      </c>
      <c r="BY253" s="16" t="n">
        <v>0</v>
      </c>
      <c r="BZ253" s="16" t="n">
        <v>0</v>
      </c>
      <c r="CA253" s="16" t="n">
        <v>0</v>
      </c>
      <c r="CB253" s="16" t="n">
        <v>0</v>
      </c>
      <c r="CC253" s="16" t="n">
        <v>0</v>
      </c>
      <c r="CD253" s="16" t="n">
        <v>0</v>
      </c>
      <c r="CE253" s="16" t="n">
        <v>0</v>
      </c>
      <c r="CF253" s="16" t="n">
        <v>0</v>
      </c>
      <c r="CG253" s="16" t="n">
        <v>0</v>
      </c>
      <c r="CH253" s="16" t="n">
        <v>0</v>
      </c>
      <c r="CI253" s="16" t="n">
        <v>0</v>
      </c>
      <c r="CJ253" s="16" t="n">
        <v>0</v>
      </c>
      <c r="CK253" s="16" t="n">
        <v>0</v>
      </c>
      <c r="CL253" s="16" t="n">
        <v>0</v>
      </c>
      <c r="CM253" s="16" t="n">
        <v>0</v>
      </c>
      <c r="CN253" s="16" t="n">
        <v>0</v>
      </c>
      <c r="CO253" s="16" t="n">
        <v>0</v>
      </c>
      <c r="CP253" s="16" t="n">
        <v>0</v>
      </c>
      <c r="CQ253" s="16" t="n">
        <v>0</v>
      </c>
      <c r="CR253" s="16" t="n">
        <v>0</v>
      </c>
      <c r="CS253" s="16" t="n">
        <v>0</v>
      </c>
      <c r="CT253" s="16" t="n">
        <v>0</v>
      </c>
      <c r="CU253" s="16" t="n">
        <v>0</v>
      </c>
      <c r="CV253" s="16" t="n">
        <v>0</v>
      </c>
      <c r="CW253" s="16" t="n">
        <v>0</v>
      </c>
      <c r="CX253" s="16" t="n">
        <v>0</v>
      </c>
      <c r="CY253" s="16" t="n">
        <v>0</v>
      </c>
      <c r="CZ253" s="16" t="n">
        <v>0</v>
      </c>
      <c r="DA253" s="16" t="n">
        <v>0</v>
      </c>
      <c r="DB253" s="16" t="n">
        <v>0</v>
      </c>
      <c r="DC253" s="16" t="n">
        <v>0</v>
      </c>
      <c r="DD253" s="16" t="n">
        <v>0</v>
      </c>
      <c r="DE253" s="16" t="n">
        <v>0</v>
      </c>
      <c r="DF253" s="16" t="n">
        <v>0</v>
      </c>
      <c r="DG253" s="16" t="n">
        <v>0</v>
      </c>
      <c r="DH253" s="16" t="n">
        <v>0</v>
      </c>
      <c r="DI253" s="16" t="n">
        <v>0</v>
      </c>
      <c r="DJ253" s="16" t="n">
        <v>0</v>
      </c>
      <c r="DK253" s="16" t="n">
        <v>0</v>
      </c>
      <c r="DL253" s="16" t="n">
        <v>0</v>
      </c>
      <c r="DM253" s="16" t="n">
        <v>0</v>
      </c>
      <c r="DN253" s="16" t="n">
        <v>0</v>
      </c>
      <c r="DO253" s="16" t="n">
        <v>0</v>
      </c>
      <c r="DP253" s="16" t="n">
        <v>0</v>
      </c>
      <c r="DQ253" s="16" t="n">
        <v>0</v>
      </c>
      <c r="DR253" s="16" t="n">
        <v>0</v>
      </c>
      <c r="DS253" s="16" t="n">
        <v>0</v>
      </c>
      <c r="DT253" s="16" t="n">
        <v>0</v>
      </c>
      <c r="DU253" s="16" t="n">
        <v>0</v>
      </c>
      <c r="DV253" s="16" t="n">
        <v>0</v>
      </c>
      <c r="DW253" s="16" t="n">
        <v>0</v>
      </c>
      <c r="DX253" s="16" t="n">
        <v>0</v>
      </c>
      <c r="DY253" s="16" t="n">
        <v>0</v>
      </c>
      <c r="DZ253" s="16" t="n">
        <v>0</v>
      </c>
      <c r="EA253" s="16" t="n">
        <v>0</v>
      </c>
      <c r="EB253" s="16" t="n">
        <v>0</v>
      </c>
      <c r="EC253" s="16" t="n">
        <v>0</v>
      </c>
      <c r="ED253" s="16" t="n">
        <v>0</v>
      </c>
      <c r="EE253" s="16" t="n">
        <v>0</v>
      </c>
      <c r="EF253" s="16" t="n">
        <v>0</v>
      </c>
    </row>
    <row r="254" customFormat="false" ht="15" hidden="false" customHeight="true" outlineLevel="0" collapsed="false">
      <c r="A254" s="9" t="s">
        <v>12</v>
      </c>
      <c r="B254" s="9" t="s">
        <v>75</v>
      </c>
      <c r="C254" s="9" t="s">
        <v>75</v>
      </c>
      <c r="D254" s="9" t="s">
        <v>341</v>
      </c>
      <c r="E254" s="9" t="s">
        <v>16</v>
      </c>
      <c r="F254" s="9" t="s">
        <v>87</v>
      </c>
      <c r="G254" s="16" t="n">
        <v>0</v>
      </c>
      <c r="H254" s="16" t="n">
        <v>0</v>
      </c>
      <c r="I254" s="16" t="n">
        <v>59</v>
      </c>
      <c r="J254" s="16" t="n">
        <v>-59</v>
      </c>
      <c r="K254" s="16" t="n">
        <v>0</v>
      </c>
      <c r="L254" s="16" t="n">
        <v>0</v>
      </c>
      <c r="M254" s="16" t="n">
        <v>0</v>
      </c>
      <c r="N254" s="16" t="n">
        <v>0</v>
      </c>
      <c r="O254" s="16" t="n">
        <v>0</v>
      </c>
      <c r="P254" s="16" t="n">
        <v>0</v>
      </c>
      <c r="Q254" s="16" t="n">
        <v>0</v>
      </c>
      <c r="R254" s="16" t="n">
        <v>0</v>
      </c>
      <c r="S254" s="16" t="n">
        <v>0</v>
      </c>
      <c r="T254" s="16" t="n">
        <v>0</v>
      </c>
      <c r="U254" s="16" t="n">
        <v>0</v>
      </c>
      <c r="V254" s="16" t="n">
        <v>0</v>
      </c>
      <c r="W254" s="16" t="n">
        <v>0</v>
      </c>
      <c r="X254" s="16" t="n">
        <v>0</v>
      </c>
      <c r="Y254" s="16" t="n">
        <v>0</v>
      </c>
      <c r="Z254" s="16" t="n">
        <v>0</v>
      </c>
      <c r="AA254" s="16" t="n">
        <v>0</v>
      </c>
      <c r="AB254" s="16" t="n">
        <v>0</v>
      </c>
      <c r="AC254" s="16" t="n">
        <v>0</v>
      </c>
      <c r="AD254" s="16" t="n">
        <v>0</v>
      </c>
      <c r="AE254" s="16" t="n">
        <v>0</v>
      </c>
      <c r="AF254" s="16" t="n">
        <v>0</v>
      </c>
      <c r="AG254" s="16" t="n">
        <v>0</v>
      </c>
      <c r="AH254" s="16" t="n">
        <v>0</v>
      </c>
      <c r="AI254" s="16" t="n">
        <v>0</v>
      </c>
      <c r="AJ254" s="16" t="n">
        <v>0</v>
      </c>
      <c r="AK254" s="16" t="n">
        <v>0</v>
      </c>
      <c r="AL254" s="16" t="n">
        <v>4</v>
      </c>
      <c r="AM254" s="16" t="n">
        <v>21.5</v>
      </c>
      <c r="AN254" s="16" t="n">
        <v>25.5</v>
      </c>
      <c r="AO254" s="16" t="n">
        <v>8</v>
      </c>
      <c r="AP254" s="16" t="n">
        <v>0</v>
      </c>
      <c r="AQ254" s="16" t="n">
        <v>0</v>
      </c>
      <c r="AR254" s="16" t="n">
        <v>0</v>
      </c>
      <c r="AS254" s="16" t="n">
        <v>0</v>
      </c>
      <c r="AT254" s="16" t="n">
        <v>0</v>
      </c>
      <c r="AU254" s="16" t="n">
        <v>0</v>
      </c>
      <c r="AV254" s="16" t="n">
        <v>0</v>
      </c>
      <c r="AW254" s="16" t="n">
        <v>0</v>
      </c>
      <c r="AX254" s="16" t="n">
        <v>0</v>
      </c>
      <c r="AY254" s="16" t="n">
        <v>0</v>
      </c>
      <c r="AZ254" s="16" t="n">
        <v>0</v>
      </c>
      <c r="BA254" s="16" t="n">
        <v>0</v>
      </c>
      <c r="BB254" s="16" t="n">
        <v>0</v>
      </c>
      <c r="BC254" s="16" t="n">
        <v>0</v>
      </c>
      <c r="BD254" s="16" t="n">
        <v>0</v>
      </c>
      <c r="BE254" s="16" t="n">
        <v>0</v>
      </c>
      <c r="BF254" s="16" t="n">
        <v>0</v>
      </c>
      <c r="BG254" s="16" t="n">
        <v>0</v>
      </c>
      <c r="BH254" s="16" t="n">
        <v>0</v>
      </c>
      <c r="BI254" s="16" t="n">
        <v>0</v>
      </c>
      <c r="BJ254" s="16" t="n">
        <v>0</v>
      </c>
      <c r="BK254" s="16" t="n">
        <v>0</v>
      </c>
      <c r="BL254" s="16" t="n">
        <v>0</v>
      </c>
      <c r="BM254" s="16" t="n">
        <v>0</v>
      </c>
      <c r="BN254" s="16" t="n">
        <v>0</v>
      </c>
      <c r="BO254" s="16" t="n">
        <v>0</v>
      </c>
      <c r="BP254" s="16" t="n">
        <v>0</v>
      </c>
      <c r="BQ254" s="16" t="n">
        <v>0</v>
      </c>
      <c r="BR254" s="16" t="n">
        <v>0</v>
      </c>
      <c r="BS254" s="16" t="n">
        <v>0</v>
      </c>
      <c r="BT254" s="16" t="n">
        <v>0</v>
      </c>
      <c r="BU254" s="16" t="n">
        <v>0</v>
      </c>
      <c r="BV254" s="16" t="n">
        <v>0</v>
      </c>
      <c r="BW254" s="16" t="n">
        <v>0</v>
      </c>
      <c r="BX254" s="16" t="n">
        <v>0</v>
      </c>
      <c r="BY254" s="16" t="n">
        <v>0</v>
      </c>
      <c r="BZ254" s="16" t="n">
        <v>0</v>
      </c>
      <c r="CA254" s="16" t="n">
        <v>0</v>
      </c>
      <c r="CB254" s="16" t="n">
        <v>0</v>
      </c>
      <c r="CC254" s="16" t="n">
        <v>0</v>
      </c>
      <c r="CD254" s="16" t="n">
        <v>0</v>
      </c>
      <c r="CE254" s="16" t="n">
        <v>0</v>
      </c>
      <c r="CF254" s="16" t="n">
        <v>0</v>
      </c>
      <c r="CG254" s="16" t="n">
        <v>0</v>
      </c>
      <c r="CH254" s="16" t="n">
        <v>0</v>
      </c>
      <c r="CI254" s="16" t="n">
        <v>0</v>
      </c>
      <c r="CJ254" s="16" t="n">
        <v>0</v>
      </c>
      <c r="CK254" s="16" t="n">
        <v>0</v>
      </c>
      <c r="CL254" s="16" t="n">
        <v>0</v>
      </c>
      <c r="CM254" s="16" t="n">
        <v>0</v>
      </c>
      <c r="CN254" s="16" t="n">
        <v>0</v>
      </c>
      <c r="CO254" s="16" t="n">
        <v>0</v>
      </c>
      <c r="CP254" s="16" t="n">
        <v>0</v>
      </c>
      <c r="CQ254" s="16" t="n">
        <v>0</v>
      </c>
      <c r="CR254" s="16" t="n">
        <v>0</v>
      </c>
      <c r="CS254" s="16" t="n">
        <v>0</v>
      </c>
      <c r="CT254" s="16" t="n">
        <v>0</v>
      </c>
      <c r="CU254" s="16" t="n">
        <v>0</v>
      </c>
      <c r="CV254" s="16" t="n">
        <v>0</v>
      </c>
      <c r="CW254" s="16" t="n">
        <v>0</v>
      </c>
      <c r="CX254" s="16" t="n">
        <v>0</v>
      </c>
      <c r="CY254" s="16" t="n">
        <v>0</v>
      </c>
      <c r="CZ254" s="16" t="n">
        <v>0</v>
      </c>
      <c r="DA254" s="16" t="n">
        <v>0</v>
      </c>
      <c r="DB254" s="16" t="n">
        <v>0</v>
      </c>
      <c r="DC254" s="16" t="n">
        <v>0</v>
      </c>
      <c r="DD254" s="16" t="n">
        <v>0</v>
      </c>
      <c r="DE254" s="16" t="n">
        <v>0</v>
      </c>
      <c r="DF254" s="16" t="n">
        <v>0</v>
      </c>
      <c r="DG254" s="16" t="n">
        <v>0</v>
      </c>
      <c r="DH254" s="16" t="n">
        <v>0</v>
      </c>
      <c r="DI254" s="16" t="n">
        <v>0</v>
      </c>
      <c r="DJ254" s="16" t="n">
        <v>0</v>
      </c>
      <c r="DK254" s="16" t="n">
        <v>0</v>
      </c>
      <c r="DL254" s="16" t="n">
        <v>0</v>
      </c>
      <c r="DM254" s="16" t="n">
        <v>0</v>
      </c>
      <c r="DN254" s="16" t="n">
        <v>0</v>
      </c>
      <c r="DO254" s="16" t="n">
        <v>0</v>
      </c>
      <c r="DP254" s="16" t="n">
        <v>0</v>
      </c>
      <c r="DQ254" s="16" t="n">
        <v>0</v>
      </c>
      <c r="DR254" s="16" t="n">
        <v>0</v>
      </c>
      <c r="DS254" s="16" t="n">
        <v>0</v>
      </c>
      <c r="DT254" s="16" t="n">
        <v>0</v>
      </c>
      <c r="DU254" s="16" t="n">
        <v>0</v>
      </c>
      <c r="DV254" s="16" t="n">
        <v>0</v>
      </c>
      <c r="DW254" s="16" t="n">
        <v>0</v>
      </c>
      <c r="DX254" s="16" t="n">
        <v>0</v>
      </c>
      <c r="DY254" s="16" t="n">
        <v>0</v>
      </c>
      <c r="DZ254" s="16" t="n">
        <v>0</v>
      </c>
      <c r="EA254" s="16" t="n">
        <v>0</v>
      </c>
      <c r="EB254" s="16" t="n">
        <v>0</v>
      </c>
      <c r="EC254" s="16" t="n">
        <v>0</v>
      </c>
      <c r="ED254" s="16" t="n">
        <v>0</v>
      </c>
      <c r="EE254" s="16" t="n">
        <v>0</v>
      </c>
      <c r="EF254" s="16" t="n">
        <v>0</v>
      </c>
    </row>
    <row r="255" customFormat="false" ht="15" hidden="false" customHeight="true" outlineLevel="0" collapsed="false">
      <c r="A255" s="9" t="s">
        <v>12</v>
      </c>
      <c r="B255" s="9" t="s">
        <v>75</v>
      </c>
      <c r="C255" s="9" t="s">
        <v>75</v>
      </c>
      <c r="D255" s="9" t="s">
        <v>340</v>
      </c>
      <c r="E255" s="9" t="s">
        <v>16</v>
      </c>
      <c r="F255" s="9" t="s">
        <v>87</v>
      </c>
      <c r="G255" s="16" t="n">
        <v>60</v>
      </c>
      <c r="H255" s="16" t="n">
        <v>60</v>
      </c>
      <c r="I255" s="16" t="n">
        <v>0</v>
      </c>
      <c r="J255" s="16" t="n">
        <v>60</v>
      </c>
      <c r="K255" s="16" t="n">
        <v>0</v>
      </c>
      <c r="L255" s="16" t="n">
        <v>0</v>
      </c>
      <c r="M255" s="16" t="n">
        <v>0</v>
      </c>
      <c r="N255" s="16" t="n">
        <v>0</v>
      </c>
      <c r="O255" s="16" t="n">
        <v>0</v>
      </c>
      <c r="P255" s="16" t="n">
        <v>0</v>
      </c>
      <c r="Q255" s="16" t="n">
        <v>0</v>
      </c>
      <c r="R255" s="16" t="n">
        <v>0</v>
      </c>
      <c r="S255" s="16" t="n">
        <v>0</v>
      </c>
      <c r="T255" s="16" t="n">
        <v>0</v>
      </c>
      <c r="U255" s="16" t="n">
        <v>0</v>
      </c>
      <c r="V255" s="16" t="n">
        <v>0</v>
      </c>
      <c r="W255" s="16" t="n">
        <v>0</v>
      </c>
      <c r="X255" s="16" t="n">
        <v>0</v>
      </c>
      <c r="Y255" s="16" t="n">
        <v>0</v>
      </c>
      <c r="Z255" s="16" t="n">
        <v>0</v>
      </c>
      <c r="AA255" s="16" t="n">
        <v>0</v>
      </c>
      <c r="AB255" s="16" t="n">
        <v>0</v>
      </c>
      <c r="AC255" s="16" t="n">
        <v>0</v>
      </c>
      <c r="AD255" s="16" t="n">
        <v>0</v>
      </c>
      <c r="AE255" s="16" t="n">
        <v>0</v>
      </c>
      <c r="AF255" s="16" t="n">
        <v>0</v>
      </c>
      <c r="AG255" s="16" t="n">
        <v>0</v>
      </c>
      <c r="AH255" s="16" t="n">
        <v>0</v>
      </c>
      <c r="AI255" s="16" t="n">
        <v>0</v>
      </c>
      <c r="AJ255" s="16" t="n">
        <v>0</v>
      </c>
      <c r="AK255" s="16" t="n">
        <v>0</v>
      </c>
      <c r="AL255" s="16" t="n">
        <v>0</v>
      </c>
      <c r="AM255" s="16" t="n">
        <v>0</v>
      </c>
      <c r="AN255" s="16" t="n">
        <v>0</v>
      </c>
      <c r="AO255" s="16" t="n">
        <v>0</v>
      </c>
      <c r="AP255" s="16" t="n">
        <v>0</v>
      </c>
      <c r="AQ255" s="16" t="n">
        <v>0</v>
      </c>
      <c r="AR255" s="16" t="n">
        <v>0</v>
      </c>
      <c r="AS255" s="16" t="n">
        <v>0</v>
      </c>
      <c r="AT255" s="16" t="n">
        <v>0</v>
      </c>
      <c r="AU255" s="16" t="n">
        <v>0</v>
      </c>
      <c r="AV255" s="16" t="n">
        <v>0</v>
      </c>
      <c r="AW255" s="16" t="n">
        <v>0</v>
      </c>
      <c r="AX255" s="16" t="n">
        <v>0</v>
      </c>
      <c r="AY255" s="16" t="n">
        <v>0</v>
      </c>
      <c r="AZ255" s="16" t="n">
        <v>0</v>
      </c>
      <c r="BA255" s="16" t="n">
        <v>0</v>
      </c>
      <c r="BB255" s="16" t="n">
        <v>0</v>
      </c>
      <c r="BC255" s="16" t="n">
        <v>0</v>
      </c>
      <c r="BD255" s="16" t="n">
        <v>0</v>
      </c>
      <c r="BE255" s="16" t="n">
        <v>0</v>
      </c>
      <c r="BF255" s="16" t="n">
        <v>0</v>
      </c>
      <c r="BG255" s="16" t="n">
        <v>0</v>
      </c>
      <c r="BH255" s="16" t="n">
        <v>0</v>
      </c>
      <c r="BI255" s="16" t="n">
        <v>0</v>
      </c>
      <c r="BJ255" s="16" t="n">
        <v>0</v>
      </c>
      <c r="BK255" s="16" t="n">
        <v>0</v>
      </c>
      <c r="BL255" s="16" t="n">
        <v>0</v>
      </c>
      <c r="BM255" s="16" t="n">
        <v>0</v>
      </c>
      <c r="BN255" s="16" t="n">
        <v>0</v>
      </c>
      <c r="BO255" s="16" t="n">
        <v>0</v>
      </c>
      <c r="BP255" s="16" t="n">
        <v>0</v>
      </c>
      <c r="BQ255" s="16" t="n">
        <v>0</v>
      </c>
      <c r="BR255" s="16" t="n">
        <v>0</v>
      </c>
      <c r="BS255" s="16" t="n">
        <v>0</v>
      </c>
      <c r="BT255" s="16" t="n">
        <v>0</v>
      </c>
      <c r="BU255" s="16" t="n">
        <v>0</v>
      </c>
      <c r="BV255" s="16" t="n">
        <v>0</v>
      </c>
      <c r="BW255" s="16" t="n">
        <v>0</v>
      </c>
      <c r="BX255" s="16" t="n">
        <v>0</v>
      </c>
      <c r="BY255" s="16" t="n">
        <v>0</v>
      </c>
      <c r="BZ255" s="16" t="n">
        <v>0</v>
      </c>
      <c r="CA255" s="16" t="n">
        <v>0</v>
      </c>
      <c r="CB255" s="16" t="n">
        <v>0</v>
      </c>
      <c r="CC255" s="16" t="n">
        <v>0</v>
      </c>
      <c r="CD255" s="16" t="n">
        <v>0</v>
      </c>
      <c r="CE255" s="16" t="n">
        <v>0</v>
      </c>
      <c r="CF255" s="16" t="n">
        <v>0</v>
      </c>
      <c r="CG255" s="16" t="n">
        <v>0</v>
      </c>
      <c r="CH255" s="16" t="n">
        <v>0</v>
      </c>
      <c r="CI255" s="16" t="n">
        <v>0</v>
      </c>
      <c r="CJ255" s="16" t="n">
        <v>0</v>
      </c>
      <c r="CK255" s="16" t="n">
        <v>0</v>
      </c>
      <c r="CL255" s="16" t="n">
        <v>0</v>
      </c>
      <c r="CM255" s="16" t="n">
        <v>0</v>
      </c>
      <c r="CN255" s="16" t="n">
        <v>0</v>
      </c>
      <c r="CO255" s="16" t="n">
        <v>0</v>
      </c>
      <c r="CP255" s="16" t="n">
        <v>0</v>
      </c>
      <c r="CQ255" s="16" t="n">
        <v>0</v>
      </c>
      <c r="CR255" s="16" t="n">
        <v>0</v>
      </c>
      <c r="CS255" s="16" t="n">
        <v>0</v>
      </c>
      <c r="CT255" s="16" t="n">
        <v>0</v>
      </c>
      <c r="CU255" s="16" t="n">
        <v>0</v>
      </c>
      <c r="CV255" s="16" t="n">
        <v>0</v>
      </c>
      <c r="CW255" s="16" t="n">
        <v>0</v>
      </c>
      <c r="CX255" s="16" t="n">
        <v>0</v>
      </c>
      <c r="CY255" s="16" t="n">
        <v>0</v>
      </c>
      <c r="CZ255" s="16" t="n">
        <v>0</v>
      </c>
      <c r="DA255" s="16" t="n">
        <v>0</v>
      </c>
      <c r="DB255" s="16" t="n">
        <v>0</v>
      </c>
      <c r="DC255" s="16" t="n">
        <v>0</v>
      </c>
      <c r="DD255" s="16" t="n">
        <v>0</v>
      </c>
      <c r="DE255" s="16" t="n">
        <v>0</v>
      </c>
      <c r="DF255" s="16" t="n">
        <v>0</v>
      </c>
      <c r="DG255" s="16" t="n">
        <v>0</v>
      </c>
      <c r="DH255" s="16" t="n">
        <v>0</v>
      </c>
      <c r="DI255" s="16" t="n">
        <v>0</v>
      </c>
      <c r="DJ255" s="16" t="n">
        <v>0</v>
      </c>
      <c r="DK255" s="16" t="n">
        <v>0</v>
      </c>
      <c r="DL255" s="16" t="n">
        <v>0</v>
      </c>
      <c r="DM255" s="16" t="n">
        <v>0</v>
      </c>
      <c r="DN255" s="16" t="n">
        <v>0</v>
      </c>
      <c r="DO255" s="16" t="n">
        <v>0</v>
      </c>
      <c r="DP255" s="16" t="n">
        <v>0</v>
      </c>
      <c r="DQ255" s="16" t="n">
        <v>0</v>
      </c>
      <c r="DR255" s="16" t="n">
        <v>0</v>
      </c>
      <c r="DS255" s="16" t="n">
        <v>0</v>
      </c>
      <c r="DT255" s="16" t="n">
        <v>0</v>
      </c>
      <c r="DU255" s="16" t="n">
        <v>0</v>
      </c>
      <c r="DV255" s="16" t="n">
        <v>0</v>
      </c>
      <c r="DW255" s="16" t="n">
        <v>0</v>
      </c>
      <c r="DX255" s="16" t="n">
        <v>0</v>
      </c>
      <c r="DY255" s="16" t="n">
        <v>0</v>
      </c>
      <c r="DZ255" s="16" t="n">
        <v>0</v>
      </c>
      <c r="EA255" s="16" t="n">
        <v>0</v>
      </c>
      <c r="EB255" s="16" t="n">
        <v>0</v>
      </c>
      <c r="EC255" s="16" t="n">
        <v>0</v>
      </c>
      <c r="ED255" s="16" t="n">
        <v>0</v>
      </c>
      <c r="EE255" s="16" t="n">
        <v>0</v>
      </c>
      <c r="EF255" s="16" t="n">
        <v>0</v>
      </c>
    </row>
    <row r="256" customFormat="false" ht="15" hidden="false" customHeight="true" outlineLevel="0" collapsed="false">
      <c r="A256" s="9" t="s">
        <v>12</v>
      </c>
      <c r="B256" s="9" t="s">
        <v>75</v>
      </c>
      <c r="C256" s="9" t="s">
        <v>75</v>
      </c>
      <c r="D256" s="9" t="s">
        <v>341</v>
      </c>
      <c r="E256" s="9" t="s">
        <v>16</v>
      </c>
      <c r="F256" s="9" t="s">
        <v>88</v>
      </c>
      <c r="G256" s="16" t="n">
        <v>0</v>
      </c>
      <c r="H256" s="16" t="n">
        <v>0</v>
      </c>
      <c r="I256" s="16" t="n">
        <v>40</v>
      </c>
      <c r="J256" s="16" t="n">
        <v>-40</v>
      </c>
      <c r="K256" s="16" t="n">
        <v>0</v>
      </c>
      <c r="L256" s="16" t="n">
        <v>0</v>
      </c>
      <c r="M256" s="16" t="n">
        <v>0</v>
      </c>
      <c r="N256" s="16" t="n">
        <v>0</v>
      </c>
      <c r="O256" s="16" t="n">
        <v>0</v>
      </c>
      <c r="P256" s="16" t="n">
        <v>0</v>
      </c>
      <c r="Q256" s="16" t="n">
        <v>0</v>
      </c>
      <c r="R256" s="16" t="n">
        <v>0</v>
      </c>
      <c r="S256" s="16" t="n">
        <v>0</v>
      </c>
      <c r="T256" s="16" t="n">
        <v>0</v>
      </c>
      <c r="U256" s="16" t="n">
        <v>0</v>
      </c>
      <c r="V256" s="16" t="n">
        <v>0</v>
      </c>
      <c r="W256" s="16" t="n">
        <v>0</v>
      </c>
      <c r="X256" s="16" t="n">
        <v>0</v>
      </c>
      <c r="Y256" s="16" t="n">
        <v>0</v>
      </c>
      <c r="Z256" s="16" t="n">
        <v>0</v>
      </c>
      <c r="AA256" s="16" t="n">
        <v>0</v>
      </c>
      <c r="AB256" s="16" t="n">
        <v>0</v>
      </c>
      <c r="AC256" s="16" t="n">
        <v>0</v>
      </c>
      <c r="AD256" s="16" t="n">
        <v>0</v>
      </c>
      <c r="AE256" s="16" t="n">
        <v>0</v>
      </c>
      <c r="AF256" s="16" t="n">
        <v>0</v>
      </c>
      <c r="AG256" s="16" t="n">
        <v>0</v>
      </c>
      <c r="AH256" s="16" t="n">
        <v>0</v>
      </c>
      <c r="AI256" s="16" t="n">
        <v>0</v>
      </c>
      <c r="AJ256" s="16" t="n">
        <v>0</v>
      </c>
      <c r="AK256" s="16" t="n">
        <v>0</v>
      </c>
      <c r="AL256" s="16" t="n">
        <v>0</v>
      </c>
      <c r="AM256" s="16" t="n">
        <v>0</v>
      </c>
      <c r="AN256" s="16" t="n">
        <v>0</v>
      </c>
      <c r="AO256" s="16" t="n">
        <v>0</v>
      </c>
      <c r="AP256" s="16" t="n">
        <v>0</v>
      </c>
      <c r="AQ256" s="16" t="n">
        <v>0</v>
      </c>
      <c r="AR256" s="16" t="n">
        <v>0</v>
      </c>
      <c r="AS256" s="16" t="n">
        <v>0</v>
      </c>
      <c r="AT256" s="16" t="n">
        <v>0</v>
      </c>
      <c r="AU256" s="16" t="n">
        <v>0</v>
      </c>
      <c r="AV256" s="16" t="n">
        <v>0</v>
      </c>
      <c r="AW256" s="16" t="n">
        <v>0</v>
      </c>
      <c r="AX256" s="16" t="n">
        <v>0</v>
      </c>
      <c r="AY256" s="16" t="n">
        <v>0</v>
      </c>
      <c r="AZ256" s="16" t="n">
        <v>0</v>
      </c>
      <c r="BA256" s="16" t="n">
        <v>0</v>
      </c>
      <c r="BB256" s="16" t="n">
        <v>0</v>
      </c>
      <c r="BC256" s="16" t="n">
        <v>0</v>
      </c>
      <c r="BD256" s="16" t="n">
        <v>0</v>
      </c>
      <c r="BE256" s="16" t="n">
        <v>0</v>
      </c>
      <c r="BF256" s="16" t="n">
        <v>0</v>
      </c>
      <c r="BG256" s="16" t="n">
        <v>0</v>
      </c>
      <c r="BH256" s="16" t="n">
        <v>0</v>
      </c>
      <c r="BI256" s="16" t="n">
        <v>0</v>
      </c>
      <c r="BJ256" s="16" t="n">
        <v>0</v>
      </c>
      <c r="BK256" s="16" t="n">
        <v>0</v>
      </c>
      <c r="BL256" s="16" t="n">
        <v>0</v>
      </c>
      <c r="BM256" s="16" t="n">
        <v>0</v>
      </c>
      <c r="BN256" s="16" t="n">
        <v>0</v>
      </c>
      <c r="BO256" s="16" t="n">
        <v>0</v>
      </c>
      <c r="BP256" s="16" t="n">
        <v>0</v>
      </c>
      <c r="BQ256" s="16" t="n">
        <v>0</v>
      </c>
      <c r="BR256" s="16" t="n">
        <v>0</v>
      </c>
      <c r="BS256" s="16" t="n">
        <v>0</v>
      </c>
      <c r="BT256" s="16" t="n">
        <v>0</v>
      </c>
      <c r="BU256" s="16" t="n">
        <v>0</v>
      </c>
      <c r="BV256" s="16" t="n">
        <v>0</v>
      </c>
      <c r="BW256" s="16" t="n">
        <v>0</v>
      </c>
      <c r="BX256" s="16" t="n">
        <v>0</v>
      </c>
      <c r="BY256" s="16" t="n">
        <v>0</v>
      </c>
      <c r="BZ256" s="16" t="n">
        <v>0</v>
      </c>
      <c r="CA256" s="16" t="n">
        <v>0</v>
      </c>
      <c r="CB256" s="16" t="n">
        <v>0</v>
      </c>
      <c r="CC256" s="16" t="n">
        <v>0</v>
      </c>
      <c r="CD256" s="16" t="n">
        <v>0</v>
      </c>
      <c r="CE256" s="16" t="n">
        <v>0</v>
      </c>
      <c r="CF256" s="16" t="n">
        <v>0</v>
      </c>
      <c r="CG256" s="16" t="n">
        <v>0</v>
      </c>
      <c r="CH256" s="16" t="n">
        <v>0</v>
      </c>
      <c r="CI256" s="16" t="n">
        <v>0</v>
      </c>
      <c r="CJ256" s="16" t="n">
        <v>0</v>
      </c>
      <c r="CK256" s="16" t="n">
        <v>0</v>
      </c>
      <c r="CL256" s="16" t="n">
        <v>0</v>
      </c>
      <c r="CM256" s="16" t="n">
        <v>0</v>
      </c>
      <c r="CN256" s="16" t="n">
        <v>0</v>
      </c>
      <c r="CO256" s="16" t="n">
        <v>0</v>
      </c>
      <c r="CP256" s="16" t="n">
        <v>0</v>
      </c>
      <c r="CQ256" s="16" t="n">
        <v>0</v>
      </c>
      <c r="CR256" s="16" t="n">
        <v>0</v>
      </c>
      <c r="CS256" s="16" t="n">
        <v>0</v>
      </c>
      <c r="CT256" s="16" t="n">
        <v>0</v>
      </c>
      <c r="CU256" s="16" t="n">
        <v>0</v>
      </c>
      <c r="CV256" s="16" t="n">
        <v>0</v>
      </c>
      <c r="CW256" s="16" t="n">
        <v>0</v>
      </c>
      <c r="CX256" s="16" t="n">
        <v>0</v>
      </c>
      <c r="CY256" s="16" t="n">
        <v>0</v>
      </c>
      <c r="CZ256" s="16" t="n">
        <v>20</v>
      </c>
      <c r="DA256" s="16" t="n">
        <v>20</v>
      </c>
      <c r="DB256" s="16" t="n">
        <v>0</v>
      </c>
      <c r="DC256" s="16" t="n">
        <v>0</v>
      </c>
      <c r="DD256" s="16" t="n">
        <v>0</v>
      </c>
      <c r="DE256" s="16" t="n">
        <v>0</v>
      </c>
      <c r="DF256" s="16" t="n">
        <v>0</v>
      </c>
      <c r="DG256" s="16" t="n">
        <v>0</v>
      </c>
      <c r="DH256" s="16" t="n">
        <v>0</v>
      </c>
      <c r="DI256" s="16" t="n">
        <v>0</v>
      </c>
      <c r="DJ256" s="16" t="n">
        <v>0</v>
      </c>
      <c r="DK256" s="16" t="n">
        <v>0</v>
      </c>
      <c r="DL256" s="16" t="n">
        <v>0</v>
      </c>
      <c r="DM256" s="16" t="n">
        <v>0</v>
      </c>
      <c r="DN256" s="16" t="n">
        <v>0</v>
      </c>
      <c r="DO256" s="16" t="n">
        <v>0</v>
      </c>
      <c r="DP256" s="16" t="n">
        <v>0</v>
      </c>
      <c r="DQ256" s="16" t="n">
        <v>0</v>
      </c>
      <c r="DR256" s="16" t="n">
        <v>0</v>
      </c>
      <c r="DS256" s="16" t="n">
        <v>0</v>
      </c>
      <c r="DT256" s="16" t="n">
        <v>0</v>
      </c>
      <c r="DU256" s="16" t="n">
        <v>0</v>
      </c>
      <c r="DV256" s="16" t="n">
        <v>0</v>
      </c>
      <c r="DW256" s="16" t="n">
        <v>0</v>
      </c>
      <c r="DX256" s="16" t="n">
        <v>0</v>
      </c>
      <c r="DY256" s="16" t="n">
        <v>0</v>
      </c>
      <c r="DZ256" s="16" t="n">
        <v>0</v>
      </c>
      <c r="EA256" s="16" t="n">
        <v>0</v>
      </c>
      <c r="EB256" s="16" t="n">
        <v>0</v>
      </c>
      <c r="EC256" s="16" t="n">
        <v>0</v>
      </c>
      <c r="ED256" s="16" t="n">
        <v>0</v>
      </c>
      <c r="EE256" s="16" t="n">
        <v>0</v>
      </c>
      <c r="EF256" s="16" t="n">
        <v>0</v>
      </c>
    </row>
    <row r="257" customFormat="false" ht="15" hidden="false" customHeight="true" outlineLevel="0" collapsed="false">
      <c r="A257" s="9" t="s">
        <v>12</v>
      </c>
      <c r="B257" s="9" t="s">
        <v>75</v>
      </c>
      <c r="C257" s="9" t="s">
        <v>75</v>
      </c>
      <c r="D257" s="9" t="s">
        <v>340</v>
      </c>
      <c r="E257" s="9" t="s">
        <v>16</v>
      </c>
      <c r="F257" s="9" t="s">
        <v>88</v>
      </c>
      <c r="G257" s="16" t="n">
        <v>0</v>
      </c>
      <c r="H257" s="16" t="n">
        <v>40</v>
      </c>
      <c r="I257" s="16" t="n">
        <v>0</v>
      </c>
      <c r="J257" s="16" t="n">
        <v>40</v>
      </c>
      <c r="K257" s="16" t="n">
        <v>0</v>
      </c>
      <c r="L257" s="16" t="n">
        <v>0</v>
      </c>
      <c r="M257" s="16" t="n">
        <v>0</v>
      </c>
      <c r="N257" s="16" t="n">
        <v>0</v>
      </c>
      <c r="O257" s="16" t="n">
        <v>0</v>
      </c>
      <c r="P257" s="16" t="n">
        <v>0</v>
      </c>
      <c r="Q257" s="16" t="n">
        <v>0</v>
      </c>
      <c r="R257" s="16" t="n">
        <v>0</v>
      </c>
      <c r="S257" s="16" t="n">
        <v>0</v>
      </c>
      <c r="T257" s="16" t="n">
        <v>0</v>
      </c>
      <c r="U257" s="16" t="n">
        <v>0</v>
      </c>
      <c r="V257" s="16" t="n">
        <v>0</v>
      </c>
      <c r="W257" s="16" t="n">
        <v>0</v>
      </c>
      <c r="X257" s="16" t="n">
        <v>0</v>
      </c>
      <c r="Y257" s="16" t="n">
        <v>0</v>
      </c>
      <c r="Z257" s="16" t="n">
        <v>0</v>
      </c>
      <c r="AA257" s="16" t="n">
        <v>0</v>
      </c>
      <c r="AB257" s="16" t="n">
        <v>0</v>
      </c>
      <c r="AC257" s="16" t="n">
        <v>0</v>
      </c>
      <c r="AD257" s="16" t="n">
        <v>0</v>
      </c>
      <c r="AE257" s="16" t="n">
        <v>0</v>
      </c>
      <c r="AF257" s="16" t="n">
        <v>0</v>
      </c>
      <c r="AG257" s="16" t="n">
        <v>0</v>
      </c>
      <c r="AH257" s="16" t="n">
        <v>0</v>
      </c>
      <c r="AI257" s="16" t="n">
        <v>0</v>
      </c>
      <c r="AJ257" s="16" t="n">
        <v>0</v>
      </c>
      <c r="AK257" s="16" t="n">
        <v>0</v>
      </c>
      <c r="AL257" s="16" t="n">
        <v>0</v>
      </c>
      <c r="AM257" s="16" t="n">
        <v>0</v>
      </c>
      <c r="AN257" s="16" t="n">
        <v>0</v>
      </c>
      <c r="AO257" s="16" t="n">
        <v>0</v>
      </c>
      <c r="AP257" s="16" t="n">
        <v>0</v>
      </c>
      <c r="AQ257" s="16" t="n">
        <v>0</v>
      </c>
      <c r="AR257" s="16" t="n">
        <v>0</v>
      </c>
      <c r="AS257" s="16" t="n">
        <v>0</v>
      </c>
      <c r="AT257" s="16" t="n">
        <v>0</v>
      </c>
      <c r="AU257" s="16" t="n">
        <v>0</v>
      </c>
      <c r="AV257" s="16" t="n">
        <v>0</v>
      </c>
      <c r="AW257" s="16" t="n">
        <v>0</v>
      </c>
      <c r="AX257" s="16" t="n">
        <v>0</v>
      </c>
      <c r="AY257" s="16" t="n">
        <v>0</v>
      </c>
      <c r="AZ257" s="16" t="n">
        <v>0</v>
      </c>
      <c r="BA257" s="16" t="n">
        <v>0</v>
      </c>
      <c r="BB257" s="16" t="n">
        <v>0</v>
      </c>
      <c r="BC257" s="16" t="n">
        <v>0</v>
      </c>
      <c r="BD257" s="16" t="n">
        <v>0</v>
      </c>
      <c r="BE257" s="16" t="n">
        <v>0</v>
      </c>
      <c r="BF257" s="16" t="n">
        <v>0</v>
      </c>
      <c r="BG257" s="16" t="n">
        <v>0</v>
      </c>
      <c r="BH257" s="16" t="n">
        <v>0</v>
      </c>
      <c r="BI257" s="16" t="n">
        <v>0</v>
      </c>
      <c r="BJ257" s="16" t="n">
        <v>0</v>
      </c>
      <c r="BK257" s="16" t="n">
        <v>0</v>
      </c>
      <c r="BL257" s="16" t="n">
        <v>0</v>
      </c>
      <c r="BM257" s="16" t="n">
        <v>0</v>
      </c>
      <c r="BN257" s="16" t="n">
        <v>0</v>
      </c>
      <c r="BO257" s="16" t="n">
        <v>0</v>
      </c>
      <c r="BP257" s="16" t="n">
        <v>0</v>
      </c>
      <c r="BQ257" s="16" t="n">
        <v>0</v>
      </c>
      <c r="BR257" s="16" t="n">
        <v>0</v>
      </c>
      <c r="BS257" s="16" t="n">
        <v>0</v>
      </c>
      <c r="BT257" s="16" t="n">
        <v>0</v>
      </c>
      <c r="BU257" s="16" t="n">
        <v>0</v>
      </c>
      <c r="BV257" s="16" t="n">
        <v>0</v>
      </c>
      <c r="BW257" s="16" t="n">
        <v>0</v>
      </c>
      <c r="BX257" s="16" t="n">
        <v>0</v>
      </c>
      <c r="BY257" s="16" t="n">
        <v>0</v>
      </c>
      <c r="BZ257" s="16" t="n">
        <v>0</v>
      </c>
      <c r="CA257" s="16" t="n">
        <v>0</v>
      </c>
      <c r="CB257" s="16" t="n">
        <v>0</v>
      </c>
      <c r="CC257" s="16" t="n">
        <v>0</v>
      </c>
      <c r="CD257" s="16" t="n">
        <v>0</v>
      </c>
      <c r="CE257" s="16" t="n">
        <v>0</v>
      </c>
      <c r="CF257" s="16" t="n">
        <v>0</v>
      </c>
      <c r="CG257" s="16" t="n">
        <v>0</v>
      </c>
      <c r="CH257" s="16" t="n">
        <v>0</v>
      </c>
      <c r="CI257" s="16" t="n">
        <v>0</v>
      </c>
      <c r="CJ257" s="16" t="n">
        <v>0</v>
      </c>
      <c r="CK257" s="16" t="n">
        <v>0</v>
      </c>
      <c r="CL257" s="16" t="n">
        <v>0</v>
      </c>
      <c r="CM257" s="16" t="n">
        <v>0</v>
      </c>
      <c r="CN257" s="16" t="n">
        <v>0</v>
      </c>
      <c r="CO257" s="16" t="n">
        <v>0</v>
      </c>
      <c r="CP257" s="16" t="n">
        <v>0</v>
      </c>
      <c r="CQ257" s="16" t="n">
        <v>0</v>
      </c>
      <c r="CR257" s="16" t="n">
        <v>0</v>
      </c>
      <c r="CS257" s="16" t="n">
        <v>0</v>
      </c>
      <c r="CT257" s="16" t="n">
        <v>0</v>
      </c>
      <c r="CU257" s="16" t="n">
        <v>0</v>
      </c>
      <c r="CV257" s="16" t="n">
        <v>0</v>
      </c>
      <c r="CW257" s="16" t="n">
        <v>0</v>
      </c>
      <c r="CX257" s="16" t="n">
        <v>0</v>
      </c>
      <c r="CY257" s="16" t="n">
        <v>0</v>
      </c>
      <c r="CZ257" s="16" t="n">
        <v>0</v>
      </c>
      <c r="DA257" s="16" t="n">
        <v>0</v>
      </c>
      <c r="DB257" s="16" t="n">
        <v>0</v>
      </c>
      <c r="DC257" s="16" t="n">
        <v>0</v>
      </c>
      <c r="DD257" s="16" t="n">
        <v>0</v>
      </c>
      <c r="DE257" s="16" t="n">
        <v>0</v>
      </c>
      <c r="DF257" s="16" t="n">
        <v>0</v>
      </c>
      <c r="DG257" s="16" t="n">
        <v>0</v>
      </c>
      <c r="DH257" s="16" t="n">
        <v>0</v>
      </c>
      <c r="DI257" s="16" t="n">
        <v>0</v>
      </c>
      <c r="DJ257" s="16" t="n">
        <v>0</v>
      </c>
      <c r="DK257" s="16" t="n">
        <v>0</v>
      </c>
      <c r="DL257" s="16" t="n">
        <v>0</v>
      </c>
      <c r="DM257" s="16" t="n">
        <v>0</v>
      </c>
      <c r="DN257" s="16" t="n">
        <v>0</v>
      </c>
      <c r="DO257" s="16" t="n">
        <v>0</v>
      </c>
      <c r="DP257" s="16" t="n">
        <v>0</v>
      </c>
      <c r="DQ257" s="16" t="n">
        <v>0</v>
      </c>
      <c r="DR257" s="16" t="n">
        <v>0</v>
      </c>
      <c r="DS257" s="16" t="n">
        <v>0</v>
      </c>
      <c r="DT257" s="16" t="n">
        <v>0</v>
      </c>
      <c r="DU257" s="16" t="n">
        <v>0</v>
      </c>
      <c r="DV257" s="16" t="n">
        <v>0</v>
      </c>
      <c r="DW257" s="16" t="n">
        <v>0</v>
      </c>
      <c r="DX257" s="16" t="n">
        <v>0</v>
      </c>
      <c r="DY257" s="16" t="n">
        <v>0</v>
      </c>
      <c r="DZ257" s="16" t="n">
        <v>0</v>
      </c>
      <c r="EA257" s="16" t="n">
        <v>0</v>
      </c>
      <c r="EB257" s="16" t="n">
        <v>0</v>
      </c>
      <c r="EC257" s="16" t="n">
        <v>0</v>
      </c>
      <c r="ED257" s="16" t="n">
        <v>0</v>
      </c>
      <c r="EE257" s="16" t="n">
        <v>0</v>
      </c>
      <c r="EF257" s="16" t="n">
        <v>0</v>
      </c>
    </row>
    <row r="258" customFormat="false" ht="15" hidden="false" customHeight="true" outlineLevel="0" collapsed="false">
      <c r="A258" s="9" t="s">
        <v>12</v>
      </c>
      <c r="B258" s="9" t="s">
        <v>115</v>
      </c>
      <c r="C258" s="9" t="s">
        <v>115</v>
      </c>
      <c r="D258" s="9" t="s">
        <v>336</v>
      </c>
      <c r="E258" s="9" t="s">
        <v>14</v>
      </c>
      <c r="F258" s="9" t="s">
        <v>103</v>
      </c>
      <c r="G258" s="16" t="n">
        <v>0</v>
      </c>
      <c r="H258" s="16" t="n">
        <v>0</v>
      </c>
      <c r="I258" s="16" t="n">
        <v>1.5</v>
      </c>
      <c r="J258" s="16" t="n">
        <v>-1.5</v>
      </c>
      <c r="K258" s="16" t="n">
        <v>0</v>
      </c>
      <c r="L258" s="16" t="n">
        <v>0</v>
      </c>
      <c r="M258" s="16" t="n">
        <v>0</v>
      </c>
      <c r="N258" s="16" t="n">
        <v>0</v>
      </c>
      <c r="O258" s="16" t="n">
        <v>0</v>
      </c>
      <c r="P258" s="16" t="n">
        <v>0</v>
      </c>
      <c r="Q258" s="16" t="n">
        <v>0</v>
      </c>
      <c r="R258" s="16" t="n">
        <v>0</v>
      </c>
      <c r="S258" s="16" t="n">
        <v>0</v>
      </c>
      <c r="T258" s="16" t="n">
        <v>0</v>
      </c>
      <c r="U258" s="16" t="n">
        <v>0</v>
      </c>
      <c r="V258" s="16" t="n">
        <v>0</v>
      </c>
      <c r="W258" s="16" t="n">
        <v>0</v>
      </c>
      <c r="X258" s="16" t="n">
        <v>0</v>
      </c>
      <c r="Y258" s="16" t="n">
        <v>0</v>
      </c>
      <c r="Z258" s="16" t="n">
        <v>1.5</v>
      </c>
      <c r="AA258" s="16" t="n">
        <v>0</v>
      </c>
      <c r="AB258" s="16" t="n">
        <v>0</v>
      </c>
      <c r="AC258" s="16" t="n">
        <v>0</v>
      </c>
      <c r="AD258" s="16" t="n">
        <v>0</v>
      </c>
      <c r="AE258" s="16" t="n">
        <v>0</v>
      </c>
      <c r="AF258" s="16" t="n">
        <v>0</v>
      </c>
      <c r="AG258" s="16" t="n">
        <v>0</v>
      </c>
      <c r="AH258" s="16" t="n">
        <v>0</v>
      </c>
      <c r="AI258" s="16" t="n">
        <v>0</v>
      </c>
      <c r="AJ258" s="16" t="n">
        <v>0</v>
      </c>
      <c r="AK258" s="16" t="n">
        <v>0</v>
      </c>
      <c r="AL258" s="16" t="n">
        <v>0</v>
      </c>
      <c r="AM258" s="16" t="n">
        <v>0</v>
      </c>
      <c r="AN258" s="16" t="n">
        <v>0</v>
      </c>
      <c r="AO258" s="16" t="n">
        <v>0</v>
      </c>
      <c r="AP258" s="16" t="n">
        <v>0</v>
      </c>
      <c r="AQ258" s="16" t="n">
        <v>0</v>
      </c>
      <c r="AR258" s="16" t="n">
        <v>0</v>
      </c>
      <c r="AS258" s="16" t="n">
        <v>0</v>
      </c>
      <c r="AT258" s="16" t="n">
        <v>0</v>
      </c>
      <c r="AU258" s="16" t="n">
        <v>0</v>
      </c>
      <c r="AV258" s="16" t="n">
        <v>0</v>
      </c>
      <c r="AW258" s="16" t="n">
        <v>0</v>
      </c>
      <c r="AX258" s="16" t="n">
        <v>0</v>
      </c>
      <c r="AY258" s="16" t="n">
        <v>0</v>
      </c>
      <c r="AZ258" s="16" t="n">
        <v>0</v>
      </c>
      <c r="BA258" s="16" t="n">
        <v>0</v>
      </c>
      <c r="BB258" s="16" t="n">
        <v>0</v>
      </c>
      <c r="BC258" s="16" t="n">
        <v>0</v>
      </c>
      <c r="BD258" s="16" t="n">
        <v>0</v>
      </c>
      <c r="BE258" s="16" t="n">
        <v>0</v>
      </c>
      <c r="BF258" s="16" t="n">
        <v>0</v>
      </c>
      <c r="BG258" s="16" t="n">
        <v>0</v>
      </c>
      <c r="BH258" s="16" t="n">
        <v>0</v>
      </c>
      <c r="BI258" s="16" t="n">
        <v>0</v>
      </c>
      <c r="BJ258" s="16" t="n">
        <v>0</v>
      </c>
      <c r="BK258" s="16" t="n">
        <v>0</v>
      </c>
      <c r="BL258" s="16" t="n">
        <v>0</v>
      </c>
      <c r="BM258" s="16" t="n">
        <v>0</v>
      </c>
      <c r="BN258" s="16" t="n">
        <v>0</v>
      </c>
      <c r="BO258" s="16" t="n">
        <v>0</v>
      </c>
      <c r="BP258" s="16" t="n">
        <v>0</v>
      </c>
      <c r="BQ258" s="16" t="n">
        <v>0</v>
      </c>
      <c r="BR258" s="16" t="n">
        <v>0</v>
      </c>
      <c r="BS258" s="16" t="n">
        <v>0</v>
      </c>
      <c r="BT258" s="16" t="n">
        <v>0</v>
      </c>
      <c r="BU258" s="16" t="n">
        <v>0</v>
      </c>
      <c r="BV258" s="16" t="n">
        <v>0</v>
      </c>
      <c r="BW258" s="16" t="n">
        <v>0</v>
      </c>
      <c r="BX258" s="16" t="n">
        <v>0</v>
      </c>
      <c r="BY258" s="16" t="n">
        <v>0</v>
      </c>
      <c r="BZ258" s="16" t="n">
        <v>0</v>
      </c>
      <c r="CA258" s="16" t="n">
        <v>0</v>
      </c>
      <c r="CB258" s="16" t="n">
        <v>0</v>
      </c>
      <c r="CC258" s="16" t="n">
        <v>0</v>
      </c>
      <c r="CD258" s="16" t="n">
        <v>0</v>
      </c>
      <c r="CE258" s="16" t="n">
        <v>0</v>
      </c>
      <c r="CF258" s="16" t="n">
        <v>0</v>
      </c>
      <c r="CG258" s="16" t="n">
        <v>0</v>
      </c>
      <c r="CH258" s="16" t="n">
        <v>0</v>
      </c>
      <c r="CI258" s="16" t="n">
        <v>0</v>
      </c>
      <c r="CJ258" s="16" t="n">
        <v>0</v>
      </c>
      <c r="CK258" s="16" t="n">
        <v>0</v>
      </c>
      <c r="CL258" s="16" t="n">
        <v>0</v>
      </c>
      <c r="CM258" s="16" t="n">
        <v>0</v>
      </c>
      <c r="CN258" s="16" t="n">
        <v>0</v>
      </c>
      <c r="CO258" s="16" t="n">
        <v>0</v>
      </c>
      <c r="CP258" s="16" t="n">
        <v>0</v>
      </c>
      <c r="CQ258" s="16" t="n">
        <v>0</v>
      </c>
      <c r="CR258" s="16" t="n">
        <v>0</v>
      </c>
      <c r="CS258" s="16" t="n">
        <v>0</v>
      </c>
      <c r="CT258" s="16" t="n">
        <v>0</v>
      </c>
      <c r="CU258" s="16" t="n">
        <v>0</v>
      </c>
      <c r="CV258" s="16" t="n">
        <v>0</v>
      </c>
      <c r="CW258" s="16" t="n">
        <v>0</v>
      </c>
      <c r="CX258" s="16" t="n">
        <v>0</v>
      </c>
      <c r="CY258" s="16" t="n">
        <v>0</v>
      </c>
      <c r="CZ258" s="16" t="n">
        <v>0</v>
      </c>
      <c r="DA258" s="16" t="n">
        <v>0</v>
      </c>
      <c r="DB258" s="16" t="n">
        <v>0</v>
      </c>
      <c r="DC258" s="16" t="n">
        <v>0</v>
      </c>
      <c r="DD258" s="16" t="n">
        <v>0</v>
      </c>
      <c r="DE258" s="16" t="n">
        <v>0</v>
      </c>
      <c r="DF258" s="16" t="n">
        <v>0</v>
      </c>
      <c r="DG258" s="16" t="n">
        <v>0</v>
      </c>
      <c r="DH258" s="16" t="n">
        <v>0</v>
      </c>
      <c r="DI258" s="16" t="n">
        <v>0</v>
      </c>
      <c r="DJ258" s="16" t="n">
        <v>0</v>
      </c>
      <c r="DK258" s="16" t="n">
        <v>0</v>
      </c>
      <c r="DL258" s="16" t="n">
        <v>0</v>
      </c>
      <c r="DM258" s="16" t="n">
        <v>0</v>
      </c>
      <c r="DN258" s="16" t="n">
        <v>0</v>
      </c>
      <c r="DO258" s="16" t="n">
        <v>0</v>
      </c>
      <c r="DP258" s="16" t="n">
        <v>0</v>
      </c>
      <c r="DQ258" s="16" t="n">
        <v>0</v>
      </c>
      <c r="DR258" s="16" t="n">
        <v>0</v>
      </c>
      <c r="DS258" s="16" t="n">
        <v>0</v>
      </c>
      <c r="DT258" s="16" t="n">
        <v>0</v>
      </c>
      <c r="DU258" s="16" t="n">
        <v>0</v>
      </c>
      <c r="DV258" s="16" t="n">
        <v>0</v>
      </c>
      <c r="DW258" s="16" t="n">
        <v>0</v>
      </c>
      <c r="DX258" s="16" t="n">
        <v>0</v>
      </c>
      <c r="DY258" s="16" t="n">
        <v>0</v>
      </c>
      <c r="DZ258" s="16" t="n">
        <v>0</v>
      </c>
      <c r="EA258" s="16" t="n">
        <v>0</v>
      </c>
      <c r="EB258" s="16" t="n">
        <v>0</v>
      </c>
      <c r="EC258" s="16" t="n">
        <v>0</v>
      </c>
      <c r="ED258" s="16" t="n">
        <v>0</v>
      </c>
      <c r="EE258" s="16" t="n">
        <v>0</v>
      </c>
      <c r="EF258" s="16" t="n">
        <v>0</v>
      </c>
    </row>
    <row r="259" customFormat="false" ht="15" hidden="false" customHeight="true" outlineLevel="0" collapsed="false">
      <c r="A259" s="9" t="s">
        <v>12</v>
      </c>
      <c r="B259" s="9" t="s">
        <v>115</v>
      </c>
      <c r="C259" s="9" t="s">
        <v>115</v>
      </c>
      <c r="D259" s="9" t="s">
        <v>336</v>
      </c>
      <c r="E259" s="9" t="s">
        <v>14</v>
      </c>
      <c r="F259" s="9" t="s">
        <v>86</v>
      </c>
      <c r="G259" s="16" t="n">
        <v>0</v>
      </c>
      <c r="H259" s="16" t="n">
        <v>0</v>
      </c>
      <c r="I259" s="16" t="n">
        <v>2</v>
      </c>
      <c r="J259" s="16" t="n">
        <v>-2</v>
      </c>
      <c r="K259" s="16" t="n">
        <v>0</v>
      </c>
      <c r="L259" s="16" t="n">
        <v>0</v>
      </c>
      <c r="M259" s="16" t="n">
        <v>0</v>
      </c>
      <c r="N259" s="16" t="n">
        <v>0</v>
      </c>
      <c r="O259" s="16" t="n">
        <v>0</v>
      </c>
      <c r="P259" s="16" t="n">
        <v>0</v>
      </c>
      <c r="Q259" s="16" t="n">
        <v>0</v>
      </c>
      <c r="R259" s="16" t="n">
        <v>0</v>
      </c>
      <c r="S259" s="16" t="n">
        <v>0</v>
      </c>
      <c r="T259" s="16" t="n">
        <v>0</v>
      </c>
      <c r="U259" s="16" t="n">
        <v>0</v>
      </c>
      <c r="V259" s="16" t="n">
        <v>0</v>
      </c>
      <c r="W259" s="16" t="n">
        <v>0</v>
      </c>
      <c r="X259" s="16" t="n">
        <v>0</v>
      </c>
      <c r="Y259" s="16" t="n">
        <v>2</v>
      </c>
      <c r="Z259" s="16" t="n">
        <v>0</v>
      </c>
      <c r="AA259" s="16" t="n">
        <v>0</v>
      </c>
      <c r="AB259" s="16" t="n">
        <v>0</v>
      </c>
      <c r="AC259" s="16" t="n">
        <v>0</v>
      </c>
      <c r="AD259" s="16" t="n">
        <v>0</v>
      </c>
      <c r="AE259" s="16" t="n">
        <v>0</v>
      </c>
      <c r="AF259" s="16" t="n">
        <v>0</v>
      </c>
      <c r="AG259" s="16" t="n">
        <v>0</v>
      </c>
      <c r="AH259" s="16" t="n">
        <v>0</v>
      </c>
      <c r="AI259" s="16" t="n">
        <v>0</v>
      </c>
      <c r="AJ259" s="16" t="n">
        <v>0</v>
      </c>
      <c r="AK259" s="16" t="n">
        <v>0</v>
      </c>
      <c r="AL259" s="16" t="n">
        <v>0</v>
      </c>
      <c r="AM259" s="16" t="n">
        <v>0</v>
      </c>
      <c r="AN259" s="16" t="n">
        <v>0</v>
      </c>
      <c r="AO259" s="16" t="n">
        <v>0</v>
      </c>
      <c r="AP259" s="16" t="n">
        <v>0</v>
      </c>
      <c r="AQ259" s="16" t="n">
        <v>0</v>
      </c>
      <c r="AR259" s="16" t="n">
        <v>0</v>
      </c>
      <c r="AS259" s="16" t="n">
        <v>0</v>
      </c>
      <c r="AT259" s="16" t="n">
        <v>0</v>
      </c>
      <c r="AU259" s="16" t="n">
        <v>0</v>
      </c>
      <c r="AV259" s="16" t="n">
        <v>0</v>
      </c>
      <c r="AW259" s="16" t="n">
        <v>0</v>
      </c>
      <c r="AX259" s="16" t="n">
        <v>0</v>
      </c>
      <c r="AY259" s="16" t="n">
        <v>0</v>
      </c>
      <c r="AZ259" s="16" t="n">
        <v>0</v>
      </c>
      <c r="BA259" s="16" t="n">
        <v>0</v>
      </c>
      <c r="BB259" s="16" t="n">
        <v>0</v>
      </c>
      <c r="BC259" s="16" t="n">
        <v>0</v>
      </c>
      <c r="BD259" s="16" t="n">
        <v>0</v>
      </c>
      <c r="BE259" s="16" t="n">
        <v>0</v>
      </c>
      <c r="BF259" s="16" t="n">
        <v>0</v>
      </c>
      <c r="BG259" s="16" t="n">
        <v>0</v>
      </c>
      <c r="BH259" s="16" t="n">
        <v>0</v>
      </c>
      <c r="BI259" s="16" t="n">
        <v>0</v>
      </c>
      <c r="BJ259" s="16" t="n">
        <v>0</v>
      </c>
      <c r="BK259" s="16" t="n">
        <v>0</v>
      </c>
      <c r="BL259" s="16" t="n">
        <v>0</v>
      </c>
      <c r="BM259" s="16" t="n">
        <v>0</v>
      </c>
      <c r="BN259" s="16" t="n">
        <v>0</v>
      </c>
      <c r="BO259" s="16" t="n">
        <v>0</v>
      </c>
      <c r="BP259" s="16" t="n">
        <v>0</v>
      </c>
      <c r="BQ259" s="16" t="n">
        <v>0</v>
      </c>
      <c r="BR259" s="16" t="n">
        <v>0</v>
      </c>
      <c r="BS259" s="16" t="n">
        <v>0</v>
      </c>
      <c r="BT259" s="16" t="n">
        <v>0</v>
      </c>
      <c r="BU259" s="16" t="n">
        <v>0</v>
      </c>
      <c r="BV259" s="16" t="n">
        <v>0</v>
      </c>
      <c r="BW259" s="16" t="n">
        <v>0</v>
      </c>
      <c r="BX259" s="16" t="n">
        <v>0</v>
      </c>
      <c r="BY259" s="16" t="n">
        <v>0</v>
      </c>
      <c r="BZ259" s="16" t="n">
        <v>0</v>
      </c>
      <c r="CA259" s="16" t="n">
        <v>0</v>
      </c>
      <c r="CB259" s="16" t="n">
        <v>0</v>
      </c>
      <c r="CC259" s="16" t="n">
        <v>0</v>
      </c>
      <c r="CD259" s="16" t="n">
        <v>0</v>
      </c>
      <c r="CE259" s="16" t="n">
        <v>0</v>
      </c>
      <c r="CF259" s="16" t="n">
        <v>0</v>
      </c>
      <c r="CG259" s="16" t="n">
        <v>0</v>
      </c>
      <c r="CH259" s="16" t="n">
        <v>0</v>
      </c>
      <c r="CI259" s="16" t="n">
        <v>0</v>
      </c>
      <c r="CJ259" s="16" t="n">
        <v>0</v>
      </c>
      <c r="CK259" s="16" t="n">
        <v>0</v>
      </c>
      <c r="CL259" s="16" t="n">
        <v>0</v>
      </c>
      <c r="CM259" s="16" t="n">
        <v>0</v>
      </c>
      <c r="CN259" s="16" t="n">
        <v>0</v>
      </c>
      <c r="CO259" s="16" t="n">
        <v>0</v>
      </c>
      <c r="CP259" s="16" t="n">
        <v>0</v>
      </c>
      <c r="CQ259" s="16" t="n">
        <v>0</v>
      </c>
      <c r="CR259" s="16" t="n">
        <v>0</v>
      </c>
      <c r="CS259" s="16" t="n">
        <v>0</v>
      </c>
      <c r="CT259" s="16" t="n">
        <v>0</v>
      </c>
      <c r="CU259" s="16" t="n">
        <v>0</v>
      </c>
      <c r="CV259" s="16" t="n">
        <v>0</v>
      </c>
      <c r="CW259" s="16" t="n">
        <v>0</v>
      </c>
      <c r="CX259" s="16" t="n">
        <v>0</v>
      </c>
      <c r="CY259" s="16" t="n">
        <v>0</v>
      </c>
      <c r="CZ259" s="16" t="n">
        <v>0</v>
      </c>
      <c r="DA259" s="16" t="n">
        <v>0</v>
      </c>
      <c r="DB259" s="16" t="n">
        <v>0</v>
      </c>
      <c r="DC259" s="16" t="n">
        <v>0</v>
      </c>
      <c r="DD259" s="16" t="n">
        <v>0</v>
      </c>
      <c r="DE259" s="16" t="n">
        <v>0</v>
      </c>
      <c r="DF259" s="16" t="n">
        <v>0</v>
      </c>
      <c r="DG259" s="16" t="n">
        <v>0</v>
      </c>
      <c r="DH259" s="16" t="n">
        <v>0</v>
      </c>
      <c r="DI259" s="16" t="n">
        <v>0</v>
      </c>
      <c r="DJ259" s="16" t="n">
        <v>0</v>
      </c>
      <c r="DK259" s="16" t="n">
        <v>0</v>
      </c>
      <c r="DL259" s="16" t="n">
        <v>0</v>
      </c>
      <c r="DM259" s="16" t="n">
        <v>0</v>
      </c>
      <c r="DN259" s="16" t="n">
        <v>0</v>
      </c>
      <c r="DO259" s="16" t="n">
        <v>0</v>
      </c>
      <c r="DP259" s="16" t="n">
        <v>0</v>
      </c>
      <c r="DQ259" s="16" t="n">
        <v>0</v>
      </c>
      <c r="DR259" s="16" t="n">
        <v>0</v>
      </c>
      <c r="DS259" s="16" t="n">
        <v>0</v>
      </c>
      <c r="DT259" s="16" t="n">
        <v>0</v>
      </c>
      <c r="DU259" s="16" t="n">
        <v>0</v>
      </c>
      <c r="DV259" s="16" t="n">
        <v>0</v>
      </c>
      <c r="DW259" s="16" t="n">
        <v>0</v>
      </c>
      <c r="DX259" s="16" t="n">
        <v>0</v>
      </c>
      <c r="DY259" s="16" t="n">
        <v>0</v>
      </c>
      <c r="DZ259" s="16" t="n">
        <v>0</v>
      </c>
      <c r="EA259" s="16" t="n">
        <v>0</v>
      </c>
      <c r="EB259" s="16" t="n">
        <v>0</v>
      </c>
      <c r="EC259" s="16" t="n">
        <v>0</v>
      </c>
      <c r="ED259" s="16" t="n">
        <v>0</v>
      </c>
      <c r="EE259" s="16" t="n">
        <v>0</v>
      </c>
      <c r="EF259" s="16" t="n">
        <v>0</v>
      </c>
    </row>
    <row r="260" customFormat="false" ht="15" hidden="false" customHeight="true" outlineLevel="0" collapsed="false">
      <c r="A260" s="9" t="s">
        <v>12</v>
      </c>
      <c r="B260" s="9" t="s">
        <v>115</v>
      </c>
      <c r="C260" s="9" t="s">
        <v>115</v>
      </c>
      <c r="D260" s="9" t="s">
        <v>336</v>
      </c>
      <c r="E260" s="9" t="s">
        <v>14</v>
      </c>
      <c r="F260" s="9" t="s">
        <v>111</v>
      </c>
      <c r="G260" s="16" t="n">
        <v>0</v>
      </c>
      <c r="H260" s="16" t="n">
        <v>0</v>
      </c>
      <c r="I260" s="16" t="n">
        <v>1.5</v>
      </c>
      <c r="J260" s="16" t="n">
        <v>-1.5</v>
      </c>
      <c r="K260" s="16" t="n">
        <v>0</v>
      </c>
      <c r="L260" s="16" t="n">
        <v>0</v>
      </c>
      <c r="M260" s="16" t="n">
        <v>0</v>
      </c>
      <c r="N260" s="16" t="n">
        <v>0</v>
      </c>
      <c r="O260" s="16" t="n">
        <v>0</v>
      </c>
      <c r="P260" s="16" t="n">
        <v>0</v>
      </c>
      <c r="Q260" s="16" t="n">
        <v>0</v>
      </c>
      <c r="R260" s="16" t="n">
        <v>0</v>
      </c>
      <c r="S260" s="16" t="n">
        <v>0</v>
      </c>
      <c r="T260" s="16" t="n">
        <v>0</v>
      </c>
      <c r="U260" s="16" t="n">
        <v>0</v>
      </c>
      <c r="V260" s="16" t="n">
        <v>0</v>
      </c>
      <c r="W260" s="16" t="n">
        <v>0</v>
      </c>
      <c r="X260" s="16" t="n">
        <v>0</v>
      </c>
      <c r="Y260" s="16" t="n">
        <v>1</v>
      </c>
      <c r="Z260" s="16" t="n">
        <v>0</v>
      </c>
      <c r="AA260" s="16" t="n">
        <v>0.5</v>
      </c>
      <c r="AB260" s="16" t="n">
        <v>0</v>
      </c>
      <c r="AC260" s="16" t="n">
        <v>0</v>
      </c>
      <c r="AD260" s="16" t="n">
        <v>0</v>
      </c>
      <c r="AE260" s="16" t="n">
        <v>0</v>
      </c>
      <c r="AF260" s="16" t="n">
        <v>0</v>
      </c>
      <c r="AG260" s="16" t="n">
        <v>0</v>
      </c>
      <c r="AH260" s="16" t="n">
        <v>0</v>
      </c>
      <c r="AI260" s="16" t="n">
        <v>0</v>
      </c>
      <c r="AJ260" s="16" t="n">
        <v>0</v>
      </c>
      <c r="AK260" s="16" t="n">
        <v>0</v>
      </c>
      <c r="AL260" s="16" t="n">
        <v>0</v>
      </c>
      <c r="AM260" s="16" t="n">
        <v>0</v>
      </c>
      <c r="AN260" s="16" t="n">
        <v>0</v>
      </c>
      <c r="AO260" s="16" t="n">
        <v>0</v>
      </c>
      <c r="AP260" s="16" t="n">
        <v>0</v>
      </c>
      <c r="AQ260" s="16" t="n">
        <v>0</v>
      </c>
      <c r="AR260" s="16" t="n">
        <v>0</v>
      </c>
      <c r="AS260" s="16" t="n">
        <v>0</v>
      </c>
      <c r="AT260" s="16" t="n">
        <v>0</v>
      </c>
      <c r="AU260" s="16" t="n">
        <v>0</v>
      </c>
      <c r="AV260" s="16" t="n">
        <v>0</v>
      </c>
      <c r="AW260" s="16" t="n">
        <v>0</v>
      </c>
      <c r="AX260" s="16" t="n">
        <v>0</v>
      </c>
      <c r="AY260" s="16" t="n">
        <v>0</v>
      </c>
      <c r="AZ260" s="16" t="n">
        <v>0</v>
      </c>
      <c r="BA260" s="16" t="n">
        <v>0</v>
      </c>
      <c r="BB260" s="16" t="n">
        <v>0</v>
      </c>
      <c r="BC260" s="16" t="n">
        <v>0</v>
      </c>
      <c r="BD260" s="16" t="n">
        <v>0</v>
      </c>
      <c r="BE260" s="16" t="n">
        <v>0</v>
      </c>
      <c r="BF260" s="16" t="n">
        <v>0</v>
      </c>
      <c r="BG260" s="16" t="n">
        <v>0</v>
      </c>
      <c r="BH260" s="16" t="n">
        <v>0</v>
      </c>
      <c r="BI260" s="16" t="n">
        <v>0</v>
      </c>
      <c r="BJ260" s="16" t="n">
        <v>0</v>
      </c>
      <c r="BK260" s="16" t="n">
        <v>0</v>
      </c>
      <c r="BL260" s="16" t="n">
        <v>0</v>
      </c>
      <c r="BM260" s="16" t="n">
        <v>0</v>
      </c>
      <c r="BN260" s="16" t="n">
        <v>0</v>
      </c>
      <c r="BO260" s="16" t="n">
        <v>0</v>
      </c>
      <c r="BP260" s="16" t="n">
        <v>0</v>
      </c>
      <c r="BQ260" s="16" t="n">
        <v>0</v>
      </c>
      <c r="BR260" s="16" t="n">
        <v>0</v>
      </c>
      <c r="BS260" s="16" t="n">
        <v>0</v>
      </c>
      <c r="BT260" s="16" t="n">
        <v>0</v>
      </c>
      <c r="BU260" s="16" t="n">
        <v>0</v>
      </c>
      <c r="BV260" s="16" t="n">
        <v>0</v>
      </c>
      <c r="BW260" s="16" t="n">
        <v>0</v>
      </c>
      <c r="BX260" s="16" t="n">
        <v>0</v>
      </c>
      <c r="BY260" s="16" t="n">
        <v>0</v>
      </c>
      <c r="BZ260" s="16" t="n">
        <v>0</v>
      </c>
      <c r="CA260" s="16" t="n">
        <v>0</v>
      </c>
      <c r="CB260" s="16" t="n">
        <v>0</v>
      </c>
      <c r="CC260" s="16" t="n">
        <v>0</v>
      </c>
      <c r="CD260" s="16" t="n">
        <v>0</v>
      </c>
      <c r="CE260" s="16" t="n">
        <v>0</v>
      </c>
      <c r="CF260" s="16" t="n">
        <v>0</v>
      </c>
      <c r="CG260" s="16" t="n">
        <v>0</v>
      </c>
      <c r="CH260" s="16" t="n">
        <v>0</v>
      </c>
      <c r="CI260" s="16" t="n">
        <v>0</v>
      </c>
      <c r="CJ260" s="16" t="n">
        <v>0</v>
      </c>
      <c r="CK260" s="16" t="n">
        <v>0</v>
      </c>
      <c r="CL260" s="16" t="n">
        <v>0</v>
      </c>
      <c r="CM260" s="16" t="n">
        <v>0</v>
      </c>
      <c r="CN260" s="16" t="n">
        <v>0</v>
      </c>
      <c r="CO260" s="16" t="n">
        <v>0</v>
      </c>
      <c r="CP260" s="16" t="n">
        <v>0</v>
      </c>
      <c r="CQ260" s="16" t="n">
        <v>0</v>
      </c>
      <c r="CR260" s="16" t="n">
        <v>0</v>
      </c>
      <c r="CS260" s="16" t="n">
        <v>0</v>
      </c>
      <c r="CT260" s="16" t="n">
        <v>0</v>
      </c>
      <c r="CU260" s="16" t="n">
        <v>0</v>
      </c>
      <c r="CV260" s="16" t="n">
        <v>0</v>
      </c>
      <c r="CW260" s="16" t="n">
        <v>0</v>
      </c>
      <c r="CX260" s="16" t="n">
        <v>0</v>
      </c>
      <c r="CY260" s="16" t="n">
        <v>0</v>
      </c>
      <c r="CZ260" s="16" t="n">
        <v>0</v>
      </c>
      <c r="DA260" s="16" t="n">
        <v>0</v>
      </c>
      <c r="DB260" s="16" t="n">
        <v>0</v>
      </c>
      <c r="DC260" s="16" t="n">
        <v>0</v>
      </c>
      <c r="DD260" s="16" t="n">
        <v>0</v>
      </c>
      <c r="DE260" s="16" t="n">
        <v>0</v>
      </c>
      <c r="DF260" s="16" t="n">
        <v>0</v>
      </c>
      <c r="DG260" s="16" t="n">
        <v>0</v>
      </c>
      <c r="DH260" s="16" t="n">
        <v>0</v>
      </c>
      <c r="DI260" s="16" t="n">
        <v>0</v>
      </c>
      <c r="DJ260" s="16" t="n">
        <v>0</v>
      </c>
      <c r="DK260" s="16" t="n">
        <v>0</v>
      </c>
      <c r="DL260" s="16" t="n">
        <v>0</v>
      </c>
      <c r="DM260" s="16" t="n">
        <v>0</v>
      </c>
      <c r="DN260" s="16" t="n">
        <v>0</v>
      </c>
      <c r="DO260" s="16" t="n">
        <v>0</v>
      </c>
      <c r="DP260" s="16" t="n">
        <v>0</v>
      </c>
      <c r="DQ260" s="16" t="n">
        <v>0</v>
      </c>
      <c r="DR260" s="16" t="n">
        <v>0</v>
      </c>
      <c r="DS260" s="16" t="n">
        <v>0</v>
      </c>
      <c r="DT260" s="16" t="n">
        <v>0</v>
      </c>
      <c r="DU260" s="16" t="n">
        <v>0</v>
      </c>
      <c r="DV260" s="16" t="n">
        <v>0</v>
      </c>
      <c r="DW260" s="16" t="n">
        <v>0</v>
      </c>
      <c r="DX260" s="16" t="n">
        <v>0</v>
      </c>
      <c r="DY260" s="16" t="n">
        <v>0</v>
      </c>
      <c r="DZ260" s="16" t="n">
        <v>0</v>
      </c>
      <c r="EA260" s="16" t="n">
        <v>0</v>
      </c>
      <c r="EB260" s="16" t="n">
        <v>0</v>
      </c>
      <c r="EC260" s="16" t="n">
        <v>0</v>
      </c>
      <c r="ED260" s="16" t="n">
        <v>0</v>
      </c>
      <c r="EE260" s="16" t="n">
        <v>0</v>
      </c>
      <c r="EF260" s="16" t="n">
        <v>0</v>
      </c>
    </row>
    <row r="261" customFormat="false" ht="15" hidden="false" customHeight="true" outlineLevel="0" collapsed="false">
      <c r="A261" s="9" t="s">
        <v>12</v>
      </c>
      <c r="B261" s="9" t="s">
        <v>33</v>
      </c>
      <c r="C261" s="9" t="s">
        <v>33</v>
      </c>
      <c r="D261" s="9" t="s">
        <v>337</v>
      </c>
      <c r="E261" s="9" t="s">
        <v>10</v>
      </c>
      <c r="F261" s="9" t="s">
        <v>81</v>
      </c>
      <c r="G261" s="16" t="n">
        <v>0</v>
      </c>
      <c r="H261" s="16" t="n">
        <v>0</v>
      </c>
      <c r="I261" s="16" t="n">
        <v>3</v>
      </c>
      <c r="J261" s="16" t="n">
        <v>-3</v>
      </c>
      <c r="K261" s="16" t="n">
        <v>0</v>
      </c>
      <c r="L261" s="16" t="n">
        <v>0</v>
      </c>
      <c r="M261" s="16" t="n">
        <v>0</v>
      </c>
      <c r="N261" s="16" t="n">
        <v>0</v>
      </c>
      <c r="O261" s="16" t="n">
        <v>0</v>
      </c>
      <c r="P261" s="16" t="n">
        <v>0</v>
      </c>
      <c r="Q261" s="16" t="n">
        <v>0</v>
      </c>
      <c r="R261" s="16" t="n">
        <v>0</v>
      </c>
      <c r="S261" s="16" t="n">
        <v>0</v>
      </c>
      <c r="T261" s="16" t="n">
        <v>0</v>
      </c>
      <c r="U261" s="16" t="n">
        <v>0</v>
      </c>
      <c r="V261" s="16" t="n">
        <v>0</v>
      </c>
      <c r="W261" s="16" t="n">
        <v>0</v>
      </c>
      <c r="X261" s="16" t="n">
        <v>0</v>
      </c>
      <c r="Y261" s="16" t="n">
        <v>0</v>
      </c>
      <c r="Z261" s="16" t="n">
        <v>0</v>
      </c>
      <c r="AA261" s="16" t="n">
        <v>0</v>
      </c>
      <c r="AB261" s="16" t="n">
        <v>0</v>
      </c>
      <c r="AC261" s="16" t="n">
        <v>0</v>
      </c>
      <c r="AD261" s="16" t="n">
        <v>0</v>
      </c>
      <c r="AE261" s="16" t="n">
        <v>0</v>
      </c>
      <c r="AF261" s="16" t="n">
        <v>0</v>
      </c>
      <c r="AG261" s="16" t="n">
        <v>0</v>
      </c>
      <c r="AH261" s="16" t="n">
        <v>0</v>
      </c>
      <c r="AI261" s="16" t="n">
        <v>0</v>
      </c>
      <c r="AJ261" s="16" t="n">
        <v>0</v>
      </c>
      <c r="AK261" s="16" t="n">
        <v>0</v>
      </c>
      <c r="AL261" s="16" t="n">
        <v>3</v>
      </c>
      <c r="AM261" s="16" t="n">
        <v>0</v>
      </c>
      <c r="AN261" s="16" t="n">
        <v>0</v>
      </c>
      <c r="AO261" s="16" t="n">
        <v>0</v>
      </c>
      <c r="AP261" s="16" t="n">
        <v>0</v>
      </c>
      <c r="AQ261" s="16" t="n">
        <v>0</v>
      </c>
      <c r="AR261" s="16" t="n">
        <v>0</v>
      </c>
      <c r="AS261" s="16" t="n">
        <v>0</v>
      </c>
      <c r="AT261" s="16" t="n">
        <v>0</v>
      </c>
      <c r="AU261" s="16" t="n">
        <v>0</v>
      </c>
      <c r="AV261" s="16" t="n">
        <v>0</v>
      </c>
      <c r="AW261" s="16" t="n">
        <v>0</v>
      </c>
      <c r="AX261" s="16" t="n">
        <v>0</v>
      </c>
      <c r="AY261" s="16" t="n">
        <v>0</v>
      </c>
      <c r="AZ261" s="16" t="n">
        <v>0</v>
      </c>
      <c r="BA261" s="16" t="n">
        <v>0</v>
      </c>
      <c r="BB261" s="16" t="n">
        <v>0</v>
      </c>
      <c r="BC261" s="16" t="n">
        <v>0</v>
      </c>
      <c r="BD261" s="16" t="n">
        <v>0</v>
      </c>
      <c r="BE261" s="16" t="n">
        <v>0</v>
      </c>
      <c r="BF261" s="16" t="n">
        <v>0</v>
      </c>
      <c r="BG261" s="16" t="n">
        <v>0</v>
      </c>
      <c r="BH261" s="16" t="n">
        <v>0</v>
      </c>
      <c r="BI261" s="16" t="n">
        <v>0</v>
      </c>
      <c r="BJ261" s="16" t="n">
        <v>0</v>
      </c>
      <c r="BK261" s="16" t="n">
        <v>0</v>
      </c>
      <c r="BL261" s="16" t="n">
        <v>0</v>
      </c>
      <c r="BM261" s="16" t="n">
        <v>0</v>
      </c>
      <c r="BN261" s="16" t="n">
        <v>0</v>
      </c>
      <c r="BO261" s="16" t="n">
        <v>0</v>
      </c>
      <c r="BP261" s="16" t="n">
        <v>0</v>
      </c>
      <c r="BQ261" s="16" t="n">
        <v>0</v>
      </c>
      <c r="BR261" s="16" t="n">
        <v>0</v>
      </c>
      <c r="BS261" s="16" t="n">
        <v>0</v>
      </c>
      <c r="BT261" s="16" t="n">
        <v>0</v>
      </c>
      <c r="BU261" s="16" t="n">
        <v>0</v>
      </c>
      <c r="BV261" s="16" t="n">
        <v>0</v>
      </c>
      <c r="BW261" s="16" t="n">
        <v>0</v>
      </c>
      <c r="BX261" s="16" t="n">
        <v>0</v>
      </c>
      <c r="BY261" s="16" t="n">
        <v>0</v>
      </c>
      <c r="BZ261" s="16" t="n">
        <v>0</v>
      </c>
      <c r="CA261" s="16" t="n">
        <v>0</v>
      </c>
      <c r="CB261" s="16" t="n">
        <v>0</v>
      </c>
      <c r="CC261" s="16" t="n">
        <v>0</v>
      </c>
      <c r="CD261" s="16" t="n">
        <v>0</v>
      </c>
      <c r="CE261" s="16" t="n">
        <v>0</v>
      </c>
      <c r="CF261" s="16" t="n">
        <v>0</v>
      </c>
      <c r="CG261" s="16" t="n">
        <v>0</v>
      </c>
      <c r="CH261" s="16" t="n">
        <v>0</v>
      </c>
      <c r="CI261" s="16" t="n">
        <v>0</v>
      </c>
      <c r="CJ261" s="16" t="n">
        <v>0</v>
      </c>
      <c r="CK261" s="16" t="n">
        <v>0</v>
      </c>
      <c r="CL261" s="16" t="n">
        <v>0</v>
      </c>
      <c r="CM261" s="16" t="n">
        <v>0</v>
      </c>
      <c r="CN261" s="16" t="n">
        <v>0</v>
      </c>
      <c r="CO261" s="16" t="n">
        <v>0</v>
      </c>
      <c r="CP261" s="16" t="n">
        <v>0</v>
      </c>
      <c r="CQ261" s="16" t="n">
        <v>0</v>
      </c>
      <c r="CR261" s="16" t="n">
        <v>0</v>
      </c>
      <c r="CS261" s="16" t="n">
        <v>0</v>
      </c>
      <c r="CT261" s="16" t="n">
        <v>0</v>
      </c>
      <c r="CU261" s="16" t="n">
        <v>0</v>
      </c>
      <c r="CV261" s="16" t="n">
        <v>0</v>
      </c>
      <c r="CW261" s="16" t="n">
        <v>0</v>
      </c>
      <c r="CX261" s="16" t="n">
        <v>0</v>
      </c>
      <c r="CY261" s="16" t="n">
        <v>0</v>
      </c>
      <c r="CZ261" s="16" t="n">
        <v>0</v>
      </c>
      <c r="DA261" s="16" t="n">
        <v>0</v>
      </c>
      <c r="DB261" s="16" t="n">
        <v>0</v>
      </c>
      <c r="DC261" s="16" t="n">
        <v>0</v>
      </c>
      <c r="DD261" s="16" t="n">
        <v>0</v>
      </c>
      <c r="DE261" s="16" t="n">
        <v>0</v>
      </c>
      <c r="DF261" s="16" t="n">
        <v>0</v>
      </c>
      <c r="DG261" s="16" t="n">
        <v>0</v>
      </c>
      <c r="DH261" s="16" t="n">
        <v>0</v>
      </c>
      <c r="DI261" s="16" t="n">
        <v>0</v>
      </c>
      <c r="DJ261" s="16" t="n">
        <v>0</v>
      </c>
      <c r="DK261" s="16" t="n">
        <v>0</v>
      </c>
      <c r="DL261" s="16" t="n">
        <v>0</v>
      </c>
      <c r="DM261" s="16" t="n">
        <v>0</v>
      </c>
      <c r="DN261" s="16" t="n">
        <v>0</v>
      </c>
      <c r="DO261" s="16" t="n">
        <v>0</v>
      </c>
      <c r="DP261" s="16" t="n">
        <v>0</v>
      </c>
      <c r="DQ261" s="16" t="n">
        <v>0</v>
      </c>
      <c r="DR261" s="16" t="n">
        <v>0</v>
      </c>
      <c r="DS261" s="16" t="n">
        <v>0</v>
      </c>
      <c r="DT261" s="16" t="n">
        <v>0</v>
      </c>
      <c r="DU261" s="16" t="n">
        <v>0</v>
      </c>
      <c r="DV261" s="16" t="n">
        <v>0</v>
      </c>
      <c r="DW261" s="16" t="n">
        <v>0</v>
      </c>
      <c r="DX261" s="16" t="n">
        <v>0</v>
      </c>
      <c r="DY261" s="16" t="n">
        <v>0</v>
      </c>
      <c r="DZ261" s="16" t="n">
        <v>0</v>
      </c>
      <c r="EA261" s="16" t="n">
        <v>0</v>
      </c>
      <c r="EB261" s="16" t="n">
        <v>0</v>
      </c>
      <c r="EC261" s="16" t="n">
        <v>0</v>
      </c>
      <c r="ED261" s="16" t="n">
        <v>0</v>
      </c>
      <c r="EE261" s="16" t="n">
        <v>0</v>
      </c>
      <c r="EF261" s="16" t="n">
        <v>0</v>
      </c>
    </row>
    <row r="262" customFormat="false" ht="15" hidden="false" customHeight="true" outlineLevel="0" collapsed="false">
      <c r="A262" s="9" t="s">
        <v>12</v>
      </c>
      <c r="B262" s="9" t="s">
        <v>33</v>
      </c>
      <c r="C262" s="9" t="s">
        <v>33</v>
      </c>
      <c r="D262" s="9" t="s">
        <v>337</v>
      </c>
      <c r="E262" s="9" t="s">
        <v>10</v>
      </c>
      <c r="F262" s="9" t="s">
        <v>83</v>
      </c>
      <c r="G262" s="16" t="n">
        <v>0</v>
      </c>
      <c r="H262" s="16" t="n">
        <v>0</v>
      </c>
      <c r="I262" s="16" t="n">
        <v>5</v>
      </c>
      <c r="J262" s="16" t="n">
        <v>-5</v>
      </c>
      <c r="K262" s="16" t="n">
        <v>0</v>
      </c>
      <c r="L262" s="16" t="n">
        <v>0</v>
      </c>
      <c r="M262" s="16" t="n">
        <v>0</v>
      </c>
      <c r="N262" s="16" t="n">
        <v>0</v>
      </c>
      <c r="O262" s="16" t="n">
        <v>0</v>
      </c>
      <c r="P262" s="16" t="n">
        <v>0</v>
      </c>
      <c r="Q262" s="16" t="n">
        <v>0</v>
      </c>
      <c r="R262" s="16" t="n">
        <v>0</v>
      </c>
      <c r="S262" s="16" t="n">
        <v>0</v>
      </c>
      <c r="T262" s="16" t="n">
        <v>0</v>
      </c>
      <c r="U262" s="16" t="n">
        <v>0</v>
      </c>
      <c r="V262" s="16" t="n">
        <v>0</v>
      </c>
      <c r="W262" s="16" t="n">
        <v>0</v>
      </c>
      <c r="X262" s="16" t="n">
        <v>0</v>
      </c>
      <c r="Y262" s="16" t="n">
        <v>0</v>
      </c>
      <c r="Z262" s="16" t="n">
        <v>0</v>
      </c>
      <c r="AA262" s="16" t="n">
        <v>0</v>
      </c>
      <c r="AB262" s="16" t="n">
        <v>0</v>
      </c>
      <c r="AC262" s="16" t="n">
        <v>0</v>
      </c>
      <c r="AD262" s="16" t="n">
        <v>0</v>
      </c>
      <c r="AE262" s="16" t="n">
        <v>0</v>
      </c>
      <c r="AF262" s="16" t="n">
        <v>0</v>
      </c>
      <c r="AG262" s="16" t="n">
        <v>0</v>
      </c>
      <c r="AH262" s="16" t="n">
        <v>0</v>
      </c>
      <c r="AI262" s="16" t="n">
        <v>0</v>
      </c>
      <c r="AJ262" s="16" t="n">
        <v>0</v>
      </c>
      <c r="AK262" s="16" t="n">
        <v>0</v>
      </c>
      <c r="AL262" s="16" t="n">
        <v>0</v>
      </c>
      <c r="AM262" s="16" t="n">
        <v>0</v>
      </c>
      <c r="AN262" s="16" t="n">
        <v>5</v>
      </c>
      <c r="AO262" s="16" t="n">
        <v>0</v>
      </c>
      <c r="AP262" s="16" t="n">
        <v>0</v>
      </c>
      <c r="AQ262" s="16" t="n">
        <v>0</v>
      </c>
      <c r="AR262" s="16" t="n">
        <v>0</v>
      </c>
      <c r="AS262" s="16" t="n">
        <v>0</v>
      </c>
      <c r="AT262" s="16" t="n">
        <v>0</v>
      </c>
      <c r="AU262" s="16" t="n">
        <v>0</v>
      </c>
      <c r="AV262" s="16" t="n">
        <v>0</v>
      </c>
      <c r="AW262" s="16" t="n">
        <v>0</v>
      </c>
      <c r="AX262" s="16" t="n">
        <v>0</v>
      </c>
      <c r="AY262" s="16" t="n">
        <v>0</v>
      </c>
      <c r="AZ262" s="16" t="n">
        <v>0</v>
      </c>
      <c r="BA262" s="16" t="n">
        <v>0</v>
      </c>
      <c r="BB262" s="16" t="n">
        <v>0</v>
      </c>
      <c r="BC262" s="16" t="n">
        <v>0</v>
      </c>
      <c r="BD262" s="16" t="n">
        <v>0</v>
      </c>
      <c r="BE262" s="16" t="n">
        <v>0</v>
      </c>
      <c r="BF262" s="16" t="n">
        <v>0</v>
      </c>
      <c r="BG262" s="16" t="n">
        <v>0</v>
      </c>
      <c r="BH262" s="16" t="n">
        <v>0</v>
      </c>
      <c r="BI262" s="16" t="n">
        <v>0</v>
      </c>
      <c r="BJ262" s="16" t="n">
        <v>0</v>
      </c>
      <c r="BK262" s="16" t="n">
        <v>0</v>
      </c>
      <c r="BL262" s="16" t="n">
        <v>0</v>
      </c>
      <c r="BM262" s="16" t="n">
        <v>0</v>
      </c>
      <c r="BN262" s="16" t="n">
        <v>0</v>
      </c>
      <c r="BO262" s="16" t="n">
        <v>0</v>
      </c>
      <c r="BP262" s="16" t="n">
        <v>0</v>
      </c>
      <c r="BQ262" s="16" t="n">
        <v>0</v>
      </c>
      <c r="BR262" s="16" t="n">
        <v>0</v>
      </c>
      <c r="BS262" s="16" t="n">
        <v>0</v>
      </c>
      <c r="BT262" s="16" t="n">
        <v>0</v>
      </c>
      <c r="BU262" s="16" t="n">
        <v>0</v>
      </c>
      <c r="BV262" s="16" t="n">
        <v>0</v>
      </c>
      <c r="BW262" s="16" t="n">
        <v>0</v>
      </c>
      <c r="BX262" s="16" t="n">
        <v>0</v>
      </c>
      <c r="BY262" s="16" t="n">
        <v>0</v>
      </c>
      <c r="BZ262" s="16" t="n">
        <v>0</v>
      </c>
      <c r="CA262" s="16" t="n">
        <v>0</v>
      </c>
      <c r="CB262" s="16" t="n">
        <v>0</v>
      </c>
      <c r="CC262" s="16" t="n">
        <v>0</v>
      </c>
      <c r="CD262" s="16" t="n">
        <v>0</v>
      </c>
      <c r="CE262" s="16" t="n">
        <v>0</v>
      </c>
      <c r="CF262" s="16" t="n">
        <v>0</v>
      </c>
      <c r="CG262" s="16" t="n">
        <v>0</v>
      </c>
      <c r="CH262" s="16" t="n">
        <v>0</v>
      </c>
      <c r="CI262" s="16" t="n">
        <v>0</v>
      </c>
      <c r="CJ262" s="16" t="n">
        <v>0</v>
      </c>
      <c r="CK262" s="16" t="n">
        <v>0</v>
      </c>
      <c r="CL262" s="16" t="n">
        <v>0</v>
      </c>
      <c r="CM262" s="16" t="n">
        <v>0</v>
      </c>
      <c r="CN262" s="16" t="n">
        <v>0</v>
      </c>
      <c r="CO262" s="16" t="n">
        <v>0</v>
      </c>
      <c r="CP262" s="16" t="n">
        <v>0</v>
      </c>
      <c r="CQ262" s="16" t="n">
        <v>0</v>
      </c>
      <c r="CR262" s="16" t="n">
        <v>0</v>
      </c>
      <c r="CS262" s="16" t="n">
        <v>0</v>
      </c>
      <c r="CT262" s="16" t="n">
        <v>0</v>
      </c>
      <c r="CU262" s="16" t="n">
        <v>0</v>
      </c>
      <c r="CV262" s="16" t="n">
        <v>0</v>
      </c>
      <c r="CW262" s="16" t="n">
        <v>0</v>
      </c>
      <c r="CX262" s="16" t="n">
        <v>0</v>
      </c>
      <c r="CY262" s="16" t="n">
        <v>0</v>
      </c>
      <c r="CZ262" s="16" t="n">
        <v>0</v>
      </c>
      <c r="DA262" s="16" t="n">
        <v>0</v>
      </c>
      <c r="DB262" s="16" t="n">
        <v>0</v>
      </c>
      <c r="DC262" s="16" t="n">
        <v>0</v>
      </c>
      <c r="DD262" s="16" t="n">
        <v>0</v>
      </c>
      <c r="DE262" s="16" t="n">
        <v>0</v>
      </c>
      <c r="DF262" s="16" t="n">
        <v>0</v>
      </c>
      <c r="DG262" s="16" t="n">
        <v>0</v>
      </c>
      <c r="DH262" s="16" t="n">
        <v>0</v>
      </c>
      <c r="DI262" s="16" t="n">
        <v>0</v>
      </c>
      <c r="DJ262" s="16" t="n">
        <v>0</v>
      </c>
      <c r="DK262" s="16" t="n">
        <v>0</v>
      </c>
      <c r="DL262" s="16" t="n">
        <v>0</v>
      </c>
      <c r="DM262" s="16" t="n">
        <v>0</v>
      </c>
      <c r="DN262" s="16" t="n">
        <v>0</v>
      </c>
      <c r="DO262" s="16" t="n">
        <v>0</v>
      </c>
      <c r="DP262" s="16" t="n">
        <v>0</v>
      </c>
      <c r="DQ262" s="16" t="n">
        <v>0</v>
      </c>
      <c r="DR262" s="16" t="n">
        <v>0</v>
      </c>
      <c r="DS262" s="16" t="n">
        <v>0</v>
      </c>
      <c r="DT262" s="16" t="n">
        <v>0</v>
      </c>
      <c r="DU262" s="16" t="n">
        <v>0</v>
      </c>
      <c r="DV262" s="16" t="n">
        <v>0</v>
      </c>
      <c r="DW262" s="16" t="n">
        <v>0</v>
      </c>
      <c r="DX262" s="16" t="n">
        <v>0</v>
      </c>
      <c r="DY262" s="16" t="n">
        <v>0</v>
      </c>
      <c r="DZ262" s="16" t="n">
        <v>0</v>
      </c>
      <c r="EA262" s="16" t="n">
        <v>0</v>
      </c>
      <c r="EB262" s="16" t="n">
        <v>0</v>
      </c>
      <c r="EC262" s="16" t="n">
        <v>0</v>
      </c>
      <c r="ED262" s="16" t="n">
        <v>0</v>
      </c>
      <c r="EE262" s="16" t="n">
        <v>0</v>
      </c>
      <c r="EF262" s="16" t="n">
        <v>0</v>
      </c>
    </row>
    <row r="263" customFormat="false" ht="15" hidden="false" customHeight="true" outlineLevel="0" collapsed="false">
      <c r="A263" s="9" t="s">
        <v>12</v>
      </c>
      <c r="B263" s="9" t="s">
        <v>33</v>
      </c>
      <c r="C263" s="9" t="s">
        <v>33</v>
      </c>
      <c r="D263" s="9" t="s">
        <v>337</v>
      </c>
      <c r="E263" s="9" t="s">
        <v>10</v>
      </c>
      <c r="F263" s="9" t="s">
        <v>103</v>
      </c>
      <c r="G263" s="16" t="n">
        <v>0</v>
      </c>
      <c r="H263" s="16" t="n">
        <v>0</v>
      </c>
      <c r="I263" s="16" t="n">
        <v>678.5</v>
      </c>
      <c r="J263" s="16" t="n">
        <v>-678.5</v>
      </c>
      <c r="K263" s="16" t="n">
        <v>0</v>
      </c>
      <c r="L263" s="16" t="n">
        <v>0</v>
      </c>
      <c r="M263" s="16" t="n">
        <v>0</v>
      </c>
      <c r="N263" s="16" t="n">
        <v>0</v>
      </c>
      <c r="O263" s="16" t="n">
        <v>0</v>
      </c>
      <c r="P263" s="16" t="n">
        <v>0</v>
      </c>
      <c r="Q263" s="16" t="n">
        <v>0</v>
      </c>
      <c r="R263" s="16" t="n">
        <v>0</v>
      </c>
      <c r="S263" s="16" t="n">
        <v>0</v>
      </c>
      <c r="T263" s="16" t="n">
        <v>0</v>
      </c>
      <c r="U263" s="16" t="n">
        <v>0</v>
      </c>
      <c r="V263" s="16" t="n">
        <v>0</v>
      </c>
      <c r="W263" s="16" t="n">
        <v>0</v>
      </c>
      <c r="X263" s="16" t="n">
        <v>0</v>
      </c>
      <c r="Y263" s="16" t="n">
        <v>0</v>
      </c>
      <c r="Z263" s="16" t="n">
        <v>0</v>
      </c>
      <c r="AA263" s="16" t="n">
        <v>0</v>
      </c>
      <c r="AB263" s="16" t="n">
        <v>0</v>
      </c>
      <c r="AC263" s="16" t="n">
        <v>0</v>
      </c>
      <c r="AD263" s="16" t="n">
        <v>0</v>
      </c>
      <c r="AE263" s="16" t="n">
        <v>0</v>
      </c>
      <c r="AF263" s="16" t="n">
        <v>0</v>
      </c>
      <c r="AG263" s="16" t="n">
        <v>0</v>
      </c>
      <c r="AH263" s="16" t="n">
        <v>0</v>
      </c>
      <c r="AI263" s="16" t="n">
        <v>0</v>
      </c>
      <c r="AJ263" s="16" t="n">
        <v>4</v>
      </c>
      <c r="AK263" s="16" t="n">
        <v>16.5</v>
      </c>
      <c r="AL263" s="16" t="n">
        <v>9.5</v>
      </c>
      <c r="AM263" s="16" t="n">
        <v>21</v>
      </c>
      <c r="AN263" s="16" t="n">
        <v>11</v>
      </c>
      <c r="AO263" s="16" t="n">
        <v>12</v>
      </c>
      <c r="AP263" s="16" t="n">
        <v>20.5</v>
      </c>
      <c r="AQ263" s="16" t="n">
        <v>9</v>
      </c>
      <c r="AR263" s="16" t="n">
        <v>12</v>
      </c>
      <c r="AS263" s="16" t="n">
        <v>5</v>
      </c>
      <c r="AT263" s="16" t="n">
        <v>0</v>
      </c>
      <c r="AU263" s="16" t="n">
        <v>0</v>
      </c>
      <c r="AV263" s="16" t="n">
        <v>0</v>
      </c>
      <c r="AW263" s="16" t="n">
        <v>0</v>
      </c>
      <c r="AX263" s="16" t="n">
        <v>0</v>
      </c>
      <c r="AY263" s="16" t="n">
        <v>0</v>
      </c>
      <c r="AZ263" s="16" t="n">
        <v>0</v>
      </c>
      <c r="BA263" s="16" t="n">
        <v>0</v>
      </c>
      <c r="BB263" s="16" t="n">
        <v>0</v>
      </c>
      <c r="BC263" s="16" t="n">
        <v>0</v>
      </c>
      <c r="BD263" s="16" t="n">
        <v>0</v>
      </c>
      <c r="BE263" s="16" t="n">
        <v>0</v>
      </c>
      <c r="BF263" s="16" t="n">
        <v>0</v>
      </c>
      <c r="BG263" s="16" t="n">
        <v>0</v>
      </c>
      <c r="BH263" s="16" t="n">
        <v>0</v>
      </c>
      <c r="BI263" s="16" t="n">
        <v>0</v>
      </c>
      <c r="BJ263" s="16" t="n">
        <v>0</v>
      </c>
      <c r="BK263" s="16" t="n">
        <v>0</v>
      </c>
      <c r="BL263" s="16" t="n">
        <v>0</v>
      </c>
      <c r="BM263" s="16" t="n">
        <v>0</v>
      </c>
      <c r="BN263" s="16" t="n">
        <v>0</v>
      </c>
      <c r="BO263" s="16" t="n">
        <v>0</v>
      </c>
      <c r="BP263" s="16" t="n">
        <v>0</v>
      </c>
      <c r="BQ263" s="16" t="n">
        <v>0</v>
      </c>
      <c r="BR263" s="16" t="n">
        <v>0</v>
      </c>
      <c r="BS263" s="16" t="n">
        <v>0</v>
      </c>
      <c r="BT263" s="16" t="n">
        <v>0</v>
      </c>
      <c r="BU263" s="16" t="n">
        <v>0</v>
      </c>
      <c r="BV263" s="16" t="n">
        <v>0</v>
      </c>
      <c r="BW263" s="16" t="n">
        <v>0</v>
      </c>
      <c r="BX263" s="16" t="n">
        <v>0</v>
      </c>
      <c r="BY263" s="16" t="n">
        <v>0</v>
      </c>
      <c r="BZ263" s="16" t="n">
        <v>0</v>
      </c>
      <c r="CA263" s="16" t="n">
        <v>0</v>
      </c>
      <c r="CB263" s="16" t="n">
        <v>0</v>
      </c>
      <c r="CC263" s="16" t="n">
        <v>0</v>
      </c>
      <c r="CD263" s="16" t="n">
        <v>0</v>
      </c>
      <c r="CE263" s="16" t="n">
        <v>0</v>
      </c>
      <c r="CF263" s="16" t="n">
        <v>0</v>
      </c>
      <c r="CG263" s="16" t="n">
        <v>0</v>
      </c>
      <c r="CH263" s="16" t="n">
        <v>0</v>
      </c>
      <c r="CI263" s="16" t="n">
        <v>0</v>
      </c>
      <c r="CJ263" s="16" t="n">
        <v>0</v>
      </c>
      <c r="CK263" s="16" t="n">
        <v>0</v>
      </c>
      <c r="CL263" s="16" t="n">
        <v>0</v>
      </c>
      <c r="CM263" s="16" t="n">
        <v>0</v>
      </c>
      <c r="CN263" s="16" t="n">
        <v>0</v>
      </c>
      <c r="CO263" s="16" t="n">
        <v>0</v>
      </c>
      <c r="CP263" s="16" t="n">
        <v>0</v>
      </c>
      <c r="CQ263" s="16" t="n">
        <v>0</v>
      </c>
      <c r="CR263" s="16" t="n">
        <v>0</v>
      </c>
      <c r="CS263" s="16" t="n">
        <v>10</v>
      </c>
      <c r="CT263" s="16" t="n">
        <v>0</v>
      </c>
      <c r="CU263" s="16" t="n">
        <v>0</v>
      </c>
      <c r="CV263" s="16" t="n">
        <v>0</v>
      </c>
      <c r="CW263" s="16" t="n">
        <v>0</v>
      </c>
      <c r="CX263" s="16" t="n">
        <v>5</v>
      </c>
      <c r="CY263" s="16" t="n">
        <v>13</v>
      </c>
      <c r="CZ263" s="16" t="n">
        <v>30</v>
      </c>
      <c r="DA263" s="16" t="n">
        <v>30</v>
      </c>
      <c r="DB263" s="16" t="n">
        <v>13</v>
      </c>
      <c r="DC263" s="16" t="n">
        <v>15</v>
      </c>
      <c r="DD263" s="16" t="n">
        <v>15</v>
      </c>
      <c r="DE263" s="16" t="n">
        <v>22</v>
      </c>
      <c r="DF263" s="16" t="n">
        <v>25</v>
      </c>
      <c r="DG263" s="16" t="n">
        <v>15</v>
      </c>
      <c r="DH263" s="16" t="n">
        <v>15</v>
      </c>
      <c r="DI263" s="16" t="n">
        <v>0</v>
      </c>
      <c r="DJ263" s="16" t="n">
        <v>0</v>
      </c>
      <c r="DK263" s="16" t="n">
        <v>30</v>
      </c>
      <c r="DL263" s="16" t="n">
        <v>45</v>
      </c>
      <c r="DM263" s="16" t="n">
        <v>65</v>
      </c>
      <c r="DN263" s="16" t="n">
        <v>63</v>
      </c>
      <c r="DO263" s="16" t="n">
        <v>62</v>
      </c>
      <c r="DP263" s="16" t="n">
        <v>65</v>
      </c>
      <c r="DQ263" s="16" t="n">
        <v>25</v>
      </c>
      <c r="DR263" s="16" t="n">
        <v>0</v>
      </c>
      <c r="DS263" s="16" t="n">
        <v>0</v>
      </c>
      <c r="DT263" s="16" t="n">
        <v>0</v>
      </c>
      <c r="DU263" s="16" t="n">
        <v>0</v>
      </c>
      <c r="DV263" s="16" t="n">
        <v>0</v>
      </c>
      <c r="DW263" s="16" t="n">
        <v>0</v>
      </c>
      <c r="DX263" s="16" t="n">
        <v>0</v>
      </c>
      <c r="DY263" s="16" t="n">
        <v>0</v>
      </c>
      <c r="DZ263" s="16" t="n">
        <v>0</v>
      </c>
      <c r="EA263" s="16" t="n">
        <v>0</v>
      </c>
      <c r="EB263" s="16" t="n">
        <v>0</v>
      </c>
      <c r="EC263" s="16" t="n">
        <v>0</v>
      </c>
      <c r="ED263" s="16" t="n">
        <v>0</v>
      </c>
      <c r="EE263" s="16" t="n">
        <v>0</v>
      </c>
      <c r="EF263" s="16" t="n">
        <v>0</v>
      </c>
    </row>
    <row r="264" customFormat="false" ht="15" hidden="false" customHeight="true" outlineLevel="0" collapsed="false">
      <c r="A264" s="9" t="s">
        <v>12</v>
      </c>
      <c r="B264" s="9" t="s">
        <v>33</v>
      </c>
      <c r="C264" s="9" t="s">
        <v>33</v>
      </c>
      <c r="D264" s="9" t="s">
        <v>336</v>
      </c>
      <c r="E264" s="9" t="s">
        <v>10</v>
      </c>
      <c r="F264" s="9" t="s">
        <v>103</v>
      </c>
      <c r="G264" s="16" t="n">
        <v>243.5</v>
      </c>
      <c r="H264" s="16" t="n">
        <v>806.5</v>
      </c>
      <c r="I264" s="16" t="n">
        <v>128.5</v>
      </c>
      <c r="J264" s="16" t="n">
        <v>678</v>
      </c>
      <c r="K264" s="16" t="n">
        <v>0</v>
      </c>
      <c r="L264" s="16" t="n">
        <v>0</v>
      </c>
      <c r="M264" s="16" t="n">
        <v>0</v>
      </c>
      <c r="N264" s="16" t="n">
        <v>0</v>
      </c>
      <c r="O264" s="16" t="n">
        <v>0</v>
      </c>
      <c r="P264" s="16" t="n">
        <v>0</v>
      </c>
      <c r="Q264" s="16" t="n">
        <v>0</v>
      </c>
      <c r="R264" s="16" t="n">
        <v>0</v>
      </c>
      <c r="S264" s="16" t="n">
        <v>0</v>
      </c>
      <c r="T264" s="16" t="n">
        <v>0</v>
      </c>
      <c r="U264" s="16" t="n">
        <v>0</v>
      </c>
      <c r="V264" s="16" t="n">
        <v>0</v>
      </c>
      <c r="W264" s="16" t="n">
        <v>0</v>
      </c>
      <c r="X264" s="16" t="n">
        <v>0</v>
      </c>
      <c r="Y264" s="16" t="n">
        <v>0</v>
      </c>
      <c r="Z264" s="16" t="n">
        <v>0</v>
      </c>
      <c r="AA264" s="16" t="n">
        <v>0</v>
      </c>
      <c r="AB264" s="16" t="n">
        <v>5.5</v>
      </c>
      <c r="AC264" s="16" t="n">
        <v>5</v>
      </c>
      <c r="AD264" s="16" t="n">
        <v>17</v>
      </c>
      <c r="AE264" s="16" t="n">
        <v>24</v>
      </c>
      <c r="AF264" s="16" t="n">
        <v>23</v>
      </c>
      <c r="AG264" s="16" t="n">
        <v>20</v>
      </c>
      <c r="AH264" s="16" t="n">
        <v>14.5</v>
      </c>
      <c r="AI264" s="16" t="n">
        <v>15.5</v>
      </c>
      <c r="AJ264" s="16" t="n">
        <v>4</v>
      </c>
      <c r="AK264" s="16" t="n">
        <v>0</v>
      </c>
      <c r="AL264" s="16" t="n">
        <v>0</v>
      </c>
      <c r="AM264" s="16" t="n">
        <v>0</v>
      </c>
      <c r="AN264" s="16" t="n">
        <v>0</v>
      </c>
      <c r="AO264" s="16" t="n">
        <v>0</v>
      </c>
      <c r="AP264" s="16" t="n">
        <v>0</v>
      </c>
      <c r="AQ264" s="16" t="n">
        <v>0</v>
      </c>
      <c r="AR264" s="16" t="n">
        <v>0</v>
      </c>
      <c r="AS264" s="16" t="n">
        <v>0</v>
      </c>
      <c r="AT264" s="16" t="n">
        <v>0</v>
      </c>
      <c r="AU264" s="16" t="n">
        <v>0</v>
      </c>
      <c r="AV264" s="16" t="n">
        <v>0</v>
      </c>
      <c r="AW264" s="16" t="n">
        <v>0</v>
      </c>
      <c r="AX264" s="16" t="n">
        <v>0</v>
      </c>
      <c r="AY264" s="16" t="n">
        <v>0</v>
      </c>
      <c r="AZ264" s="16" t="n">
        <v>0</v>
      </c>
      <c r="BA264" s="16" t="n">
        <v>0</v>
      </c>
      <c r="BB264" s="16" t="n">
        <v>0</v>
      </c>
      <c r="BC264" s="16" t="n">
        <v>0</v>
      </c>
      <c r="BD264" s="16" t="n">
        <v>0</v>
      </c>
      <c r="BE264" s="16" t="n">
        <v>0</v>
      </c>
      <c r="BF264" s="16" t="n">
        <v>0</v>
      </c>
      <c r="BG264" s="16" t="n">
        <v>0</v>
      </c>
      <c r="BH264" s="16" t="n">
        <v>0</v>
      </c>
      <c r="BI264" s="16" t="n">
        <v>0</v>
      </c>
      <c r="BJ264" s="16" t="n">
        <v>0</v>
      </c>
      <c r="BK264" s="16" t="n">
        <v>0</v>
      </c>
      <c r="BL264" s="16" t="n">
        <v>0</v>
      </c>
      <c r="BM264" s="16" t="n">
        <v>0</v>
      </c>
      <c r="BN264" s="16" t="n">
        <v>0</v>
      </c>
      <c r="BO264" s="16" t="n">
        <v>0</v>
      </c>
      <c r="BP264" s="16" t="n">
        <v>0</v>
      </c>
      <c r="BQ264" s="16" t="n">
        <v>0</v>
      </c>
      <c r="BR264" s="16" t="n">
        <v>0</v>
      </c>
      <c r="BS264" s="16" t="n">
        <v>0</v>
      </c>
      <c r="BT264" s="16" t="n">
        <v>0</v>
      </c>
      <c r="BU264" s="16" t="n">
        <v>0</v>
      </c>
      <c r="BV264" s="16" t="n">
        <v>0</v>
      </c>
      <c r="BW264" s="16" t="n">
        <v>0</v>
      </c>
      <c r="BX264" s="16" t="n">
        <v>0</v>
      </c>
      <c r="BY264" s="16" t="n">
        <v>0</v>
      </c>
      <c r="BZ264" s="16" t="n">
        <v>0</v>
      </c>
      <c r="CA264" s="16" t="n">
        <v>0</v>
      </c>
      <c r="CB264" s="16" t="n">
        <v>0</v>
      </c>
      <c r="CC264" s="16" t="n">
        <v>0</v>
      </c>
      <c r="CD264" s="16" t="n">
        <v>0</v>
      </c>
      <c r="CE264" s="16" t="n">
        <v>0</v>
      </c>
      <c r="CF264" s="16" t="n">
        <v>0</v>
      </c>
      <c r="CG264" s="16" t="n">
        <v>0</v>
      </c>
      <c r="CH264" s="16" t="n">
        <v>0</v>
      </c>
      <c r="CI264" s="16" t="n">
        <v>0</v>
      </c>
      <c r="CJ264" s="16" t="n">
        <v>0</v>
      </c>
      <c r="CK264" s="16" t="n">
        <v>0</v>
      </c>
      <c r="CL264" s="16" t="n">
        <v>0</v>
      </c>
      <c r="CM264" s="16" t="n">
        <v>0</v>
      </c>
      <c r="CN264" s="16" t="n">
        <v>0</v>
      </c>
      <c r="CO264" s="16" t="n">
        <v>0</v>
      </c>
      <c r="CP264" s="16" t="n">
        <v>0</v>
      </c>
      <c r="CQ264" s="16" t="n">
        <v>0</v>
      </c>
      <c r="CR264" s="16" t="n">
        <v>0</v>
      </c>
      <c r="CS264" s="16" t="n">
        <v>0</v>
      </c>
      <c r="CT264" s="16" t="n">
        <v>0</v>
      </c>
      <c r="CU264" s="16" t="n">
        <v>0</v>
      </c>
      <c r="CV264" s="16" t="n">
        <v>0</v>
      </c>
      <c r="CW264" s="16" t="n">
        <v>0</v>
      </c>
      <c r="CX264" s="16" t="n">
        <v>0</v>
      </c>
      <c r="CY264" s="16" t="n">
        <v>0</v>
      </c>
      <c r="CZ264" s="16" t="n">
        <v>0</v>
      </c>
      <c r="DA264" s="16" t="n">
        <v>0</v>
      </c>
      <c r="DB264" s="16" t="n">
        <v>0</v>
      </c>
      <c r="DC264" s="16" t="n">
        <v>0</v>
      </c>
      <c r="DD264" s="16" t="n">
        <v>0</v>
      </c>
      <c r="DE264" s="16" t="n">
        <v>0</v>
      </c>
      <c r="DF264" s="16" t="n">
        <v>0</v>
      </c>
      <c r="DG264" s="16" t="n">
        <v>0</v>
      </c>
      <c r="DH264" s="16" t="n">
        <v>0</v>
      </c>
      <c r="DI264" s="16" t="n">
        <v>0</v>
      </c>
      <c r="DJ264" s="16" t="n">
        <v>0</v>
      </c>
      <c r="DK264" s="16" t="n">
        <v>0</v>
      </c>
      <c r="DL264" s="16" t="n">
        <v>0</v>
      </c>
      <c r="DM264" s="16" t="n">
        <v>0</v>
      </c>
      <c r="DN264" s="16" t="n">
        <v>0</v>
      </c>
      <c r="DO264" s="16" t="n">
        <v>0</v>
      </c>
      <c r="DP264" s="16" t="n">
        <v>0</v>
      </c>
      <c r="DQ264" s="16" t="n">
        <v>0</v>
      </c>
      <c r="DR264" s="16" t="n">
        <v>0</v>
      </c>
      <c r="DS264" s="16" t="n">
        <v>0</v>
      </c>
      <c r="DT264" s="16" t="n">
        <v>0</v>
      </c>
      <c r="DU264" s="16" t="n">
        <v>0</v>
      </c>
      <c r="DV264" s="16" t="n">
        <v>0</v>
      </c>
      <c r="DW264" s="16" t="n">
        <v>0</v>
      </c>
      <c r="DX264" s="16" t="n">
        <v>0</v>
      </c>
      <c r="DY264" s="16" t="n">
        <v>0</v>
      </c>
      <c r="DZ264" s="16" t="n">
        <v>0</v>
      </c>
      <c r="EA264" s="16" t="n">
        <v>0</v>
      </c>
      <c r="EB264" s="16" t="n">
        <v>0</v>
      </c>
      <c r="EC264" s="16" t="n">
        <v>0</v>
      </c>
      <c r="ED264" s="16" t="n">
        <v>0</v>
      </c>
      <c r="EE264" s="16" t="n">
        <v>0</v>
      </c>
      <c r="EF264" s="16" t="n">
        <v>0</v>
      </c>
    </row>
    <row r="265" customFormat="false" ht="15" hidden="false" customHeight="true" outlineLevel="0" collapsed="false">
      <c r="A265" s="9" t="s">
        <v>12</v>
      </c>
      <c r="B265" s="9" t="s">
        <v>33</v>
      </c>
      <c r="C265" s="9" t="s">
        <v>33</v>
      </c>
      <c r="D265" s="9" t="s">
        <v>337</v>
      </c>
      <c r="E265" s="9" t="s">
        <v>10</v>
      </c>
      <c r="F265" s="9" t="s">
        <v>100</v>
      </c>
      <c r="G265" s="16" t="n">
        <v>0</v>
      </c>
      <c r="H265" s="16" t="n">
        <v>0</v>
      </c>
      <c r="I265" s="16" t="n">
        <v>21</v>
      </c>
      <c r="J265" s="16" t="n">
        <v>-21</v>
      </c>
      <c r="K265" s="16" t="n">
        <v>0</v>
      </c>
      <c r="L265" s="16" t="n">
        <v>0</v>
      </c>
      <c r="M265" s="16" t="n">
        <v>0</v>
      </c>
      <c r="N265" s="16" t="n">
        <v>0</v>
      </c>
      <c r="O265" s="16" t="n">
        <v>0</v>
      </c>
      <c r="P265" s="16" t="n">
        <v>0</v>
      </c>
      <c r="Q265" s="16" t="n">
        <v>0</v>
      </c>
      <c r="R265" s="16" t="n">
        <v>0</v>
      </c>
      <c r="S265" s="16" t="n">
        <v>0</v>
      </c>
      <c r="T265" s="16" t="n">
        <v>0</v>
      </c>
      <c r="U265" s="16" t="n">
        <v>0</v>
      </c>
      <c r="V265" s="16" t="n">
        <v>0</v>
      </c>
      <c r="W265" s="16" t="n">
        <v>0</v>
      </c>
      <c r="X265" s="16" t="n">
        <v>0</v>
      </c>
      <c r="Y265" s="16" t="n">
        <v>0</v>
      </c>
      <c r="Z265" s="16" t="n">
        <v>0</v>
      </c>
      <c r="AA265" s="16" t="n">
        <v>0</v>
      </c>
      <c r="AB265" s="16" t="n">
        <v>0</v>
      </c>
      <c r="AC265" s="16" t="n">
        <v>0</v>
      </c>
      <c r="AD265" s="16" t="n">
        <v>0</v>
      </c>
      <c r="AE265" s="16" t="n">
        <v>0</v>
      </c>
      <c r="AF265" s="16" t="n">
        <v>0</v>
      </c>
      <c r="AG265" s="16" t="n">
        <v>0</v>
      </c>
      <c r="AH265" s="16" t="n">
        <v>0</v>
      </c>
      <c r="AI265" s="16" t="n">
        <v>0</v>
      </c>
      <c r="AJ265" s="16" t="n">
        <v>0</v>
      </c>
      <c r="AK265" s="16" t="n">
        <v>0</v>
      </c>
      <c r="AL265" s="16" t="n">
        <v>0</v>
      </c>
      <c r="AM265" s="16" t="n">
        <v>0.5</v>
      </c>
      <c r="AN265" s="16" t="n">
        <v>5.5</v>
      </c>
      <c r="AO265" s="16" t="n">
        <v>8</v>
      </c>
      <c r="AP265" s="16" t="n">
        <v>3</v>
      </c>
      <c r="AQ265" s="16" t="n">
        <v>0</v>
      </c>
      <c r="AR265" s="16" t="n">
        <v>0</v>
      </c>
      <c r="AS265" s="16" t="n">
        <v>0</v>
      </c>
      <c r="AT265" s="16" t="n">
        <v>0</v>
      </c>
      <c r="AU265" s="16" t="n">
        <v>0</v>
      </c>
      <c r="AV265" s="16" t="n">
        <v>0</v>
      </c>
      <c r="AW265" s="16" t="n">
        <v>0</v>
      </c>
      <c r="AX265" s="16" t="n">
        <v>0</v>
      </c>
      <c r="AY265" s="16" t="n">
        <v>0</v>
      </c>
      <c r="AZ265" s="16" t="n">
        <v>0</v>
      </c>
      <c r="BA265" s="16" t="n">
        <v>0</v>
      </c>
      <c r="BB265" s="16" t="n">
        <v>0</v>
      </c>
      <c r="BC265" s="16" t="n">
        <v>0</v>
      </c>
      <c r="BD265" s="16" t="n">
        <v>0</v>
      </c>
      <c r="BE265" s="16" t="n">
        <v>0</v>
      </c>
      <c r="BF265" s="16" t="n">
        <v>0</v>
      </c>
      <c r="BG265" s="16" t="n">
        <v>0</v>
      </c>
      <c r="BH265" s="16" t="n">
        <v>0</v>
      </c>
      <c r="BI265" s="16" t="n">
        <v>0</v>
      </c>
      <c r="BJ265" s="16" t="n">
        <v>0</v>
      </c>
      <c r="BK265" s="16" t="n">
        <v>0</v>
      </c>
      <c r="BL265" s="16" t="n">
        <v>0</v>
      </c>
      <c r="BM265" s="16" t="n">
        <v>0</v>
      </c>
      <c r="BN265" s="16" t="n">
        <v>0</v>
      </c>
      <c r="BO265" s="16" t="n">
        <v>0</v>
      </c>
      <c r="BP265" s="16" t="n">
        <v>0</v>
      </c>
      <c r="BQ265" s="16" t="n">
        <v>0</v>
      </c>
      <c r="BR265" s="16" t="n">
        <v>0</v>
      </c>
      <c r="BS265" s="16" t="n">
        <v>0</v>
      </c>
      <c r="BT265" s="16" t="n">
        <v>0</v>
      </c>
      <c r="BU265" s="16" t="n">
        <v>0</v>
      </c>
      <c r="BV265" s="16" t="n">
        <v>0</v>
      </c>
      <c r="BW265" s="16" t="n">
        <v>0</v>
      </c>
      <c r="BX265" s="16" t="n">
        <v>0</v>
      </c>
      <c r="BY265" s="16" t="n">
        <v>0</v>
      </c>
      <c r="BZ265" s="16" t="n">
        <v>0</v>
      </c>
      <c r="CA265" s="16" t="n">
        <v>0</v>
      </c>
      <c r="CB265" s="16" t="n">
        <v>0</v>
      </c>
      <c r="CC265" s="16" t="n">
        <v>0</v>
      </c>
      <c r="CD265" s="16" t="n">
        <v>0</v>
      </c>
      <c r="CE265" s="16" t="n">
        <v>0</v>
      </c>
      <c r="CF265" s="16" t="n">
        <v>0</v>
      </c>
      <c r="CG265" s="16" t="n">
        <v>0</v>
      </c>
      <c r="CH265" s="16" t="n">
        <v>0</v>
      </c>
      <c r="CI265" s="16" t="n">
        <v>0</v>
      </c>
      <c r="CJ265" s="16" t="n">
        <v>0</v>
      </c>
      <c r="CK265" s="16" t="n">
        <v>0</v>
      </c>
      <c r="CL265" s="16" t="n">
        <v>0</v>
      </c>
      <c r="CM265" s="16" t="n">
        <v>0</v>
      </c>
      <c r="CN265" s="16" t="n">
        <v>0</v>
      </c>
      <c r="CO265" s="16" t="n">
        <v>0</v>
      </c>
      <c r="CP265" s="16" t="n">
        <v>0</v>
      </c>
      <c r="CQ265" s="16" t="n">
        <v>0</v>
      </c>
      <c r="CR265" s="16" t="n">
        <v>0</v>
      </c>
      <c r="CS265" s="16" t="n">
        <v>0</v>
      </c>
      <c r="CT265" s="16" t="n">
        <v>0</v>
      </c>
      <c r="CU265" s="16" t="n">
        <v>0</v>
      </c>
      <c r="CV265" s="16" t="n">
        <v>0</v>
      </c>
      <c r="CW265" s="16" t="n">
        <v>0</v>
      </c>
      <c r="CX265" s="16" t="n">
        <v>0</v>
      </c>
      <c r="CY265" s="16" t="n">
        <v>0</v>
      </c>
      <c r="CZ265" s="16" t="n">
        <v>0</v>
      </c>
      <c r="DA265" s="16" t="n">
        <v>0</v>
      </c>
      <c r="DB265" s="16" t="n">
        <v>0</v>
      </c>
      <c r="DC265" s="16" t="n">
        <v>0</v>
      </c>
      <c r="DD265" s="16" t="n">
        <v>0</v>
      </c>
      <c r="DE265" s="16" t="n">
        <v>0</v>
      </c>
      <c r="DF265" s="16" t="n">
        <v>0</v>
      </c>
      <c r="DG265" s="16" t="n">
        <v>0</v>
      </c>
      <c r="DH265" s="16" t="n">
        <v>0</v>
      </c>
      <c r="DI265" s="16" t="n">
        <v>0</v>
      </c>
      <c r="DJ265" s="16" t="n">
        <v>0</v>
      </c>
      <c r="DK265" s="16" t="n">
        <v>0</v>
      </c>
      <c r="DL265" s="16" t="n">
        <v>0</v>
      </c>
      <c r="DM265" s="16" t="n">
        <v>0</v>
      </c>
      <c r="DN265" s="16" t="n">
        <v>0</v>
      </c>
      <c r="DO265" s="16" t="n">
        <v>0</v>
      </c>
      <c r="DP265" s="16" t="n">
        <v>0</v>
      </c>
      <c r="DQ265" s="16" t="n">
        <v>0</v>
      </c>
      <c r="DR265" s="16" t="n">
        <v>4</v>
      </c>
      <c r="DS265" s="16" t="n">
        <v>0</v>
      </c>
      <c r="DT265" s="16" t="n">
        <v>0</v>
      </c>
      <c r="DU265" s="16" t="n">
        <v>0</v>
      </c>
      <c r="DV265" s="16" t="n">
        <v>0</v>
      </c>
      <c r="DW265" s="16" t="n">
        <v>0</v>
      </c>
      <c r="DX265" s="16" t="n">
        <v>0</v>
      </c>
      <c r="DY265" s="16" t="n">
        <v>0</v>
      </c>
      <c r="DZ265" s="16" t="n">
        <v>0</v>
      </c>
      <c r="EA265" s="16" t="n">
        <v>0</v>
      </c>
      <c r="EB265" s="16" t="n">
        <v>0</v>
      </c>
      <c r="EC265" s="16" t="n">
        <v>0</v>
      </c>
      <c r="ED265" s="16" t="n">
        <v>0</v>
      </c>
      <c r="EE265" s="16" t="n">
        <v>0</v>
      </c>
      <c r="EF265" s="16" t="n">
        <v>0</v>
      </c>
    </row>
    <row r="266" customFormat="false" ht="15" hidden="false" customHeight="true" outlineLevel="0" collapsed="false">
      <c r="A266" s="9" t="s">
        <v>12</v>
      </c>
      <c r="B266" s="9" t="s">
        <v>33</v>
      </c>
      <c r="C266" s="9" t="s">
        <v>33</v>
      </c>
      <c r="D266" s="9" t="s">
        <v>337</v>
      </c>
      <c r="E266" s="9" t="s">
        <v>10</v>
      </c>
      <c r="F266" s="9" t="s">
        <v>114</v>
      </c>
      <c r="G266" s="16" t="n">
        <v>0</v>
      </c>
      <c r="H266" s="16" t="n">
        <v>0</v>
      </c>
      <c r="I266" s="16" t="n">
        <v>90</v>
      </c>
      <c r="J266" s="16" t="n">
        <v>-90</v>
      </c>
      <c r="K266" s="16" t="n">
        <v>0</v>
      </c>
      <c r="L266" s="16" t="n">
        <v>0</v>
      </c>
      <c r="M266" s="16" t="n">
        <v>0</v>
      </c>
      <c r="N266" s="16" t="n">
        <v>0</v>
      </c>
      <c r="O266" s="16" t="n">
        <v>0</v>
      </c>
      <c r="P266" s="16" t="n">
        <v>0</v>
      </c>
      <c r="Q266" s="16" t="n">
        <v>0</v>
      </c>
      <c r="R266" s="16" t="n">
        <v>0</v>
      </c>
      <c r="S266" s="16" t="n">
        <v>0</v>
      </c>
      <c r="T266" s="16" t="n">
        <v>0</v>
      </c>
      <c r="U266" s="16" t="n">
        <v>0</v>
      </c>
      <c r="V266" s="16" t="n">
        <v>0</v>
      </c>
      <c r="W266" s="16" t="n">
        <v>0</v>
      </c>
      <c r="X266" s="16" t="n">
        <v>0</v>
      </c>
      <c r="Y266" s="16" t="n">
        <v>0</v>
      </c>
      <c r="Z266" s="16" t="n">
        <v>0</v>
      </c>
      <c r="AA266" s="16" t="n">
        <v>0</v>
      </c>
      <c r="AB266" s="16" t="n">
        <v>0</v>
      </c>
      <c r="AC266" s="16" t="n">
        <v>0</v>
      </c>
      <c r="AD266" s="16" t="n">
        <v>0</v>
      </c>
      <c r="AE266" s="16" t="n">
        <v>0</v>
      </c>
      <c r="AF266" s="16" t="n">
        <v>0</v>
      </c>
      <c r="AG266" s="16" t="n">
        <v>0</v>
      </c>
      <c r="AH266" s="16" t="n">
        <v>0</v>
      </c>
      <c r="AI266" s="16" t="n">
        <v>0</v>
      </c>
      <c r="AJ266" s="16" t="n">
        <v>0</v>
      </c>
      <c r="AK266" s="16" t="n">
        <v>0</v>
      </c>
      <c r="AL266" s="16" t="n">
        <v>0</v>
      </c>
      <c r="AM266" s="16" t="n">
        <v>0</v>
      </c>
      <c r="AN266" s="16" t="n">
        <v>0</v>
      </c>
      <c r="AO266" s="16" t="n">
        <v>0</v>
      </c>
      <c r="AP266" s="16" t="n">
        <v>0</v>
      </c>
      <c r="AQ266" s="16" t="n">
        <v>0</v>
      </c>
      <c r="AR266" s="16" t="n">
        <v>0</v>
      </c>
      <c r="AS266" s="16" t="n">
        <v>0</v>
      </c>
      <c r="AT266" s="16" t="n">
        <v>0</v>
      </c>
      <c r="AU266" s="16" t="n">
        <v>0</v>
      </c>
      <c r="AV266" s="16" t="n">
        <v>0</v>
      </c>
      <c r="AW266" s="16" t="n">
        <v>0</v>
      </c>
      <c r="AX266" s="16" t="n">
        <v>0</v>
      </c>
      <c r="AY266" s="16" t="n">
        <v>0</v>
      </c>
      <c r="AZ266" s="16" t="n">
        <v>0</v>
      </c>
      <c r="BA266" s="16" t="n">
        <v>0</v>
      </c>
      <c r="BB266" s="16" t="n">
        <v>0</v>
      </c>
      <c r="BC266" s="16" t="n">
        <v>0</v>
      </c>
      <c r="BD266" s="16" t="n">
        <v>0</v>
      </c>
      <c r="BE266" s="16" t="n">
        <v>0</v>
      </c>
      <c r="BF266" s="16" t="n">
        <v>0</v>
      </c>
      <c r="BG266" s="16" t="n">
        <v>0</v>
      </c>
      <c r="BH266" s="16" t="n">
        <v>0</v>
      </c>
      <c r="BI266" s="16" t="n">
        <v>0</v>
      </c>
      <c r="BJ266" s="16" t="n">
        <v>0</v>
      </c>
      <c r="BK266" s="16" t="n">
        <v>0</v>
      </c>
      <c r="BL266" s="16" t="n">
        <v>0</v>
      </c>
      <c r="BM266" s="16" t="n">
        <v>0</v>
      </c>
      <c r="BN266" s="16" t="n">
        <v>0</v>
      </c>
      <c r="BO266" s="16" t="n">
        <v>0</v>
      </c>
      <c r="BP266" s="16" t="n">
        <v>0</v>
      </c>
      <c r="BQ266" s="16" t="n">
        <v>0</v>
      </c>
      <c r="BR266" s="16" t="n">
        <v>0</v>
      </c>
      <c r="BS266" s="16" t="n">
        <v>0</v>
      </c>
      <c r="BT266" s="16" t="n">
        <v>0</v>
      </c>
      <c r="BU266" s="16" t="n">
        <v>0</v>
      </c>
      <c r="BV266" s="16" t="n">
        <v>0</v>
      </c>
      <c r="BW266" s="16" t="n">
        <v>0</v>
      </c>
      <c r="BX266" s="16" t="n">
        <v>0</v>
      </c>
      <c r="BY266" s="16" t="n">
        <v>0</v>
      </c>
      <c r="BZ266" s="16" t="n">
        <v>0</v>
      </c>
      <c r="CA266" s="16" t="n">
        <v>0</v>
      </c>
      <c r="CB266" s="16" t="n">
        <v>0</v>
      </c>
      <c r="CC266" s="16" t="n">
        <v>0</v>
      </c>
      <c r="CD266" s="16" t="n">
        <v>0</v>
      </c>
      <c r="CE266" s="16" t="n">
        <v>0</v>
      </c>
      <c r="CF266" s="16" t="n">
        <v>0</v>
      </c>
      <c r="CG266" s="16" t="n">
        <v>0</v>
      </c>
      <c r="CH266" s="16" t="n">
        <v>0</v>
      </c>
      <c r="CI266" s="16" t="n">
        <v>0</v>
      </c>
      <c r="CJ266" s="16" t="n">
        <v>0</v>
      </c>
      <c r="CK266" s="16" t="n">
        <v>0</v>
      </c>
      <c r="CL266" s="16" t="n">
        <v>0</v>
      </c>
      <c r="CM266" s="16" t="n">
        <v>0</v>
      </c>
      <c r="CN266" s="16" t="n">
        <v>0</v>
      </c>
      <c r="CO266" s="16" t="n">
        <v>0</v>
      </c>
      <c r="CP266" s="16" t="n">
        <v>0</v>
      </c>
      <c r="CQ266" s="16" t="n">
        <v>0</v>
      </c>
      <c r="CR266" s="16" t="n">
        <v>0</v>
      </c>
      <c r="CS266" s="16" t="n">
        <v>0</v>
      </c>
      <c r="CT266" s="16" t="n">
        <v>0</v>
      </c>
      <c r="CU266" s="16" t="n">
        <v>0</v>
      </c>
      <c r="CV266" s="16" t="n">
        <v>0</v>
      </c>
      <c r="CW266" s="16" t="n">
        <v>0</v>
      </c>
      <c r="CX266" s="16" t="n">
        <v>0</v>
      </c>
      <c r="CY266" s="16" t="n">
        <v>0</v>
      </c>
      <c r="CZ266" s="16" t="n">
        <v>0</v>
      </c>
      <c r="DA266" s="16" t="n">
        <v>0</v>
      </c>
      <c r="DB266" s="16" t="n">
        <v>0</v>
      </c>
      <c r="DC266" s="16" t="n">
        <v>0</v>
      </c>
      <c r="DD266" s="16" t="n">
        <v>0</v>
      </c>
      <c r="DE266" s="16" t="n">
        <v>0</v>
      </c>
      <c r="DF266" s="16" t="n">
        <v>0</v>
      </c>
      <c r="DG266" s="16" t="n">
        <v>0</v>
      </c>
      <c r="DH266" s="16" t="n">
        <v>0</v>
      </c>
      <c r="DI266" s="16" t="n">
        <v>0</v>
      </c>
      <c r="DJ266" s="16" t="n">
        <v>0</v>
      </c>
      <c r="DK266" s="16" t="n">
        <v>0</v>
      </c>
      <c r="DL266" s="16" t="n">
        <v>0</v>
      </c>
      <c r="DM266" s="16" t="n">
        <v>0</v>
      </c>
      <c r="DN266" s="16" t="n">
        <v>0</v>
      </c>
      <c r="DO266" s="16" t="n">
        <v>0</v>
      </c>
      <c r="DP266" s="16" t="n">
        <v>0</v>
      </c>
      <c r="DQ266" s="16" t="n">
        <v>0</v>
      </c>
      <c r="DR266" s="16" t="n">
        <v>0</v>
      </c>
      <c r="DS266" s="16" t="n">
        <v>30</v>
      </c>
      <c r="DT266" s="16" t="n">
        <v>30</v>
      </c>
      <c r="DU266" s="16" t="n">
        <v>30</v>
      </c>
      <c r="DV266" s="16" t="n">
        <v>0</v>
      </c>
      <c r="DW266" s="16" t="n">
        <v>0</v>
      </c>
      <c r="DX266" s="16" t="n">
        <v>0</v>
      </c>
      <c r="DY266" s="16" t="n">
        <v>0</v>
      </c>
      <c r="DZ266" s="16" t="n">
        <v>0</v>
      </c>
      <c r="EA266" s="16" t="n">
        <v>0</v>
      </c>
      <c r="EB266" s="16" t="n">
        <v>0</v>
      </c>
      <c r="EC266" s="16" t="n">
        <v>0</v>
      </c>
      <c r="ED266" s="16" t="n">
        <v>0</v>
      </c>
      <c r="EE266" s="16" t="n">
        <v>0</v>
      </c>
      <c r="EF266" s="16" t="n">
        <v>0</v>
      </c>
    </row>
    <row r="267" customFormat="false" ht="15" hidden="false" customHeight="true" outlineLevel="0" collapsed="false">
      <c r="A267" s="9" t="s">
        <v>12</v>
      </c>
      <c r="B267" s="9" t="s">
        <v>33</v>
      </c>
      <c r="C267" s="9" t="s">
        <v>33</v>
      </c>
      <c r="D267" s="9" t="s">
        <v>336</v>
      </c>
      <c r="E267" s="9" t="s">
        <v>10</v>
      </c>
      <c r="F267" s="9" t="s">
        <v>114</v>
      </c>
      <c r="G267" s="16" t="n">
        <v>0</v>
      </c>
      <c r="H267" s="16" t="n">
        <v>90</v>
      </c>
      <c r="I267" s="16" t="n">
        <v>0</v>
      </c>
      <c r="J267" s="16" t="n">
        <v>90</v>
      </c>
      <c r="K267" s="16" t="n">
        <v>0</v>
      </c>
      <c r="L267" s="16" t="n">
        <v>0</v>
      </c>
      <c r="M267" s="16" t="n">
        <v>0</v>
      </c>
      <c r="N267" s="16" t="n">
        <v>0</v>
      </c>
      <c r="O267" s="16" t="n">
        <v>0</v>
      </c>
      <c r="P267" s="16" t="n">
        <v>0</v>
      </c>
      <c r="Q267" s="16" t="n">
        <v>0</v>
      </c>
      <c r="R267" s="16" t="n">
        <v>0</v>
      </c>
      <c r="S267" s="16" t="n">
        <v>0</v>
      </c>
      <c r="T267" s="16" t="n">
        <v>0</v>
      </c>
      <c r="U267" s="16" t="n">
        <v>0</v>
      </c>
      <c r="V267" s="16" t="n">
        <v>0</v>
      </c>
      <c r="W267" s="16" t="n">
        <v>0</v>
      </c>
      <c r="X267" s="16" t="n">
        <v>0</v>
      </c>
      <c r="Y267" s="16" t="n">
        <v>0</v>
      </c>
      <c r="Z267" s="16" t="n">
        <v>0</v>
      </c>
      <c r="AA267" s="16" t="n">
        <v>0</v>
      </c>
      <c r="AB267" s="16" t="n">
        <v>0</v>
      </c>
      <c r="AC267" s="16" t="n">
        <v>0</v>
      </c>
      <c r="AD267" s="16" t="n">
        <v>0</v>
      </c>
      <c r="AE267" s="16" t="n">
        <v>0</v>
      </c>
      <c r="AF267" s="16" t="n">
        <v>0</v>
      </c>
      <c r="AG267" s="16" t="n">
        <v>0</v>
      </c>
      <c r="AH267" s="16" t="n">
        <v>0</v>
      </c>
      <c r="AI267" s="16" t="n">
        <v>0</v>
      </c>
      <c r="AJ267" s="16" t="n">
        <v>0</v>
      </c>
      <c r="AK267" s="16" t="n">
        <v>0</v>
      </c>
      <c r="AL267" s="16" t="n">
        <v>0</v>
      </c>
      <c r="AM267" s="16" t="n">
        <v>0</v>
      </c>
      <c r="AN267" s="16" t="n">
        <v>0</v>
      </c>
      <c r="AO267" s="16" t="n">
        <v>0</v>
      </c>
      <c r="AP267" s="16" t="n">
        <v>0</v>
      </c>
      <c r="AQ267" s="16" t="n">
        <v>0</v>
      </c>
      <c r="AR267" s="16" t="n">
        <v>0</v>
      </c>
      <c r="AS267" s="16" t="n">
        <v>0</v>
      </c>
      <c r="AT267" s="16" t="n">
        <v>0</v>
      </c>
      <c r="AU267" s="16" t="n">
        <v>0</v>
      </c>
      <c r="AV267" s="16" t="n">
        <v>0</v>
      </c>
      <c r="AW267" s="16" t="n">
        <v>0</v>
      </c>
      <c r="AX267" s="16" t="n">
        <v>0</v>
      </c>
      <c r="AY267" s="16" t="n">
        <v>0</v>
      </c>
      <c r="AZ267" s="16" t="n">
        <v>0</v>
      </c>
      <c r="BA267" s="16" t="n">
        <v>0</v>
      </c>
      <c r="BB267" s="16" t="n">
        <v>0</v>
      </c>
      <c r="BC267" s="16" t="n">
        <v>0</v>
      </c>
      <c r="BD267" s="16" t="n">
        <v>0</v>
      </c>
      <c r="BE267" s="16" t="n">
        <v>0</v>
      </c>
      <c r="BF267" s="16" t="n">
        <v>0</v>
      </c>
      <c r="BG267" s="16" t="n">
        <v>0</v>
      </c>
      <c r="BH267" s="16" t="n">
        <v>0</v>
      </c>
      <c r="BI267" s="16" t="n">
        <v>0</v>
      </c>
      <c r="BJ267" s="16" t="n">
        <v>0</v>
      </c>
      <c r="BK267" s="16" t="n">
        <v>0</v>
      </c>
      <c r="BL267" s="16" t="n">
        <v>0</v>
      </c>
      <c r="BM267" s="16" t="n">
        <v>0</v>
      </c>
      <c r="BN267" s="16" t="n">
        <v>0</v>
      </c>
      <c r="BO267" s="16" t="n">
        <v>0</v>
      </c>
      <c r="BP267" s="16" t="n">
        <v>0</v>
      </c>
      <c r="BQ267" s="16" t="n">
        <v>0</v>
      </c>
      <c r="BR267" s="16" t="n">
        <v>0</v>
      </c>
      <c r="BS267" s="16" t="n">
        <v>0</v>
      </c>
      <c r="BT267" s="16" t="n">
        <v>0</v>
      </c>
      <c r="BU267" s="16" t="n">
        <v>0</v>
      </c>
      <c r="BV267" s="16" t="n">
        <v>0</v>
      </c>
      <c r="BW267" s="16" t="n">
        <v>0</v>
      </c>
      <c r="BX267" s="16" t="n">
        <v>0</v>
      </c>
      <c r="BY267" s="16" t="n">
        <v>0</v>
      </c>
      <c r="BZ267" s="16" t="n">
        <v>0</v>
      </c>
      <c r="CA267" s="16" t="n">
        <v>0</v>
      </c>
      <c r="CB267" s="16" t="n">
        <v>0</v>
      </c>
      <c r="CC267" s="16" t="n">
        <v>0</v>
      </c>
      <c r="CD267" s="16" t="n">
        <v>0</v>
      </c>
      <c r="CE267" s="16" t="n">
        <v>0</v>
      </c>
      <c r="CF267" s="16" t="n">
        <v>0</v>
      </c>
      <c r="CG267" s="16" t="n">
        <v>0</v>
      </c>
      <c r="CH267" s="16" t="n">
        <v>0</v>
      </c>
      <c r="CI267" s="16" t="n">
        <v>0</v>
      </c>
      <c r="CJ267" s="16" t="n">
        <v>0</v>
      </c>
      <c r="CK267" s="16" t="n">
        <v>0</v>
      </c>
      <c r="CL267" s="16" t="n">
        <v>0</v>
      </c>
      <c r="CM267" s="16" t="n">
        <v>0</v>
      </c>
      <c r="CN267" s="16" t="n">
        <v>0</v>
      </c>
      <c r="CO267" s="16" t="n">
        <v>0</v>
      </c>
      <c r="CP267" s="16" t="n">
        <v>0</v>
      </c>
      <c r="CQ267" s="16" t="n">
        <v>0</v>
      </c>
      <c r="CR267" s="16" t="n">
        <v>0</v>
      </c>
      <c r="CS267" s="16" t="n">
        <v>0</v>
      </c>
      <c r="CT267" s="16" t="n">
        <v>0</v>
      </c>
      <c r="CU267" s="16" t="n">
        <v>0</v>
      </c>
      <c r="CV267" s="16" t="n">
        <v>0</v>
      </c>
      <c r="CW267" s="16" t="n">
        <v>0</v>
      </c>
      <c r="CX267" s="16" t="n">
        <v>0</v>
      </c>
      <c r="CY267" s="16" t="n">
        <v>0</v>
      </c>
      <c r="CZ267" s="16" t="n">
        <v>0</v>
      </c>
      <c r="DA267" s="16" t="n">
        <v>0</v>
      </c>
      <c r="DB267" s="16" t="n">
        <v>0</v>
      </c>
      <c r="DC267" s="16" t="n">
        <v>0</v>
      </c>
      <c r="DD267" s="16" t="n">
        <v>0</v>
      </c>
      <c r="DE267" s="16" t="n">
        <v>0</v>
      </c>
      <c r="DF267" s="16" t="n">
        <v>0</v>
      </c>
      <c r="DG267" s="16" t="n">
        <v>0</v>
      </c>
      <c r="DH267" s="16" t="n">
        <v>0</v>
      </c>
      <c r="DI267" s="16" t="n">
        <v>0</v>
      </c>
      <c r="DJ267" s="16" t="n">
        <v>0</v>
      </c>
      <c r="DK267" s="16" t="n">
        <v>0</v>
      </c>
      <c r="DL267" s="16" t="n">
        <v>0</v>
      </c>
      <c r="DM267" s="16" t="n">
        <v>0</v>
      </c>
      <c r="DN267" s="16" t="n">
        <v>0</v>
      </c>
      <c r="DO267" s="16" t="n">
        <v>0</v>
      </c>
      <c r="DP267" s="16" t="n">
        <v>0</v>
      </c>
      <c r="DQ267" s="16" t="n">
        <v>0</v>
      </c>
      <c r="DR267" s="16" t="n">
        <v>0</v>
      </c>
      <c r="DS267" s="16" t="n">
        <v>0</v>
      </c>
      <c r="DT267" s="16" t="n">
        <v>0</v>
      </c>
      <c r="DU267" s="16" t="n">
        <v>0</v>
      </c>
      <c r="DV267" s="16" t="n">
        <v>0</v>
      </c>
      <c r="DW267" s="16" t="n">
        <v>0</v>
      </c>
      <c r="DX267" s="16" t="n">
        <v>0</v>
      </c>
      <c r="DY267" s="16" t="n">
        <v>0</v>
      </c>
      <c r="DZ267" s="16" t="n">
        <v>0</v>
      </c>
      <c r="EA267" s="16" t="n">
        <v>0</v>
      </c>
      <c r="EB267" s="16" t="n">
        <v>0</v>
      </c>
      <c r="EC267" s="16" t="n">
        <v>0</v>
      </c>
      <c r="ED267" s="16" t="n">
        <v>0</v>
      </c>
      <c r="EE267" s="16" t="n">
        <v>0</v>
      </c>
      <c r="EF267" s="16" t="n">
        <v>0</v>
      </c>
    </row>
    <row r="268" customFormat="false" ht="15" hidden="false" customHeight="true" outlineLevel="0" collapsed="false">
      <c r="A268" s="9" t="s">
        <v>12</v>
      </c>
      <c r="B268" s="9" t="s">
        <v>33</v>
      </c>
      <c r="C268" s="9" t="s">
        <v>33</v>
      </c>
      <c r="D268" s="9" t="s">
        <v>337</v>
      </c>
      <c r="E268" s="9" t="s">
        <v>10</v>
      </c>
      <c r="F268" s="9" t="s">
        <v>87</v>
      </c>
      <c r="G268" s="16" t="n">
        <v>0</v>
      </c>
      <c r="H268" s="16" t="n">
        <v>0</v>
      </c>
      <c r="I268" s="16" t="n">
        <v>4.5</v>
      </c>
      <c r="J268" s="16" t="n">
        <v>-4.5</v>
      </c>
      <c r="K268" s="16" t="n">
        <v>0</v>
      </c>
      <c r="L268" s="16" t="n">
        <v>0</v>
      </c>
      <c r="M268" s="16" t="n">
        <v>0</v>
      </c>
      <c r="N268" s="16" t="n">
        <v>0</v>
      </c>
      <c r="O268" s="16" t="n">
        <v>0</v>
      </c>
      <c r="P268" s="16" t="n">
        <v>0</v>
      </c>
      <c r="Q268" s="16" t="n">
        <v>0</v>
      </c>
      <c r="R268" s="16" t="n">
        <v>0</v>
      </c>
      <c r="S268" s="16" t="n">
        <v>0</v>
      </c>
      <c r="T268" s="16" t="n">
        <v>0</v>
      </c>
      <c r="U268" s="16" t="n">
        <v>0</v>
      </c>
      <c r="V268" s="16" t="n">
        <v>0</v>
      </c>
      <c r="W268" s="16" t="n">
        <v>0</v>
      </c>
      <c r="X268" s="16" t="n">
        <v>0</v>
      </c>
      <c r="Y268" s="16" t="n">
        <v>0</v>
      </c>
      <c r="Z268" s="16" t="n">
        <v>0</v>
      </c>
      <c r="AA268" s="16" t="n">
        <v>0</v>
      </c>
      <c r="AB268" s="16" t="n">
        <v>0</v>
      </c>
      <c r="AC268" s="16" t="n">
        <v>0</v>
      </c>
      <c r="AD268" s="16" t="n">
        <v>0</v>
      </c>
      <c r="AE268" s="16" t="n">
        <v>0</v>
      </c>
      <c r="AF268" s="16" t="n">
        <v>0</v>
      </c>
      <c r="AG268" s="16" t="n">
        <v>0</v>
      </c>
      <c r="AH268" s="16" t="n">
        <v>0</v>
      </c>
      <c r="AI268" s="16" t="n">
        <v>0</v>
      </c>
      <c r="AJ268" s="16" t="n">
        <v>0</v>
      </c>
      <c r="AK268" s="16" t="n">
        <v>1</v>
      </c>
      <c r="AL268" s="16" t="n">
        <v>3.5</v>
      </c>
      <c r="AM268" s="16" t="n">
        <v>0</v>
      </c>
      <c r="AN268" s="16" t="n">
        <v>0</v>
      </c>
      <c r="AO268" s="16" t="n">
        <v>0</v>
      </c>
      <c r="AP268" s="16" t="n">
        <v>0</v>
      </c>
      <c r="AQ268" s="16" t="n">
        <v>0</v>
      </c>
      <c r="AR268" s="16" t="n">
        <v>0</v>
      </c>
      <c r="AS268" s="16" t="n">
        <v>0</v>
      </c>
      <c r="AT268" s="16" t="n">
        <v>0</v>
      </c>
      <c r="AU268" s="16" t="n">
        <v>0</v>
      </c>
      <c r="AV268" s="16" t="n">
        <v>0</v>
      </c>
      <c r="AW268" s="16" t="n">
        <v>0</v>
      </c>
      <c r="AX268" s="16" t="n">
        <v>0</v>
      </c>
      <c r="AY268" s="16" t="n">
        <v>0</v>
      </c>
      <c r="AZ268" s="16" t="n">
        <v>0</v>
      </c>
      <c r="BA268" s="16" t="n">
        <v>0</v>
      </c>
      <c r="BB268" s="16" t="n">
        <v>0</v>
      </c>
      <c r="BC268" s="16" t="n">
        <v>0</v>
      </c>
      <c r="BD268" s="16" t="n">
        <v>0</v>
      </c>
      <c r="BE268" s="16" t="n">
        <v>0</v>
      </c>
      <c r="BF268" s="16" t="n">
        <v>0</v>
      </c>
      <c r="BG268" s="16" t="n">
        <v>0</v>
      </c>
      <c r="BH268" s="16" t="n">
        <v>0</v>
      </c>
      <c r="BI268" s="16" t="n">
        <v>0</v>
      </c>
      <c r="BJ268" s="16" t="n">
        <v>0</v>
      </c>
      <c r="BK268" s="16" t="n">
        <v>0</v>
      </c>
      <c r="BL268" s="16" t="n">
        <v>0</v>
      </c>
      <c r="BM268" s="16" t="n">
        <v>0</v>
      </c>
      <c r="BN268" s="16" t="n">
        <v>0</v>
      </c>
      <c r="BO268" s="16" t="n">
        <v>0</v>
      </c>
      <c r="BP268" s="16" t="n">
        <v>0</v>
      </c>
      <c r="BQ268" s="16" t="n">
        <v>0</v>
      </c>
      <c r="BR268" s="16" t="n">
        <v>0</v>
      </c>
      <c r="BS268" s="16" t="n">
        <v>0</v>
      </c>
      <c r="BT268" s="16" t="n">
        <v>0</v>
      </c>
      <c r="BU268" s="16" t="n">
        <v>0</v>
      </c>
      <c r="BV268" s="16" t="n">
        <v>0</v>
      </c>
      <c r="BW268" s="16" t="n">
        <v>0</v>
      </c>
      <c r="BX268" s="16" t="n">
        <v>0</v>
      </c>
      <c r="BY268" s="16" t="n">
        <v>0</v>
      </c>
      <c r="BZ268" s="16" t="n">
        <v>0</v>
      </c>
      <c r="CA268" s="16" t="n">
        <v>0</v>
      </c>
      <c r="CB268" s="16" t="n">
        <v>0</v>
      </c>
      <c r="CC268" s="16" t="n">
        <v>0</v>
      </c>
      <c r="CD268" s="16" t="n">
        <v>0</v>
      </c>
      <c r="CE268" s="16" t="n">
        <v>0</v>
      </c>
      <c r="CF268" s="16" t="n">
        <v>0</v>
      </c>
      <c r="CG268" s="16" t="n">
        <v>0</v>
      </c>
      <c r="CH268" s="16" t="n">
        <v>0</v>
      </c>
      <c r="CI268" s="16" t="n">
        <v>0</v>
      </c>
      <c r="CJ268" s="16" t="n">
        <v>0</v>
      </c>
      <c r="CK268" s="16" t="n">
        <v>0</v>
      </c>
      <c r="CL268" s="16" t="n">
        <v>0</v>
      </c>
      <c r="CM268" s="16" t="n">
        <v>0</v>
      </c>
      <c r="CN268" s="16" t="n">
        <v>0</v>
      </c>
      <c r="CO268" s="16" t="n">
        <v>0</v>
      </c>
      <c r="CP268" s="16" t="n">
        <v>0</v>
      </c>
      <c r="CQ268" s="16" t="n">
        <v>0</v>
      </c>
      <c r="CR268" s="16" t="n">
        <v>0</v>
      </c>
      <c r="CS268" s="16" t="n">
        <v>0</v>
      </c>
      <c r="CT268" s="16" t="n">
        <v>0</v>
      </c>
      <c r="CU268" s="16" t="n">
        <v>0</v>
      </c>
      <c r="CV268" s="16" t="n">
        <v>0</v>
      </c>
      <c r="CW268" s="16" t="n">
        <v>0</v>
      </c>
      <c r="CX268" s="16" t="n">
        <v>0</v>
      </c>
      <c r="CY268" s="16" t="n">
        <v>0</v>
      </c>
      <c r="CZ268" s="16" t="n">
        <v>0</v>
      </c>
      <c r="DA268" s="16" t="n">
        <v>0</v>
      </c>
      <c r="DB268" s="16" t="n">
        <v>0</v>
      </c>
      <c r="DC268" s="16" t="n">
        <v>0</v>
      </c>
      <c r="DD268" s="16" t="n">
        <v>0</v>
      </c>
      <c r="DE268" s="16" t="n">
        <v>0</v>
      </c>
      <c r="DF268" s="16" t="n">
        <v>0</v>
      </c>
      <c r="DG268" s="16" t="n">
        <v>0</v>
      </c>
      <c r="DH268" s="16" t="n">
        <v>0</v>
      </c>
      <c r="DI268" s="16" t="n">
        <v>0</v>
      </c>
      <c r="DJ268" s="16" t="n">
        <v>0</v>
      </c>
      <c r="DK268" s="16" t="n">
        <v>0</v>
      </c>
      <c r="DL268" s="16" t="n">
        <v>0</v>
      </c>
      <c r="DM268" s="16" t="n">
        <v>0</v>
      </c>
      <c r="DN268" s="16" t="n">
        <v>0</v>
      </c>
      <c r="DO268" s="16" t="n">
        <v>0</v>
      </c>
      <c r="DP268" s="16" t="n">
        <v>0</v>
      </c>
      <c r="DQ268" s="16" t="n">
        <v>0</v>
      </c>
      <c r="DR268" s="16" t="n">
        <v>0</v>
      </c>
      <c r="DS268" s="16" t="n">
        <v>0</v>
      </c>
      <c r="DT268" s="16" t="n">
        <v>0</v>
      </c>
      <c r="DU268" s="16" t="n">
        <v>0</v>
      </c>
      <c r="DV268" s="16" t="n">
        <v>0</v>
      </c>
      <c r="DW268" s="16" t="n">
        <v>0</v>
      </c>
      <c r="DX268" s="16" t="n">
        <v>0</v>
      </c>
      <c r="DY268" s="16" t="n">
        <v>0</v>
      </c>
      <c r="DZ268" s="16" t="n">
        <v>0</v>
      </c>
      <c r="EA268" s="16" t="n">
        <v>0</v>
      </c>
      <c r="EB268" s="16" t="n">
        <v>0</v>
      </c>
      <c r="EC268" s="16" t="n">
        <v>0</v>
      </c>
      <c r="ED268" s="16" t="n">
        <v>0</v>
      </c>
      <c r="EE268" s="16" t="n">
        <v>0</v>
      </c>
      <c r="EF268" s="16" t="n">
        <v>0</v>
      </c>
    </row>
    <row r="269" customFormat="false" ht="15" hidden="false" customHeight="true" outlineLevel="0" collapsed="false">
      <c r="A269" s="9" t="s">
        <v>12</v>
      </c>
      <c r="B269" s="9" t="s">
        <v>33</v>
      </c>
      <c r="C269" s="9" t="s">
        <v>33</v>
      </c>
      <c r="D269" s="9" t="s">
        <v>336</v>
      </c>
      <c r="E269" s="9" t="s">
        <v>10</v>
      </c>
      <c r="F269" s="9" t="s">
        <v>87</v>
      </c>
      <c r="G269" s="16" t="n">
        <v>0</v>
      </c>
      <c r="H269" s="16" t="n">
        <v>0</v>
      </c>
      <c r="I269" s="16" t="n">
        <v>0</v>
      </c>
      <c r="J269" s="16" t="n">
        <v>0</v>
      </c>
      <c r="K269" s="16" t="n">
        <v>0</v>
      </c>
      <c r="L269" s="16" t="n">
        <v>0</v>
      </c>
      <c r="M269" s="16" t="n">
        <v>0</v>
      </c>
      <c r="N269" s="16" t="n">
        <v>0</v>
      </c>
      <c r="O269" s="16" t="n">
        <v>0</v>
      </c>
      <c r="P269" s="16" t="n">
        <v>0</v>
      </c>
      <c r="Q269" s="16" t="n">
        <v>0</v>
      </c>
      <c r="R269" s="16" t="n">
        <v>0</v>
      </c>
      <c r="S269" s="16" t="n">
        <v>0</v>
      </c>
      <c r="T269" s="16" t="n">
        <v>0</v>
      </c>
      <c r="U269" s="16" t="n">
        <v>0</v>
      </c>
      <c r="V269" s="16" t="n">
        <v>0</v>
      </c>
      <c r="W269" s="16" t="n">
        <v>0</v>
      </c>
      <c r="X269" s="16" t="n">
        <v>0</v>
      </c>
      <c r="Y269" s="16" t="n">
        <v>0</v>
      </c>
      <c r="Z269" s="16" t="n">
        <v>0</v>
      </c>
      <c r="AA269" s="16" t="n">
        <v>0</v>
      </c>
      <c r="AB269" s="16" t="n">
        <v>0</v>
      </c>
      <c r="AC269" s="16" t="n">
        <v>0</v>
      </c>
      <c r="AD269" s="16" t="n">
        <v>0</v>
      </c>
      <c r="AE269" s="16" t="n">
        <v>0</v>
      </c>
      <c r="AF269" s="16" t="n">
        <v>0</v>
      </c>
      <c r="AG269" s="16" t="n">
        <v>0</v>
      </c>
      <c r="AH269" s="16" t="n">
        <v>0</v>
      </c>
      <c r="AI269" s="16" t="n">
        <v>0</v>
      </c>
      <c r="AJ269" s="16" t="n">
        <v>0</v>
      </c>
      <c r="AK269" s="16" t="n">
        <v>0</v>
      </c>
      <c r="AL269" s="16" t="n">
        <v>0</v>
      </c>
      <c r="AM269" s="16" t="n">
        <v>0</v>
      </c>
      <c r="AN269" s="16" t="n">
        <v>0</v>
      </c>
      <c r="AO269" s="16" t="n">
        <v>0</v>
      </c>
      <c r="AP269" s="16" t="n">
        <v>0</v>
      </c>
      <c r="AQ269" s="16" t="n">
        <v>0</v>
      </c>
      <c r="AR269" s="16" t="n">
        <v>0</v>
      </c>
      <c r="AS269" s="16" t="n">
        <v>0</v>
      </c>
      <c r="AT269" s="16" t="n">
        <v>0</v>
      </c>
      <c r="AU269" s="16" t="n">
        <v>0</v>
      </c>
      <c r="AV269" s="16" t="n">
        <v>0</v>
      </c>
      <c r="AW269" s="16" t="n">
        <v>0</v>
      </c>
      <c r="AX269" s="16" t="n">
        <v>0</v>
      </c>
      <c r="AY269" s="16" t="n">
        <v>0</v>
      </c>
      <c r="AZ269" s="16" t="n">
        <v>0</v>
      </c>
      <c r="BA269" s="16" t="n">
        <v>0</v>
      </c>
      <c r="BB269" s="16" t="n">
        <v>0</v>
      </c>
      <c r="BC269" s="16" t="n">
        <v>0</v>
      </c>
      <c r="BD269" s="16" t="n">
        <v>0</v>
      </c>
      <c r="BE269" s="16" t="n">
        <v>0</v>
      </c>
      <c r="BF269" s="16" t="n">
        <v>0</v>
      </c>
      <c r="BG269" s="16" t="n">
        <v>0</v>
      </c>
      <c r="BH269" s="16" t="n">
        <v>0</v>
      </c>
      <c r="BI269" s="16" t="n">
        <v>0</v>
      </c>
      <c r="BJ269" s="16" t="n">
        <v>0</v>
      </c>
      <c r="BK269" s="16" t="n">
        <v>0</v>
      </c>
      <c r="BL269" s="16" t="n">
        <v>0</v>
      </c>
      <c r="BM269" s="16" t="n">
        <v>0</v>
      </c>
      <c r="BN269" s="16" t="n">
        <v>0</v>
      </c>
      <c r="BO269" s="16" t="n">
        <v>0</v>
      </c>
      <c r="BP269" s="16" t="n">
        <v>0</v>
      </c>
      <c r="BQ269" s="16" t="n">
        <v>0</v>
      </c>
      <c r="BR269" s="16" t="n">
        <v>0</v>
      </c>
      <c r="BS269" s="16" t="n">
        <v>0</v>
      </c>
      <c r="BT269" s="16" t="n">
        <v>0</v>
      </c>
      <c r="BU269" s="16" t="n">
        <v>0</v>
      </c>
      <c r="BV269" s="16" t="n">
        <v>0</v>
      </c>
      <c r="BW269" s="16" t="n">
        <v>0</v>
      </c>
      <c r="BX269" s="16" t="n">
        <v>0</v>
      </c>
      <c r="BY269" s="16" t="n">
        <v>0</v>
      </c>
      <c r="BZ269" s="16" t="n">
        <v>0</v>
      </c>
      <c r="CA269" s="16" t="n">
        <v>0</v>
      </c>
      <c r="CB269" s="16" t="n">
        <v>0</v>
      </c>
      <c r="CC269" s="16" t="n">
        <v>0</v>
      </c>
      <c r="CD269" s="16" t="n">
        <v>0</v>
      </c>
      <c r="CE269" s="16" t="n">
        <v>0</v>
      </c>
      <c r="CF269" s="16" t="n">
        <v>0</v>
      </c>
      <c r="CG269" s="16" t="n">
        <v>0</v>
      </c>
      <c r="CH269" s="16" t="n">
        <v>0</v>
      </c>
      <c r="CI269" s="16" t="n">
        <v>0</v>
      </c>
      <c r="CJ269" s="16" t="n">
        <v>0</v>
      </c>
      <c r="CK269" s="16" t="n">
        <v>0</v>
      </c>
      <c r="CL269" s="16" t="n">
        <v>0</v>
      </c>
      <c r="CM269" s="16" t="n">
        <v>0</v>
      </c>
      <c r="CN269" s="16" t="n">
        <v>0</v>
      </c>
      <c r="CO269" s="16" t="n">
        <v>0</v>
      </c>
      <c r="CP269" s="16" t="n">
        <v>0</v>
      </c>
      <c r="CQ269" s="16" t="n">
        <v>0</v>
      </c>
      <c r="CR269" s="16" t="n">
        <v>0</v>
      </c>
      <c r="CS269" s="16" t="n">
        <v>0</v>
      </c>
      <c r="CT269" s="16" t="n">
        <v>0</v>
      </c>
      <c r="CU269" s="16" t="n">
        <v>0</v>
      </c>
      <c r="CV269" s="16" t="n">
        <v>0</v>
      </c>
      <c r="CW269" s="16" t="n">
        <v>0</v>
      </c>
      <c r="CX269" s="16" t="n">
        <v>0</v>
      </c>
      <c r="CY269" s="16" t="n">
        <v>0</v>
      </c>
      <c r="CZ269" s="16" t="n">
        <v>0</v>
      </c>
      <c r="DA269" s="16" t="n">
        <v>0</v>
      </c>
      <c r="DB269" s="16" t="n">
        <v>0</v>
      </c>
      <c r="DC269" s="16" t="n">
        <v>0</v>
      </c>
      <c r="DD269" s="16" t="n">
        <v>0</v>
      </c>
      <c r="DE269" s="16" t="n">
        <v>0</v>
      </c>
      <c r="DF269" s="16" t="n">
        <v>0</v>
      </c>
      <c r="DG269" s="16" t="n">
        <v>0</v>
      </c>
      <c r="DH269" s="16" t="n">
        <v>0</v>
      </c>
      <c r="DI269" s="16" t="n">
        <v>0</v>
      </c>
      <c r="DJ269" s="16" t="n">
        <v>0</v>
      </c>
      <c r="DK269" s="16" t="n">
        <v>0</v>
      </c>
      <c r="DL269" s="16" t="n">
        <v>0</v>
      </c>
      <c r="DM269" s="16" t="n">
        <v>0</v>
      </c>
      <c r="DN269" s="16" t="n">
        <v>0</v>
      </c>
      <c r="DO269" s="16" t="n">
        <v>0</v>
      </c>
      <c r="DP269" s="16" t="n">
        <v>0</v>
      </c>
      <c r="DQ269" s="16" t="n">
        <v>0</v>
      </c>
      <c r="DR269" s="16" t="n">
        <v>0</v>
      </c>
      <c r="DS269" s="16" t="n">
        <v>0</v>
      </c>
      <c r="DT269" s="16" t="n">
        <v>0</v>
      </c>
      <c r="DU269" s="16" t="n">
        <v>0</v>
      </c>
      <c r="DV269" s="16" t="n">
        <v>0</v>
      </c>
      <c r="DW269" s="16" t="n">
        <v>0</v>
      </c>
      <c r="DX269" s="16" t="n">
        <v>0</v>
      </c>
      <c r="DY269" s="16" t="n">
        <v>0</v>
      </c>
      <c r="DZ269" s="16" t="n">
        <v>0</v>
      </c>
      <c r="EA269" s="16" t="n">
        <v>0</v>
      </c>
      <c r="EB269" s="16" t="n">
        <v>0</v>
      </c>
      <c r="EC269" s="16" t="n">
        <v>0</v>
      </c>
      <c r="ED269" s="16" t="n">
        <v>0</v>
      </c>
      <c r="EE269" s="16" t="n">
        <v>0</v>
      </c>
      <c r="EF269" s="16" t="n">
        <v>0</v>
      </c>
    </row>
    <row r="270" customFormat="false" ht="15" hidden="false" customHeight="true" outlineLevel="0" collapsed="false">
      <c r="A270" s="9" t="s">
        <v>12</v>
      </c>
      <c r="B270" s="9" t="s">
        <v>33</v>
      </c>
      <c r="C270" s="9" t="s">
        <v>33</v>
      </c>
      <c r="D270" s="9" t="s">
        <v>337</v>
      </c>
      <c r="E270" s="9" t="s">
        <v>10</v>
      </c>
      <c r="F270" s="9" t="s">
        <v>107</v>
      </c>
      <c r="G270" s="16" t="n">
        <v>9</v>
      </c>
      <c r="H270" s="16" t="n">
        <v>117.7</v>
      </c>
      <c r="I270" s="16" t="n">
        <v>108.7</v>
      </c>
      <c r="J270" s="16" t="n">
        <v>9</v>
      </c>
      <c r="K270" s="16" t="n">
        <v>0</v>
      </c>
      <c r="L270" s="16" t="n">
        <v>0</v>
      </c>
      <c r="M270" s="16" t="n">
        <v>0</v>
      </c>
      <c r="N270" s="16" t="n">
        <v>0</v>
      </c>
      <c r="O270" s="16" t="n">
        <v>0</v>
      </c>
      <c r="P270" s="16" t="n">
        <v>0</v>
      </c>
      <c r="Q270" s="16" t="n">
        <v>0</v>
      </c>
      <c r="R270" s="16" t="n">
        <v>0</v>
      </c>
      <c r="S270" s="16" t="n">
        <v>0</v>
      </c>
      <c r="T270" s="16" t="n">
        <v>0</v>
      </c>
      <c r="U270" s="16" t="n">
        <v>0</v>
      </c>
      <c r="V270" s="16" t="n">
        <v>0</v>
      </c>
      <c r="W270" s="16" t="n">
        <v>0</v>
      </c>
      <c r="X270" s="16" t="n">
        <v>0</v>
      </c>
      <c r="Y270" s="16" t="n">
        <v>0</v>
      </c>
      <c r="Z270" s="16" t="n">
        <v>0</v>
      </c>
      <c r="AA270" s="16" t="n">
        <v>0</v>
      </c>
      <c r="AB270" s="16" t="n">
        <v>0</v>
      </c>
      <c r="AC270" s="16" t="n">
        <v>0</v>
      </c>
      <c r="AD270" s="16" t="n">
        <v>0</v>
      </c>
      <c r="AE270" s="16" t="n">
        <v>0</v>
      </c>
      <c r="AF270" s="16" t="n">
        <v>0</v>
      </c>
      <c r="AG270" s="16" t="n">
        <v>0</v>
      </c>
      <c r="AH270" s="16" t="n">
        <v>0</v>
      </c>
      <c r="AI270" s="16" t="n">
        <v>0</v>
      </c>
      <c r="AJ270" s="16" t="n">
        <v>0</v>
      </c>
      <c r="AK270" s="16" t="n">
        <v>0</v>
      </c>
      <c r="AL270" s="16" t="n">
        <v>0</v>
      </c>
      <c r="AM270" s="16" t="n">
        <v>0</v>
      </c>
      <c r="AN270" s="16" t="n">
        <v>0</v>
      </c>
      <c r="AO270" s="16" t="n">
        <v>0</v>
      </c>
      <c r="AP270" s="16" t="n">
        <v>0</v>
      </c>
      <c r="AQ270" s="16" t="n">
        <v>0</v>
      </c>
      <c r="AR270" s="16" t="n">
        <v>0</v>
      </c>
      <c r="AS270" s="16" t="n">
        <v>0</v>
      </c>
      <c r="AT270" s="16" t="n">
        <v>0</v>
      </c>
      <c r="AU270" s="16" t="n">
        <v>0</v>
      </c>
      <c r="AV270" s="16" t="n">
        <v>0</v>
      </c>
      <c r="AW270" s="16" t="n">
        <v>0</v>
      </c>
      <c r="AX270" s="16" t="n">
        <v>0</v>
      </c>
      <c r="AY270" s="16" t="n">
        <v>0</v>
      </c>
      <c r="AZ270" s="16" t="n">
        <v>0</v>
      </c>
      <c r="BA270" s="16" t="n">
        <v>0</v>
      </c>
      <c r="BB270" s="16" t="n">
        <v>0</v>
      </c>
      <c r="BC270" s="16" t="n">
        <v>0</v>
      </c>
      <c r="BD270" s="16" t="n">
        <v>0</v>
      </c>
      <c r="BE270" s="16" t="n">
        <v>0</v>
      </c>
      <c r="BF270" s="16" t="n">
        <v>0</v>
      </c>
      <c r="BG270" s="16" t="n">
        <v>0</v>
      </c>
      <c r="BH270" s="16" t="n">
        <v>0</v>
      </c>
      <c r="BI270" s="16" t="n">
        <v>0</v>
      </c>
      <c r="BJ270" s="16" t="n">
        <v>0</v>
      </c>
      <c r="BK270" s="16" t="n">
        <v>0</v>
      </c>
      <c r="BL270" s="16" t="n">
        <v>0</v>
      </c>
      <c r="BM270" s="16" t="n">
        <v>0</v>
      </c>
      <c r="BN270" s="16" t="n">
        <v>0</v>
      </c>
      <c r="BO270" s="16" t="n">
        <v>0</v>
      </c>
      <c r="BP270" s="16" t="n">
        <v>0</v>
      </c>
      <c r="BQ270" s="16" t="n">
        <v>0</v>
      </c>
      <c r="BR270" s="16" t="n">
        <v>0</v>
      </c>
      <c r="BS270" s="16" t="n">
        <v>0</v>
      </c>
      <c r="BT270" s="16" t="n">
        <v>0</v>
      </c>
      <c r="BU270" s="16" t="n">
        <v>0</v>
      </c>
      <c r="BV270" s="16" t="n">
        <v>0</v>
      </c>
      <c r="BW270" s="16" t="n">
        <v>0</v>
      </c>
      <c r="BX270" s="16" t="n">
        <v>0</v>
      </c>
      <c r="BY270" s="16" t="n">
        <v>0</v>
      </c>
      <c r="BZ270" s="16" t="n">
        <v>0</v>
      </c>
      <c r="CA270" s="16" t="n">
        <v>0</v>
      </c>
      <c r="CB270" s="16" t="n">
        <v>0</v>
      </c>
      <c r="CC270" s="16" t="n">
        <v>0</v>
      </c>
      <c r="CD270" s="16" t="n">
        <v>0</v>
      </c>
      <c r="CE270" s="16" t="n">
        <v>0</v>
      </c>
      <c r="CF270" s="16" t="n">
        <v>0</v>
      </c>
      <c r="CG270" s="16" t="n">
        <v>0</v>
      </c>
      <c r="CH270" s="16" t="n">
        <v>0</v>
      </c>
      <c r="CI270" s="16" t="n">
        <v>0</v>
      </c>
      <c r="CJ270" s="16" t="n">
        <v>0</v>
      </c>
      <c r="CK270" s="16" t="n">
        <v>0</v>
      </c>
      <c r="CL270" s="16" t="n">
        <v>0</v>
      </c>
      <c r="CM270" s="16" t="n">
        <v>0</v>
      </c>
      <c r="CN270" s="16" t="n">
        <v>0</v>
      </c>
      <c r="CO270" s="16" t="n">
        <v>0</v>
      </c>
      <c r="CP270" s="16" t="n">
        <v>0</v>
      </c>
      <c r="CQ270" s="16" t="n">
        <v>0</v>
      </c>
      <c r="CR270" s="16" t="n">
        <v>0</v>
      </c>
      <c r="CS270" s="16" t="n">
        <v>7</v>
      </c>
      <c r="CT270" s="16" t="n">
        <v>7</v>
      </c>
      <c r="CU270" s="16" t="n">
        <v>4</v>
      </c>
      <c r="CV270" s="16" t="n">
        <v>1</v>
      </c>
      <c r="CW270" s="16" t="n">
        <v>1</v>
      </c>
      <c r="CX270" s="16" t="n">
        <v>1</v>
      </c>
      <c r="CY270" s="16" t="n">
        <v>0.2</v>
      </c>
      <c r="CZ270" s="16" t="n">
        <v>0.1</v>
      </c>
      <c r="DA270" s="16" t="n">
        <v>0.1</v>
      </c>
      <c r="DB270" s="16" t="n">
        <v>0.2</v>
      </c>
      <c r="DC270" s="16" t="n">
        <v>0</v>
      </c>
      <c r="DD270" s="16" t="n">
        <v>0</v>
      </c>
      <c r="DE270" s="16" t="n">
        <v>0</v>
      </c>
      <c r="DF270" s="16" t="n">
        <v>7</v>
      </c>
      <c r="DG270" s="16" t="n">
        <v>7</v>
      </c>
      <c r="DH270" s="16" t="n">
        <v>7</v>
      </c>
      <c r="DI270" s="16" t="n">
        <v>0</v>
      </c>
      <c r="DJ270" s="16" t="n">
        <v>0</v>
      </c>
      <c r="DK270" s="16" t="n">
        <v>7</v>
      </c>
      <c r="DL270" s="16" t="n">
        <v>0.1</v>
      </c>
      <c r="DM270" s="16" t="n">
        <v>0</v>
      </c>
      <c r="DN270" s="16" t="n">
        <v>0</v>
      </c>
      <c r="DO270" s="16" t="n">
        <v>0</v>
      </c>
      <c r="DP270" s="16" t="n">
        <v>0</v>
      </c>
      <c r="DQ270" s="16" t="n">
        <v>0</v>
      </c>
      <c r="DR270" s="16" t="n">
        <v>2</v>
      </c>
      <c r="DS270" s="16" t="n">
        <v>9</v>
      </c>
      <c r="DT270" s="16" t="n">
        <v>9</v>
      </c>
      <c r="DU270" s="16" t="n">
        <v>9</v>
      </c>
      <c r="DV270" s="16" t="n">
        <v>9</v>
      </c>
      <c r="DW270" s="16" t="n">
        <v>9</v>
      </c>
      <c r="DX270" s="16" t="n">
        <v>9</v>
      </c>
      <c r="DY270" s="16" t="n">
        <v>3</v>
      </c>
      <c r="DZ270" s="16" t="n">
        <v>0</v>
      </c>
      <c r="EA270" s="16" t="n">
        <v>0</v>
      </c>
      <c r="EB270" s="16" t="n">
        <v>0</v>
      </c>
      <c r="EC270" s="16" t="n">
        <v>0</v>
      </c>
      <c r="ED270" s="16" t="n">
        <v>0</v>
      </c>
      <c r="EE270" s="16" t="n">
        <v>0</v>
      </c>
      <c r="EF270" s="16" t="n">
        <v>0</v>
      </c>
    </row>
    <row r="271" customFormat="false" ht="15" hidden="false" customHeight="true" outlineLevel="0" collapsed="false">
      <c r="A271" s="9" t="s">
        <v>12</v>
      </c>
      <c r="B271" s="9" t="s">
        <v>90</v>
      </c>
      <c r="C271" s="9" t="s">
        <v>90</v>
      </c>
      <c r="D271" s="9" t="s">
        <v>340</v>
      </c>
      <c r="E271" s="9" t="s">
        <v>16</v>
      </c>
      <c r="F271" s="9" t="s">
        <v>82</v>
      </c>
      <c r="G271" s="16" t="n">
        <v>6</v>
      </c>
      <c r="H271" s="16" t="n">
        <v>6</v>
      </c>
      <c r="I271" s="16" t="n">
        <v>6</v>
      </c>
      <c r="J271" s="16" t="n">
        <v>0</v>
      </c>
      <c r="K271" s="16" t="n">
        <v>0</v>
      </c>
      <c r="L271" s="16" t="n">
        <v>0</v>
      </c>
      <c r="M271" s="16" t="n">
        <v>0</v>
      </c>
      <c r="N271" s="16" t="n">
        <v>0</v>
      </c>
      <c r="O271" s="16" t="n">
        <v>0</v>
      </c>
      <c r="P271" s="16" t="n">
        <v>0</v>
      </c>
      <c r="Q271" s="16" t="n">
        <v>0</v>
      </c>
      <c r="R271" s="16" t="n">
        <v>0</v>
      </c>
      <c r="S271" s="16" t="n">
        <v>0</v>
      </c>
      <c r="T271" s="16" t="n">
        <v>0</v>
      </c>
      <c r="U271" s="16" t="n">
        <v>0</v>
      </c>
      <c r="V271" s="16" t="n">
        <v>0</v>
      </c>
      <c r="W271" s="16" t="n">
        <v>0</v>
      </c>
      <c r="X271" s="16" t="n">
        <v>0</v>
      </c>
      <c r="Y271" s="16" t="n">
        <v>0</v>
      </c>
      <c r="Z271" s="16" t="n">
        <v>0</v>
      </c>
      <c r="AA271" s="16" t="n">
        <v>0</v>
      </c>
      <c r="AB271" s="16" t="n">
        <v>6</v>
      </c>
      <c r="AC271" s="16" t="n">
        <v>0</v>
      </c>
      <c r="AD271" s="16" t="n">
        <v>0</v>
      </c>
      <c r="AE271" s="16" t="n">
        <v>0</v>
      </c>
      <c r="AF271" s="16" t="n">
        <v>0</v>
      </c>
      <c r="AG271" s="16" t="n">
        <v>0</v>
      </c>
      <c r="AH271" s="16" t="n">
        <v>0</v>
      </c>
      <c r="AI271" s="16" t="n">
        <v>0</v>
      </c>
      <c r="AJ271" s="16" t="n">
        <v>0</v>
      </c>
      <c r="AK271" s="16" t="n">
        <v>0</v>
      </c>
      <c r="AL271" s="16" t="n">
        <v>0</v>
      </c>
      <c r="AM271" s="16" t="n">
        <v>0</v>
      </c>
      <c r="AN271" s="16" t="n">
        <v>0</v>
      </c>
      <c r="AO271" s="16" t="n">
        <v>0</v>
      </c>
      <c r="AP271" s="16" t="n">
        <v>0</v>
      </c>
      <c r="AQ271" s="16" t="n">
        <v>0</v>
      </c>
      <c r="AR271" s="16" t="n">
        <v>0</v>
      </c>
      <c r="AS271" s="16" t="n">
        <v>0</v>
      </c>
      <c r="AT271" s="16" t="n">
        <v>0</v>
      </c>
      <c r="AU271" s="16" t="n">
        <v>0</v>
      </c>
      <c r="AV271" s="16" t="n">
        <v>0</v>
      </c>
      <c r="AW271" s="16" t="n">
        <v>0</v>
      </c>
      <c r="AX271" s="16" t="n">
        <v>0</v>
      </c>
      <c r="AY271" s="16" t="n">
        <v>0</v>
      </c>
      <c r="AZ271" s="16" t="n">
        <v>0</v>
      </c>
      <c r="BA271" s="16" t="n">
        <v>0</v>
      </c>
      <c r="BB271" s="16" t="n">
        <v>0</v>
      </c>
      <c r="BC271" s="16" t="n">
        <v>0</v>
      </c>
      <c r="BD271" s="16" t="n">
        <v>0</v>
      </c>
      <c r="BE271" s="16" t="n">
        <v>0</v>
      </c>
      <c r="BF271" s="16" t="n">
        <v>0</v>
      </c>
      <c r="BG271" s="16" t="n">
        <v>0</v>
      </c>
      <c r="BH271" s="16" t="n">
        <v>0</v>
      </c>
      <c r="BI271" s="16" t="n">
        <v>0</v>
      </c>
      <c r="BJ271" s="16" t="n">
        <v>0</v>
      </c>
      <c r="BK271" s="16" t="n">
        <v>0</v>
      </c>
      <c r="BL271" s="16" t="n">
        <v>0</v>
      </c>
      <c r="BM271" s="16" t="n">
        <v>0</v>
      </c>
      <c r="BN271" s="16" t="n">
        <v>0</v>
      </c>
      <c r="BO271" s="16" t="n">
        <v>0</v>
      </c>
      <c r="BP271" s="16" t="n">
        <v>0</v>
      </c>
      <c r="BQ271" s="16" t="n">
        <v>0</v>
      </c>
      <c r="BR271" s="16" t="n">
        <v>0</v>
      </c>
      <c r="BS271" s="16" t="n">
        <v>0</v>
      </c>
      <c r="BT271" s="16" t="n">
        <v>0</v>
      </c>
      <c r="BU271" s="16" t="n">
        <v>0</v>
      </c>
      <c r="BV271" s="16" t="n">
        <v>0</v>
      </c>
      <c r="BW271" s="16" t="n">
        <v>0</v>
      </c>
      <c r="BX271" s="16" t="n">
        <v>0</v>
      </c>
      <c r="BY271" s="16" t="n">
        <v>0</v>
      </c>
      <c r="BZ271" s="16" t="n">
        <v>0</v>
      </c>
      <c r="CA271" s="16" t="n">
        <v>0</v>
      </c>
      <c r="CB271" s="16" t="n">
        <v>0</v>
      </c>
      <c r="CC271" s="16" t="n">
        <v>0</v>
      </c>
      <c r="CD271" s="16" t="n">
        <v>0</v>
      </c>
      <c r="CE271" s="16" t="n">
        <v>0</v>
      </c>
      <c r="CF271" s="16" t="n">
        <v>0</v>
      </c>
      <c r="CG271" s="16" t="n">
        <v>0</v>
      </c>
      <c r="CH271" s="16" t="n">
        <v>0</v>
      </c>
      <c r="CI271" s="16" t="n">
        <v>0</v>
      </c>
      <c r="CJ271" s="16" t="n">
        <v>0</v>
      </c>
      <c r="CK271" s="16" t="n">
        <v>0</v>
      </c>
      <c r="CL271" s="16" t="n">
        <v>0</v>
      </c>
      <c r="CM271" s="16" t="n">
        <v>0</v>
      </c>
      <c r="CN271" s="16" t="n">
        <v>0</v>
      </c>
      <c r="CO271" s="16" t="n">
        <v>0</v>
      </c>
      <c r="CP271" s="16" t="n">
        <v>0</v>
      </c>
      <c r="CQ271" s="16" t="n">
        <v>0</v>
      </c>
      <c r="CR271" s="16" t="n">
        <v>0</v>
      </c>
      <c r="CS271" s="16" t="n">
        <v>0</v>
      </c>
      <c r="CT271" s="16" t="n">
        <v>0</v>
      </c>
      <c r="CU271" s="16" t="n">
        <v>0</v>
      </c>
      <c r="CV271" s="16" t="n">
        <v>0</v>
      </c>
      <c r="CW271" s="16" t="n">
        <v>0</v>
      </c>
      <c r="CX271" s="16" t="n">
        <v>0</v>
      </c>
      <c r="CY271" s="16" t="n">
        <v>0</v>
      </c>
      <c r="CZ271" s="16" t="n">
        <v>0</v>
      </c>
      <c r="DA271" s="16" t="n">
        <v>0</v>
      </c>
      <c r="DB271" s="16" t="n">
        <v>0</v>
      </c>
      <c r="DC271" s="16" t="n">
        <v>0</v>
      </c>
      <c r="DD271" s="16" t="n">
        <v>0</v>
      </c>
      <c r="DE271" s="16" t="n">
        <v>0</v>
      </c>
      <c r="DF271" s="16" t="n">
        <v>0</v>
      </c>
      <c r="DG271" s="16" t="n">
        <v>0</v>
      </c>
      <c r="DH271" s="16" t="n">
        <v>0</v>
      </c>
      <c r="DI271" s="16" t="n">
        <v>0</v>
      </c>
      <c r="DJ271" s="16" t="n">
        <v>0</v>
      </c>
      <c r="DK271" s="16" t="n">
        <v>0</v>
      </c>
      <c r="DL271" s="16" t="n">
        <v>0</v>
      </c>
      <c r="DM271" s="16" t="n">
        <v>0</v>
      </c>
      <c r="DN271" s="16" t="n">
        <v>0</v>
      </c>
      <c r="DO271" s="16" t="n">
        <v>0</v>
      </c>
      <c r="DP271" s="16" t="n">
        <v>0</v>
      </c>
      <c r="DQ271" s="16" t="n">
        <v>0</v>
      </c>
      <c r="DR271" s="16" t="n">
        <v>0</v>
      </c>
      <c r="DS271" s="16" t="n">
        <v>0</v>
      </c>
      <c r="DT271" s="16" t="n">
        <v>0</v>
      </c>
      <c r="DU271" s="16" t="n">
        <v>0</v>
      </c>
      <c r="DV271" s="16" t="n">
        <v>0</v>
      </c>
      <c r="DW271" s="16" t="n">
        <v>0</v>
      </c>
      <c r="DX271" s="16" t="n">
        <v>0</v>
      </c>
      <c r="DY271" s="16" t="n">
        <v>0</v>
      </c>
      <c r="DZ271" s="16" t="n">
        <v>0</v>
      </c>
      <c r="EA271" s="16" t="n">
        <v>0</v>
      </c>
      <c r="EB271" s="16" t="n">
        <v>0</v>
      </c>
      <c r="EC271" s="16" t="n">
        <v>0</v>
      </c>
      <c r="ED271" s="16" t="n">
        <v>0</v>
      </c>
      <c r="EE271" s="16" t="n">
        <v>0</v>
      </c>
      <c r="EF271" s="16" t="n">
        <v>0</v>
      </c>
    </row>
    <row r="272" customFormat="false" ht="15" hidden="false" customHeight="true" outlineLevel="0" collapsed="false">
      <c r="A272" s="9" t="s">
        <v>12</v>
      </c>
      <c r="B272" s="9" t="s">
        <v>90</v>
      </c>
      <c r="C272" s="9" t="s">
        <v>90</v>
      </c>
      <c r="D272" s="9" t="s">
        <v>339</v>
      </c>
      <c r="E272" s="9" t="s">
        <v>16</v>
      </c>
      <c r="F272" s="9" t="s">
        <v>82</v>
      </c>
      <c r="G272" s="16" t="n">
        <v>0</v>
      </c>
      <c r="H272" s="16" t="n">
        <v>0</v>
      </c>
      <c r="I272" s="16" t="n">
        <v>0</v>
      </c>
      <c r="J272" s="16" t="n">
        <v>0</v>
      </c>
      <c r="K272" s="16" t="n">
        <v>0</v>
      </c>
      <c r="L272" s="16" t="n">
        <v>0</v>
      </c>
      <c r="M272" s="16" t="n">
        <v>0</v>
      </c>
      <c r="N272" s="16" t="n">
        <v>0</v>
      </c>
      <c r="O272" s="16" t="n">
        <v>0</v>
      </c>
      <c r="P272" s="16" t="n">
        <v>0</v>
      </c>
      <c r="Q272" s="16" t="n">
        <v>0</v>
      </c>
      <c r="R272" s="16" t="n">
        <v>0</v>
      </c>
      <c r="S272" s="16" t="n">
        <v>0</v>
      </c>
      <c r="T272" s="16" t="n">
        <v>0</v>
      </c>
      <c r="U272" s="16" t="n">
        <v>0</v>
      </c>
      <c r="V272" s="16" t="n">
        <v>0</v>
      </c>
      <c r="W272" s="16" t="n">
        <v>0</v>
      </c>
      <c r="X272" s="16" t="n">
        <v>0</v>
      </c>
      <c r="Y272" s="16" t="n">
        <v>0</v>
      </c>
      <c r="Z272" s="16" t="n">
        <v>0</v>
      </c>
      <c r="AA272" s="16" t="n">
        <v>0</v>
      </c>
      <c r="AB272" s="16" t="n">
        <v>0</v>
      </c>
      <c r="AC272" s="16" t="n">
        <v>0</v>
      </c>
      <c r="AD272" s="16" t="n">
        <v>0</v>
      </c>
      <c r="AE272" s="16" t="n">
        <v>0</v>
      </c>
      <c r="AF272" s="16" t="n">
        <v>0</v>
      </c>
      <c r="AG272" s="16" t="n">
        <v>0</v>
      </c>
      <c r="AH272" s="16" t="n">
        <v>0</v>
      </c>
      <c r="AI272" s="16" t="n">
        <v>0</v>
      </c>
      <c r="AJ272" s="16" t="n">
        <v>0</v>
      </c>
      <c r="AK272" s="16" t="n">
        <v>0</v>
      </c>
      <c r="AL272" s="16" t="n">
        <v>0</v>
      </c>
      <c r="AM272" s="16" t="n">
        <v>0</v>
      </c>
      <c r="AN272" s="16" t="n">
        <v>0</v>
      </c>
      <c r="AO272" s="16" t="n">
        <v>0</v>
      </c>
      <c r="AP272" s="16" t="n">
        <v>0</v>
      </c>
      <c r="AQ272" s="16" t="n">
        <v>0</v>
      </c>
      <c r="AR272" s="16" t="n">
        <v>0</v>
      </c>
      <c r="AS272" s="16" t="n">
        <v>0</v>
      </c>
      <c r="AT272" s="16" t="n">
        <v>0</v>
      </c>
      <c r="AU272" s="16" t="n">
        <v>0</v>
      </c>
      <c r="AV272" s="16" t="n">
        <v>0</v>
      </c>
      <c r="AW272" s="16" t="n">
        <v>0</v>
      </c>
      <c r="AX272" s="16" t="n">
        <v>0</v>
      </c>
      <c r="AY272" s="16" t="n">
        <v>0</v>
      </c>
      <c r="AZ272" s="16" t="n">
        <v>0</v>
      </c>
      <c r="BA272" s="16" t="n">
        <v>0</v>
      </c>
      <c r="BB272" s="16" t="n">
        <v>0</v>
      </c>
      <c r="BC272" s="16" t="n">
        <v>0</v>
      </c>
      <c r="BD272" s="16" t="n">
        <v>0</v>
      </c>
      <c r="BE272" s="16" t="n">
        <v>0</v>
      </c>
      <c r="BF272" s="16" t="n">
        <v>0</v>
      </c>
      <c r="BG272" s="16" t="n">
        <v>0</v>
      </c>
      <c r="BH272" s="16" t="n">
        <v>0</v>
      </c>
      <c r="BI272" s="16" t="n">
        <v>0</v>
      </c>
      <c r="BJ272" s="16" t="n">
        <v>0</v>
      </c>
      <c r="BK272" s="16" t="n">
        <v>0</v>
      </c>
      <c r="BL272" s="16" t="n">
        <v>0</v>
      </c>
      <c r="BM272" s="16" t="n">
        <v>0</v>
      </c>
      <c r="BN272" s="16" t="n">
        <v>0</v>
      </c>
      <c r="BO272" s="16" t="n">
        <v>0</v>
      </c>
      <c r="BP272" s="16" t="n">
        <v>0</v>
      </c>
      <c r="BQ272" s="16" t="n">
        <v>0</v>
      </c>
      <c r="BR272" s="16" t="n">
        <v>0</v>
      </c>
      <c r="BS272" s="16" t="n">
        <v>0</v>
      </c>
      <c r="BT272" s="16" t="n">
        <v>0</v>
      </c>
      <c r="BU272" s="16" t="n">
        <v>0</v>
      </c>
      <c r="BV272" s="16" t="n">
        <v>0</v>
      </c>
      <c r="BW272" s="16" t="n">
        <v>0</v>
      </c>
      <c r="BX272" s="16" t="n">
        <v>0</v>
      </c>
      <c r="BY272" s="16" t="n">
        <v>0</v>
      </c>
      <c r="BZ272" s="16" t="n">
        <v>0</v>
      </c>
      <c r="CA272" s="16" t="n">
        <v>0</v>
      </c>
      <c r="CB272" s="16" t="n">
        <v>0</v>
      </c>
      <c r="CC272" s="16" t="n">
        <v>0</v>
      </c>
      <c r="CD272" s="16" t="n">
        <v>0</v>
      </c>
      <c r="CE272" s="16" t="n">
        <v>0</v>
      </c>
      <c r="CF272" s="16" t="n">
        <v>0</v>
      </c>
      <c r="CG272" s="16" t="n">
        <v>0</v>
      </c>
      <c r="CH272" s="16" t="n">
        <v>0</v>
      </c>
      <c r="CI272" s="16" t="n">
        <v>0</v>
      </c>
      <c r="CJ272" s="16" t="n">
        <v>0</v>
      </c>
      <c r="CK272" s="16" t="n">
        <v>0</v>
      </c>
      <c r="CL272" s="16" t="n">
        <v>0</v>
      </c>
      <c r="CM272" s="16" t="n">
        <v>0</v>
      </c>
      <c r="CN272" s="16" t="n">
        <v>0</v>
      </c>
      <c r="CO272" s="16" t="n">
        <v>0</v>
      </c>
      <c r="CP272" s="16" t="n">
        <v>0</v>
      </c>
      <c r="CQ272" s="16" t="n">
        <v>0</v>
      </c>
      <c r="CR272" s="16" t="n">
        <v>0</v>
      </c>
      <c r="CS272" s="16" t="n">
        <v>0</v>
      </c>
      <c r="CT272" s="16" t="n">
        <v>0</v>
      </c>
      <c r="CU272" s="16" t="n">
        <v>0</v>
      </c>
      <c r="CV272" s="16" t="n">
        <v>0</v>
      </c>
      <c r="CW272" s="16" t="n">
        <v>0</v>
      </c>
      <c r="CX272" s="16" t="n">
        <v>0</v>
      </c>
      <c r="CY272" s="16" t="n">
        <v>0</v>
      </c>
      <c r="CZ272" s="16" t="n">
        <v>0</v>
      </c>
      <c r="DA272" s="16" t="n">
        <v>0</v>
      </c>
      <c r="DB272" s="16" t="n">
        <v>0</v>
      </c>
      <c r="DC272" s="16" t="n">
        <v>0</v>
      </c>
      <c r="DD272" s="16" t="n">
        <v>0</v>
      </c>
      <c r="DE272" s="16" t="n">
        <v>0</v>
      </c>
      <c r="DF272" s="16" t="n">
        <v>0</v>
      </c>
      <c r="DG272" s="16" t="n">
        <v>0</v>
      </c>
      <c r="DH272" s="16" t="n">
        <v>0</v>
      </c>
      <c r="DI272" s="16" t="n">
        <v>0</v>
      </c>
      <c r="DJ272" s="16" t="n">
        <v>0</v>
      </c>
      <c r="DK272" s="16" t="n">
        <v>0</v>
      </c>
      <c r="DL272" s="16" t="n">
        <v>0</v>
      </c>
      <c r="DM272" s="16" t="n">
        <v>0</v>
      </c>
      <c r="DN272" s="16" t="n">
        <v>0</v>
      </c>
      <c r="DO272" s="16" t="n">
        <v>0</v>
      </c>
      <c r="DP272" s="16" t="n">
        <v>0</v>
      </c>
      <c r="DQ272" s="16" t="n">
        <v>0</v>
      </c>
      <c r="DR272" s="16" t="n">
        <v>0</v>
      </c>
      <c r="DS272" s="16" t="n">
        <v>0</v>
      </c>
      <c r="DT272" s="16" t="n">
        <v>0</v>
      </c>
      <c r="DU272" s="16" t="n">
        <v>0</v>
      </c>
      <c r="DV272" s="16" t="n">
        <v>0</v>
      </c>
      <c r="DW272" s="16" t="n">
        <v>0</v>
      </c>
      <c r="DX272" s="16" t="n">
        <v>0</v>
      </c>
      <c r="DY272" s="16" t="n">
        <v>0</v>
      </c>
      <c r="DZ272" s="16" t="n">
        <v>0</v>
      </c>
      <c r="EA272" s="16" t="n">
        <v>0</v>
      </c>
      <c r="EB272" s="16" t="n">
        <v>0</v>
      </c>
      <c r="EC272" s="16" t="n">
        <v>0</v>
      </c>
      <c r="ED272" s="16" t="n">
        <v>0</v>
      </c>
      <c r="EE272" s="16" t="n">
        <v>0</v>
      </c>
      <c r="EF272" s="16" t="n">
        <v>0</v>
      </c>
    </row>
    <row r="273" customFormat="false" ht="15" hidden="false" customHeight="true" outlineLevel="0" collapsed="false">
      <c r="A273" s="9" t="s">
        <v>12</v>
      </c>
      <c r="B273" s="9" t="s">
        <v>90</v>
      </c>
      <c r="C273" s="9" t="s">
        <v>90</v>
      </c>
      <c r="D273" s="9" t="s">
        <v>340</v>
      </c>
      <c r="E273" s="9" t="s">
        <v>16</v>
      </c>
      <c r="F273" s="9" t="s">
        <v>84</v>
      </c>
      <c r="G273" s="16" t="n">
        <v>0</v>
      </c>
      <c r="H273" s="16" t="n">
        <v>10</v>
      </c>
      <c r="I273" s="16" t="n">
        <v>0</v>
      </c>
      <c r="J273" s="16" t="n">
        <v>10</v>
      </c>
      <c r="K273" s="16" t="n">
        <v>0</v>
      </c>
      <c r="L273" s="16" t="n">
        <v>0</v>
      </c>
      <c r="M273" s="16" t="n">
        <v>0</v>
      </c>
      <c r="N273" s="16" t="n">
        <v>0</v>
      </c>
      <c r="O273" s="16" t="n">
        <v>0</v>
      </c>
      <c r="P273" s="16" t="n">
        <v>0</v>
      </c>
      <c r="Q273" s="16" t="n">
        <v>0</v>
      </c>
      <c r="R273" s="16" t="n">
        <v>0</v>
      </c>
      <c r="S273" s="16" t="n">
        <v>0</v>
      </c>
      <c r="T273" s="16" t="n">
        <v>0</v>
      </c>
      <c r="U273" s="16" t="n">
        <v>0</v>
      </c>
      <c r="V273" s="16" t="n">
        <v>0</v>
      </c>
      <c r="W273" s="16" t="n">
        <v>0</v>
      </c>
      <c r="X273" s="16" t="n">
        <v>0</v>
      </c>
      <c r="Y273" s="16" t="n">
        <v>0</v>
      </c>
      <c r="Z273" s="16" t="n">
        <v>0</v>
      </c>
      <c r="AA273" s="16" t="n">
        <v>0</v>
      </c>
      <c r="AB273" s="16" t="n">
        <v>0</v>
      </c>
      <c r="AC273" s="16" t="n">
        <v>0</v>
      </c>
      <c r="AD273" s="16" t="n">
        <v>0</v>
      </c>
      <c r="AE273" s="16" t="n">
        <v>0</v>
      </c>
      <c r="AF273" s="16" t="n">
        <v>0</v>
      </c>
      <c r="AG273" s="16" t="n">
        <v>0</v>
      </c>
      <c r="AH273" s="16" t="n">
        <v>0</v>
      </c>
      <c r="AI273" s="16" t="n">
        <v>0</v>
      </c>
      <c r="AJ273" s="16" t="n">
        <v>0</v>
      </c>
      <c r="AK273" s="16" t="n">
        <v>0</v>
      </c>
      <c r="AL273" s="16" t="n">
        <v>0</v>
      </c>
      <c r="AM273" s="16" t="n">
        <v>0</v>
      </c>
      <c r="AN273" s="16" t="n">
        <v>0</v>
      </c>
      <c r="AO273" s="16" t="n">
        <v>0</v>
      </c>
      <c r="AP273" s="16" t="n">
        <v>0</v>
      </c>
      <c r="AQ273" s="16" t="n">
        <v>0</v>
      </c>
      <c r="AR273" s="16" t="n">
        <v>0</v>
      </c>
      <c r="AS273" s="16" t="n">
        <v>0</v>
      </c>
      <c r="AT273" s="16" t="n">
        <v>0</v>
      </c>
      <c r="AU273" s="16" t="n">
        <v>0</v>
      </c>
      <c r="AV273" s="16" t="n">
        <v>0</v>
      </c>
      <c r="AW273" s="16" t="n">
        <v>0</v>
      </c>
      <c r="AX273" s="16" t="n">
        <v>0</v>
      </c>
      <c r="AY273" s="16" t="n">
        <v>0</v>
      </c>
      <c r="AZ273" s="16" t="n">
        <v>0</v>
      </c>
      <c r="BA273" s="16" t="n">
        <v>0</v>
      </c>
      <c r="BB273" s="16" t="n">
        <v>0</v>
      </c>
      <c r="BC273" s="16" t="n">
        <v>0</v>
      </c>
      <c r="BD273" s="16" t="n">
        <v>0</v>
      </c>
      <c r="BE273" s="16" t="n">
        <v>0</v>
      </c>
      <c r="BF273" s="16" t="n">
        <v>0</v>
      </c>
      <c r="BG273" s="16" t="n">
        <v>0</v>
      </c>
      <c r="BH273" s="16" t="n">
        <v>0</v>
      </c>
      <c r="BI273" s="16" t="n">
        <v>0</v>
      </c>
      <c r="BJ273" s="16" t="n">
        <v>0</v>
      </c>
      <c r="BK273" s="16" t="n">
        <v>0</v>
      </c>
      <c r="BL273" s="16" t="n">
        <v>0</v>
      </c>
      <c r="BM273" s="16" t="n">
        <v>0</v>
      </c>
      <c r="BN273" s="16" t="n">
        <v>0</v>
      </c>
      <c r="BO273" s="16" t="n">
        <v>0</v>
      </c>
      <c r="BP273" s="16" t="n">
        <v>0</v>
      </c>
      <c r="BQ273" s="16" t="n">
        <v>0</v>
      </c>
      <c r="BR273" s="16" t="n">
        <v>0</v>
      </c>
      <c r="BS273" s="16" t="n">
        <v>0</v>
      </c>
      <c r="BT273" s="16" t="n">
        <v>0</v>
      </c>
      <c r="BU273" s="16" t="n">
        <v>0</v>
      </c>
      <c r="BV273" s="16" t="n">
        <v>0</v>
      </c>
      <c r="BW273" s="16" t="n">
        <v>0</v>
      </c>
      <c r="BX273" s="16" t="n">
        <v>0</v>
      </c>
      <c r="BY273" s="16" t="n">
        <v>0</v>
      </c>
      <c r="BZ273" s="16" t="n">
        <v>0</v>
      </c>
      <c r="CA273" s="16" t="n">
        <v>0</v>
      </c>
      <c r="CB273" s="16" t="n">
        <v>0</v>
      </c>
      <c r="CC273" s="16" t="n">
        <v>0</v>
      </c>
      <c r="CD273" s="16" t="n">
        <v>0</v>
      </c>
      <c r="CE273" s="16" t="n">
        <v>0</v>
      </c>
      <c r="CF273" s="16" t="n">
        <v>0</v>
      </c>
      <c r="CG273" s="16" t="n">
        <v>0</v>
      </c>
      <c r="CH273" s="16" t="n">
        <v>0</v>
      </c>
      <c r="CI273" s="16" t="n">
        <v>0</v>
      </c>
      <c r="CJ273" s="16" t="n">
        <v>0</v>
      </c>
      <c r="CK273" s="16" t="n">
        <v>0</v>
      </c>
      <c r="CL273" s="16" t="n">
        <v>0</v>
      </c>
      <c r="CM273" s="16" t="n">
        <v>0</v>
      </c>
      <c r="CN273" s="16" t="n">
        <v>0</v>
      </c>
      <c r="CO273" s="16" t="n">
        <v>0</v>
      </c>
      <c r="CP273" s="16" t="n">
        <v>0</v>
      </c>
      <c r="CQ273" s="16" t="n">
        <v>0</v>
      </c>
      <c r="CR273" s="16" t="n">
        <v>0</v>
      </c>
      <c r="CS273" s="16" t="n">
        <v>0</v>
      </c>
      <c r="CT273" s="16" t="n">
        <v>0</v>
      </c>
      <c r="CU273" s="16" t="n">
        <v>0</v>
      </c>
      <c r="CV273" s="16" t="n">
        <v>0</v>
      </c>
      <c r="CW273" s="16" t="n">
        <v>0</v>
      </c>
      <c r="CX273" s="16" t="n">
        <v>0</v>
      </c>
      <c r="CY273" s="16" t="n">
        <v>0</v>
      </c>
      <c r="CZ273" s="16" t="n">
        <v>0</v>
      </c>
      <c r="DA273" s="16" t="n">
        <v>0</v>
      </c>
      <c r="DB273" s="16" t="n">
        <v>0</v>
      </c>
      <c r="DC273" s="16" t="n">
        <v>0</v>
      </c>
      <c r="DD273" s="16" t="n">
        <v>0</v>
      </c>
      <c r="DE273" s="16" t="n">
        <v>0</v>
      </c>
      <c r="DF273" s="16" t="n">
        <v>0</v>
      </c>
      <c r="DG273" s="16" t="n">
        <v>0</v>
      </c>
      <c r="DH273" s="16" t="n">
        <v>0</v>
      </c>
      <c r="DI273" s="16" t="n">
        <v>0</v>
      </c>
      <c r="DJ273" s="16" t="n">
        <v>0</v>
      </c>
      <c r="DK273" s="16" t="n">
        <v>0</v>
      </c>
      <c r="DL273" s="16" t="n">
        <v>0</v>
      </c>
      <c r="DM273" s="16" t="n">
        <v>0</v>
      </c>
      <c r="DN273" s="16" t="n">
        <v>0</v>
      </c>
      <c r="DO273" s="16" t="n">
        <v>0</v>
      </c>
      <c r="DP273" s="16" t="n">
        <v>0</v>
      </c>
      <c r="DQ273" s="16" t="n">
        <v>0</v>
      </c>
      <c r="DR273" s="16" t="n">
        <v>0</v>
      </c>
      <c r="DS273" s="16" t="n">
        <v>0</v>
      </c>
      <c r="DT273" s="16" t="n">
        <v>0</v>
      </c>
      <c r="DU273" s="16" t="n">
        <v>0</v>
      </c>
      <c r="DV273" s="16" t="n">
        <v>0</v>
      </c>
      <c r="DW273" s="16" t="n">
        <v>0</v>
      </c>
      <c r="DX273" s="16" t="n">
        <v>0</v>
      </c>
      <c r="DY273" s="16" t="n">
        <v>0</v>
      </c>
      <c r="DZ273" s="16" t="n">
        <v>0</v>
      </c>
      <c r="EA273" s="16" t="n">
        <v>0</v>
      </c>
      <c r="EB273" s="16" t="n">
        <v>0</v>
      </c>
      <c r="EC273" s="16" t="n">
        <v>0</v>
      </c>
      <c r="ED273" s="16" t="n">
        <v>0</v>
      </c>
      <c r="EE273" s="16" t="n">
        <v>0</v>
      </c>
      <c r="EF273" s="16" t="n">
        <v>0</v>
      </c>
    </row>
    <row r="274" customFormat="false" ht="15" hidden="false" customHeight="true" outlineLevel="0" collapsed="false">
      <c r="A274" s="9" t="s">
        <v>12</v>
      </c>
      <c r="B274" s="9" t="s">
        <v>90</v>
      </c>
      <c r="C274" s="9" t="s">
        <v>90</v>
      </c>
      <c r="D274" s="9" t="s">
        <v>339</v>
      </c>
      <c r="E274" s="9" t="s">
        <v>16</v>
      </c>
      <c r="F274" s="9" t="s">
        <v>84</v>
      </c>
      <c r="G274" s="16" t="n">
        <v>0</v>
      </c>
      <c r="H274" s="16" t="n">
        <v>0</v>
      </c>
      <c r="I274" s="16" t="n">
        <v>10</v>
      </c>
      <c r="J274" s="16" t="n">
        <v>-10</v>
      </c>
      <c r="K274" s="16" t="n">
        <v>0</v>
      </c>
      <c r="L274" s="16" t="n">
        <v>0</v>
      </c>
      <c r="M274" s="16" t="n">
        <v>0</v>
      </c>
      <c r="N274" s="16" t="n">
        <v>0</v>
      </c>
      <c r="O274" s="16" t="n">
        <v>0</v>
      </c>
      <c r="P274" s="16" t="n">
        <v>0</v>
      </c>
      <c r="Q274" s="16" t="n">
        <v>0</v>
      </c>
      <c r="R274" s="16" t="n">
        <v>0</v>
      </c>
      <c r="S274" s="16" t="n">
        <v>0</v>
      </c>
      <c r="T274" s="16" t="n">
        <v>0</v>
      </c>
      <c r="U274" s="16" t="n">
        <v>0</v>
      </c>
      <c r="V274" s="16" t="n">
        <v>0</v>
      </c>
      <c r="W274" s="16" t="n">
        <v>0</v>
      </c>
      <c r="X274" s="16" t="n">
        <v>0</v>
      </c>
      <c r="Y274" s="16" t="n">
        <v>0</v>
      </c>
      <c r="Z274" s="16" t="n">
        <v>0</v>
      </c>
      <c r="AA274" s="16" t="n">
        <v>0</v>
      </c>
      <c r="AB274" s="16" t="n">
        <v>0</v>
      </c>
      <c r="AC274" s="16" t="n">
        <v>0</v>
      </c>
      <c r="AD274" s="16" t="n">
        <v>0</v>
      </c>
      <c r="AE274" s="16" t="n">
        <v>0</v>
      </c>
      <c r="AF274" s="16" t="n">
        <v>0</v>
      </c>
      <c r="AG274" s="16" t="n">
        <v>0</v>
      </c>
      <c r="AH274" s="16" t="n">
        <v>0</v>
      </c>
      <c r="AI274" s="16" t="n">
        <v>0</v>
      </c>
      <c r="AJ274" s="16" t="n">
        <v>0</v>
      </c>
      <c r="AK274" s="16" t="n">
        <v>0</v>
      </c>
      <c r="AL274" s="16" t="n">
        <v>0</v>
      </c>
      <c r="AM274" s="16" t="n">
        <v>0</v>
      </c>
      <c r="AN274" s="16" t="n">
        <v>0</v>
      </c>
      <c r="AO274" s="16" t="n">
        <v>0</v>
      </c>
      <c r="AP274" s="16" t="n">
        <v>0</v>
      </c>
      <c r="AQ274" s="16" t="n">
        <v>0</v>
      </c>
      <c r="AR274" s="16" t="n">
        <v>0</v>
      </c>
      <c r="AS274" s="16" t="n">
        <v>0</v>
      </c>
      <c r="AT274" s="16" t="n">
        <v>0</v>
      </c>
      <c r="AU274" s="16" t="n">
        <v>0</v>
      </c>
      <c r="AV274" s="16" t="n">
        <v>0</v>
      </c>
      <c r="AW274" s="16" t="n">
        <v>0</v>
      </c>
      <c r="AX274" s="16" t="n">
        <v>0</v>
      </c>
      <c r="AY274" s="16" t="n">
        <v>0</v>
      </c>
      <c r="AZ274" s="16" t="n">
        <v>0</v>
      </c>
      <c r="BA274" s="16" t="n">
        <v>0</v>
      </c>
      <c r="BB274" s="16" t="n">
        <v>0</v>
      </c>
      <c r="BC274" s="16" t="n">
        <v>0</v>
      </c>
      <c r="BD274" s="16" t="n">
        <v>0</v>
      </c>
      <c r="BE274" s="16" t="n">
        <v>0</v>
      </c>
      <c r="BF274" s="16" t="n">
        <v>0</v>
      </c>
      <c r="BG274" s="16" t="n">
        <v>0</v>
      </c>
      <c r="BH274" s="16" t="n">
        <v>0</v>
      </c>
      <c r="BI274" s="16" t="n">
        <v>0</v>
      </c>
      <c r="BJ274" s="16" t="n">
        <v>0</v>
      </c>
      <c r="BK274" s="16" t="n">
        <v>0</v>
      </c>
      <c r="BL274" s="16" t="n">
        <v>0</v>
      </c>
      <c r="BM274" s="16" t="n">
        <v>0</v>
      </c>
      <c r="BN274" s="16" t="n">
        <v>0</v>
      </c>
      <c r="BO274" s="16" t="n">
        <v>0</v>
      </c>
      <c r="BP274" s="16" t="n">
        <v>0</v>
      </c>
      <c r="BQ274" s="16" t="n">
        <v>0</v>
      </c>
      <c r="BR274" s="16" t="n">
        <v>0</v>
      </c>
      <c r="BS274" s="16" t="n">
        <v>0</v>
      </c>
      <c r="BT274" s="16" t="n">
        <v>0</v>
      </c>
      <c r="BU274" s="16" t="n">
        <v>0</v>
      </c>
      <c r="BV274" s="16" t="n">
        <v>0</v>
      </c>
      <c r="BW274" s="16" t="n">
        <v>0</v>
      </c>
      <c r="BX274" s="16" t="n">
        <v>0</v>
      </c>
      <c r="BY274" s="16" t="n">
        <v>0</v>
      </c>
      <c r="BZ274" s="16" t="n">
        <v>0</v>
      </c>
      <c r="CA274" s="16" t="n">
        <v>0</v>
      </c>
      <c r="CB274" s="16" t="n">
        <v>0</v>
      </c>
      <c r="CC274" s="16" t="n">
        <v>0</v>
      </c>
      <c r="CD274" s="16" t="n">
        <v>0</v>
      </c>
      <c r="CE274" s="16" t="n">
        <v>0</v>
      </c>
      <c r="CF274" s="16" t="n">
        <v>0</v>
      </c>
      <c r="CG274" s="16" t="n">
        <v>0</v>
      </c>
      <c r="CH274" s="16" t="n">
        <v>0</v>
      </c>
      <c r="CI274" s="16" t="n">
        <v>0</v>
      </c>
      <c r="CJ274" s="16" t="n">
        <v>0</v>
      </c>
      <c r="CK274" s="16" t="n">
        <v>0</v>
      </c>
      <c r="CL274" s="16" t="n">
        <v>0</v>
      </c>
      <c r="CM274" s="16" t="n">
        <v>0</v>
      </c>
      <c r="CN274" s="16" t="n">
        <v>0</v>
      </c>
      <c r="CO274" s="16" t="n">
        <v>0</v>
      </c>
      <c r="CP274" s="16" t="n">
        <v>0</v>
      </c>
      <c r="CQ274" s="16" t="n">
        <v>0</v>
      </c>
      <c r="CR274" s="16" t="n">
        <v>0</v>
      </c>
      <c r="CS274" s="16" t="n">
        <v>0</v>
      </c>
      <c r="CT274" s="16" t="n">
        <v>0</v>
      </c>
      <c r="CU274" s="16" t="n">
        <v>0</v>
      </c>
      <c r="CV274" s="16" t="n">
        <v>0</v>
      </c>
      <c r="CW274" s="16" t="n">
        <v>0</v>
      </c>
      <c r="CX274" s="16" t="n">
        <v>0</v>
      </c>
      <c r="CY274" s="16" t="n">
        <v>0</v>
      </c>
      <c r="CZ274" s="16" t="n">
        <v>5</v>
      </c>
      <c r="DA274" s="16" t="n">
        <v>5</v>
      </c>
      <c r="DB274" s="16" t="n">
        <v>0</v>
      </c>
      <c r="DC274" s="16" t="n">
        <v>0</v>
      </c>
      <c r="DD274" s="16" t="n">
        <v>0</v>
      </c>
      <c r="DE274" s="16" t="n">
        <v>0</v>
      </c>
      <c r="DF274" s="16" t="n">
        <v>0</v>
      </c>
      <c r="DG274" s="16" t="n">
        <v>0</v>
      </c>
      <c r="DH274" s="16" t="n">
        <v>0</v>
      </c>
      <c r="DI274" s="16" t="n">
        <v>0</v>
      </c>
      <c r="DJ274" s="16" t="n">
        <v>0</v>
      </c>
      <c r="DK274" s="16" t="n">
        <v>0</v>
      </c>
      <c r="DL274" s="16" t="n">
        <v>0</v>
      </c>
      <c r="DM274" s="16" t="n">
        <v>0</v>
      </c>
      <c r="DN274" s="16" t="n">
        <v>0</v>
      </c>
      <c r="DO274" s="16" t="n">
        <v>0</v>
      </c>
      <c r="DP274" s="16" t="n">
        <v>0</v>
      </c>
      <c r="DQ274" s="16" t="n">
        <v>0</v>
      </c>
      <c r="DR274" s="16" t="n">
        <v>0</v>
      </c>
      <c r="DS274" s="16" t="n">
        <v>0</v>
      </c>
      <c r="DT274" s="16" t="n">
        <v>0</v>
      </c>
      <c r="DU274" s="16" t="n">
        <v>0</v>
      </c>
      <c r="DV274" s="16" t="n">
        <v>0</v>
      </c>
      <c r="DW274" s="16" t="n">
        <v>0</v>
      </c>
      <c r="DX274" s="16" t="n">
        <v>0</v>
      </c>
      <c r="DY274" s="16" t="n">
        <v>0</v>
      </c>
      <c r="DZ274" s="16" t="n">
        <v>0</v>
      </c>
      <c r="EA274" s="16" t="n">
        <v>0</v>
      </c>
      <c r="EB274" s="16" t="n">
        <v>0</v>
      </c>
      <c r="EC274" s="16" t="n">
        <v>0</v>
      </c>
      <c r="ED274" s="16" t="n">
        <v>0</v>
      </c>
      <c r="EE274" s="16" t="n">
        <v>0</v>
      </c>
      <c r="EF274" s="16" t="n">
        <v>0</v>
      </c>
    </row>
    <row r="275" customFormat="false" ht="15" hidden="false" customHeight="true" outlineLevel="0" collapsed="false">
      <c r="A275" s="9" t="s">
        <v>12</v>
      </c>
      <c r="B275" s="9" t="s">
        <v>90</v>
      </c>
      <c r="C275" s="9" t="s">
        <v>90</v>
      </c>
      <c r="D275" s="9" t="s">
        <v>340</v>
      </c>
      <c r="E275" s="9" t="s">
        <v>16</v>
      </c>
      <c r="F275" s="9" t="s">
        <v>86</v>
      </c>
      <c r="G275" s="16" t="n">
        <v>0</v>
      </c>
      <c r="H275" s="16" t="n">
        <v>0</v>
      </c>
      <c r="I275" s="16" t="n">
        <v>13</v>
      </c>
      <c r="J275" s="16" t="n">
        <v>-13</v>
      </c>
      <c r="K275" s="16" t="n">
        <v>0</v>
      </c>
      <c r="L275" s="16" t="n">
        <v>0</v>
      </c>
      <c r="M275" s="16" t="n">
        <v>0</v>
      </c>
      <c r="N275" s="16" t="n">
        <v>0</v>
      </c>
      <c r="O275" s="16" t="n">
        <v>0</v>
      </c>
      <c r="P275" s="16" t="n">
        <v>0</v>
      </c>
      <c r="Q275" s="16" t="n">
        <v>0</v>
      </c>
      <c r="R275" s="16" t="n">
        <v>0</v>
      </c>
      <c r="S275" s="16" t="n">
        <v>0</v>
      </c>
      <c r="T275" s="16" t="n">
        <v>0</v>
      </c>
      <c r="U275" s="16" t="n">
        <v>0</v>
      </c>
      <c r="V275" s="16" t="n">
        <v>0</v>
      </c>
      <c r="W275" s="16" t="n">
        <v>0</v>
      </c>
      <c r="X275" s="16" t="n">
        <v>0</v>
      </c>
      <c r="Y275" s="16" t="n">
        <v>3</v>
      </c>
      <c r="Z275" s="16" t="n">
        <v>0</v>
      </c>
      <c r="AA275" s="16" t="n">
        <v>10</v>
      </c>
      <c r="AB275" s="16" t="n">
        <v>0</v>
      </c>
      <c r="AC275" s="16" t="n">
        <v>0</v>
      </c>
      <c r="AD275" s="16" t="n">
        <v>0</v>
      </c>
      <c r="AE275" s="16" t="n">
        <v>0</v>
      </c>
      <c r="AF275" s="16" t="n">
        <v>0</v>
      </c>
      <c r="AG275" s="16" t="n">
        <v>0</v>
      </c>
      <c r="AH275" s="16" t="n">
        <v>0</v>
      </c>
      <c r="AI275" s="16" t="n">
        <v>0</v>
      </c>
      <c r="AJ275" s="16" t="n">
        <v>0</v>
      </c>
      <c r="AK275" s="16" t="n">
        <v>0</v>
      </c>
      <c r="AL275" s="16" t="n">
        <v>0</v>
      </c>
      <c r="AM275" s="16" t="n">
        <v>0</v>
      </c>
      <c r="AN275" s="16" t="n">
        <v>0</v>
      </c>
      <c r="AO275" s="16" t="n">
        <v>0</v>
      </c>
      <c r="AP275" s="16" t="n">
        <v>0</v>
      </c>
      <c r="AQ275" s="16" t="n">
        <v>0</v>
      </c>
      <c r="AR275" s="16" t="n">
        <v>0</v>
      </c>
      <c r="AS275" s="16" t="n">
        <v>0</v>
      </c>
      <c r="AT275" s="16" t="n">
        <v>0</v>
      </c>
      <c r="AU275" s="16" t="n">
        <v>0</v>
      </c>
      <c r="AV275" s="16" t="n">
        <v>0</v>
      </c>
      <c r="AW275" s="16" t="n">
        <v>0</v>
      </c>
      <c r="AX275" s="16" t="n">
        <v>0</v>
      </c>
      <c r="AY275" s="16" t="n">
        <v>0</v>
      </c>
      <c r="AZ275" s="16" t="n">
        <v>0</v>
      </c>
      <c r="BA275" s="16" t="n">
        <v>0</v>
      </c>
      <c r="BB275" s="16" t="n">
        <v>0</v>
      </c>
      <c r="BC275" s="16" t="n">
        <v>0</v>
      </c>
      <c r="BD275" s="16" t="n">
        <v>0</v>
      </c>
      <c r="BE275" s="16" t="n">
        <v>0</v>
      </c>
      <c r="BF275" s="16" t="n">
        <v>0</v>
      </c>
      <c r="BG275" s="16" t="n">
        <v>0</v>
      </c>
      <c r="BH275" s="16" t="n">
        <v>0</v>
      </c>
      <c r="BI275" s="16" t="n">
        <v>0</v>
      </c>
      <c r="BJ275" s="16" t="n">
        <v>0</v>
      </c>
      <c r="BK275" s="16" t="n">
        <v>0</v>
      </c>
      <c r="BL275" s="16" t="n">
        <v>0</v>
      </c>
      <c r="BM275" s="16" t="n">
        <v>0</v>
      </c>
      <c r="BN275" s="16" t="n">
        <v>0</v>
      </c>
      <c r="BO275" s="16" t="n">
        <v>0</v>
      </c>
      <c r="BP275" s="16" t="n">
        <v>0</v>
      </c>
      <c r="BQ275" s="16" t="n">
        <v>0</v>
      </c>
      <c r="BR275" s="16" t="n">
        <v>0</v>
      </c>
      <c r="BS275" s="16" t="n">
        <v>0</v>
      </c>
      <c r="BT275" s="16" t="n">
        <v>0</v>
      </c>
      <c r="BU275" s="16" t="n">
        <v>0</v>
      </c>
      <c r="BV275" s="16" t="n">
        <v>0</v>
      </c>
      <c r="BW275" s="16" t="n">
        <v>0</v>
      </c>
      <c r="BX275" s="16" t="n">
        <v>0</v>
      </c>
      <c r="BY275" s="16" t="n">
        <v>0</v>
      </c>
      <c r="BZ275" s="16" t="n">
        <v>0</v>
      </c>
      <c r="CA275" s="16" t="n">
        <v>0</v>
      </c>
      <c r="CB275" s="16" t="n">
        <v>0</v>
      </c>
      <c r="CC275" s="16" t="n">
        <v>0</v>
      </c>
      <c r="CD275" s="16" t="n">
        <v>0</v>
      </c>
      <c r="CE275" s="16" t="n">
        <v>0</v>
      </c>
      <c r="CF275" s="16" t="n">
        <v>0</v>
      </c>
      <c r="CG275" s="16" t="n">
        <v>0</v>
      </c>
      <c r="CH275" s="16" t="n">
        <v>0</v>
      </c>
      <c r="CI275" s="16" t="n">
        <v>0</v>
      </c>
      <c r="CJ275" s="16" t="n">
        <v>0</v>
      </c>
      <c r="CK275" s="16" t="n">
        <v>0</v>
      </c>
      <c r="CL275" s="16" t="n">
        <v>0</v>
      </c>
      <c r="CM275" s="16" t="n">
        <v>0</v>
      </c>
      <c r="CN275" s="16" t="n">
        <v>0</v>
      </c>
      <c r="CO275" s="16" t="n">
        <v>0</v>
      </c>
      <c r="CP275" s="16" t="n">
        <v>0</v>
      </c>
      <c r="CQ275" s="16" t="n">
        <v>0</v>
      </c>
      <c r="CR275" s="16" t="n">
        <v>0</v>
      </c>
      <c r="CS275" s="16" t="n">
        <v>0</v>
      </c>
      <c r="CT275" s="16" t="n">
        <v>0</v>
      </c>
      <c r="CU275" s="16" t="n">
        <v>0</v>
      </c>
      <c r="CV275" s="16" t="n">
        <v>0</v>
      </c>
      <c r="CW275" s="16" t="n">
        <v>0</v>
      </c>
      <c r="CX275" s="16" t="n">
        <v>0</v>
      </c>
      <c r="CY275" s="16" t="n">
        <v>0</v>
      </c>
      <c r="CZ275" s="16" t="n">
        <v>0</v>
      </c>
      <c r="DA275" s="16" t="n">
        <v>0</v>
      </c>
      <c r="DB275" s="16" t="n">
        <v>0</v>
      </c>
      <c r="DC275" s="16" t="n">
        <v>0</v>
      </c>
      <c r="DD275" s="16" t="n">
        <v>0</v>
      </c>
      <c r="DE275" s="16" t="n">
        <v>0</v>
      </c>
      <c r="DF275" s="16" t="n">
        <v>0</v>
      </c>
      <c r="DG275" s="16" t="n">
        <v>0</v>
      </c>
      <c r="DH275" s="16" t="n">
        <v>0</v>
      </c>
      <c r="DI275" s="16" t="n">
        <v>0</v>
      </c>
      <c r="DJ275" s="16" t="n">
        <v>0</v>
      </c>
      <c r="DK275" s="16" t="n">
        <v>0</v>
      </c>
      <c r="DL275" s="16" t="n">
        <v>0</v>
      </c>
      <c r="DM275" s="16" t="n">
        <v>0</v>
      </c>
      <c r="DN275" s="16" t="n">
        <v>0</v>
      </c>
      <c r="DO275" s="16" t="n">
        <v>0</v>
      </c>
      <c r="DP275" s="16" t="n">
        <v>0</v>
      </c>
      <c r="DQ275" s="16" t="n">
        <v>0</v>
      </c>
      <c r="DR275" s="16" t="n">
        <v>0</v>
      </c>
      <c r="DS275" s="16" t="n">
        <v>0</v>
      </c>
      <c r="DT275" s="16" t="n">
        <v>0</v>
      </c>
      <c r="DU275" s="16" t="n">
        <v>0</v>
      </c>
      <c r="DV275" s="16" t="n">
        <v>0</v>
      </c>
      <c r="DW275" s="16" t="n">
        <v>0</v>
      </c>
      <c r="DX275" s="16" t="n">
        <v>0</v>
      </c>
      <c r="DY275" s="16" t="n">
        <v>0</v>
      </c>
      <c r="DZ275" s="16" t="n">
        <v>0</v>
      </c>
      <c r="EA275" s="16" t="n">
        <v>0</v>
      </c>
      <c r="EB275" s="16" t="n">
        <v>0</v>
      </c>
      <c r="EC275" s="16" t="n">
        <v>0</v>
      </c>
      <c r="ED275" s="16" t="n">
        <v>0</v>
      </c>
      <c r="EE275" s="16" t="n">
        <v>0</v>
      </c>
      <c r="EF275" s="16" t="n">
        <v>0</v>
      </c>
    </row>
    <row r="276" customFormat="false" ht="15" hidden="false" customHeight="true" outlineLevel="0" collapsed="false">
      <c r="A276" s="9" t="s">
        <v>12</v>
      </c>
      <c r="B276" s="9" t="s">
        <v>90</v>
      </c>
      <c r="C276" s="9" t="s">
        <v>90</v>
      </c>
      <c r="D276" s="9" t="s">
        <v>340</v>
      </c>
      <c r="E276" s="9" t="s">
        <v>16</v>
      </c>
      <c r="F276" s="9" t="s">
        <v>93</v>
      </c>
      <c r="G276" s="16" t="n">
        <v>2</v>
      </c>
      <c r="H276" s="16" t="n">
        <v>2</v>
      </c>
      <c r="I276" s="16" t="n">
        <v>2</v>
      </c>
      <c r="J276" s="16" t="n">
        <v>0</v>
      </c>
      <c r="K276" s="16" t="n">
        <v>0</v>
      </c>
      <c r="L276" s="16" t="n">
        <v>0</v>
      </c>
      <c r="M276" s="16" t="n">
        <v>0</v>
      </c>
      <c r="N276" s="16" t="n">
        <v>0</v>
      </c>
      <c r="O276" s="16" t="n">
        <v>0</v>
      </c>
      <c r="P276" s="16" t="n">
        <v>0</v>
      </c>
      <c r="Q276" s="16" t="n">
        <v>0</v>
      </c>
      <c r="R276" s="16" t="n">
        <v>0</v>
      </c>
      <c r="S276" s="16" t="n">
        <v>0</v>
      </c>
      <c r="T276" s="16" t="n">
        <v>0</v>
      </c>
      <c r="U276" s="16" t="n">
        <v>0</v>
      </c>
      <c r="V276" s="16" t="n">
        <v>0</v>
      </c>
      <c r="W276" s="16" t="n">
        <v>0</v>
      </c>
      <c r="X276" s="16" t="n">
        <v>0</v>
      </c>
      <c r="Y276" s="16" t="n">
        <v>0</v>
      </c>
      <c r="Z276" s="16" t="n">
        <v>0</v>
      </c>
      <c r="AA276" s="16" t="n">
        <v>0</v>
      </c>
      <c r="AB276" s="16" t="n">
        <v>0</v>
      </c>
      <c r="AC276" s="16" t="n">
        <v>0</v>
      </c>
      <c r="AD276" s="16" t="n">
        <v>2</v>
      </c>
      <c r="AE276" s="16" t="n">
        <v>0</v>
      </c>
      <c r="AF276" s="16" t="n">
        <v>0</v>
      </c>
      <c r="AG276" s="16" t="n">
        <v>0</v>
      </c>
      <c r="AH276" s="16" t="n">
        <v>0</v>
      </c>
      <c r="AI276" s="16" t="n">
        <v>0</v>
      </c>
      <c r="AJ276" s="16" t="n">
        <v>0</v>
      </c>
      <c r="AK276" s="16" t="n">
        <v>0</v>
      </c>
      <c r="AL276" s="16" t="n">
        <v>0</v>
      </c>
      <c r="AM276" s="16" t="n">
        <v>0</v>
      </c>
      <c r="AN276" s="16" t="n">
        <v>0</v>
      </c>
      <c r="AO276" s="16" t="n">
        <v>0</v>
      </c>
      <c r="AP276" s="16" t="n">
        <v>0</v>
      </c>
      <c r="AQ276" s="16" t="n">
        <v>0</v>
      </c>
      <c r="AR276" s="16" t="n">
        <v>0</v>
      </c>
      <c r="AS276" s="16" t="n">
        <v>0</v>
      </c>
      <c r="AT276" s="16" t="n">
        <v>0</v>
      </c>
      <c r="AU276" s="16" t="n">
        <v>0</v>
      </c>
      <c r="AV276" s="16" t="n">
        <v>0</v>
      </c>
      <c r="AW276" s="16" t="n">
        <v>0</v>
      </c>
      <c r="AX276" s="16" t="n">
        <v>0</v>
      </c>
      <c r="AY276" s="16" t="n">
        <v>0</v>
      </c>
      <c r="AZ276" s="16" t="n">
        <v>0</v>
      </c>
      <c r="BA276" s="16" t="n">
        <v>0</v>
      </c>
      <c r="BB276" s="16" t="n">
        <v>0</v>
      </c>
      <c r="BC276" s="16" t="n">
        <v>0</v>
      </c>
      <c r="BD276" s="16" t="n">
        <v>0</v>
      </c>
      <c r="BE276" s="16" t="n">
        <v>0</v>
      </c>
      <c r="BF276" s="16" t="n">
        <v>0</v>
      </c>
      <c r="BG276" s="16" t="n">
        <v>0</v>
      </c>
      <c r="BH276" s="16" t="n">
        <v>0</v>
      </c>
      <c r="BI276" s="16" t="n">
        <v>0</v>
      </c>
      <c r="BJ276" s="16" t="n">
        <v>0</v>
      </c>
      <c r="BK276" s="16" t="n">
        <v>0</v>
      </c>
      <c r="BL276" s="16" t="n">
        <v>0</v>
      </c>
      <c r="BM276" s="16" t="n">
        <v>0</v>
      </c>
      <c r="BN276" s="16" t="n">
        <v>0</v>
      </c>
      <c r="BO276" s="16" t="n">
        <v>0</v>
      </c>
      <c r="BP276" s="16" t="n">
        <v>0</v>
      </c>
      <c r="BQ276" s="16" t="n">
        <v>0</v>
      </c>
      <c r="BR276" s="16" t="n">
        <v>0</v>
      </c>
      <c r="BS276" s="16" t="n">
        <v>0</v>
      </c>
      <c r="BT276" s="16" t="n">
        <v>0</v>
      </c>
      <c r="BU276" s="16" t="n">
        <v>0</v>
      </c>
      <c r="BV276" s="16" t="n">
        <v>0</v>
      </c>
      <c r="BW276" s="16" t="n">
        <v>0</v>
      </c>
      <c r="BX276" s="16" t="n">
        <v>0</v>
      </c>
      <c r="BY276" s="16" t="n">
        <v>0</v>
      </c>
      <c r="BZ276" s="16" t="n">
        <v>0</v>
      </c>
      <c r="CA276" s="16" t="n">
        <v>0</v>
      </c>
      <c r="CB276" s="16" t="n">
        <v>0</v>
      </c>
      <c r="CC276" s="16" t="n">
        <v>0</v>
      </c>
      <c r="CD276" s="16" t="n">
        <v>0</v>
      </c>
      <c r="CE276" s="16" t="n">
        <v>0</v>
      </c>
      <c r="CF276" s="16" t="n">
        <v>0</v>
      </c>
      <c r="CG276" s="16" t="n">
        <v>0</v>
      </c>
      <c r="CH276" s="16" t="n">
        <v>0</v>
      </c>
      <c r="CI276" s="16" t="n">
        <v>0</v>
      </c>
      <c r="CJ276" s="16" t="n">
        <v>0</v>
      </c>
      <c r="CK276" s="16" t="n">
        <v>0</v>
      </c>
      <c r="CL276" s="16" t="n">
        <v>0</v>
      </c>
      <c r="CM276" s="16" t="n">
        <v>0</v>
      </c>
      <c r="CN276" s="16" t="n">
        <v>0</v>
      </c>
      <c r="CO276" s="16" t="n">
        <v>0</v>
      </c>
      <c r="CP276" s="16" t="n">
        <v>0</v>
      </c>
      <c r="CQ276" s="16" t="n">
        <v>0</v>
      </c>
      <c r="CR276" s="16" t="n">
        <v>0</v>
      </c>
      <c r="CS276" s="16" t="n">
        <v>0</v>
      </c>
      <c r="CT276" s="16" t="n">
        <v>0</v>
      </c>
      <c r="CU276" s="16" t="n">
        <v>0</v>
      </c>
      <c r="CV276" s="16" t="n">
        <v>0</v>
      </c>
      <c r="CW276" s="16" t="n">
        <v>0</v>
      </c>
      <c r="CX276" s="16" t="n">
        <v>0</v>
      </c>
      <c r="CY276" s="16" t="n">
        <v>0</v>
      </c>
      <c r="CZ276" s="16" t="n">
        <v>0</v>
      </c>
      <c r="DA276" s="16" t="n">
        <v>0</v>
      </c>
      <c r="DB276" s="16" t="n">
        <v>0</v>
      </c>
      <c r="DC276" s="16" t="n">
        <v>0</v>
      </c>
      <c r="DD276" s="16" t="n">
        <v>0</v>
      </c>
      <c r="DE276" s="16" t="n">
        <v>0</v>
      </c>
      <c r="DF276" s="16" t="n">
        <v>0</v>
      </c>
      <c r="DG276" s="16" t="n">
        <v>0</v>
      </c>
      <c r="DH276" s="16" t="n">
        <v>0</v>
      </c>
      <c r="DI276" s="16" t="n">
        <v>0</v>
      </c>
      <c r="DJ276" s="16" t="n">
        <v>0</v>
      </c>
      <c r="DK276" s="16" t="n">
        <v>0</v>
      </c>
      <c r="DL276" s="16" t="n">
        <v>0</v>
      </c>
      <c r="DM276" s="16" t="n">
        <v>0</v>
      </c>
      <c r="DN276" s="16" t="n">
        <v>0</v>
      </c>
      <c r="DO276" s="16" t="n">
        <v>0</v>
      </c>
      <c r="DP276" s="16" t="n">
        <v>0</v>
      </c>
      <c r="DQ276" s="16" t="n">
        <v>0</v>
      </c>
      <c r="DR276" s="16" t="n">
        <v>0</v>
      </c>
      <c r="DS276" s="16" t="n">
        <v>0</v>
      </c>
      <c r="DT276" s="16" t="n">
        <v>0</v>
      </c>
      <c r="DU276" s="16" t="n">
        <v>0</v>
      </c>
      <c r="DV276" s="16" t="n">
        <v>0</v>
      </c>
      <c r="DW276" s="16" t="n">
        <v>0</v>
      </c>
      <c r="DX276" s="16" t="n">
        <v>0</v>
      </c>
      <c r="DY276" s="16" t="n">
        <v>0</v>
      </c>
      <c r="DZ276" s="16" t="n">
        <v>0</v>
      </c>
      <c r="EA276" s="16" t="n">
        <v>0</v>
      </c>
      <c r="EB276" s="16" t="n">
        <v>0</v>
      </c>
      <c r="EC276" s="16" t="n">
        <v>0</v>
      </c>
      <c r="ED276" s="16" t="n">
        <v>0</v>
      </c>
      <c r="EE276" s="16" t="n">
        <v>0</v>
      </c>
      <c r="EF276" s="16" t="n">
        <v>0</v>
      </c>
    </row>
    <row r="277" customFormat="false" ht="15" hidden="false" customHeight="true" outlineLevel="0" collapsed="false">
      <c r="A277" s="9" t="s">
        <v>12</v>
      </c>
      <c r="B277" s="9" t="s">
        <v>90</v>
      </c>
      <c r="C277" s="9" t="s">
        <v>90</v>
      </c>
      <c r="D277" s="9" t="s">
        <v>339</v>
      </c>
      <c r="E277" s="9" t="s">
        <v>16</v>
      </c>
      <c r="F277" s="9" t="s">
        <v>93</v>
      </c>
      <c r="G277" s="16" t="n">
        <v>0</v>
      </c>
      <c r="H277" s="16" t="n">
        <v>0</v>
      </c>
      <c r="I277" s="16" t="n">
        <v>0</v>
      </c>
      <c r="J277" s="16" t="n">
        <v>0</v>
      </c>
      <c r="K277" s="16" t="n">
        <v>0</v>
      </c>
      <c r="L277" s="16" t="n">
        <v>0</v>
      </c>
      <c r="M277" s="16" t="n">
        <v>0</v>
      </c>
      <c r="N277" s="16" t="n">
        <v>0</v>
      </c>
      <c r="O277" s="16" t="n">
        <v>0</v>
      </c>
      <c r="P277" s="16" t="n">
        <v>0</v>
      </c>
      <c r="Q277" s="16" t="n">
        <v>0</v>
      </c>
      <c r="R277" s="16" t="n">
        <v>0</v>
      </c>
      <c r="S277" s="16" t="n">
        <v>0</v>
      </c>
      <c r="T277" s="16" t="n">
        <v>0</v>
      </c>
      <c r="U277" s="16" t="n">
        <v>0</v>
      </c>
      <c r="V277" s="16" t="n">
        <v>0</v>
      </c>
      <c r="W277" s="16" t="n">
        <v>0</v>
      </c>
      <c r="X277" s="16" t="n">
        <v>0</v>
      </c>
      <c r="Y277" s="16" t="n">
        <v>0</v>
      </c>
      <c r="Z277" s="16" t="n">
        <v>0</v>
      </c>
      <c r="AA277" s="16" t="n">
        <v>0</v>
      </c>
      <c r="AB277" s="16" t="n">
        <v>0</v>
      </c>
      <c r="AC277" s="16" t="n">
        <v>0</v>
      </c>
      <c r="AD277" s="16" t="n">
        <v>0</v>
      </c>
      <c r="AE277" s="16" t="n">
        <v>0</v>
      </c>
      <c r="AF277" s="16" t="n">
        <v>0</v>
      </c>
      <c r="AG277" s="16" t="n">
        <v>0</v>
      </c>
      <c r="AH277" s="16" t="n">
        <v>0</v>
      </c>
      <c r="AI277" s="16" t="n">
        <v>0</v>
      </c>
      <c r="AJ277" s="16" t="n">
        <v>0</v>
      </c>
      <c r="AK277" s="16" t="n">
        <v>0</v>
      </c>
      <c r="AL277" s="16" t="n">
        <v>0</v>
      </c>
      <c r="AM277" s="16" t="n">
        <v>0</v>
      </c>
      <c r="AN277" s="16" t="n">
        <v>0</v>
      </c>
      <c r="AO277" s="16" t="n">
        <v>0</v>
      </c>
      <c r="AP277" s="16" t="n">
        <v>0</v>
      </c>
      <c r="AQ277" s="16" t="n">
        <v>0</v>
      </c>
      <c r="AR277" s="16" t="n">
        <v>0</v>
      </c>
      <c r="AS277" s="16" t="n">
        <v>0</v>
      </c>
      <c r="AT277" s="16" t="n">
        <v>0</v>
      </c>
      <c r="AU277" s="16" t="n">
        <v>0</v>
      </c>
      <c r="AV277" s="16" t="n">
        <v>0</v>
      </c>
      <c r="AW277" s="16" t="n">
        <v>0</v>
      </c>
      <c r="AX277" s="16" t="n">
        <v>0</v>
      </c>
      <c r="AY277" s="16" t="n">
        <v>0</v>
      </c>
      <c r="AZ277" s="16" t="n">
        <v>0</v>
      </c>
      <c r="BA277" s="16" t="n">
        <v>0</v>
      </c>
      <c r="BB277" s="16" t="n">
        <v>0</v>
      </c>
      <c r="BC277" s="16" t="n">
        <v>0</v>
      </c>
      <c r="BD277" s="16" t="n">
        <v>0</v>
      </c>
      <c r="BE277" s="16" t="n">
        <v>0</v>
      </c>
      <c r="BF277" s="16" t="n">
        <v>0</v>
      </c>
      <c r="BG277" s="16" t="n">
        <v>0</v>
      </c>
      <c r="BH277" s="16" t="n">
        <v>0</v>
      </c>
      <c r="BI277" s="16" t="n">
        <v>0</v>
      </c>
      <c r="BJ277" s="16" t="n">
        <v>0</v>
      </c>
      <c r="BK277" s="16" t="n">
        <v>0</v>
      </c>
      <c r="BL277" s="16" t="n">
        <v>0</v>
      </c>
      <c r="BM277" s="16" t="n">
        <v>0</v>
      </c>
      <c r="BN277" s="16" t="n">
        <v>0</v>
      </c>
      <c r="BO277" s="16" t="n">
        <v>0</v>
      </c>
      <c r="BP277" s="16" t="n">
        <v>0</v>
      </c>
      <c r="BQ277" s="16" t="n">
        <v>0</v>
      </c>
      <c r="BR277" s="16" t="n">
        <v>0</v>
      </c>
      <c r="BS277" s="16" t="n">
        <v>0</v>
      </c>
      <c r="BT277" s="16" t="n">
        <v>0</v>
      </c>
      <c r="BU277" s="16" t="n">
        <v>0</v>
      </c>
      <c r="BV277" s="16" t="n">
        <v>0</v>
      </c>
      <c r="BW277" s="16" t="n">
        <v>0</v>
      </c>
      <c r="BX277" s="16" t="n">
        <v>0</v>
      </c>
      <c r="BY277" s="16" t="n">
        <v>0</v>
      </c>
      <c r="BZ277" s="16" t="n">
        <v>0</v>
      </c>
      <c r="CA277" s="16" t="n">
        <v>0</v>
      </c>
      <c r="CB277" s="16" t="n">
        <v>0</v>
      </c>
      <c r="CC277" s="16" t="n">
        <v>0</v>
      </c>
      <c r="CD277" s="16" t="n">
        <v>0</v>
      </c>
      <c r="CE277" s="16" t="n">
        <v>0</v>
      </c>
      <c r="CF277" s="16" t="n">
        <v>0</v>
      </c>
      <c r="CG277" s="16" t="n">
        <v>0</v>
      </c>
      <c r="CH277" s="16" t="n">
        <v>0</v>
      </c>
      <c r="CI277" s="16" t="n">
        <v>0</v>
      </c>
      <c r="CJ277" s="16" t="n">
        <v>0</v>
      </c>
      <c r="CK277" s="16" t="n">
        <v>0</v>
      </c>
      <c r="CL277" s="16" t="n">
        <v>0</v>
      </c>
      <c r="CM277" s="16" t="n">
        <v>0</v>
      </c>
      <c r="CN277" s="16" t="n">
        <v>0</v>
      </c>
      <c r="CO277" s="16" t="n">
        <v>0</v>
      </c>
      <c r="CP277" s="16" t="n">
        <v>0</v>
      </c>
      <c r="CQ277" s="16" t="n">
        <v>0</v>
      </c>
      <c r="CR277" s="16" t="n">
        <v>0</v>
      </c>
      <c r="CS277" s="16" t="n">
        <v>0</v>
      </c>
      <c r="CT277" s="16" t="n">
        <v>0</v>
      </c>
      <c r="CU277" s="16" t="n">
        <v>0</v>
      </c>
      <c r="CV277" s="16" t="n">
        <v>0</v>
      </c>
      <c r="CW277" s="16" t="n">
        <v>0</v>
      </c>
      <c r="CX277" s="16" t="n">
        <v>0</v>
      </c>
      <c r="CY277" s="16" t="n">
        <v>0</v>
      </c>
      <c r="CZ277" s="16" t="n">
        <v>0</v>
      </c>
      <c r="DA277" s="16" t="n">
        <v>0</v>
      </c>
      <c r="DB277" s="16" t="n">
        <v>0</v>
      </c>
      <c r="DC277" s="16" t="n">
        <v>0</v>
      </c>
      <c r="DD277" s="16" t="n">
        <v>0</v>
      </c>
      <c r="DE277" s="16" t="n">
        <v>0</v>
      </c>
      <c r="DF277" s="16" t="n">
        <v>0</v>
      </c>
      <c r="DG277" s="16" t="n">
        <v>0</v>
      </c>
      <c r="DH277" s="16" t="n">
        <v>0</v>
      </c>
      <c r="DI277" s="16" t="n">
        <v>0</v>
      </c>
      <c r="DJ277" s="16" t="n">
        <v>0</v>
      </c>
      <c r="DK277" s="16" t="n">
        <v>0</v>
      </c>
      <c r="DL277" s="16" t="n">
        <v>0</v>
      </c>
      <c r="DM277" s="16" t="n">
        <v>0</v>
      </c>
      <c r="DN277" s="16" t="n">
        <v>0</v>
      </c>
      <c r="DO277" s="16" t="n">
        <v>0</v>
      </c>
      <c r="DP277" s="16" t="n">
        <v>0</v>
      </c>
      <c r="DQ277" s="16" t="n">
        <v>0</v>
      </c>
      <c r="DR277" s="16" t="n">
        <v>0</v>
      </c>
      <c r="DS277" s="16" t="n">
        <v>0</v>
      </c>
      <c r="DT277" s="16" t="n">
        <v>0</v>
      </c>
      <c r="DU277" s="16" t="n">
        <v>0</v>
      </c>
      <c r="DV277" s="16" t="n">
        <v>0</v>
      </c>
      <c r="DW277" s="16" t="n">
        <v>0</v>
      </c>
      <c r="DX277" s="16" t="n">
        <v>0</v>
      </c>
      <c r="DY277" s="16" t="n">
        <v>0</v>
      </c>
      <c r="DZ277" s="16" t="n">
        <v>0</v>
      </c>
      <c r="EA277" s="16" t="n">
        <v>0</v>
      </c>
      <c r="EB277" s="16" t="n">
        <v>0</v>
      </c>
      <c r="EC277" s="16" t="n">
        <v>0</v>
      </c>
      <c r="ED277" s="16" t="n">
        <v>0</v>
      </c>
      <c r="EE277" s="16" t="n">
        <v>0</v>
      </c>
      <c r="EF277" s="16" t="n">
        <v>0</v>
      </c>
    </row>
    <row r="278" customFormat="false" ht="15" hidden="false" customHeight="true" outlineLevel="0" collapsed="false">
      <c r="A278" s="9" t="s">
        <v>12</v>
      </c>
      <c r="B278" s="9" t="s">
        <v>90</v>
      </c>
      <c r="C278" s="9" t="s">
        <v>90</v>
      </c>
      <c r="D278" s="9" t="s">
        <v>340</v>
      </c>
      <c r="E278" s="9" t="s">
        <v>16</v>
      </c>
      <c r="F278" s="9" t="s">
        <v>87</v>
      </c>
      <c r="G278" s="16" t="n">
        <v>24</v>
      </c>
      <c r="H278" s="16" t="n">
        <v>24</v>
      </c>
      <c r="I278" s="16" t="n">
        <v>0</v>
      </c>
      <c r="J278" s="16" t="n">
        <v>24</v>
      </c>
      <c r="K278" s="16" t="n">
        <v>0</v>
      </c>
      <c r="L278" s="16" t="n">
        <v>0</v>
      </c>
      <c r="M278" s="16" t="n">
        <v>0</v>
      </c>
      <c r="N278" s="16" t="n">
        <v>0</v>
      </c>
      <c r="O278" s="16" t="n">
        <v>0</v>
      </c>
      <c r="P278" s="16" t="n">
        <v>0</v>
      </c>
      <c r="Q278" s="16" t="n">
        <v>0</v>
      </c>
      <c r="R278" s="16" t="n">
        <v>0</v>
      </c>
      <c r="S278" s="16" t="n">
        <v>0</v>
      </c>
      <c r="T278" s="16" t="n">
        <v>0</v>
      </c>
      <c r="U278" s="16" t="n">
        <v>0</v>
      </c>
      <c r="V278" s="16" t="n">
        <v>0</v>
      </c>
      <c r="W278" s="16" t="n">
        <v>0</v>
      </c>
      <c r="X278" s="16" t="n">
        <v>0</v>
      </c>
      <c r="Y278" s="16" t="n">
        <v>0</v>
      </c>
      <c r="Z278" s="16" t="n">
        <v>0</v>
      </c>
      <c r="AA278" s="16" t="n">
        <v>0</v>
      </c>
      <c r="AB278" s="16" t="n">
        <v>0</v>
      </c>
      <c r="AC278" s="16" t="n">
        <v>0</v>
      </c>
      <c r="AD278" s="16" t="n">
        <v>0</v>
      </c>
      <c r="AE278" s="16" t="n">
        <v>0</v>
      </c>
      <c r="AF278" s="16" t="n">
        <v>0</v>
      </c>
      <c r="AG278" s="16" t="n">
        <v>0</v>
      </c>
      <c r="AH278" s="16" t="n">
        <v>0</v>
      </c>
      <c r="AI278" s="16" t="n">
        <v>0</v>
      </c>
      <c r="AJ278" s="16" t="n">
        <v>0</v>
      </c>
      <c r="AK278" s="16" t="n">
        <v>0</v>
      </c>
      <c r="AL278" s="16" t="n">
        <v>0</v>
      </c>
      <c r="AM278" s="16" t="n">
        <v>0</v>
      </c>
      <c r="AN278" s="16" t="n">
        <v>0</v>
      </c>
      <c r="AO278" s="16" t="n">
        <v>0</v>
      </c>
      <c r="AP278" s="16" t="n">
        <v>0</v>
      </c>
      <c r="AQ278" s="16" t="n">
        <v>0</v>
      </c>
      <c r="AR278" s="16" t="n">
        <v>0</v>
      </c>
      <c r="AS278" s="16" t="n">
        <v>0</v>
      </c>
      <c r="AT278" s="16" t="n">
        <v>0</v>
      </c>
      <c r="AU278" s="16" t="n">
        <v>0</v>
      </c>
      <c r="AV278" s="16" t="n">
        <v>0</v>
      </c>
      <c r="AW278" s="16" t="n">
        <v>0</v>
      </c>
      <c r="AX278" s="16" t="n">
        <v>0</v>
      </c>
      <c r="AY278" s="16" t="n">
        <v>0</v>
      </c>
      <c r="AZ278" s="16" t="n">
        <v>0</v>
      </c>
      <c r="BA278" s="16" t="n">
        <v>0</v>
      </c>
      <c r="BB278" s="16" t="n">
        <v>0</v>
      </c>
      <c r="BC278" s="16" t="n">
        <v>0</v>
      </c>
      <c r="BD278" s="16" t="n">
        <v>0</v>
      </c>
      <c r="BE278" s="16" t="n">
        <v>0</v>
      </c>
      <c r="BF278" s="16" t="n">
        <v>0</v>
      </c>
      <c r="BG278" s="16" t="n">
        <v>0</v>
      </c>
      <c r="BH278" s="16" t="n">
        <v>0</v>
      </c>
      <c r="BI278" s="16" t="n">
        <v>0</v>
      </c>
      <c r="BJ278" s="16" t="n">
        <v>0</v>
      </c>
      <c r="BK278" s="16" t="n">
        <v>0</v>
      </c>
      <c r="BL278" s="16" t="n">
        <v>0</v>
      </c>
      <c r="BM278" s="16" t="n">
        <v>0</v>
      </c>
      <c r="BN278" s="16" t="n">
        <v>0</v>
      </c>
      <c r="BO278" s="16" t="n">
        <v>0</v>
      </c>
      <c r="BP278" s="16" t="n">
        <v>0</v>
      </c>
      <c r="BQ278" s="16" t="n">
        <v>0</v>
      </c>
      <c r="BR278" s="16" t="n">
        <v>0</v>
      </c>
      <c r="BS278" s="16" t="n">
        <v>0</v>
      </c>
      <c r="BT278" s="16" t="n">
        <v>0</v>
      </c>
      <c r="BU278" s="16" t="n">
        <v>0</v>
      </c>
      <c r="BV278" s="16" t="n">
        <v>0</v>
      </c>
      <c r="BW278" s="16" t="n">
        <v>0</v>
      </c>
      <c r="BX278" s="16" t="n">
        <v>0</v>
      </c>
      <c r="BY278" s="16" t="n">
        <v>0</v>
      </c>
      <c r="BZ278" s="16" t="n">
        <v>0</v>
      </c>
      <c r="CA278" s="16" t="n">
        <v>0</v>
      </c>
      <c r="CB278" s="16" t="n">
        <v>0</v>
      </c>
      <c r="CC278" s="16" t="n">
        <v>0</v>
      </c>
      <c r="CD278" s="16" t="n">
        <v>0</v>
      </c>
      <c r="CE278" s="16" t="n">
        <v>0</v>
      </c>
      <c r="CF278" s="16" t="n">
        <v>0</v>
      </c>
      <c r="CG278" s="16" t="n">
        <v>0</v>
      </c>
      <c r="CH278" s="16" t="n">
        <v>0</v>
      </c>
      <c r="CI278" s="16" t="n">
        <v>0</v>
      </c>
      <c r="CJ278" s="16" t="n">
        <v>0</v>
      </c>
      <c r="CK278" s="16" t="n">
        <v>0</v>
      </c>
      <c r="CL278" s="16" t="n">
        <v>0</v>
      </c>
      <c r="CM278" s="16" t="n">
        <v>0</v>
      </c>
      <c r="CN278" s="16" t="n">
        <v>0</v>
      </c>
      <c r="CO278" s="16" t="n">
        <v>0</v>
      </c>
      <c r="CP278" s="16" t="n">
        <v>0</v>
      </c>
      <c r="CQ278" s="16" t="n">
        <v>0</v>
      </c>
      <c r="CR278" s="16" t="n">
        <v>0</v>
      </c>
      <c r="CS278" s="16" t="n">
        <v>0</v>
      </c>
      <c r="CT278" s="16" t="n">
        <v>0</v>
      </c>
      <c r="CU278" s="16" t="n">
        <v>0</v>
      </c>
      <c r="CV278" s="16" t="n">
        <v>0</v>
      </c>
      <c r="CW278" s="16" t="n">
        <v>0</v>
      </c>
      <c r="CX278" s="16" t="n">
        <v>0</v>
      </c>
      <c r="CY278" s="16" t="n">
        <v>0</v>
      </c>
      <c r="CZ278" s="16" t="n">
        <v>0</v>
      </c>
      <c r="DA278" s="16" t="n">
        <v>0</v>
      </c>
      <c r="DB278" s="16" t="n">
        <v>0</v>
      </c>
      <c r="DC278" s="16" t="n">
        <v>0</v>
      </c>
      <c r="DD278" s="16" t="n">
        <v>0</v>
      </c>
      <c r="DE278" s="16" t="n">
        <v>0</v>
      </c>
      <c r="DF278" s="16" t="n">
        <v>0</v>
      </c>
      <c r="DG278" s="16" t="n">
        <v>0</v>
      </c>
      <c r="DH278" s="16" t="n">
        <v>0</v>
      </c>
      <c r="DI278" s="16" t="n">
        <v>0</v>
      </c>
      <c r="DJ278" s="16" t="n">
        <v>0</v>
      </c>
      <c r="DK278" s="16" t="n">
        <v>0</v>
      </c>
      <c r="DL278" s="16" t="n">
        <v>0</v>
      </c>
      <c r="DM278" s="16" t="n">
        <v>0</v>
      </c>
      <c r="DN278" s="16" t="n">
        <v>0</v>
      </c>
      <c r="DO278" s="16" t="n">
        <v>0</v>
      </c>
      <c r="DP278" s="16" t="n">
        <v>0</v>
      </c>
      <c r="DQ278" s="16" t="n">
        <v>0</v>
      </c>
      <c r="DR278" s="16" t="n">
        <v>0</v>
      </c>
      <c r="DS278" s="16" t="n">
        <v>0</v>
      </c>
      <c r="DT278" s="16" t="n">
        <v>0</v>
      </c>
      <c r="DU278" s="16" t="n">
        <v>0</v>
      </c>
      <c r="DV278" s="16" t="n">
        <v>0</v>
      </c>
      <c r="DW278" s="16" t="n">
        <v>0</v>
      </c>
      <c r="DX278" s="16" t="n">
        <v>0</v>
      </c>
      <c r="DY278" s="16" t="n">
        <v>0</v>
      </c>
      <c r="DZ278" s="16" t="n">
        <v>0</v>
      </c>
      <c r="EA278" s="16" t="n">
        <v>0</v>
      </c>
      <c r="EB278" s="16" t="n">
        <v>0</v>
      </c>
      <c r="EC278" s="16" t="n">
        <v>0</v>
      </c>
      <c r="ED278" s="16" t="n">
        <v>0</v>
      </c>
      <c r="EE278" s="16" t="n">
        <v>0</v>
      </c>
      <c r="EF278" s="16" t="n">
        <v>0</v>
      </c>
    </row>
    <row r="279" customFormat="false" ht="15" hidden="false" customHeight="true" outlineLevel="0" collapsed="false">
      <c r="A279" s="9" t="s">
        <v>12</v>
      </c>
      <c r="B279" s="9" t="s">
        <v>90</v>
      </c>
      <c r="C279" s="9" t="s">
        <v>90</v>
      </c>
      <c r="D279" s="9" t="s">
        <v>339</v>
      </c>
      <c r="E279" s="9" t="s">
        <v>16</v>
      </c>
      <c r="F279" s="9" t="s">
        <v>87</v>
      </c>
      <c r="G279" s="16" t="n">
        <v>0</v>
      </c>
      <c r="H279" s="16" t="n">
        <v>0</v>
      </c>
      <c r="I279" s="16" t="n">
        <v>0</v>
      </c>
      <c r="J279" s="16" t="n">
        <v>0</v>
      </c>
      <c r="K279" s="16" t="n">
        <v>0</v>
      </c>
      <c r="L279" s="16" t="n">
        <v>0</v>
      </c>
      <c r="M279" s="16" t="n">
        <v>0</v>
      </c>
      <c r="N279" s="16" t="n">
        <v>0</v>
      </c>
      <c r="O279" s="16" t="n">
        <v>0</v>
      </c>
      <c r="P279" s="16" t="n">
        <v>0</v>
      </c>
      <c r="Q279" s="16" t="n">
        <v>0</v>
      </c>
      <c r="R279" s="16" t="n">
        <v>0</v>
      </c>
      <c r="S279" s="16" t="n">
        <v>0</v>
      </c>
      <c r="T279" s="16" t="n">
        <v>0</v>
      </c>
      <c r="U279" s="16" t="n">
        <v>0</v>
      </c>
      <c r="V279" s="16" t="n">
        <v>0</v>
      </c>
      <c r="W279" s="16" t="n">
        <v>0</v>
      </c>
      <c r="X279" s="16" t="n">
        <v>0</v>
      </c>
      <c r="Y279" s="16" t="n">
        <v>0</v>
      </c>
      <c r="Z279" s="16" t="n">
        <v>0</v>
      </c>
      <c r="AA279" s="16" t="n">
        <v>0</v>
      </c>
      <c r="AB279" s="16" t="n">
        <v>0</v>
      </c>
      <c r="AC279" s="16" t="n">
        <v>0</v>
      </c>
      <c r="AD279" s="16" t="n">
        <v>0</v>
      </c>
      <c r="AE279" s="16" t="n">
        <v>0</v>
      </c>
      <c r="AF279" s="16" t="n">
        <v>0</v>
      </c>
      <c r="AG279" s="16" t="n">
        <v>0</v>
      </c>
      <c r="AH279" s="16" t="n">
        <v>0</v>
      </c>
      <c r="AI279" s="16" t="n">
        <v>0</v>
      </c>
      <c r="AJ279" s="16" t="n">
        <v>0</v>
      </c>
      <c r="AK279" s="16" t="n">
        <v>0</v>
      </c>
      <c r="AL279" s="16" t="n">
        <v>0</v>
      </c>
      <c r="AM279" s="16" t="n">
        <v>0</v>
      </c>
      <c r="AN279" s="16" t="n">
        <v>0</v>
      </c>
      <c r="AO279" s="16" t="n">
        <v>0</v>
      </c>
      <c r="AP279" s="16" t="n">
        <v>0</v>
      </c>
      <c r="AQ279" s="16" t="n">
        <v>0</v>
      </c>
      <c r="AR279" s="16" t="n">
        <v>0</v>
      </c>
      <c r="AS279" s="16" t="n">
        <v>0</v>
      </c>
      <c r="AT279" s="16" t="n">
        <v>0</v>
      </c>
      <c r="AU279" s="16" t="n">
        <v>0</v>
      </c>
      <c r="AV279" s="16" t="n">
        <v>0</v>
      </c>
      <c r="AW279" s="16" t="n">
        <v>0</v>
      </c>
      <c r="AX279" s="16" t="n">
        <v>0</v>
      </c>
      <c r="AY279" s="16" t="n">
        <v>0</v>
      </c>
      <c r="AZ279" s="16" t="n">
        <v>0</v>
      </c>
      <c r="BA279" s="16" t="n">
        <v>0</v>
      </c>
      <c r="BB279" s="16" t="n">
        <v>0</v>
      </c>
      <c r="BC279" s="16" t="n">
        <v>0</v>
      </c>
      <c r="BD279" s="16" t="n">
        <v>0</v>
      </c>
      <c r="BE279" s="16" t="n">
        <v>0</v>
      </c>
      <c r="BF279" s="16" t="n">
        <v>0</v>
      </c>
      <c r="BG279" s="16" t="n">
        <v>0</v>
      </c>
      <c r="BH279" s="16" t="n">
        <v>0</v>
      </c>
      <c r="BI279" s="16" t="n">
        <v>0</v>
      </c>
      <c r="BJ279" s="16" t="n">
        <v>0</v>
      </c>
      <c r="BK279" s="16" t="n">
        <v>0</v>
      </c>
      <c r="BL279" s="16" t="n">
        <v>0</v>
      </c>
      <c r="BM279" s="16" t="n">
        <v>0</v>
      </c>
      <c r="BN279" s="16" t="n">
        <v>0</v>
      </c>
      <c r="BO279" s="16" t="n">
        <v>0</v>
      </c>
      <c r="BP279" s="16" t="n">
        <v>0</v>
      </c>
      <c r="BQ279" s="16" t="n">
        <v>0</v>
      </c>
      <c r="BR279" s="16" t="n">
        <v>0</v>
      </c>
      <c r="BS279" s="16" t="n">
        <v>0</v>
      </c>
      <c r="BT279" s="16" t="n">
        <v>0</v>
      </c>
      <c r="BU279" s="16" t="n">
        <v>0</v>
      </c>
      <c r="BV279" s="16" t="n">
        <v>0</v>
      </c>
      <c r="BW279" s="16" t="n">
        <v>0</v>
      </c>
      <c r="BX279" s="16" t="n">
        <v>0</v>
      </c>
      <c r="BY279" s="16" t="n">
        <v>0</v>
      </c>
      <c r="BZ279" s="16" t="n">
        <v>0</v>
      </c>
      <c r="CA279" s="16" t="n">
        <v>0</v>
      </c>
      <c r="CB279" s="16" t="n">
        <v>0</v>
      </c>
      <c r="CC279" s="16" t="n">
        <v>0</v>
      </c>
      <c r="CD279" s="16" t="n">
        <v>0</v>
      </c>
      <c r="CE279" s="16" t="n">
        <v>0</v>
      </c>
      <c r="CF279" s="16" t="n">
        <v>0</v>
      </c>
      <c r="CG279" s="16" t="n">
        <v>0</v>
      </c>
      <c r="CH279" s="16" t="n">
        <v>0</v>
      </c>
      <c r="CI279" s="16" t="n">
        <v>0</v>
      </c>
      <c r="CJ279" s="16" t="n">
        <v>0</v>
      </c>
      <c r="CK279" s="16" t="n">
        <v>0</v>
      </c>
      <c r="CL279" s="16" t="n">
        <v>0</v>
      </c>
      <c r="CM279" s="16" t="n">
        <v>0</v>
      </c>
      <c r="CN279" s="16" t="n">
        <v>0</v>
      </c>
      <c r="CO279" s="16" t="n">
        <v>0</v>
      </c>
      <c r="CP279" s="16" t="n">
        <v>0</v>
      </c>
      <c r="CQ279" s="16" t="n">
        <v>0</v>
      </c>
      <c r="CR279" s="16" t="n">
        <v>0</v>
      </c>
      <c r="CS279" s="16" t="n">
        <v>0</v>
      </c>
      <c r="CT279" s="16" t="n">
        <v>0</v>
      </c>
      <c r="CU279" s="16" t="n">
        <v>0</v>
      </c>
      <c r="CV279" s="16" t="n">
        <v>0</v>
      </c>
      <c r="CW279" s="16" t="n">
        <v>0</v>
      </c>
      <c r="CX279" s="16" t="n">
        <v>0</v>
      </c>
      <c r="CY279" s="16" t="n">
        <v>0</v>
      </c>
      <c r="CZ279" s="16" t="n">
        <v>0</v>
      </c>
      <c r="DA279" s="16" t="n">
        <v>0</v>
      </c>
      <c r="DB279" s="16" t="n">
        <v>0</v>
      </c>
      <c r="DC279" s="16" t="n">
        <v>0</v>
      </c>
      <c r="DD279" s="16" t="n">
        <v>0</v>
      </c>
      <c r="DE279" s="16" t="n">
        <v>0</v>
      </c>
      <c r="DF279" s="16" t="n">
        <v>0</v>
      </c>
      <c r="DG279" s="16" t="n">
        <v>0</v>
      </c>
      <c r="DH279" s="16" t="n">
        <v>0</v>
      </c>
      <c r="DI279" s="16" t="n">
        <v>0</v>
      </c>
      <c r="DJ279" s="16" t="n">
        <v>0</v>
      </c>
      <c r="DK279" s="16" t="n">
        <v>0</v>
      </c>
      <c r="DL279" s="16" t="n">
        <v>0</v>
      </c>
      <c r="DM279" s="16" t="n">
        <v>0</v>
      </c>
      <c r="DN279" s="16" t="n">
        <v>0</v>
      </c>
      <c r="DO279" s="16" t="n">
        <v>0</v>
      </c>
      <c r="DP279" s="16" t="n">
        <v>0</v>
      </c>
      <c r="DQ279" s="16" t="n">
        <v>0</v>
      </c>
      <c r="DR279" s="16" t="n">
        <v>0</v>
      </c>
      <c r="DS279" s="16" t="n">
        <v>0</v>
      </c>
      <c r="DT279" s="16" t="n">
        <v>0</v>
      </c>
      <c r="DU279" s="16" t="n">
        <v>0</v>
      </c>
      <c r="DV279" s="16" t="n">
        <v>0</v>
      </c>
      <c r="DW279" s="16" t="n">
        <v>0</v>
      </c>
      <c r="DX279" s="16" t="n">
        <v>0</v>
      </c>
      <c r="DY279" s="16" t="n">
        <v>0</v>
      </c>
      <c r="DZ279" s="16" t="n">
        <v>0</v>
      </c>
      <c r="EA279" s="16" t="n">
        <v>0</v>
      </c>
      <c r="EB279" s="16" t="n">
        <v>0</v>
      </c>
      <c r="EC279" s="16" t="n">
        <v>0</v>
      </c>
      <c r="ED279" s="16" t="n">
        <v>0</v>
      </c>
      <c r="EE279" s="16" t="n">
        <v>0</v>
      </c>
      <c r="EF279" s="16" t="n">
        <v>0</v>
      </c>
    </row>
    <row r="280" customFormat="false" ht="15" hidden="false" customHeight="true" outlineLevel="0" collapsed="false">
      <c r="A280" s="9" t="s">
        <v>12</v>
      </c>
      <c r="B280" s="9" t="s">
        <v>24</v>
      </c>
      <c r="C280" s="9" t="s">
        <v>24</v>
      </c>
      <c r="D280" s="9" t="s">
        <v>336</v>
      </c>
      <c r="E280" s="9" t="s">
        <v>14</v>
      </c>
      <c r="F280" s="9" t="s">
        <v>80</v>
      </c>
      <c r="G280" s="16" t="n">
        <v>0</v>
      </c>
      <c r="H280" s="16" t="n">
        <v>88</v>
      </c>
      <c r="I280" s="16" t="n">
        <v>0</v>
      </c>
      <c r="J280" s="16" t="n">
        <v>88</v>
      </c>
      <c r="K280" s="16" t="n">
        <v>0</v>
      </c>
      <c r="L280" s="16" t="n">
        <v>0</v>
      </c>
      <c r="M280" s="16" t="n">
        <v>0</v>
      </c>
      <c r="N280" s="16" t="n">
        <v>0</v>
      </c>
      <c r="O280" s="16" t="n">
        <v>0</v>
      </c>
      <c r="P280" s="16" t="n">
        <v>0</v>
      </c>
      <c r="Q280" s="16" t="n">
        <v>0</v>
      </c>
      <c r="R280" s="16" t="n">
        <v>0</v>
      </c>
      <c r="S280" s="16" t="n">
        <v>0</v>
      </c>
      <c r="T280" s="16" t="n">
        <v>0</v>
      </c>
      <c r="U280" s="16" t="n">
        <v>0</v>
      </c>
      <c r="V280" s="16" t="n">
        <v>0</v>
      </c>
      <c r="W280" s="16" t="n">
        <v>0</v>
      </c>
      <c r="X280" s="16" t="n">
        <v>0</v>
      </c>
      <c r="Y280" s="16" t="n">
        <v>0</v>
      </c>
      <c r="Z280" s="16" t="n">
        <v>0</v>
      </c>
      <c r="AA280" s="16" t="n">
        <v>0</v>
      </c>
      <c r="AB280" s="16" t="n">
        <v>0</v>
      </c>
      <c r="AC280" s="16" t="n">
        <v>0</v>
      </c>
      <c r="AD280" s="16" t="n">
        <v>0</v>
      </c>
      <c r="AE280" s="16" t="n">
        <v>0</v>
      </c>
      <c r="AF280" s="16" t="n">
        <v>0</v>
      </c>
      <c r="AG280" s="16" t="n">
        <v>0</v>
      </c>
      <c r="AH280" s="16" t="n">
        <v>0</v>
      </c>
      <c r="AI280" s="16" t="n">
        <v>0</v>
      </c>
      <c r="AJ280" s="16" t="n">
        <v>0</v>
      </c>
      <c r="AK280" s="16" t="n">
        <v>0</v>
      </c>
      <c r="AL280" s="16" t="n">
        <v>0</v>
      </c>
      <c r="AM280" s="16" t="n">
        <v>0</v>
      </c>
      <c r="AN280" s="16" t="n">
        <v>0</v>
      </c>
      <c r="AO280" s="16" t="n">
        <v>0</v>
      </c>
      <c r="AP280" s="16" t="n">
        <v>0</v>
      </c>
      <c r="AQ280" s="16" t="n">
        <v>0</v>
      </c>
      <c r="AR280" s="16" t="n">
        <v>0</v>
      </c>
      <c r="AS280" s="16" t="n">
        <v>0</v>
      </c>
      <c r="AT280" s="16" t="n">
        <v>0</v>
      </c>
      <c r="AU280" s="16" t="n">
        <v>0</v>
      </c>
      <c r="AV280" s="16" t="n">
        <v>0</v>
      </c>
      <c r="AW280" s="16" t="n">
        <v>0</v>
      </c>
      <c r="AX280" s="16" t="n">
        <v>0</v>
      </c>
      <c r="AY280" s="16" t="n">
        <v>0</v>
      </c>
      <c r="AZ280" s="16" t="n">
        <v>0</v>
      </c>
      <c r="BA280" s="16" t="n">
        <v>0</v>
      </c>
      <c r="BB280" s="16" t="n">
        <v>0</v>
      </c>
      <c r="BC280" s="16" t="n">
        <v>0</v>
      </c>
      <c r="BD280" s="16" t="n">
        <v>0</v>
      </c>
      <c r="BE280" s="16" t="n">
        <v>0</v>
      </c>
      <c r="BF280" s="16" t="n">
        <v>0</v>
      </c>
      <c r="BG280" s="16" t="n">
        <v>0</v>
      </c>
      <c r="BH280" s="16" t="n">
        <v>0</v>
      </c>
      <c r="BI280" s="16" t="n">
        <v>0</v>
      </c>
      <c r="BJ280" s="16" t="n">
        <v>0</v>
      </c>
      <c r="BK280" s="16" t="n">
        <v>0</v>
      </c>
      <c r="BL280" s="16" t="n">
        <v>0</v>
      </c>
      <c r="BM280" s="16" t="n">
        <v>0</v>
      </c>
      <c r="BN280" s="16" t="n">
        <v>0</v>
      </c>
      <c r="BO280" s="16" t="n">
        <v>0</v>
      </c>
      <c r="BP280" s="16" t="n">
        <v>0</v>
      </c>
      <c r="BQ280" s="16" t="n">
        <v>0</v>
      </c>
      <c r="BR280" s="16" t="n">
        <v>0</v>
      </c>
      <c r="BS280" s="16" t="n">
        <v>0</v>
      </c>
      <c r="BT280" s="16" t="n">
        <v>0</v>
      </c>
      <c r="BU280" s="16" t="n">
        <v>0</v>
      </c>
      <c r="BV280" s="16" t="n">
        <v>0</v>
      </c>
      <c r="BW280" s="16" t="n">
        <v>0</v>
      </c>
      <c r="BX280" s="16" t="n">
        <v>0</v>
      </c>
      <c r="BY280" s="16" t="n">
        <v>0</v>
      </c>
      <c r="BZ280" s="16" t="n">
        <v>0</v>
      </c>
      <c r="CA280" s="16" t="n">
        <v>0</v>
      </c>
      <c r="CB280" s="16" t="n">
        <v>0</v>
      </c>
      <c r="CC280" s="16" t="n">
        <v>0</v>
      </c>
      <c r="CD280" s="16" t="n">
        <v>0</v>
      </c>
      <c r="CE280" s="16" t="n">
        <v>0</v>
      </c>
      <c r="CF280" s="16" t="n">
        <v>0</v>
      </c>
      <c r="CG280" s="16" t="n">
        <v>0</v>
      </c>
      <c r="CH280" s="16" t="n">
        <v>0</v>
      </c>
      <c r="CI280" s="16" t="n">
        <v>0</v>
      </c>
      <c r="CJ280" s="16" t="n">
        <v>0</v>
      </c>
      <c r="CK280" s="16" t="n">
        <v>0</v>
      </c>
      <c r="CL280" s="16" t="n">
        <v>0</v>
      </c>
      <c r="CM280" s="16" t="n">
        <v>0</v>
      </c>
      <c r="CN280" s="16" t="n">
        <v>0</v>
      </c>
      <c r="CO280" s="16" t="n">
        <v>0</v>
      </c>
      <c r="CP280" s="16" t="n">
        <v>0</v>
      </c>
      <c r="CQ280" s="16" t="n">
        <v>0</v>
      </c>
      <c r="CR280" s="16" t="n">
        <v>0</v>
      </c>
      <c r="CS280" s="16" t="n">
        <v>0</v>
      </c>
      <c r="CT280" s="16" t="n">
        <v>0</v>
      </c>
      <c r="CU280" s="16" t="n">
        <v>0</v>
      </c>
      <c r="CV280" s="16" t="n">
        <v>0</v>
      </c>
      <c r="CW280" s="16" t="n">
        <v>0</v>
      </c>
      <c r="CX280" s="16" t="n">
        <v>0</v>
      </c>
      <c r="CY280" s="16" t="n">
        <v>0</v>
      </c>
      <c r="CZ280" s="16" t="n">
        <v>0</v>
      </c>
      <c r="DA280" s="16" t="n">
        <v>0</v>
      </c>
      <c r="DB280" s="16" t="n">
        <v>0</v>
      </c>
      <c r="DC280" s="16" t="n">
        <v>0</v>
      </c>
      <c r="DD280" s="16" t="n">
        <v>0</v>
      </c>
      <c r="DE280" s="16" t="n">
        <v>0</v>
      </c>
      <c r="DF280" s="16" t="n">
        <v>0</v>
      </c>
      <c r="DG280" s="16" t="n">
        <v>0</v>
      </c>
      <c r="DH280" s="16" t="n">
        <v>0</v>
      </c>
      <c r="DI280" s="16" t="n">
        <v>0</v>
      </c>
      <c r="DJ280" s="16" t="n">
        <v>0</v>
      </c>
      <c r="DK280" s="16" t="n">
        <v>0</v>
      </c>
      <c r="DL280" s="16" t="n">
        <v>0</v>
      </c>
      <c r="DM280" s="16" t="n">
        <v>0</v>
      </c>
      <c r="DN280" s="16" t="n">
        <v>0</v>
      </c>
      <c r="DO280" s="16" t="n">
        <v>0</v>
      </c>
      <c r="DP280" s="16" t="n">
        <v>0</v>
      </c>
      <c r="DQ280" s="16" t="n">
        <v>0</v>
      </c>
      <c r="DR280" s="16" t="n">
        <v>0</v>
      </c>
      <c r="DS280" s="16" t="n">
        <v>0</v>
      </c>
      <c r="DT280" s="16" t="n">
        <v>0</v>
      </c>
      <c r="DU280" s="16" t="n">
        <v>0</v>
      </c>
      <c r="DV280" s="16" t="n">
        <v>0</v>
      </c>
      <c r="DW280" s="16" t="n">
        <v>0</v>
      </c>
      <c r="DX280" s="16" t="n">
        <v>0</v>
      </c>
      <c r="DY280" s="16" t="n">
        <v>0</v>
      </c>
      <c r="DZ280" s="16" t="n">
        <v>0</v>
      </c>
      <c r="EA280" s="16" t="n">
        <v>0</v>
      </c>
      <c r="EB280" s="16" t="n">
        <v>0</v>
      </c>
      <c r="EC280" s="16" t="n">
        <v>0</v>
      </c>
      <c r="ED280" s="16" t="n">
        <v>0</v>
      </c>
      <c r="EE280" s="16" t="n">
        <v>0</v>
      </c>
      <c r="EF280" s="16" t="n">
        <v>0</v>
      </c>
    </row>
    <row r="281" customFormat="false" ht="15" hidden="false" customHeight="true" outlineLevel="0" collapsed="false">
      <c r="A281" s="9" t="s">
        <v>12</v>
      </c>
      <c r="B281" s="9" t="s">
        <v>24</v>
      </c>
      <c r="C281" s="9" t="s">
        <v>24</v>
      </c>
      <c r="D281" s="9" t="s">
        <v>342</v>
      </c>
      <c r="E281" s="9" t="s">
        <v>14</v>
      </c>
      <c r="F281" s="9" t="s">
        <v>80</v>
      </c>
      <c r="G281" s="16" t="n">
        <v>0</v>
      </c>
      <c r="H281" s="16" t="n">
        <v>0</v>
      </c>
      <c r="I281" s="16" t="n">
        <v>100</v>
      </c>
      <c r="J281" s="16" t="n">
        <v>-100</v>
      </c>
      <c r="K281" s="16" t="n">
        <v>0</v>
      </c>
      <c r="L281" s="16" t="n">
        <v>0</v>
      </c>
      <c r="M281" s="16" t="n">
        <v>0</v>
      </c>
      <c r="N281" s="16" t="n">
        <v>0</v>
      </c>
      <c r="O281" s="16" t="n">
        <v>0</v>
      </c>
      <c r="P281" s="16" t="n">
        <v>0</v>
      </c>
      <c r="Q281" s="16" t="n">
        <v>0</v>
      </c>
      <c r="R281" s="16" t="n">
        <v>0</v>
      </c>
      <c r="S281" s="16" t="n">
        <v>0</v>
      </c>
      <c r="T281" s="16" t="n">
        <v>0</v>
      </c>
      <c r="U281" s="16" t="n">
        <v>0</v>
      </c>
      <c r="V281" s="16" t="n">
        <v>0</v>
      </c>
      <c r="W281" s="16" t="n">
        <v>0</v>
      </c>
      <c r="X281" s="16" t="n">
        <v>0</v>
      </c>
      <c r="Y281" s="16" t="n">
        <v>0</v>
      </c>
      <c r="Z281" s="16" t="n">
        <v>0</v>
      </c>
      <c r="AA281" s="16" t="n">
        <v>0</v>
      </c>
      <c r="AB281" s="16" t="n">
        <v>0</v>
      </c>
      <c r="AC281" s="16" t="n">
        <v>0</v>
      </c>
      <c r="AD281" s="16" t="n">
        <v>0</v>
      </c>
      <c r="AE281" s="16" t="n">
        <v>0</v>
      </c>
      <c r="AF281" s="16" t="n">
        <v>0</v>
      </c>
      <c r="AG281" s="16" t="n">
        <v>0</v>
      </c>
      <c r="AH281" s="16" t="n">
        <v>0</v>
      </c>
      <c r="AI281" s="16" t="n">
        <v>0</v>
      </c>
      <c r="AJ281" s="16" t="n">
        <v>0</v>
      </c>
      <c r="AK281" s="16" t="n">
        <v>0</v>
      </c>
      <c r="AL281" s="16" t="n">
        <v>0</v>
      </c>
      <c r="AM281" s="16" t="n">
        <v>0</v>
      </c>
      <c r="AN281" s="16" t="n">
        <v>0</v>
      </c>
      <c r="AO281" s="16" t="n">
        <v>0</v>
      </c>
      <c r="AP281" s="16" t="n">
        <v>0</v>
      </c>
      <c r="AQ281" s="16" t="n">
        <v>0</v>
      </c>
      <c r="AR281" s="16" t="n">
        <v>0</v>
      </c>
      <c r="AS281" s="16" t="n">
        <v>0</v>
      </c>
      <c r="AT281" s="16" t="n">
        <v>0</v>
      </c>
      <c r="AU281" s="16" t="n">
        <v>0</v>
      </c>
      <c r="AV281" s="16" t="n">
        <v>0</v>
      </c>
      <c r="AW281" s="16" t="n">
        <v>0</v>
      </c>
      <c r="AX281" s="16" t="n">
        <v>0</v>
      </c>
      <c r="AY281" s="16" t="n">
        <v>0</v>
      </c>
      <c r="AZ281" s="16" t="n">
        <v>0</v>
      </c>
      <c r="BA281" s="16" t="n">
        <v>0</v>
      </c>
      <c r="BB281" s="16" t="n">
        <v>0</v>
      </c>
      <c r="BC281" s="16" t="n">
        <v>0</v>
      </c>
      <c r="BD281" s="16" t="n">
        <v>0</v>
      </c>
      <c r="BE281" s="16" t="n">
        <v>0</v>
      </c>
      <c r="BF281" s="16" t="n">
        <v>0</v>
      </c>
      <c r="BG281" s="16" t="n">
        <v>0</v>
      </c>
      <c r="BH281" s="16" t="n">
        <v>0</v>
      </c>
      <c r="BI281" s="16" t="n">
        <v>0</v>
      </c>
      <c r="BJ281" s="16" t="n">
        <v>0</v>
      </c>
      <c r="BK281" s="16" t="n">
        <v>0</v>
      </c>
      <c r="BL281" s="16" t="n">
        <v>0</v>
      </c>
      <c r="BM281" s="16" t="n">
        <v>0</v>
      </c>
      <c r="BN281" s="16" t="n">
        <v>0</v>
      </c>
      <c r="BO281" s="16" t="n">
        <v>0</v>
      </c>
      <c r="BP281" s="16" t="n">
        <v>0</v>
      </c>
      <c r="BQ281" s="16" t="n">
        <v>0</v>
      </c>
      <c r="BR281" s="16" t="n">
        <v>0</v>
      </c>
      <c r="BS281" s="16" t="n">
        <v>0</v>
      </c>
      <c r="BT281" s="16" t="n">
        <v>0</v>
      </c>
      <c r="BU281" s="16" t="n">
        <v>0</v>
      </c>
      <c r="BV281" s="16" t="n">
        <v>0</v>
      </c>
      <c r="BW281" s="16" t="n">
        <v>0</v>
      </c>
      <c r="BX281" s="16" t="n">
        <v>0</v>
      </c>
      <c r="BY281" s="16" t="n">
        <v>0</v>
      </c>
      <c r="BZ281" s="16" t="n">
        <v>0</v>
      </c>
      <c r="CA281" s="16" t="n">
        <v>0</v>
      </c>
      <c r="CB281" s="16" t="n">
        <v>0</v>
      </c>
      <c r="CC281" s="16" t="n">
        <v>0</v>
      </c>
      <c r="CD281" s="16" t="n">
        <v>0</v>
      </c>
      <c r="CE281" s="16" t="n">
        <v>0</v>
      </c>
      <c r="CF281" s="16" t="n">
        <v>0</v>
      </c>
      <c r="CG281" s="16" t="n">
        <v>0</v>
      </c>
      <c r="CH281" s="16" t="n">
        <v>0</v>
      </c>
      <c r="CI281" s="16" t="n">
        <v>0</v>
      </c>
      <c r="CJ281" s="16" t="n">
        <v>0</v>
      </c>
      <c r="CK281" s="16" t="n">
        <v>0</v>
      </c>
      <c r="CL281" s="16" t="n">
        <v>0</v>
      </c>
      <c r="CM281" s="16" t="n">
        <v>0</v>
      </c>
      <c r="CN281" s="16" t="n">
        <v>0</v>
      </c>
      <c r="CO281" s="16" t="n">
        <v>0</v>
      </c>
      <c r="CP281" s="16" t="n">
        <v>0</v>
      </c>
      <c r="CQ281" s="16" t="n">
        <v>0</v>
      </c>
      <c r="CR281" s="16" t="n">
        <v>0</v>
      </c>
      <c r="CS281" s="16" t="n">
        <v>0</v>
      </c>
      <c r="CT281" s="16" t="n">
        <v>2</v>
      </c>
      <c r="CU281" s="16" t="n">
        <v>0</v>
      </c>
      <c r="CV281" s="16" t="n">
        <v>4</v>
      </c>
      <c r="CW281" s="16" t="n">
        <v>0</v>
      </c>
      <c r="CX281" s="16" t="n">
        <v>0</v>
      </c>
      <c r="CY281" s="16" t="n">
        <v>0</v>
      </c>
      <c r="CZ281" s="16" t="n">
        <v>0</v>
      </c>
      <c r="DA281" s="16" t="n">
        <v>0</v>
      </c>
      <c r="DB281" s="16" t="n">
        <v>0</v>
      </c>
      <c r="DC281" s="16" t="n">
        <v>0</v>
      </c>
      <c r="DD281" s="16" t="n">
        <v>0</v>
      </c>
      <c r="DE281" s="16" t="n">
        <v>0</v>
      </c>
      <c r="DF281" s="16" t="n">
        <v>0</v>
      </c>
      <c r="DG281" s="16" t="n">
        <v>0</v>
      </c>
      <c r="DH281" s="16" t="n">
        <v>0</v>
      </c>
      <c r="DI281" s="16" t="n">
        <v>0</v>
      </c>
      <c r="DJ281" s="16" t="n">
        <v>0</v>
      </c>
      <c r="DK281" s="16" t="n">
        <v>0</v>
      </c>
      <c r="DL281" s="16" t="n">
        <v>0</v>
      </c>
      <c r="DM281" s="16" t="n">
        <v>0</v>
      </c>
      <c r="DN281" s="16" t="n">
        <v>0</v>
      </c>
      <c r="DO281" s="16" t="n">
        <v>0</v>
      </c>
      <c r="DP281" s="16" t="n">
        <v>0</v>
      </c>
      <c r="DQ281" s="16" t="n">
        <v>0</v>
      </c>
      <c r="DR281" s="16" t="n">
        <v>10</v>
      </c>
      <c r="DS281" s="16" t="n">
        <v>25</v>
      </c>
      <c r="DT281" s="16" t="n">
        <v>37</v>
      </c>
      <c r="DU281" s="16" t="n">
        <v>22</v>
      </c>
      <c r="DV281" s="16" t="n">
        <v>0</v>
      </c>
      <c r="DW281" s="16" t="n">
        <v>0</v>
      </c>
      <c r="DX281" s="16" t="n">
        <v>0</v>
      </c>
      <c r="DY281" s="16" t="n">
        <v>0</v>
      </c>
      <c r="DZ281" s="16" t="n">
        <v>0</v>
      </c>
      <c r="EA281" s="16" t="n">
        <v>0</v>
      </c>
      <c r="EB281" s="16" t="n">
        <v>0</v>
      </c>
      <c r="EC281" s="16" t="n">
        <v>0</v>
      </c>
      <c r="ED281" s="16" t="n">
        <v>0</v>
      </c>
      <c r="EE281" s="16" t="n">
        <v>0</v>
      </c>
      <c r="EF281" s="16" t="n">
        <v>0</v>
      </c>
    </row>
    <row r="282" customFormat="false" ht="15" hidden="false" customHeight="true" outlineLevel="0" collapsed="false">
      <c r="A282" s="9" t="s">
        <v>12</v>
      </c>
      <c r="B282" s="9" t="s">
        <v>24</v>
      </c>
      <c r="C282" s="9" t="s">
        <v>24</v>
      </c>
      <c r="D282" s="9" t="s">
        <v>336</v>
      </c>
      <c r="E282" s="9" t="s">
        <v>14</v>
      </c>
      <c r="F282" s="9" t="s">
        <v>113</v>
      </c>
      <c r="G282" s="16" t="n">
        <v>0</v>
      </c>
      <c r="H282" s="16" t="n">
        <v>110</v>
      </c>
      <c r="I282" s="16" t="n">
        <v>0</v>
      </c>
      <c r="J282" s="16" t="n">
        <v>110</v>
      </c>
      <c r="K282" s="16" t="n">
        <v>0</v>
      </c>
      <c r="L282" s="16" t="n">
        <v>0</v>
      </c>
      <c r="M282" s="16" t="n">
        <v>0</v>
      </c>
      <c r="N282" s="16" t="n">
        <v>0</v>
      </c>
      <c r="O282" s="16" t="n">
        <v>0</v>
      </c>
      <c r="P282" s="16" t="n">
        <v>0</v>
      </c>
      <c r="Q282" s="16" t="n">
        <v>0</v>
      </c>
      <c r="R282" s="16" t="n">
        <v>0</v>
      </c>
      <c r="S282" s="16" t="n">
        <v>0</v>
      </c>
      <c r="T282" s="16" t="n">
        <v>0</v>
      </c>
      <c r="U282" s="16" t="n">
        <v>0</v>
      </c>
      <c r="V282" s="16" t="n">
        <v>0</v>
      </c>
      <c r="W282" s="16" t="n">
        <v>0</v>
      </c>
      <c r="X282" s="16" t="n">
        <v>0</v>
      </c>
      <c r="Y282" s="16" t="n">
        <v>0</v>
      </c>
      <c r="Z282" s="16" t="n">
        <v>0</v>
      </c>
      <c r="AA282" s="16" t="n">
        <v>0</v>
      </c>
      <c r="AB282" s="16" t="n">
        <v>0</v>
      </c>
      <c r="AC282" s="16" t="n">
        <v>0</v>
      </c>
      <c r="AD282" s="16" t="n">
        <v>0</v>
      </c>
      <c r="AE282" s="16" t="n">
        <v>0</v>
      </c>
      <c r="AF282" s="16" t="n">
        <v>0</v>
      </c>
      <c r="AG282" s="16" t="n">
        <v>0</v>
      </c>
      <c r="AH282" s="16" t="n">
        <v>0</v>
      </c>
      <c r="AI282" s="16" t="n">
        <v>0</v>
      </c>
      <c r="AJ282" s="16" t="n">
        <v>0</v>
      </c>
      <c r="AK282" s="16" t="n">
        <v>0</v>
      </c>
      <c r="AL282" s="16" t="n">
        <v>0</v>
      </c>
      <c r="AM282" s="16" t="n">
        <v>0</v>
      </c>
      <c r="AN282" s="16" t="n">
        <v>0</v>
      </c>
      <c r="AO282" s="16" t="n">
        <v>0</v>
      </c>
      <c r="AP282" s="16" t="n">
        <v>0</v>
      </c>
      <c r="AQ282" s="16" t="n">
        <v>0</v>
      </c>
      <c r="AR282" s="16" t="n">
        <v>0</v>
      </c>
      <c r="AS282" s="16" t="n">
        <v>0</v>
      </c>
      <c r="AT282" s="16" t="n">
        <v>0</v>
      </c>
      <c r="AU282" s="16" t="n">
        <v>0</v>
      </c>
      <c r="AV282" s="16" t="n">
        <v>0</v>
      </c>
      <c r="AW282" s="16" t="n">
        <v>0</v>
      </c>
      <c r="AX282" s="16" t="n">
        <v>0</v>
      </c>
      <c r="AY282" s="16" t="n">
        <v>0</v>
      </c>
      <c r="AZ282" s="16" t="n">
        <v>0</v>
      </c>
      <c r="BA282" s="16" t="n">
        <v>0</v>
      </c>
      <c r="BB282" s="16" t="n">
        <v>0</v>
      </c>
      <c r="BC282" s="16" t="n">
        <v>0</v>
      </c>
      <c r="BD282" s="16" t="n">
        <v>0</v>
      </c>
      <c r="BE282" s="16" t="n">
        <v>0</v>
      </c>
      <c r="BF282" s="16" t="n">
        <v>0</v>
      </c>
      <c r="BG282" s="16" t="n">
        <v>0</v>
      </c>
      <c r="BH282" s="16" t="n">
        <v>0</v>
      </c>
      <c r="BI282" s="16" t="n">
        <v>0</v>
      </c>
      <c r="BJ282" s="16" t="n">
        <v>0</v>
      </c>
      <c r="BK282" s="16" t="n">
        <v>0</v>
      </c>
      <c r="BL282" s="16" t="n">
        <v>0</v>
      </c>
      <c r="BM282" s="16" t="n">
        <v>0</v>
      </c>
      <c r="BN282" s="16" t="n">
        <v>0</v>
      </c>
      <c r="BO282" s="16" t="n">
        <v>0</v>
      </c>
      <c r="BP282" s="16" t="n">
        <v>0</v>
      </c>
      <c r="BQ282" s="16" t="n">
        <v>0</v>
      </c>
      <c r="BR282" s="16" t="n">
        <v>0</v>
      </c>
      <c r="BS282" s="16" t="n">
        <v>0</v>
      </c>
      <c r="BT282" s="16" t="n">
        <v>0</v>
      </c>
      <c r="BU282" s="16" t="n">
        <v>0</v>
      </c>
      <c r="BV282" s="16" t="n">
        <v>0</v>
      </c>
      <c r="BW282" s="16" t="n">
        <v>0</v>
      </c>
      <c r="BX282" s="16" t="n">
        <v>0</v>
      </c>
      <c r="BY282" s="16" t="n">
        <v>0</v>
      </c>
      <c r="BZ282" s="16" t="n">
        <v>0</v>
      </c>
      <c r="CA282" s="16" t="n">
        <v>0</v>
      </c>
      <c r="CB282" s="16" t="n">
        <v>0</v>
      </c>
      <c r="CC282" s="16" t="n">
        <v>0</v>
      </c>
      <c r="CD282" s="16" t="n">
        <v>0</v>
      </c>
      <c r="CE282" s="16" t="n">
        <v>0</v>
      </c>
      <c r="CF282" s="16" t="n">
        <v>0</v>
      </c>
      <c r="CG282" s="16" t="n">
        <v>0</v>
      </c>
      <c r="CH282" s="16" t="n">
        <v>0</v>
      </c>
      <c r="CI282" s="16" t="n">
        <v>0</v>
      </c>
      <c r="CJ282" s="16" t="n">
        <v>0</v>
      </c>
      <c r="CK282" s="16" t="n">
        <v>0</v>
      </c>
      <c r="CL282" s="16" t="n">
        <v>0</v>
      </c>
      <c r="CM282" s="16" t="n">
        <v>0</v>
      </c>
      <c r="CN282" s="16" t="n">
        <v>0</v>
      </c>
      <c r="CO282" s="16" t="n">
        <v>0</v>
      </c>
      <c r="CP282" s="16" t="n">
        <v>0</v>
      </c>
      <c r="CQ282" s="16" t="n">
        <v>0</v>
      </c>
      <c r="CR282" s="16" t="n">
        <v>0</v>
      </c>
      <c r="CS282" s="16" t="n">
        <v>0</v>
      </c>
      <c r="CT282" s="16" t="n">
        <v>0</v>
      </c>
      <c r="CU282" s="16" t="n">
        <v>0</v>
      </c>
      <c r="CV282" s="16" t="n">
        <v>0</v>
      </c>
      <c r="CW282" s="16" t="n">
        <v>0</v>
      </c>
      <c r="CX282" s="16" t="n">
        <v>0</v>
      </c>
      <c r="CY282" s="16" t="n">
        <v>0</v>
      </c>
      <c r="CZ282" s="16" t="n">
        <v>0</v>
      </c>
      <c r="DA282" s="16" t="n">
        <v>0</v>
      </c>
      <c r="DB282" s="16" t="n">
        <v>0</v>
      </c>
      <c r="DC282" s="16" t="n">
        <v>0</v>
      </c>
      <c r="DD282" s="16" t="n">
        <v>0</v>
      </c>
      <c r="DE282" s="16" t="n">
        <v>0</v>
      </c>
      <c r="DF282" s="16" t="n">
        <v>0</v>
      </c>
      <c r="DG282" s="16" t="n">
        <v>0</v>
      </c>
      <c r="DH282" s="16" t="n">
        <v>0</v>
      </c>
      <c r="DI282" s="16" t="n">
        <v>0</v>
      </c>
      <c r="DJ282" s="16" t="n">
        <v>0</v>
      </c>
      <c r="DK282" s="16" t="n">
        <v>0</v>
      </c>
      <c r="DL282" s="16" t="n">
        <v>0</v>
      </c>
      <c r="DM282" s="16" t="n">
        <v>0</v>
      </c>
      <c r="DN282" s="16" t="n">
        <v>0</v>
      </c>
      <c r="DO282" s="16" t="n">
        <v>0</v>
      </c>
      <c r="DP282" s="16" t="n">
        <v>0</v>
      </c>
      <c r="DQ282" s="16" t="n">
        <v>0</v>
      </c>
      <c r="DR282" s="16" t="n">
        <v>0</v>
      </c>
      <c r="DS282" s="16" t="n">
        <v>0</v>
      </c>
      <c r="DT282" s="16" t="n">
        <v>0</v>
      </c>
      <c r="DU282" s="16" t="n">
        <v>0</v>
      </c>
      <c r="DV282" s="16" t="n">
        <v>0</v>
      </c>
      <c r="DW282" s="16" t="n">
        <v>0</v>
      </c>
      <c r="DX282" s="16" t="n">
        <v>0</v>
      </c>
      <c r="DY282" s="16" t="n">
        <v>0</v>
      </c>
      <c r="DZ282" s="16" t="n">
        <v>0</v>
      </c>
      <c r="EA282" s="16" t="n">
        <v>0</v>
      </c>
      <c r="EB282" s="16" t="n">
        <v>0</v>
      </c>
      <c r="EC282" s="16" t="n">
        <v>0</v>
      </c>
      <c r="ED282" s="16" t="n">
        <v>0</v>
      </c>
      <c r="EE282" s="16" t="n">
        <v>0</v>
      </c>
      <c r="EF282" s="16" t="n">
        <v>0</v>
      </c>
    </row>
    <row r="283" customFormat="false" ht="15" hidden="false" customHeight="true" outlineLevel="0" collapsed="false">
      <c r="A283" s="9" t="s">
        <v>12</v>
      </c>
      <c r="B283" s="9" t="s">
        <v>24</v>
      </c>
      <c r="C283" s="9" t="s">
        <v>24</v>
      </c>
      <c r="D283" s="9" t="s">
        <v>342</v>
      </c>
      <c r="E283" s="9" t="s">
        <v>14</v>
      </c>
      <c r="F283" s="9" t="s">
        <v>113</v>
      </c>
      <c r="G283" s="16" t="n">
        <v>0</v>
      </c>
      <c r="H283" s="16" t="n">
        <v>0</v>
      </c>
      <c r="I283" s="16" t="n">
        <v>110.5</v>
      </c>
      <c r="J283" s="16" t="n">
        <v>-110.5</v>
      </c>
      <c r="K283" s="16" t="n">
        <v>0</v>
      </c>
      <c r="L283" s="16" t="n">
        <v>0</v>
      </c>
      <c r="M283" s="16" t="n">
        <v>0</v>
      </c>
      <c r="N283" s="16" t="n">
        <v>0</v>
      </c>
      <c r="O283" s="16" t="n">
        <v>0</v>
      </c>
      <c r="P283" s="16" t="n">
        <v>0</v>
      </c>
      <c r="Q283" s="16" t="n">
        <v>0</v>
      </c>
      <c r="R283" s="16" t="n">
        <v>0</v>
      </c>
      <c r="S283" s="16" t="n">
        <v>0</v>
      </c>
      <c r="T283" s="16" t="n">
        <v>0</v>
      </c>
      <c r="U283" s="16" t="n">
        <v>0</v>
      </c>
      <c r="V283" s="16" t="n">
        <v>0</v>
      </c>
      <c r="W283" s="16" t="n">
        <v>0</v>
      </c>
      <c r="X283" s="16" t="n">
        <v>0</v>
      </c>
      <c r="Y283" s="16" t="n">
        <v>0</v>
      </c>
      <c r="Z283" s="16" t="n">
        <v>0</v>
      </c>
      <c r="AA283" s="16" t="n">
        <v>0</v>
      </c>
      <c r="AB283" s="16" t="n">
        <v>0</v>
      </c>
      <c r="AC283" s="16" t="n">
        <v>0</v>
      </c>
      <c r="AD283" s="16" t="n">
        <v>0</v>
      </c>
      <c r="AE283" s="16" t="n">
        <v>0</v>
      </c>
      <c r="AF283" s="16" t="n">
        <v>0</v>
      </c>
      <c r="AG283" s="16" t="n">
        <v>0</v>
      </c>
      <c r="AH283" s="16" t="n">
        <v>0</v>
      </c>
      <c r="AI283" s="16" t="n">
        <v>0</v>
      </c>
      <c r="AJ283" s="16" t="n">
        <v>0</v>
      </c>
      <c r="AK283" s="16" t="n">
        <v>0</v>
      </c>
      <c r="AL283" s="16" t="n">
        <v>0.5</v>
      </c>
      <c r="AM283" s="16" t="n">
        <v>0</v>
      </c>
      <c r="AN283" s="16" t="n">
        <v>0</v>
      </c>
      <c r="AO283" s="16" t="n">
        <v>0</v>
      </c>
      <c r="AP283" s="16" t="n">
        <v>0</v>
      </c>
      <c r="AQ283" s="16" t="n">
        <v>0</v>
      </c>
      <c r="AR283" s="16" t="n">
        <v>0</v>
      </c>
      <c r="AS283" s="16" t="n">
        <v>0</v>
      </c>
      <c r="AT283" s="16" t="n">
        <v>0</v>
      </c>
      <c r="AU283" s="16" t="n">
        <v>0</v>
      </c>
      <c r="AV283" s="16" t="n">
        <v>0</v>
      </c>
      <c r="AW283" s="16" t="n">
        <v>0</v>
      </c>
      <c r="AX283" s="16" t="n">
        <v>0</v>
      </c>
      <c r="AY283" s="16" t="n">
        <v>0</v>
      </c>
      <c r="AZ283" s="16" t="n">
        <v>0</v>
      </c>
      <c r="BA283" s="16" t="n">
        <v>0</v>
      </c>
      <c r="BB283" s="16" t="n">
        <v>0</v>
      </c>
      <c r="BC283" s="16" t="n">
        <v>0</v>
      </c>
      <c r="BD283" s="16" t="n">
        <v>0</v>
      </c>
      <c r="BE283" s="16" t="n">
        <v>0</v>
      </c>
      <c r="BF283" s="16" t="n">
        <v>0</v>
      </c>
      <c r="BG283" s="16" t="n">
        <v>0</v>
      </c>
      <c r="BH283" s="16" t="n">
        <v>0</v>
      </c>
      <c r="BI283" s="16" t="n">
        <v>0</v>
      </c>
      <c r="BJ283" s="16" t="n">
        <v>0</v>
      </c>
      <c r="BK283" s="16" t="n">
        <v>0</v>
      </c>
      <c r="BL283" s="16" t="n">
        <v>0</v>
      </c>
      <c r="BM283" s="16" t="n">
        <v>0</v>
      </c>
      <c r="BN283" s="16" t="n">
        <v>0</v>
      </c>
      <c r="BO283" s="16" t="n">
        <v>0</v>
      </c>
      <c r="BP283" s="16" t="n">
        <v>0</v>
      </c>
      <c r="BQ283" s="16" t="n">
        <v>0</v>
      </c>
      <c r="BR283" s="16" t="n">
        <v>0</v>
      </c>
      <c r="BS283" s="16" t="n">
        <v>0</v>
      </c>
      <c r="BT283" s="16" t="n">
        <v>0</v>
      </c>
      <c r="BU283" s="16" t="n">
        <v>0</v>
      </c>
      <c r="BV283" s="16" t="n">
        <v>0</v>
      </c>
      <c r="BW283" s="16" t="n">
        <v>0</v>
      </c>
      <c r="BX283" s="16" t="n">
        <v>0</v>
      </c>
      <c r="BY283" s="16" t="n">
        <v>0</v>
      </c>
      <c r="BZ283" s="16" t="n">
        <v>0</v>
      </c>
      <c r="CA283" s="16" t="n">
        <v>0</v>
      </c>
      <c r="CB283" s="16" t="n">
        <v>0</v>
      </c>
      <c r="CC283" s="16" t="n">
        <v>0</v>
      </c>
      <c r="CD283" s="16" t="n">
        <v>0</v>
      </c>
      <c r="CE283" s="16" t="n">
        <v>0</v>
      </c>
      <c r="CF283" s="16" t="n">
        <v>0</v>
      </c>
      <c r="CG283" s="16" t="n">
        <v>0</v>
      </c>
      <c r="CH283" s="16" t="n">
        <v>0</v>
      </c>
      <c r="CI283" s="16" t="n">
        <v>0</v>
      </c>
      <c r="CJ283" s="16" t="n">
        <v>0</v>
      </c>
      <c r="CK283" s="16" t="n">
        <v>0</v>
      </c>
      <c r="CL283" s="16" t="n">
        <v>0</v>
      </c>
      <c r="CM283" s="16" t="n">
        <v>0</v>
      </c>
      <c r="CN283" s="16" t="n">
        <v>0</v>
      </c>
      <c r="CO283" s="16" t="n">
        <v>0</v>
      </c>
      <c r="CP283" s="16" t="n">
        <v>0</v>
      </c>
      <c r="CQ283" s="16" t="n">
        <v>0</v>
      </c>
      <c r="CR283" s="16" t="n">
        <v>0</v>
      </c>
      <c r="CS283" s="16" t="n">
        <v>0</v>
      </c>
      <c r="CT283" s="16" t="n">
        <v>0</v>
      </c>
      <c r="CU283" s="16" t="n">
        <v>5</v>
      </c>
      <c r="CV283" s="16" t="n">
        <v>5</v>
      </c>
      <c r="CW283" s="16" t="n">
        <v>5</v>
      </c>
      <c r="CX283" s="16" t="n">
        <v>5</v>
      </c>
      <c r="CY283" s="16" t="n">
        <v>5</v>
      </c>
      <c r="CZ283" s="16" t="n">
        <v>5</v>
      </c>
      <c r="DA283" s="16" t="n">
        <v>0</v>
      </c>
      <c r="DB283" s="16" t="n">
        <v>0</v>
      </c>
      <c r="DC283" s="16" t="n">
        <v>0</v>
      </c>
      <c r="DD283" s="16" t="n">
        <v>0</v>
      </c>
      <c r="DE283" s="16" t="n">
        <v>0</v>
      </c>
      <c r="DF283" s="16" t="n">
        <v>0</v>
      </c>
      <c r="DG283" s="16" t="n">
        <v>0</v>
      </c>
      <c r="DH283" s="16" t="n">
        <v>0</v>
      </c>
      <c r="DI283" s="16" t="n">
        <v>0</v>
      </c>
      <c r="DJ283" s="16" t="n">
        <v>0</v>
      </c>
      <c r="DK283" s="16" t="n">
        <v>0</v>
      </c>
      <c r="DL283" s="16" t="n">
        <v>0</v>
      </c>
      <c r="DM283" s="16" t="n">
        <v>0</v>
      </c>
      <c r="DN283" s="16" t="n">
        <v>0</v>
      </c>
      <c r="DO283" s="16" t="n">
        <v>0</v>
      </c>
      <c r="DP283" s="16" t="n">
        <v>0</v>
      </c>
      <c r="DQ283" s="16" t="n">
        <v>0</v>
      </c>
      <c r="DR283" s="16" t="n">
        <v>0</v>
      </c>
      <c r="DS283" s="16" t="n">
        <v>20</v>
      </c>
      <c r="DT283" s="16" t="n">
        <v>24</v>
      </c>
      <c r="DU283" s="16" t="n">
        <v>24</v>
      </c>
      <c r="DV283" s="16" t="n">
        <v>12</v>
      </c>
      <c r="DW283" s="16" t="n">
        <v>0</v>
      </c>
      <c r="DX283" s="16" t="n">
        <v>0</v>
      </c>
      <c r="DY283" s="16" t="n">
        <v>0</v>
      </c>
      <c r="DZ283" s="16" t="n">
        <v>0</v>
      </c>
      <c r="EA283" s="16" t="n">
        <v>0</v>
      </c>
      <c r="EB283" s="16" t="n">
        <v>0</v>
      </c>
      <c r="EC283" s="16" t="n">
        <v>0</v>
      </c>
      <c r="ED283" s="16" t="n">
        <v>0</v>
      </c>
      <c r="EE283" s="16" t="n">
        <v>0</v>
      </c>
      <c r="EF283" s="16" t="n">
        <v>0</v>
      </c>
    </row>
    <row r="284" customFormat="false" ht="15" hidden="false" customHeight="true" outlineLevel="0" collapsed="false">
      <c r="A284" s="9" t="s">
        <v>12</v>
      </c>
      <c r="B284" s="9" t="s">
        <v>24</v>
      </c>
      <c r="C284" s="9" t="s">
        <v>24</v>
      </c>
      <c r="D284" s="9" t="s">
        <v>336</v>
      </c>
      <c r="E284" s="9" t="s">
        <v>14</v>
      </c>
      <c r="F284" s="9" t="s">
        <v>81</v>
      </c>
      <c r="G284" s="16" t="n">
        <v>14.3</v>
      </c>
      <c r="H284" s="16" t="n">
        <v>64.6</v>
      </c>
      <c r="I284" s="16" t="n">
        <v>0</v>
      </c>
      <c r="J284" s="16" t="n">
        <v>64.6</v>
      </c>
      <c r="K284" s="16" t="n">
        <v>0</v>
      </c>
      <c r="L284" s="16" t="n">
        <v>0</v>
      </c>
      <c r="M284" s="16" t="n">
        <v>0</v>
      </c>
      <c r="N284" s="16" t="n">
        <v>0</v>
      </c>
      <c r="O284" s="16" t="n">
        <v>0</v>
      </c>
      <c r="P284" s="16" t="n">
        <v>0</v>
      </c>
      <c r="Q284" s="16" t="n">
        <v>0</v>
      </c>
      <c r="R284" s="16" t="n">
        <v>0</v>
      </c>
      <c r="S284" s="16" t="n">
        <v>0</v>
      </c>
      <c r="T284" s="16" t="n">
        <v>0</v>
      </c>
      <c r="U284" s="16" t="n">
        <v>0</v>
      </c>
      <c r="V284" s="16" t="n">
        <v>0</v>
      </c>
      <c r="W284" s="16" t="n">
        <v>0</v>
      </c>
      <c r="X284" s="16" t="n">
        <v>0</v>
      </c>
      <c r="Y284" s="16" t="n">
        <v>0</v>
      </c>
      <c r="Z284" s="16" t="n">
        <v>0</v>
      </c>
      <c r="AA284" s="16" t="n">
        <v>0</v>
      </c>
      <c r="AB284" s="16" t="n">
        <v>0</v>
      </c>
      <c r="AC284" s="16" t="n">
        <v>0</v>
      </c>
      <c r="AD284" s="16" t="n">
        <v>0</v>
      </c>
      <c r="AE284" s="16" t="n">
        <v>0</v>
      </c>
      <c r="AF284" s="16" t="n">
        <v>0</v>
      </c>
      <c r="AG284" s="16" t="n">
        <v>0</v>
      </c>
      <c r="AH284" s="16" t="n">
        <v>0</v>
      </c>
      <c r="AI284" s="16" t="n">
        <v>0</v>
      </c>
      <c r="AJ284" s="16" t="n">
        <v>0</v>
      </c>
      <c r="AK284" s="16" t="n">
        <v>0</v>
      </c>
      <c r="AL284" s="16" t="n">
        <v>0</v>
      </c>
      <c r="AM284" s="16" t="n">
        <v>0</v>
      </c>
      <c r="AN284" s="16" t="n">
        <v>0</v>
      </c>
      <c r="AO284" s="16" t="n">
        <v>0</v>
      </c>
      <c r="AP284" s="16" t="n">
        <v>0</v>
      </c>
      <c r="AQ284" s="16" t="n">
        <v>0</v>
      </c>
      <c r="AR284" s="16" t="n">
        <v>0</v>
      </c>
      <c r="AS284" s="16" t="n">
        <v>0</v>
      </c>
      <c r="AT284" s="16" t="n">
        <v>0</v>
      </c>
      <c r="AU284" s="16" t="n">
        <v>0</v>
      </c>
      <c r="AV284" s="16" t="n">
        <v>0</v>
      </c>
      <c r="AW284" s="16" t="n">
        <v>0</v>
      </c>
      <c r="AX284" s="16" t="n">
        <v>0</v>
      </c>
      <c r="AY284" s="16" t="n">
        <v>0</v>
      </c>
      <c r="AZ284" s="16" t="n">
        <v>0</v>
      </c>
      <c r="BA284" s="16" t="n">
        <v>0</v>
      </c>
      <c r="BB284" s="16" t="n">
        <v>0</v>
      </c>
      <c r="BC284" s="16" t="n">
        <v>0</v>
      </c>
      <c r="BD284" s="16" t="n">
        <v>0</v>
      </c>
      <c r="BE284" s="16" t="n">
        <v>0</v>
      </c>
      <c r="BF284" s="16" t="n">
        <v>0</v>
      </c>
      <c r="BG284" s="16" t="n">
        <v>0</v>
      </c>
      <c r="BH284" s="16" t="n">
        <v>0</v>
      </c>
      <c r="BI284" s="16" t="n">
        <v>0</v>
      </c>
      <c r="BJ284" s="16" t="n">
        <v>0</v>
      </c>
      <c r="BK284" s="16" t="n">
        <v>0</v>
      </c>
      <c r="BL284" s="16" t="n">
        <v>0</v>
      </c>
      <c r="BM284" s="16" t="n">
        <v>0</v>
      </c>
      <c r="BN284" s="16" t="n">
        <v>0</v>
      </c>
      <c r="BO284" s="16" t="n">
        <v>0</v>
      </c>
      <c r="BP284" s="16" t="n">
        <v>0</v>
      </c>
      <c r="BQ284" s="16" t="n">
        <v>0</v>
      </c>
      <c r="BR284" s="16" t="n">
        <v>0</v>
      </c>
      <c r="BS284" s="16" t="n">
        <v>0</v>
      </c>
      <c r="BT284" s="16" t="n">
        <v>0</v>
      </c>
      <c r="BU284" s="16" t="n">
        <v>0</v>
      </c>
      <c r="BV284" s="16" t="n">
        <v>0</v>
      </c>
      <c r="BW284" s="16" t="n">
        <v>0</v>
      </c>
      <c r="BX284" s="16" t="n">
        <v>0</v>
      </c>
      <c r="BY284" s="16" t="n">
        <v>0</v>
      </c>
      <c r="BZ284" s="16" t="n">
        <v>0</v>
      </c>
      <c r="CA284" s="16" t="n">
        <v>0</v>
      </c>
      <c r="CB284" s="16" t="n">
        <v>0</v>
      </c>
      <c r="CC284" s="16" t="n">
        <v>0</v>
      </c>
      <c r="CD284" s="16" t="n">
        <v>0</v>
      </c>
      <c r="CE284" s="16" t="n">
        <v>0</v>
      </c>
      <c r="CF284" s="16" t="n">
        <v>0</v>
      </c>
      <c r="CG284" s="16" t="n">
        <v>0</v>
      </c>
      <c r="CH284" s="16" t="n">
        <v>0</v>
      </c>
      <c r="CI284" s="16" t="n">
        <v>0</v>
      </c>
      <c r="CJ284" s="16" t="n">
        <v>0</v>
      </c>
      <c r="CK284" s="16" t="n">
        <v>0</v>
      </c>
      <c r="CL284" s="16" t="n">
        <v>0</v>
      </c>
      <c r="CM284" s="16" t="n">
        <v>0</v>
      </c>
      <c r="CN284" s="16" t="n">
        <v>0</v>
      </c>
      <c r="CO284" s="16" t="n">
        <v>0</v>
      </c>
      <c r="CP284" s="16" t="n">
        <v>0</v>
      </c>
      <c r="CQ284" s="16" t="n">
        <v>0</v>
      </c>
      <c r="CR284" s="16" t="n">
        <v>0</v>
      </c>
      <c r="CS284" s="16" t="n">
        <v>0</v>
      </c>
      <c r="CT284" s="16" t="n">
        <v>0</v>
      </c>
      <c r="CU284" s="16" t="n">
        <v>0</v>
      </c>
      <c r="CV284" s="16" t="n">
        <v>0</v>
      </c>
      <c r="CW284" s="16" t="n">
        <v>0</v>
      </c>
      <c r="CX284" s="16" t="n">
        <v>0</v>
      </c>
      <c r="CY284" s="16" t="n">
        <v>0</v>
      </c>
      <c r="CZ284" s="16" t="n">
        <v>0</v>
      </c>
      <c r="DA284" s="16" t="n">
        <v>0</v>
      </c>
      <c r="DB284" s="16" t="n">
        <v>0</v>
      </c>
      <c r="DC284" s="16" t="n">
        <v>0</v>
      </c>
      <c r="DD284" s="16" t="n">
        <v>0</v>
      </c>
      <c r="DE284" s="16" t="n">
        <v>0</v>
      </c>
      <c r="DF284" s="16" t="n">
        <v>0</v>
      </c>
      <c r="DG284" s="16" t="n">
        <v>0</v>
      </c>
      <c r="DH284" s="16" t="n">
        <v>0</v>
      </c>
      <c r="DI284" s="16" t="n">
        <v>0</v>
      </c>
      <c r="DJ284" s="16" t="n">
        <v>0</v>
      </c>
      <c r="DK284" s="16" t="n">
        <v>0</v>
      </c>
      <c r="DL284" s="16" t="n">
        <v>0</v>
      </c>
      <c r="DM284" s="16" t="n">
        <v>0</v>
      </c>
      <c r="DN284" s="16" t="n">
        <v>0</v>
      </c>
      <c r="DO284" s="16" t="n">
        <v>0</v>
      </c>
      <c r="DP284" s="16" t="n">
        <v>0</v>
      </c>
      <c r="DQ284" s="16" t="n">
        <v>0</v>
      </c>
      <c r="DR284" s="16" t="n">
        <v>0</v>
      </c>
      <c r="DS284" s="16" t="n">
        <v>0</v>
      </c>
      <c r="DT284" s="16" t="n">
        <v>0</v>
      </c>
      <c r="DU284" s="16" t="n">
        <v>0</v>
      </c>
      <c r="DV284" s="16" t="n">
        <v>0</v>
      </c>
      <c r="DW284" s="16" t="n">
        <v>0</v>
      </c>
      <c r="DX284" s="16" t="n">
        <v>0</v>
      </c>
      <c r="DY284" s="16" t="n">
        <v>0</v>
      </c>
      <c r="DZ284" s="16" t="n">
        <v>0</v>
      </c>
      <c r="EA284" s="16" t="n">
        <v>0</v>
      </c>
      <c r="EB284" s="16" t="n">
        <v>0</v>
      </c>
      <c r="EC284" s="16" t="n">
        <v>0</v>
      </c>
      <c r="ED284" s="16" t="n">
        <v>0</v>
      </c>
      <c r="EE284" s="16" t="n">
        <v>0</v>
      </c>
      <c r="EF284" s="16" t="n">
        <v>0</v>
      </c>
    </row>
    <row r="285" customFormat="false" ht="15" hidden="false" customHeight="true" outlineLevel="0" collapsed="false">
      <c r="A285" s="9" t="s">
        <v>12</v>
      </c>
      <c r="B285" s="9" t="s">
        <v>24</v>
      </c>
      <c r="C285" s="9" t="s">
        <v>24</v>
      </c>
      <c r="D285" s="9" t="s">
        <v>342</v>
      </c>
      <c r="E285" s="9" t="s">
        <v>14</v>
      </c>
      <c r="F285" s="9" t="s">
        <v>81</v>
      </c>
      <c r="G285" s="16" t="n">
        <v>0</v>
      </c>
      <c r="H285" s="16" t="n">
        <v>0</v>
      </c>
      <c r="I285" s="16" t="n">
        <v>49.8</v>
      </c>
      <c r="J285" s="16" t="n">
        <v>-49.8</v>
      </c>
      <c r="K285" s="16" t="n">
        <v>0</v>
      </c>
      <c r="L285" s="16" t="n">
        <v>0</v>
      </c>
      <c r="M285" s="16" t="n">
        <v>0</v>
      </c>
      <c r="N285" s="16" t="n">
        <v>0</v>
      </c>
      <c r="O285" s="16" t="n">
        <v>0</v>
      </c>
      <c r="P285" s="16" t="n">
        <v>0</v>
      </c>
      <c r="Q285" s="16" t="n">
        <v>0</v>
      </c>
      <c r="R285" s="16" t="n">
        <v>0</v>
      </c>
      <c r="S285" s="16" t="n">
        <v>0</v>
      </c>
      <c r="T285" s="16" t="n">
        <v>0</v>
      </c>
      <c r="U285" s="16" t="n">
        <v>0</v>
      </c>
      <c r="V285" s="16" t="n">
        <v>0</v>
      </c>
      <c r="W285" s="16" t="n">
        <v>0</v>
      </c>
      <c r="X285" s="16" t="n">
        <v>0</v>
      </c>
      <c r="Y285" s="16" t="n">
        <v>0</v>
      </c>
      <c r="Z285" s="16" t="n">
        <v>0</v>
      </c>
      <c r="AA285" s="16" t="n">
        <v>0</v>
      </c>
      <c r="AB285" s="16" t="n">
        <v>0</v>
      </c>
      <c r="AC285" s="16" t="n">
        <v>0</v>
      </c>
      <c r="AD285" s="16" t="n">
        <v>0</v>
      </c>
      <c r="AE285" s="16" t="n">
        <v>0</v>
      </c>
      <c r="AF285" s="16" t="n">
        <v>0</v>
      </c>
      <c r="AG285" s="16" t="n">
        <v>0</v>
      </c>
      <c r="AH285" s="16" t="n">
        <v>0</v>
      </c>
      <c r="AI285" s="16" t="n">
        <v>0</v>
      </c>
      <c r="AJ285" s="16" t="n">
        <v>0</v>
      </c>
      <c r="AK285" s="16" t="n">
        <v>0</v>
      </c>
      <c r="AL285" s="16" t="n">
        <v>0</v>
      </c>
      <c r="AM285" s="16" t="n">
        <v>0</v>
      </c>
      <c r="AN285" s="16" t="n">
        <v>0</v>
      </c>
      <c r="AO285" s="16" t="n">
        <v>0</v>
      </c>
      <c r="AP285" s="16" t="n">
        <v>0</v>
      </c>
      <c r="AQ285" s="16" t="n">
        <v>0</v>
      </c>
      <c r="AR285" s="16" t="n">
        <v>0</v>
      </c>
      <c r="AS285" s="16" t="n">
        <v>0</v>
      </c>
      <c r="AT285" s="16" t="n">
        <v>0</v>
      </c>
      <c r="AU285" s="16" t="n">
        <v>0</v>
      </c>
      <c r="AV285" s="16" t="n">
        <v>0</v>
      </c>
      <c r="AW285" s="16" t="n">
        <v>0</v>
      </c>
      <c r="AX285" s="16" t="n">
        <v>0</v>
      </c>
      <c r="AY285" s="16" t="n">
        <v>0</v>
      </c>
      <c r="AZ285" s="16" t="n">
        <v>0</v>
      </c>
      <c r="BA285" s="16" t="n">
        <v>0</v>
      </c>
      <c r="BB285" s="16" t="n">
        <v>0</v>
      </c>
      <c r="BC285" s="16" t="n">
        <v>0</v>
      </c>
      <c r="BD285" s="16" t="n">
        <v>0</v>
      </c>
      <c r="BE285" s="16" t="n">
        <v>0</v>
      </c>
      <c r="BF285" s="16" t="n">
        <v>0</v>
      </c>
      <c r="BG285" s="16" t="n">
        <v>0</v>
      </c>
      <c r="BH285" s="16" t="n">
        <v>0</v>
      </c>
      <c r="BI285" s="16" t="n">
        <v>0</v>
      </c>
      <c r="BJ285" s="16" t="n">
        <v>0</v>
      </c>
      <c r="BK285" s="16" t="n">
        <v>0</v>
      </c>
      <c r="BL285" s="16" t="n">
        <v>0</v>
      </c>
      <c r="BM285" s="16" t="n">
        <v>0</v>
      </c>
      <c r="BN285" s="16" t="n">
        <v>0</v>
      </c>
      <c r="BO285" s="16" t="n">
        <v>0</v>
      </c>
      <c r="BP285" s="16" t="n">
        <v>0</v>
      </c>
      <c r="BQ285" s="16" t="n">
        <v>0</v>
      </c>
      <c r="BR285" s="16" t="n">
        <v>0</v>
      </c>
      <c r="BS285" s="16" t="n">
        <v>0</v>
      </c>
      <c r="BT285" s="16" t="n">
        <v>0</v>
      </c>
      <c r="BU285" s="16" t="n">
        <v>0</v>
      </c>
      <c r="BV285" s="16" t="n">
        <v>0</v>
      </c>
      <c r="BW285" s="16" t="n">
        <v>0</v>
      </c>
      <c r="BX285" s="16" t="n">
        <v>0</v>
      </c>
      <c r="BY285" s="16" t="n">
        <v>0</v>
      </c>
      <c r="BZ285" s="16" t="n">
        <v>0</v>
      </c>
      <c r="CA285" s="16" t="n">
        <v>0</v>
      </c>
      <c r="CB285" s="16" t="n">
        <v>0</v>
      </c>
      <c r="CC285" s="16" t="n">
        <v>0</v>
      </c>
      <c r="CD285" s="16" t="n">
        <v>0</v>
      </c>
      <c r="CE285" s="16" t="n">
        <v>0</v>
      </c>
      <c r="CF285" s="16" t="n">
        <v>0</v>
      </c>
      <c r="CG285" s="16" t="n">
        <v>0</v>
      </c>
      <c r="CH285" s="16" t="n">
        <v>0</v>
      </c>
      <c r="CI285" s="16" t="n">
        <v>0</v>
      </c>
      <c r="CJ285" s="16" t="n">
        <v>0</v>
      </c>
      <c r="CK285" s="16" t="n">
        <v>0</v>
      </c>
      <c r="CL285" s="16" t="n">
        <v>0</v>
      </c>
      <c r="CM285" s="16" t="n">
        <v>0</v>
      </c>
      <c r="CN285" s="16" t="n">
        <v>0</v>
      </c>
      <c r="CO285" s="16" t="n">
        <v>0</v>
      </c>
      <c r="CP285" s="16" t="n">
        <v>0</v>
      </c>
      <c r="CQ285" s="16" t="n">
        <v>0</v>
      </c>
      <c r="CR285" s="16" t="n">
        <v>0</v>
      </c>
      <c r="CS285" s="16" t="n">
        <v>1.346154</v>
      </c>
      <c r="CT285" s="16" t="n">
        <v>1.346154</v>
      </c>
      <c r="CU285" s="16" t="n">
        <v>1.346154</v>
      </c>
      <c r="CV285" s="16" t="n">
        <v>1.346154</v>
      </c>
      <c r="CW285" s="16" t="n">
        <v>1.346154</v>
      </c>
      <c r="CX285" s="16" t="n">
        <v>1.346154</v>
      </c>
      <c r="CY285" s="16" t="n">
        <v>1.346154</v>
      </c>
      <c r="CZ285" s="16" t="n">
        <v>1.346154</v>
      </c>
      <c r="DA285" s="16" t="n">
        <v>1.346154</v>
      </c>
      <c r="DB285" s="16" t="n">
        <v>1.346154</v>
      </c>
      <c r="DC285" s="16" t="n">
        <v>1.346154</v>
      </c>
      <c r="DD285" s="16" t="n">
        <v>1.346154</v>
      </c>
      <c r="DE285" s="16" t="n">
        <v>1.346154</v>
      </c>
      <c r="DF285" s="16" t="n">
        <v>1.346154</v>
      </c>
      <c r="DG285" s="16" t="n">
        <v>1.346154</v>
      </c>
      <c r="DH285" s="16" t="n">
        <v>1.346154</v>
      </c>
      <c r="DI285" s="16" t="n">
        <v>1.346154</v>
      </c>
      <c r="DJ285" s="16" t="n">
        <v>1.346154</v>
      </c>
      <c r="DK285" s="16" t="n">
        <v>2.5</v>
      </c>
      <c r="DL285" s="16" t="n">
        <v>2.5</v>
      </c>
      <c r="DM285" s="16" t="n">
        <v>3.1</v>
      </c>
      <c r="DN285" s="16" t="n">
        <v>3.5</v>
      </c>
      <c r="DO285" s="16" t="n">
        <v>3.5</v>
      </c>
      <c r="DP285" s="16" t="n">
        <v>3.5</v>
      </c>
      <c r="DQ285" s="16" t="n">
        <v>3.5</v>
      </c>
      <c r="DR285" s="16" t="n">
        <v>3.5</v>
      </c>
      <c r="DS285" s="16" t="n">
        <v>0</v>
      </c>
      <c r="DT285" s="16" t="n">
        <v>0</v>
      </c>
      <c r="DU285" s="16" t="n">
        <v>0</v>
      </c>
      <c r="DV285" s="16" t="n">
        <v>0</v>
      </c>
      <c r="DW285" s="16" t="n">
        <v>0</v>
      </c>
      <c r="DX285" s="16" t="n">
        <v>0</v>
      </c>
      <c r="DY285" s="16" t="n">
        <v>0</v>
      </c>
      <c r="DZ285" s="16" t="n">
        <v>0</v>
      </c>
      <c r="EA285" s="16" t="n">
        <v>0</v>
      </c>
      <c r="EB285" s="16" t="n">
        <v>0</v>
      </c>
      <c r="EC285" s="16" t="n">
        <v>0</v>
      </c>
      <c r="ED285" s="16" t="n">
        <v>0</v>
      </c>
      <c r="EE285" s="16" t="n">
        <v>0</v>
      </c>
      <c r="EF285" s="16" t="n">
        <v>0</v>
      </c>
    </row>
    <row r="286" customFormat="false" ht="15" hidden="false" customHeight="true" outlineLevel="0" collapsed="false">
      <c r="A286" s="9" t="s">
        <v>12</v>
      </c>
      <c r="B286" s="9" t="s">
        <v>24</v>
      </c>
      <c r="C286" s="9" t="s">
        <v>24</v>
      </c>
      <c r="D286" s="9" t="s">
        <v>336</v>
      </c>
      <c r="E286" s="9" t="s">
        <v>14</v>
      </c>
      <c r="F286" s="9" t="s">
        <v>82</v>
      </c>
      <c r="G286" s="16" t="n">
        <v>7</v>
      </c>
      <c r="H286" s="16" t="n">
        <v>7</v>
      </c>
      <c r="I286" s="16" t="n">
        <v>7</v>
      </c>
      <c r="J286" s="16" t="n">
        <v>0</v>
      </c>
      <c r="K286" s="16" t="n">
        <v>0</v>
      </c>
      <c r="L286" s="16" t="n">
        <v>0</v>
      </c>
      <c r="M286" s="16" t="n">
        <v>0</v>
      </c>
      <c r="N286" s="16" t="n">
        <v>0</v>
      </c>
      <c r="O286" s="16" t="n">
        <v>0</v>
      </c>
      <c r="P286" s="16" t="n">
        <v>0</v>
      </c>
      <c r="Q286" s="16" t="n">
        <v>0</v>
      </c>
      <c r="R286" s="16" t="n">
        <v>0</v>
      </c>
      <c r="S286" s="16" t="n">
        <v>0</v>
      </c>
      <c r="T286" s="16" t="n">
        <v>0</v>
      </c>
      <c r="U286" s="16" t="n">
        <v>0</v>
      </c>
      <c r="V286" s="16" t="n">
        <v>0</v>
      </c>
      <c r="W286" s="16" t="n">
        <v>0</v>
      </c>
      <c r="X286" s="16" t="n">
        <v>0</v>
      </c>
      <c r="Y286" s="16" t="n">
        <v>0</v>
      </c>
      <c r="Z286" s="16" t="n">
        <v>0</v>
      </c>
      <c r="AA286" s="16" t="n">
        <v>0</v>
      </c>
      <c r="AB286" s="16" t="n">
        <v>7</v>
      </c>
      <c r="AC286" s="16" t="n">
        <v>0</v>
      </c>
      <c r="AD286" s="16" t="n">
        <v>0</v>
      </c>
      <c r="AE286" s="16" t="n">
        <v>0</v>
      </c>
      <c r="AF286" s="16" t="n">
        <v>0</v>
      </c>
      <c r="AG286" s="16" t="n">
        <v>0</v>
      </c>
      <c r="AH286" s="16" t="n">
        <v>0</v>
      </c>
      <c r="AI286" s="16" t="n">
        <v>0</v>
      </c>
      <c r="AJ286" s="16" t="n">
        <v>0</v>
      </c>
      <c r="AK286" s="16" t="n">
        <v>0</v>
      </c>
      <c r="AL286" s="16" t="n">
        <v>0</v>
      </c>
      <c r="AM286" s="16" t="n">
        <v>0</v>
      </c>
      <c r="AN286" s="16" t="n">
        <v>0</v>
      </c>
      <c r="AO286" s="16" t="n">
        <v>0</v>
      </c>
      <c r="AP286" s="16" t="n">
        <v>0</v>
      </c>
      <c r="AQ286" s="16" t="n">
        <v>0</v>
      </c>
      <c r="AR286" s="16" t="n">
        <v>0</v>
      </c>
      <c r="AS286" s="16" t="n">
        <v>0</v>
      </c>
      <c r="AT286" s="16" t="n">
        <v>0</v>
      </c>
      <c r="AU286" s="16" t="n">
        <v>0</v>
      </c>
      <c r="AV286" s="16" t="n">
        <v>0</v>
      </c>
      <c r="AW286" s="16" t="n">
        <v>0</v>
      </c>
      <c r="AX286" s="16" t="n">
        <v>0</v>
      </c>
      <c r="AY286" s="16" t="n">
        <v>0</v>
      </c>
      <c r="AZ286" s="16" t="n">
        <v>0</v>
      </c>
      <c r="BA286" s="16" t="n">
        <v>0</v>
      </c>
      <c r="BB286" s="16" t="n">
        <v>0</v>
      </c>
      <c r="BC286" s="16" t="n">
        <v>0</v>
      </c>
      <c r="BD286" s="16" t="n">
        <v>0</v>
      </c>
      <c r="BE286" s="16" t="n">
        <v>0</v>
      </c>
      <c r="BF286" s="16" t="n">
        <v>0</v>
      </c>
      <c r="BG286" s="16" t="n">
        <v>0</v>
      </c>
      <c r="BH286" s="16" t="n">
        <v>0</v>
      </c>
      <c r="BI286" s="16" t="n">
        <v>0</v>
      </c>
      <c r="BJ286" s="16" t="n">
        <v>0</v>
      </c>
      <c r="BK286" s="16" t="n">
        <v>0</v>
      </c>
      <c r="BL286" s="16" t="n">
        <v>0</v>
      </c>
      <c r="BM286" s="16" t="n">
        <v>0</v>
      </c>
      <c r="BN286" s="16" t="n">
        <v>0</v>
      </c>
      <c r="BO286" s="16" t="n">
        <v>0</v>
      </c>
      <c r="BP286" s="16" t="n">
        <v>0</v>
      </c>
      <c r="BQ286" s="16" t="n">
        <v>0</v>
      </c>
      <c r="BR286" s="16" t="n">
        <v>0</v>
      </c>
      <c r="BS286" s="16" t="n">
        <v>0</v>
      </c>
      <c r="BT286" s="16" t="n">
        <v>0</v>
      </c>
      <c r="BU286" s="16" t="n">
        <v>0</v>
      </c>
      <c r="BV286" s="16" t="n">
        <v>0</v>
      </c>
      <c r="BW286" s="16" t="n">
        <v>0</v>
      </c>
      <c r="BX286" s="16" t="n">
        <v>0</v>
      </c>
      <c r="BY286" s="16" t="n">
        <v>0</v>
      </c>
      <c r="BZ286" s="16" t="n">
        <v>0</v>
      </c>
      <c r="CA286" s="16" t="n">
        <v>0</v>
      </c>
      <c r="CB286" s="16" t="n">
        <v>0</v>
      </c>
      <c r="CC286" s="16" t="n">
        <v>0</v>
      </c>
      <c r="CD286" s="16" t="n">
        <v>0</v>
      </c>
      <c r="CE286" s="16" t="n">
        <v>0</v>
      </c>
      <c r="CF286" s="16" t="n">
        <v>0</v>
      </c>
      <c r="CG286" s="16" t="n">
        <v>0</v>
      </c>
      <c r="CH286" s="16" t="n">
        <v>0</v>
      </c>
      <c r="CI286" s="16" t="n">
        <v>0</v>
      </c>
      <c r="CJ286" s="16" t="n">
        <v>0</v>
      </c>
      <c r="CK286" s="16" t="n">
        <v>0</v>
      </c>
      <c r="CL286" s="16" t="n">
        <v>0</v>
      </c>
      <c r="CM286" s="16" t="n">
        <v>0</v>
      </c>
      <c r="CN286" s="16" t="n">
        <v>0</v>
      </c>
      <c r="CO286" s="16" t="n">
        <v>0</v>
      </c>
      <c r="CP286" s="16" t="n">
        <v>0</v>
      </c>
      <c r="CQ286" s="16" t="n">
        <v>0</v>
      </c>
      <c r="CR286" s="16" t="n">
        <v>0</v>
      </c>
      <c r="CS286" s="16" t="n">
        <v>0</v>
      </c>
      <c r="CT286" s="16" t="n">
        <v>0</v>
      </c>
      <c r="CU286" s="16" t="n">
        <v>0</v>
      </c>
      <c r="CV286" s="16" t="n">
        <v>0</v>
      </c>
      <c r="CW286" s="16" t="n">
        <v>0</v>
      </c>
      <c r="CX286" s="16" t="n">
        <v>0</v>
      </c>
      <c r="CY286" s="16" t="n">
        <v>0</v>
      </c>
      <c r="CZ286" s="16" t="n">
        <v>0</v>
      </c>
      <c r="DA286" s="16" t="n">
        <v>0</v>
      </c>
      <c r="DB286" s="16" t="n">
        <v>0</v>
      </c>
      <c r="DC286" s="16" t="n">
        <v>0</v>
      </c>
      <c r="DD286" s="16" t="n">
        <v>0</v>
      </c>
      <c r="DE286" s="16" t="n">
        <v>0</v>
      </c>
      <c r="DF286" s="16" t="n">
        <v>0</v>
      </c>
      <c r="DG286" s="16" t="n">
        <v>0</v>
      </c>
      <c r="DH286" s="16" t="n">
        <v>0</v>
      </c>
      <c r="DI286" s="16" t="n">
        <v>0</v>
      </c>
      <c r="DJ286" s="16" t="n">
        <v>0</v>
      </c>
      <c r="DK286" s="16" t="n">
        <v>0</v>
      </c>
      <c r="DL286" s="16" t="n">
        <v>0</v>
      </c>
      <c r="DM286" s="16" t="n">
        <v>0</v>
      </c>
      <c r="DN286" s="16" t="n">
        <v>0</v>
      </c>
      <c r="DO286" s="16" t="n">
        <v>0</v>
      </c>
      <c r="DP286" s="16" t="n">
        <v>0</v>
      </c>
      <c r="DQ286" s="16" t="n">
        <v>0</v>
      </c>
      <c r="DR286" s="16" t="n">
        <v>0</v>
      </c>
      <c r="DS286" s="16" t="n">
        <v>0</v>
      </c>
      <c r="DT286" s="16" t="n">
        <v>0</v>
      </c>
      <c r="DU286" s="16" t="n">
        <v>0</v>
      </c>
      <c r="DV286" s="16" t="n">
        <v>0</v>
      </c>
      <c r="DW286" s="16" t="n">
        <v>0</v>
      </c>
      <c r="DX286" s="16" t="n">
        <v>0</v>
      </c>
      <c r="DY286" s="16" t="n">
        <v>0</v>
      </c>
      <c r="DZ286" s="16" t="n">
        <v>0</v>
      </c>
      <c r="EA286" s="16" t="n">
        <v>0</v>
      </c>
      <c r="EB286" s="16" t="n">
        <v>0</v>
      </c>
      <c r="EC286" s="16" t="n">
        <v>0</v>
      </c>
      <c r="ED286" s="16" t="n">
        <v>0</v>
      </c>
      <c r="EE286" s="16" t="n">
        <v>0</v>
      </c>
      <c r="EF286" s="16" t="n">
        <v>0</v>
      </c>
    </row>
    <row r="287" customFormat="false" ht="15" hidden="false" customHeight="true" outlineLevel="0" collapsed="false">
      <c r="A287" s="9" t="s">
        <v>12</v>
      </c>
      <c r="B287" s="9" t="s">
        <v>24</v>
      </c>
      <c r="C287" s="9" t="s">
        <v>24</v>
      </c>
      <c r="D287" s="9" t="s">
        <v>342</v>
      </c>
      <c r="E287" s="9" t="s">
        <v>14</v>
      </c>
      <c r="F287" s="9" t="s">
        <v>82</v>
      </c>
      <c r="G287" s="16" t="n">
        <v>0</v>
      </c>
      <c r="H287" s="16" t="n">
        <v>0</v>
      </c>
      <c r="I287" s="16" t="n">
        <v>0</v>
      </c>
      <c r="J287" s="16" t="n">
        <v>0</v>
      </c>
      <c r="K287" s="16" t="n">
        <v>0</v>
      </c>
      <c r="L287" s="16" t="n">
        <v>0</v>
      </c>
      <c r="M287" s="16" t="n">
        <v>0</v>
      </c>
      <c r="N287" s="16" t="n">
        <v>0</v>
      </c>
      <c r="O287" s="16" t="n">
        <v>0</v>
      </c>
      <c r="P287" s="16" t="n">
        <v>0</v>
      </c>
      <c r="Q287" s="16" t="n">
        <v>0</v>
      </c>
      <c r="R287" s="16" t="n">
        <v>0</v>
      </c>
      <c r="S287" s="16" t="n">
        <v>0</v>
      </c>
      <c r="T287" s="16" t="n">
        <v>0</v>
      </c>
      <c r="U287" s="16" t="n">
        <v>0</v>
      </c>
      <c r="V287" s="16" t="n">
        <v>0</v>
      </c>
      <c r="W287" s="16" t="n">
        <v>0</v>
      </c>
      <c r="X287" s="16" t="n">
        <v>0</v>
      </c>
      <c r="Y287" s="16" t="n">
        <v>0</v>
      </c>
      <c r="Z287" s="16" t="n">
        <v>0</v>
      </c>
      <c r="AA287" s="16" t="n">
        <v>0</v>
      </c>
      <c r="AB287" s="16" t="n">
        <v>0</v>
      </c>
      <c r="AC287" s="16" t="n">
        <v>0</v>
      </c>
      <c r="AD287" s="16" t="n">
        <v>0</v>
      </c>
      <c r="AE287" s="16" t="n">
        <v>0</v>
      </c>
      <c r="AF287" s="16" t="n">
        <v>0</v>
      </c>
      <c r="AG287" s="16" t="n">
        <v>0</v>
      </c>
      <c r="AH287" s="16" t="n">
        <v>0</v>
      </c>
      <c r="AI287" s="16" t="n">
        <v>0</v>
      </c>
      <c r="AJ287" s="16" t="n">
        <v>0</v>
      </c>
      <c r="AK287" s="16" t="n">
        <v>0</v>
      </c>
      <c r="AL287" s="16" t="n">
        <v>0</v>
      </c>
      <c r="AM287" s="16" t="n">
        <v>0</v>
      </c>
      <c r="AN287" s="16" t="n">
        <v>0</v>
      </c>
      <c r="AO287" s="16" t="n">
        <v>0</v>
      </c>
      <c r="AP287" s="16" t="n">
        <v>0</v>
      </c>
      <c r="AQ287" s="16" t="n">
        <v>0</v>
      </c>
      <c r="AR287" s="16" t="n">
        <v>0</v>
      </c>
      <c r="AS287" s="16" t="n">
        <v>0</v>
      </c>
      <c r="AT287" s="16" t="n">
        <v>0</v>
      </c>
      <c r="AU287" s="16" t="n">
        <v>0</v>
      </c>
      <c r="AV287" s="16" t="n">
        <v>0</v>
      </c>
      <c r="AW287" s="16" t="n">
        <v>0</v>
      </c>
      <c r="AX287" s="16" t="n">
        <v>0</v>
      </c>
      <c r="AY287" s="16" t="n">
        <v>0</v>
      </c>
      <c r="AZ287" s="16" t="n">
        <v>0</v>
      </c>
      <c r="BA287" s="16" t="n">
        <v>0</v>
      </c>
      <c r="BB287" s="16" t="n">
        <v>0</v>
      </c>
      <c r="BC287" s="16" t="n">
        <v>0</v>
      </c>
      <c r="BD287" s="16" t="n">
        <v>0</v>
      </c>
      <c r="BE287" s="16" t="n">
        <v>0</v>
      </c>
      <c r="BF287" s="16" t="n">
        <v>0</v>
      </c>
      <c r="BG287" s="16" t="n">
        <v>0</v>
      </c>
      <c r="BH287" s="16" t="n">
        <v>0</v>
      </c>
      <c r="BI287" s="16" t="n">
        <v>0</v>
      </c>
      <c r="BJ287" s="16" t="n">
        <v>0</v>
      </c>
      <c r="BK287" s="16" t="n">
        <v>0</v>
      </c>
      <c r="BL287" s="16" t="n">
        <v>0</v>
      </c>
      <c r="BM287" s="16" t="n">
        <v>0</v>
      </c>
      <c r="BN287" s="16" t="n">
        <v>0</v>
      </c>
      <c r="BO287" s="16" t="n">
        <v>0</v>
      </c>
      <c r="BP287" s="16" t="n">
        <v>0</v>
      </c>
      <c r="BQ287" s="16" t="n">
        <v>0</v>
      </c>
      <c r="BR287" s="16" t="n">
        <v>0</v>
      </c>
      <c r="BS287" s="16" t="n">
        <v>0</v>
      </c>
      <c r="BT287" s="16" t="n">
        <v>0</v>
      </c>
      <c r="BU287" s="16" t="n">
        <v>0</v>
      </c>
      <c r="BV287" s="16" t="n">
        <v>0</v>
      </c>
      <c r="BW287" s="16" t="n">
        <v>0</v>
      </c>
      <c r="BX287" s="16" t="n">
        <v>0</v>
      </c>
      <c r="BY287" s="16" t="n">
        <v>0</v>
      </c>
      <c r="BZ287" s="16" t="n">
        <v>0</v>
      </c>
      <c r="CA287" s="16" t="n">
        <v>0</v>
      </c>
      <c r="CB287" s="16" t="n">
        <v>0</v>
      </c>
      <c r="CC287" s="16" t="n">
        <v>0</v>
      </c>
      <c r="CD287" s="16" t="n">
        <v>0</v>
      </c>
      <c r="CE287" s="16" t="n">
        <v>0</v>
      </c>
      <c r="CF287" s="16" t="n">
        <v>0</v>
      </c>
      <c r="CG287" s="16" t="n">
        <v>0</v>
      </c>
      <c r="CH287" s="16" t="n">
        <v>0</v>
      </c>
      <c r="CI287" s="16" t="n">
        <v>0</v>
      </c>
      <c r="CJ287" s="16" t="n">
        <v>0</v>
      </c>
      <c r="CK287" s="16" t="n">
        <v>0</v>
      </c>
      <c r="CL287" s="16" t="n">
        <v>0</v>
      </c>
      <c r="CM287" s="16" t="n">
        <v>0</v>
      </c>
      <c r="CN287" s="16" t="n">
        <v>0</v>
      </c>
      <c r="CO287" s="16" t="n">
        <v>0</v>
      </c>
      <c r="CP287" s="16" t="n">
        <v>0</v>
      </c>
      <c r="CQ287" s="16" t="n">
        <v>0</v>
      </c>
      <c r="CR287" s="16" t="n">
        <v>0</v>
      </c>
      <c r="CS287" s="16" t="n">
        <v>0</v>
      </c>
      <c r="CT287" s="16" t="n">
        <v>0</v>
      </c>
      <c r="CU287" s="16" t="n">
        <v>0</v>
      </c>
      <c r="CV287" s="16" t="n">
        <v>0</v>
      </c>
      <c r="CW287" s="16" t="n">
        <v>0</v>
      </c>
      <c r="CX287" s="16" t="n">
        <v>0</v>
      </c>
      <c r="CY287" s="16" t="n">
        <v>0</v>
      </c>
      <c r="CZ287" s="16" t="n">
        <v>0</v>
      </c>
      <c r="DA287" s="16" t="n">
        <v>0</v>
      </c>
      <c r="DB287" s="16" t="n">
        <v>0</v>
      </c>
      <c r="DC287" s="16" t="n">
        <v>0</v>
      </c>
      <c r="DD287" s="16" t="n">
        <v>0</v>
      </c>
      <c r="DE287" s="16" t="n">
        <v>0</v>
      </c>
      <c r="DF287" s="16" t="n">
        <v>0</v>
      </c>
      <c r="DG287" s="16" t="n">
        <v>0</v>
      </c>
      <c r="DH287" s="16" t="n">
        <v>0</v>
      </c>
      <c r="DI287" s="16" t="n">
        <v>0</v>
      </c>
      <c r="DJ287" s="16" t="n">
        <v>0</v>
      </c>
      <c r="DK287" s="16" t="n">
        <v>0</v>
      </c>
      <c r="DL287" s="16" t="n">
        <v>0</v>
      </c>
      <c r="DM287" s="16" t="n">
        <v>0</v>
      </c>
      <c r="DN287" s="16" t="n">
        <v>0</v>
      </c>
      <c r="DO287" s="16" t="n">
        <v>0</v>
      </c>
      <c r="DP287" s="16" t="n">
        <v>0</v>
      </c>
      <c r="DQ287" s="16" t="n">
        <v>0</v>
      </c>
      <c r="DR287" s="16" t="n">
        <v>0</v>
      </c>
      <c r="DS287" s="16" t="n">
        <v>0</v>
      </c>
      <c r="DT287" s="16" t="n">
        <v>0</v>
      </c>
      <c r="DU287" s="16" t="n">
        <v>0</v>
      </c>
      <c r="DV287" s="16" t="n">
        <v>0</v>
      </c>
      <c r="DW287" s="16" t="n">
        <v>0</v>
      </c>
      <c r="DX287" s="16" t="n">
        <v>0</v>
      </c>
      <c r="DY287" s="16" t="n">
        <v>0</v>
      </c>
      <c r="DZ287" s="16" t="n">
        <v>0</v>
      </c>
      <c r="EA287" s="16" t="n">
        <v>0</v>
      </c>
      <c r="EB287" s="16" t="n">
        <v>0</v>
      </c>
      <c r="EC287" s="16" t="n">
        <v>0</v>
      </c>
      <c r="ED287" s="16" t="n">
        <v>0</v>
      </c>
      <c r="EE287" s="16" t="n">
        <v>0</v>
      </c>
      <c r="EF287" s="16" t="n">
        <v>0</v>
      </c>
    </row>
    <row r="288" customFormat="false" ht="15" hidden="false" customHeight="true" outlineLevel="0" collapsed="false">
      <c r="A288" s="9" t="s">
        <v>12</v>
      </c>
      <c r="B288" s="9" t="s">
        <v>24</v>
      </c>
      <c r="C288" s="9" t="s">
        <v>24</v>
      </c>
      <c r="D288" s="9" t="s">
        <v>342</v>
      </c>
      <c r="E288" s="9" t="s">
        <v>14</v>
      </c>
      <c r="F288" s="9" t="s">
        <v>83</v>
      </c>
      <c r="G288" s="16" t="n">
        <v>0</v>
      </c>
      <c r="H288" s="16" t="n">
        <v>0</v>
      </c>
      <c r="I288" s="16" t="n">
        <v>34</v>
      </c>
      <c r="J288" s="16" t="n">
        <v>-34</v>
      </c>
      <c r="K288" s="16" t="n">
        <v>0</v>
      </c>
      <c r="L288" s="16" t="n">
        <v>0</v>
      </c>
      <c r="M288" s="16" t="n">
        <v>0</v>
      </c>
      <c r="N288" s="16" t="n">
        <v>0</v>
      </c>
      <c r="O288" s="16" t="n">
        <v>0</v>
      </c>
      <c r="P288" s="16" t="n">
        <v>0</v>
      </c>
      <c r="Q288" s="16" t="n">
        <v>0</v>
      </c>
      <c r="R288" s="16" t="n">
        <v>0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0</v>
      </c>
      <c r="X288" s="16" t="n">
        <v>0</v>
      </c>
      <c r="Y288" s="16" t="n">
        <v>0</v>
      </c>
      <c r="Z288" s="16" t="n">
        <v>0</v>
      </c>
      <c r="AA288" s="16" t="n">
        <v>0</v>
      </c>
      <c r="AB288" s="16" t="n">
        <v>0</v>
      </c>
      <c r="AC288" s="16" t="n">
        <v>0</v>
      </c>
      <c r="AD288" s="16" t="n">
        <v>0</v>
      </c>
      <c r="AE288" s="16" t="n">
        <v>0</v>
      </c>
      <c r="AF288" s="16" t="n">
        <v>0</v>
      </c>
      <c r="AG288" s="16" t="n">
        <v>0</v>
      </c>
      <c r="AH288" s="16" t="n">
        <v>0</v>
      </c>
      <c r="AI288" s="16" t="n">
        <v>0</v>
      </c>
      <c r="AJ288" s="16" t="n">
        <v>0</v>
      </c>
      <c r="AK288" s="16" t="n">
        <v>0</v>
      </c>
      <c r="AL288" s="16" t="n">
        <v>0</v>
      </c>
      <c r="AM288" s="16" t="n">
        <v>0</v>
      </c>
      <c r="AN288" s="16" t="n">
        <v>23</v>
      </c>
      <c r="AO288" s="16" t="n">
        <v>11</v>
      </c>
      <c r="AP288" s="16" t="n">
        <v>0</v>
      </c>
      <c r="AQ288" s="16" t="n">
        <v>0</v>
      </c>
      <c r="AR288" s="16" t="n">
        <v>0</v>
      </c>
      <c r="AS288" s="16" t="n">
        <v>0</v>
      </c>
      <c r="AT288" s="16" t="n">
        <v>0</v>
      </c>
      <c r="AU288" s="16" t="n">
        <v>0</v>
      </c>
      <c r="AV288" s="16" t="n">
        <v>0</v>
      </c>
      <c r="AW288" s="16" t="n">
        <v>0</v>
      </c>
      <c r="AX288" s="16" t="n">
        <v>0</v>
      </c>
      <c r="AY288" s="16" t="n">
        <v>0</v>
      </c>
      <c r="AZ288" s="16" t="n">
        <v>0</v>
      </c>
      <c r="BA288" s="16" t="n">
        <v>0</v>
      </c>
      <c r="BB288" s="16" t="n">
        <v>0</v>
      </c>
      <c r="BC288" s="16" t="n">
        <v>0</v>
      </c>
      <c r="BD288" s="16" t="n">
        <v>0</v>
      </c>
      <c r="BE288" s="16" t="n">
        <v>0</v>
      </c>
      <c r="BF288" s="16" t="n">
        <v>0</v>
      </c>
      <c r="BG288" s="16" t="n">
        <v>0</v>
      </c>
      <c r="BH288" s="16" t="n">
        <v>0</v>
      </c>
      <c r="BI288" s="16" t="n">
        <v>0</v>
      </c>
      <c r="BJ288" s="16" t="n">
        <v>0</v>
      </c>
      <c r="BK288" s="16" t="n">
        <v>0</v>
      </c>
      <c r="BL288" s="16" t="n">
        <v>0</v>
      </c>
      <c r="BM288" s="16" t="n">
        <v>0</v>
      </c>
      <c r="BN288" s="16" t="n">
        <v>0</v>
      </c>
      <c r="BO288" s="16" t="n">
        <v>0</v>
      </c>
      <c r="BP288" s="16" t="n">
        <v>0</v>
      </c>
      <c r="BQ288" s="16" t="n">
        <v>0</v>
      </c>
      <c r="BR288" s="16" t="n">
        <v>0</v>
      </c>
      <c r="BS288" s="16" t="n">
        <v>0</v>
      </c>
      <c r="BT288" s="16" t="n">
        <v>0</v>
      </c>
      <c r="BU288" s="16" t="n">
        <v>0</v>
      </c>
      <c r="BV288" s="16" t="n">
        <v>0</v>
      </c>
      <c r="BW288" s="16" t="n">
        <v>0</v>
      </c>
      <c r="BX288" s="16" t="n">
        <v>0</v>
      </c>
      <c r="BY288" s="16" t="n">
        <v>0</v>
      </c>
      <c r="BZ288" s="16" t="n">
        <v>0</v>
      </c>
      <c r="CA288" s="16" t="n">
        <v>0</v>
      </c>
      <c r="CB288" s="16" t="n">
        <v>0</v>
      </c>
      <c r="CC288" s="16" t="n">
        <v>0</v>
      </c>
      <c r="CD288" s="16" t="n">
        <v>0</v>
      </c>
      <c r="CE288" s="16" t="n">
        <v>0</v>
      </c>
      <c r="CF288" s="16" t="n">
        <v>0</v>
      </c>
      <c r="CG288" s="16" t="n">
        <v>0</v>
      </c>
      <c r="CH288" s="16" t="n">
        <v>0</v>
      </c>
      <c r="CI288" s="16" t="n">
        <v>0</v>
      </c>
      <c r="CJ288" s="16" t="n">
        <v>0</v>
      </c>
      <c r="CK288" s="16" t="n">
        <v>0</v>
      </c>
      <c r="CL288" s="16" t="n">
        <v>0</v>
      </c>
      <c r="CM288" s="16" t="n">
        <v>0</v>
      </c>
      <c r="CN288" s="16" t="n">
        <v>0</v>
      </c>
      <c r="CO288" s="16" t="n">
        <v>0</v>
      </c>
      <c r="CP288" s="16" t="n">
        <v>0</v>
      </c>
      <c r="CQ288" s="16" t="n">
        <v>0</v>
      </c>
      <c r="CR288" s="16" t="n">
        <v>0</v>
      </c>
      <c r="CS288" s="16" t="n">
        <v>0</v>
      </c>
      <c r="CT288" s="16" t="n">
        <v>0</v>
      </c>
      <c r="CU288" s="16" t="n">
        <v>0</v>
      </c>
      <c r="CV288" s="16" t="n">
        <v>0</v>
      </c>
      <c r="CW288" s="16" t="n">
        <v>0</v>
      </c>
      <c r="CX288" s="16" t="n">
        <v>0</v>
      </c>
      <c r="CY288" s="16" t="n">
        <v>0</v>
      </c>
      <c r="CZ288" s="16" t="n">
        <v>0</v>
      </c>
      <c r="DA288" s="16" t="n">
        <v>0</v>
      </c>
      <c r="DB288" s="16" t="n">
        <v>0</v>
      </c>
      <c r="DC288" s="16" t="n">
        <v>0</v>
      </c>
      <c r="DD288" s="16" t="n">
        <v>0</v>
      </c>
      <c r="DE288" s="16" t="n">
        <v>0</v>
      </c>
      <c r="DF288" s="16" t="n">
        <v>0</v>
      </c>
      <c r="DG288" s="16" t="n">
        <v>0</v>
      </c>
      <c r="DH288" s="16" t="n">
        <v>0</v>
      </c>
      <c r="DI288" s="16" t="n">
        <v>0</v>
      </c>
      <c r="DJ288" s="16" t="n">
        <v>0</v>
      </c>
      <c r="DK288" s="16" t="n">
        <v>0</v>
      </c>
      <c r="DL288" s="16" t="n">
        <v>0</v>
      </c>
      <c r="DM288" s="16" t="n">
        <v>0</v>
      </c>
      <c r="DN288" s="16" t="n">
        <v>0</v>
      </c>
      <c r="DO288" s="16" t="n">
        <v>0</v>
      </c>
      <c r="DP288" s="16" t="n">
        <v>0</v>
      </c>
      <c r="DQ288" s="16" t="n">
        <v>0</v>
      </c>
      <c r="DR288" s="16" t="n">
        <v>0</v>
      </c>
      <c r="DS288" s="16" t="n">
        <v>0</v>
      </c>
      <c r="DT288" s="16" t="n">
        <v>0</v>
      </c>
      <c r="DU288" s="16" t="n">
        <v>0</v>
      </c>
      <c r="DV288" s="16" t="n">
        <v>0</v>
      </c>
      <c r="DW288" s="16" t="n">
        <v>0</v>
      </c>
      <c r="DX288" s="16" t="n">
        <v>0</v>
      </c>
      <c r="DY288" s="16" t="n">
        <v>0</v>
      </c>
      <c r="DZ288" s="16" t="n">
        <v>0</v>
      </c>
      <c r="EA288" s="16" t="n">
        <v>0</v>
      </c>
      <c r="EB288" s="16" t="n">
        <v>0</v>
      </c>
      <c r="EC288" s="16" t="n">
        <v>0</v>
      </c>
      <c r="ED288" s="16" t="n">
        <v>0</v>
      </c>
      <c r="EE288" s="16" t="n">
        <v>0</v>
      </c>
      <c r="EF288" s="16" t="n">
        <v>0</v>
      </c>
    </row>
    <row r="289" customFormat="false" ht="15" hidden="false" customHeight="true" outlineLevel="0" collapsed="false">
      <c r="A289" s="9" t="s">
        <v>12</v>
      </c>
      <c r="B289" s="9" t="s">
        <v>24</v>
      </c>
      <c r="C289" s="9" t="s">
        <v>24</v>
      </c>
      <c r="D289" s="9" t="s">
        <v>342</v>
      </c>
      <c r="E289" s="9" t="s">
        <v>14</v>
      </c>
      <c r="F289" s="9" t="s">
        <v>84</v>
      </c>
      <c r="G289" s="16" t="n">
        <v>0</v>
      </c>
      <c r="H289" s="16" t="n">
        <v>0</v>
      </c>
      <c r="I289" s="16" t="n">
        <v>10</v>
      </c>
      <c r="J289" s="16" t="n">
        <v>-10</v>
      </c>
      <c r="K289" s="16" t="n">
        <v>0</v>
      </c>
      <c r="L289" s="16" t="n">
        <v>0</v>
      </c>
      <c r="M289" s="16" t="n">
        <v>0</v>
      </c>
      <c r="N289" s="16" t="n">
        <v>0</v>
      </c>
      <c r="O289" s="16" t="n">
        <v>0</v>
      </c>
      <c r="P289" s="16" t="n">
        <v>0</v>
      </c>
      <c r="Q289" s="16" t="n">
        <v>0</v>
      </c>
      <c r="R289" s="16" t="n">
        <v>0</v>
      </c>
      <c r="S289" s="16" t="n">
        <v>0</v>
      </c>
      <c r="T289" s="16" t="n">
        <v>0</v>
      </c>
      <c r="U289" s="16" t="n">
        <v>0</v>
      </c>
      <c r="V289" s="16" t="n">
        <v>0</v>
      </c>
      <c r="W289" s="16" t="n">
        <v>0</v>
      </c>
      <c r="X289" s="16" t="n">
        <v>0</v>
      </c>
      <c r="Y289" s="16" t="n">
        <v>0</v>
      </c>
      <c r="Z289" s="16" t="n">
        <v>0</v>
      </c>
      <c r="AA289" s="16" t="n">
        <v>0</v>
      </c>
      <c r="AB289" s="16" t="n">
        <v>0</v>
      </c>
      <c r="AC289" s="16" t="n">
        <v>0</v>
      </c>
      <c r="AD289" s="16" t="n">
        <v>0</v>
      </c>
      <c r="AE289" s="16" t="n">
        <v>0</v>
      </c>
      <c r="AF289" s="16" t="n">
        <v>0</v>
      </c>
      <c r="AG289" s="16" t="n">
        <v>0</v>
      </c>
      <c r="AH289" s="16" t="n">
        <v>0</v>
      </c>
      <c r="AI289" s="16" t="n">
        <v>0</v>
      </c>
      <c r="AJ289" s="16" t="n">
        <v>0</v>
      </c>
      <c r="AK289" s="16" t="n">
        <v>0</v>
      </c>
      <c r="AL289" s="16" t="n">
        <v>0</v>
      </c>
      <c r="AM289" s="16" t="n">
        <v>0</v>
      </c>
      <c r="AN289" s="16" t="n">
        <v>0</v>
      </c>
      <c r="AO289" s="16" t="n">
        <v>0</v>
      </c>
      <c r="AP289" s="16" t="n">
        <v>0</v>
      </c>
      <c r="AQ289" s="16" t="n">
        <v>0</v>
      </c>
      <c r="AR289" s="16" t="n">
        <v>0</v>
      </c>
      <c r="AS289" s="16" t="n">
        <v>0</v>
      </c>
      <c r="AT289" s="16" t="n">
        <v>0</v>
      </c>
      <c r="AU289" s="16" t="n">
        <v>0</v>
      </c>
      <c r="AV289" s="16" t="n">
        <v>0</v>
      </c>
      <c r="AW289" s="16" t="n">
        <v>0</v>
      </c>
      <c r="AX289" s="16" t="n">
        <v>0</v>
      </c>
      <c r="AY289" s="16" t="n">
        <v>0</v>
      </c>
      <c r="AZ289" s="16" t="n">
        <v>0</v>
      </c>
      <c r="BA289" s="16" t="n">
        <v>0</v>
      </c>
      <c r="BB289" s="16" t="n">
        <v>0</v>
      </c>
      <c r="BC289" s="16" t="n">
        <v>0</v>
      </c>
      <c r="BD289" s="16" t="n">
        <v>0</v>
      </c>
      <c r="BE289" s="16" t="n">
        <v>0</v>
      </c>
      <c r="BF289" s="16" t="n">
        <v>0</v>
      </c>
      <c r="BG289" s="16" t="n">
        <v>0</v>
      </c>
      <c r="BH289" s="16" t="n">
        <v>0</v>
      </c>
      <c r="BI289" s="16" t="n">
        <v>0</v>
      </c>
      <c r="BJ289" s="16" t="n">
        <v>0</v>
      </c>
      <c r="BK289" s="16" t="n">
        <v>0</v>
      </c>
      <c r="BL289" s="16" t="n">
        <v>0</v>
      </c>
      <c r="BM289" s="16" t="n">
        <v>0</v>
      </c>
      <c r="BN289" s="16" t="n">
        <v>0</v>
      </c>
      <c r="BO289" s="16" t="n">
        <v>0</v>
      </c>
      <c r="BP289" s="16" t="n">
        <v>0</v>
      </c>
      <c r="BQ289" s="16" t="n">
        <v>0</v>
      </c>
      <c r="BR289" s="16" t="n">
        <v>0</v>
      </c>
      <c r="BS289" s="16" t="n">
        <v>0</v>
      </c>
      <c r="BT289" s="16" t="n">
        <v>0</v>
      </c>
      <c r="BU289" s="16" t="n">
        <v>0</v>
      </c>
      <c r="BV289" s="16" t="n">
        <v>0</v>
      </c>
      <c r="BW289" s="16" t="n">
        <v>0</v>
      </c>
      <c r="BX289" s="16" t="n">
        <v>0</v>
      </c>
      <c r="BY289" s="16" t="n">
        <v>0</v>
      </c>
      <c r="BZ289" s="16" t="n">
        <v>0</v>
      </c>
      <c r="CA289" s="16" t="n">
        <v>0</v>
      </c>
      <c r="CB289" s="16" t="n">
        <v>0</v>
      </c>
      <c r="CC289" s="16" t="n">
        <v>0</v>
      </c>
      <c r="CD289" s="16" t="n">
        <v>0</v>
      </c>
      <c r="CE289" s="16" t="n">
        <v>0</v>
      </c>
      <c r="CF289" s="16" t="n">
        <v>0</v>
      </c>
      <c r="CG289" s="16" t="n">
        <v>0</v>
      </c>
      <c r="CH289" s="16" t="n">
        <v>0</v>
      </c>
      <c r="CI289" s="16" t="n">
        <v>0</v>
      </c>
      <c r="CJ289" s="16" t="n">
        <v>0</v>
      </c>
      <c r="CK289" s="16" t="n">
        <v>0</v>
      </c>
      <c r="CL289" s="16" t="n">
        <v>0</v>
      </c>
      <c r="CM289" s="16" t="n">
        <v>0</v>
      </c>
      <c r="CN289" s="16" t="n">
        <v>0</v>
      </c>
      <c r="CO289" s="16" t="n">
        <v>0</v>
      </c>
      <c r="CP289" s="16" t="n">
        <v>0</v>
      </c>
      <c r="CQ289" s="16" t="n">
        <v>0</v>
      </c>
      <c r="CR289" s="16" t="n">
        <v>0</v>
      </c>
      <c r="CS289" s="16" t="n">
        <v>0</v>
      </c>
      <c r="CT289" s="16" t="n">
        <v>0</v>
      </c>
      <c r="CU289" s="16" t="n">
        <v>0</v>
      </c>
      <c r="CV289" s="16" t="n">
        <v>0</v>
      </c>
      <c r="CW289" s="16" t="n">
        <v>0</v>
      </c>
      <c r="CX289" s="16" t="n">
        <v>0</v>
      </c>
      <c r="CY289" s="16" t="n">
        <v>0</v>
      </c>
      <c r="CZ289" s="16" t="n">
        <v>5</v>
      </c>
      <c r="DA289" s="16" t="n">
        <v>5</v>
      </c>
      <c r="DB289" s="16" t="n">
        <v>0</v>
      </c>
      <c r="DC289" s="16" t="n">
        <v>0</v>
      </c>
      <c r="DD289" s="16" t="n">
        <v>0</v>
      </c>
      <c r="DE289" s="16" t="n">
        <v>0</v>
      </c>
      <c r="DF289" s="16" t="n">
        <v>0</v>
      </c>
      <c r="DG289" s="16" t="n">
        <v>0</v>
      </c>
      <c r="DH289" s="16" t="n">
        <v>0</v>
      </c>
      <c r="DI289" s="16" t="n">
        <v>0</v>
      </c>
      <c r="DJ289" s="16" t="n">
        <v>0</v>
      </c>
      <c r="DK289" s="16" t="n">
        <v>0</v>
      </c>
      <c r="DL289" s="16" t="n">
        <v>0</v>
      </c>
      <c r="DM289" s="16" t="n">
        <v>0</v>
      </c>
      <c r="DN289" s="16" t="n">
        <v>0</v>
      </c>
      <c r="DO289" s="16" t="n">
        <v>0</v>
      </c>
      <c r="DP289" s="16" t="n">
        <v>0</v>
      </c>
      <c r="DQ289" s="16" t="n">
        <v>0</v>
      </c>
      <c r="DR289" s="16" t="n">
        <v>0</v>
      </c>
      <c r="DS289" s="16" t="n">
        <v>0</v>
      </c>
      <c r="DT289" s="16" t="n">
        <v>0</v>
      </c>
      <c r="DU289" s="16" t="n">
        <v>0</v>
      </c>
      <c r="DV289" s="16" t="n">
        <v>0</v>
      </c>
      <c r="DW289" s="16" t="n">
        <v>0</v>
      </c>
      <c r="DX289" s="16" t="n">
        <v>0</v>
      </c>
      <c r="DY289" s="16" t="n">
        <v>0</v>
      </c>
      <c r="DZ289" s="16" t="n">
        <v>0</v>
      </c>
      <c r="EA289" s="16" t="n">
        <v>0</v>
      </c>
      <c r="EB289" s="16" t="n">
        <v>0</v>
      </c>
      <c r="EC289" s="16" t="n">
        <v>0</v>
      </c>
      <c r="ED289" s="16" t="n">
        <v>0</v>
      </c>
      <c r="EE289" s="16" t="n">
        <v>0</v>
      </c>
      <c r="EF289" s="16" t="n">
        <v>0</v>
      </c>
    </row>
    <row r="290" customFormat="false" ht="15" hidden="false" customHeight="true" outlineLevel="0" collapsed="false">
      <c r="A290" s="9" t="s">
        <v>12</v>
      </c>
      <c r="B290" s="9" t="s">
        <v>24</v>
      </c>
      <c r="C290" s="9" t="s">
        <v>24</v>
      </c>
      <c r="D290" s="9" t="s">
        <v>342</v>
      </c>
      <c r="E290" s="9" t="s">
        <v>14</v>
      </c>
      <c r="F290" s="9" t="s">
        <v>40</v>
      </c>
      <c r="G290" s="16" t="n">
        <v>0</v>
      </c>
      <c r="H290" s="16" t="n">
        <v>0</v>
      </c>
      <c r="I290" s="16" t="n">
        <v>56</v>
      </c>
      <c r="J290" s="16" t="n">
        <v>-56</v>
      </c>
      <c r="K290" s="16" t="n">
        <v>0</v>
      </c>
      <c r="L290" s="16" t="n">
        <v>0</v>
      </c>
      <c r="M290" s="16" t="n">
        <v>0</v>
      </c>
      <c r="N290" s="16" t="n">
        <v>0</v>
      </c>
      <c r="O290" s="16" t="n">
        <v>0</v>
      </c>
      <c r="P290" s="16" t="n">
        <v>0</v>
      </c>
      <c r="Q290" s="16" t="n">
        <v>0</v>
      </c>
      <c r="R290" s="16" t="n">
        <v>0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0</v>
      </c>
      <c r="X290" s="16" t="n">
        <v>0</v>
      </c>
      <c r="Y290" s="16" t="n">
        <v>0</v>
      </c>
      <c r="Z290" s="16" t="n">
        <v>0</v>
      </c>
      <c r="AA290" s="16" t="n">
        <v>0</v>
      </c>
      <c r="AB290" s="16" t="n">
        <v>0</v>
      </c>
      <c r="AC290" s="16" t="n">
        <v>0</v>
      </c>
      <c r="AD290" s="16" t="n">
        <v>0</v>
      </c>
      <c r="AE290" s="16" t="n">
        <v>0</v>
      </c>
      <c r="AF290" s="16" t="n">
        <v>0</v>
      </c>
      <c r="AG290" s="16" t="n">
        <v>0</v>
      </c>
      <c r="AH290" s="16" t="n">
        <v>0</v>
      </c>
      <c r="AI290" s="16" t="n">
        <v>0</v>
      </c>
      <c r="AJ290" s="16" t="n">
        <v>0</v>
      </c>
      <c r="AK290" s="16" t="n">
        <v>0</v>
      </c>
      <c r="AL290" s="16" t="n">
        <v>0</v>
      </c>
      <c r="AM290" s="16" t="n">
        <v>0</v>
      </c>
      <c r="AN290" s="16" t="n">
        <v>0</v>
      </c>
      <c r="AO290" s="16" t="n">
        <v>0</v>
      </c>
      <c r="AP290" s="16" t="n">
        <v>0</v>
      </c>
      <c r="AQ290" s="16" t="n">
        <v>0</v>
      </c>
      <c r="AR290" s="16" t="n">
        <v>0</v>
      </c>
      <c r="AS290" s="16" t="n">
        <v>0</v>
      </c>
      <c r="AT290" s="16" t="n">
        <v>0</v>
      </c>
      <c r="AU290" s="16" t="n">
        <v>0</v>
      </c>
      <c r="AV290" s="16" t="n">
        <v>0</v>
      </c>
      <c r="AW290" s="16" t="n">
        <v>0</v>
      </c>
      <c r="AX290" s="16" t="n">
        <v>0</v>
      </c>
      <c r="AY290" s="16" t="n">
        <v>0</v>
      </c>
      <c r="AZ290" s="16" t="n">
        <v>0</v>
      </c>
      <c r="BA290" s="16" t="n">
        <v>0</v>
      </c>
      <c r="BB290" s="16" t="n">
        <v>0</v>
      </c>
      <c r="BC290" s="16" t="n">
        <v>0</v>
      </c>
      <c r="BD290" s="16" t="n">
        <v>0</v>
      </c>
      <c r="BE290" s="16" t="n">
        <v>0</v>
      </c>
      <c r="BF290" s="16" t="n">
        <v>0</v>
      </c>
      <c r="BG290" s="16" t="n">
        <v>0</v>
      </c>
      <c r="BH290" s="16" t="n">
        <v>0</v>
      </c>
      <c r="BI290" s="16" t="n">
        <v>0</v>
      </c>
      <c r="BJ290" s="16" t="n">
        <v>0</v>
      </c>
      <c r="BK290" s="16" t="n">
        <v>0</v>
      </c>
      <c r="BL290" s="16" t="n">
        <v>0</v>
      </c>
      <c r="BM290" s="16" t="n">
        <v>0</v>
      </c>
      <c r="BN290" s="16" t="n">
        <v>0</v>
      </c>
      <c r="BO290" s="16" t="n">
        <v>0</v>
      </c>
      <c r="BP290" s="16" t="n">
        <v>0</v>
      </c>
      <c r="BQ290" s="16" t="n">
        <v>0</v>
      </c>
      <c r="BR290" s="16" t="n">
        <v>0</v>
      </c>
      <c r="BS290" s="16" t="n">
        <v>0</v>
      </c>
      <c r="BT290" s="16" t="n">
        <v>0</v>
      </c>
      <c r="BU290" s="16" t="n">
        <v>0</v>
      </c>
      <c r="BV290" s="16" t="n">
        <v>0</v>
      </c>
      <c r="BW290" s="16" t="n">
        <v>0</v>
      </c>
      <c r="BX290" s="16" t="n">
        <v>0</v>
      </c>
      <c r="BY290" s="16" t="n">
        <v>0</v>
      </c>
      <c r="BZ290" s="16" t="n">
        <v>0</v>
      </c>
      <c r="CA290" s="16" t="n">
        <v>0</v>
      </c>
      <c r="CB290" s="16" t="n">
        <v>0</v>
      </c>
      <c r="CC290" s="16" t="n">
        <v>0</v>
      </c>
      <c r="CD290" s="16" t="n">
        <v>0</v>
      </c>
      <c r="CE290" s="16" t="n">
        <v>0</v>
      </c>
      <c r="CF290" s="16" t="n">
        <v>0</v>
      </c>
      <c r="CG290" s="16" t="n">
        <v>0</v>
      </c>
      <c r="CH290" s="16" t="n">
        <v>0</v>
      </c>
      <c r="CI290" s="16" t="n">
        <v>0</v>
      </c>
      <c r="CJ290" s="16" t="n">
        <v>0</v>
      </c>
      <c r="CK290" s="16" t="n">
        <v>0</v>
      </c>
      <c r="CL290" s="16" t="n">
        <v>0</v>
      </c>
      <c r="CM290" s="16" t="n">
        <v>0</v>
      </c>
      <c r="CN290" s="16" t="n">
        <v>0</v>
      </c>
      <c r="CO290" s="16" t="n">
        <v>0</v>
      </c>
      <c r="CP290" s="16" t="n">
        <v>0</v>
      </c>
      <c r="CQ290" s="16" t="n">
        <v>0</v>
      </c>
      <c r="CR290" s="16" t="n">
        <v>0</v>
      </c>
      <c r="CS290" s="16" t="n">
        <v>0</v>
      </c>
      <c r="CT290" s="16" t="n">
        <v>0</v>
      </c>
      <c r="CU290" s="16" t="n">
        <v>0</v>
      </c>
      <c r="CV290" s="16" t="n">
        <v>0</v>
      </c>
      <c r="CW290" s="16" t="n">
        <v>0</v>
      </c>
      <c r="CX290" s="16" t="n">
        <v>0</v>
      </c>
      <c r="CY290" s="16" t="n">
        <v>0</v>
      </c>
      <c r="CZ290" s="16" t="n">
        <v>0</v>
      </c>
      <c r="DA290" s="16" t="n">
        <v>0</v>
      </c>
      <c r="DB290" s="16" t="n">
        <v>0</v>
      </c>
      <c r="DC290" s="16" t="n">
        <v>0</v>
      </c>
      <c r="DD290" s="16" t="n">
        <v>0</v>
      </c>
      <c r="DE290" s="16" t="n">
        <v>0</v>
      </c>
      <c r="DF290" s="16" t="n">
        <v>0</v>
      </c>
      <c r="DG290" s="16" t="n">
        <v>0</v>
      </c>
      <c r="DH290" s="16" t="n">
        <v>0</v>
      </c>
      <c r="DI290" s="16" t="n">
        <v>0</v>
      </c>
      <c r="DJ290" s="16" t="n">
        <v>0</v>
      </c>
      <c r="DK290" s="16" t="n">
        <v>0</v>
      </c>
      <c r="DL290" s="16" t="n">
        <v>0</v>
      </c>
      <c r="DM290" s="16" t="n">
        <v>0</v>
      </c>
      <c r="DN290" s="16" t="n">
        <v>0</v>
      </c>
      <c r="DO290" s="16" t="n">
        <v>0</v>
      </c>
      <c r="DP290" s="16" t="n">
        <v>16</v>
      </c>
      <c r="DQ290" s="16" t="n">
        <v>20</v>
      </c>
      <c r="DR290" s="16" t="n">
        <v>20</v>
      </c>
      <c r="DS290" s="16" t="n">
        <v>0</v>
      </c>
      <c r="DT290" s="16" t="n">
        <v>0</v>
      </c>
      <c r="DU290" s="16" t="n">
        <v>0</v>
      </c>
      <c r="DV290" s="16" t="n">
        <v>0</v>
      </c>
      <c r="DW290" s="16" t="n">
        <v>0</v>
      </c>
      <c r="DX290" s="16" t="n">
        <v>0</v>
      </c>
      <c r="DY290" s="16" t="n">
        <v>0</v>
      </c>
      <c r="DZ290" s="16" t="n">
        <v>0</v>
      </c>
      <c r="EA290" s="16" t="n">
        <v>0</v>
      </c>
      <c r="EB290" s="16" t="n">
        <v>0</v>
      </c>
      <c r="EC290" s="16" t="n">
        <v>0</v>
      </c>
      <c r="ED290" s="16" t="n">
        <v>0</v>
      </c>
      <c r="EE290" s="16" t="n">
        <v>0</v>
      </c>
      <c r="EF290" s="16" t="n">
        <v>0</v>
      </c>
    </row>
    <row r="291" customFormat="false" ht="15" hidden="false" customHeight="true" outlineLevel="0" collapsed="false">
      <c r="A291" s="9" t="s">
        <v>12</v>
      </c>
      <c r="B291" s="9" t="s">
        <v>24</v>
      </c>
      <c r="C291" s="9" t="s">
        <v>24</v>
      </c>
      <c r="D291" s="9" t="s">
        <v>336</v>
      </c>
      <c r="E291" s="9" t="s">
        <v>14</v>
      </c>
      <c r="F291" s="9" t="s">
        <v>103</v>
      </c>
      <c r="G291" s="16" t="n">
        <v>421</v>
      </c>
      <c r="H291" s="16" t="n">
        <v>901</v>
      </c>
      <c r="I291" s="16" t="n">
        <v>173</v>
      </c>
      <c r="J291" s="16" t="n">
        <v>728</v>
      </c>
      <c r="K291" s="16" t="n">
        <v>0</v>
      </c>
      <c r="L291" s="16" t="n">
        <v>0</v>
      </c>
      <c r="M291" s="16" t="n">
        <v>0</v>
      </c>
      <c r="N291" s="16" t="n">
        <v>0</v>
      </c>
      <c r="O291" s="16" t="n">
        <v>0</v>
      </c>
      <c r="P291" s="16" t="n">
        <v>0</v>
      </c>
      <c r="Q291" s="16" t="n">
        <v>0</v>
      </c>
      <c r="R291" s="16" t="n">
        <v>0</v>
      </c>
      <c r="S291" s="16" t="n">
        <v>0</v>
      </c>
      <c r="T291" s="16" t="n">
        <v>0</v>
      </c>
      <c r="U291" s="16" t="n">
        <v>0</v>
      </c>
      <c r="V291" s="16" t="n">
        <v>0</v>
      </c>
      <c r="W291" s="16" t="n">
        <v>0</v>
      </c>
      <c r="X291" s="16" t="n">
        <v>0</v>
      </c>
      <c r="Y291" s="16" t="n">
        <v>0</v>
      </c>
      <c r="Z291" s="16" t="n">
        <v>0</v>
      </c>
      <c r="AA291" s="16" t="n">
        <v>0</v>
      </c>
      <c r="AB291" s="16" t="n">
        <v>0</v>
      </c>
      <c r="AC291" s="16" t="n">
        <v>2</v>
      </c>
      <c r="AD291" s="16" t="n">
        <v>6</v>
      </c>
      <c r="AE291" s="16" t="n">
        <v>22.5</v>
      </c>
      <c r="AF291" s="16" t="n">
        <v>33.5</v>
      </c>
      <c r="AG291" s="16" t="n">
        <v>38</v>
      </c>
      <c r="AH291" s="16" t="n">
        <v>26.5</v>
      </c>
      <c r="AI291" s="16" t="n">
        <v>29</v>
      </c>
      <c r="AJ291" s="16" t="n">
        <v>15.5</v>
      </c>
      <c r="AK291" s="16" t="n">
        <v>0</v>
      </c>
      <c r="AL291" s="16" t="n">
        <v>0</v>
      </c>
      <c r="AM291" s="16" t="n">
        <v>0</v>
      </c>
      <c r="AN291" s="16" t="n">
        <v>0</v>
      </c>
      <c r="AO291" s="16" t="n">
        <v>0</v>
      </c>
      <c r="AP291" s="16" t="n">
        <v>0</v>
      </c>
      <c r="AQ291" s="16" t="n">
        <v>0</v>
      </c>
      <c r="AR291" s="16" t="n">
        <v>0</v>
      </c>
      <c r="AS291" s="16" t="n">
        <v>0</v>
      </c>
      <c r="AT291" s="16" t="n">
        <v>0</v>
      </c>
      <c r="AU291" s="16" t="n">
        <v>0</v>
      </c>
      <c r="AV291" s="16" t="n">
        <v>0</v>
      </c>
      <c r="AW291" s="16" t="n">
        <v>0</v>
      </c>
      <c r="AX291" s="16" t="n">
        <v>0</v>
      </c>
      <c r="AY291" s="16" t="n">
        <v>0</v>
      </c>
      <c r="AZ291" s="16" t="n">
        <v>0</v>
      </c>
      <c r="BA291" s="16" t="n">
        <v>0</v>
      </c>
      <c r="BB291" s="16" t="n">
        <v>0</v>
      </c>
      <c r="BC291" s="16" t="n">
        <v>0</v>
      </c>
      <c r="BD291" s="16" t="n">
        <v>0</v>
      </c>
      <c r="BE291" s="16" t="n">
        <v>0</v>
      </c>
      <c r="BF291" s="16" t="n">
        <v>0</v>
      </c>
      <c r="BG291" s="16" t="n">
        <v>0</v>
      </c>
      <c r="BH291" s="16" t="n">
        <v>0</v>
      </c>
      <c r="BI291" s="16" t="n">
        <v>0</v>
      </c>
      <c r="BJ291" s="16" t="n">
        <v>0</v>
      </c>
      <c r="BK291" s="16" t="n">
        <v>0</v>
      </c>
      <c r="BL291" s="16" t="n">
        <v>0</v>
      </c>
      <c r="BM291" s="16" t="n">
        <v>0</v>
      </c>
      <c r="BN291" s="16" t="n">
        <v>0</v>
      </c>
      <c r="BO291" s="16" t="n">
        <v>0</v>
      </c>
      <c r="BP291" s="16" t="n">
        <v>0</v>
      </c>
      <c r="BQ291" s="16" t="n">
        <v>0</v>
      </c>
      <c r="BR291" s="16" t="n">
        <v>0</v>
      </c>
      <c r="BS291" s="16" t="n">
        <v>0</v>
      </c>
      <c r="BT291" s="16" t="n">
        <v>0</v>
      </c>
      <c r="BU291" s="16" t="n">
        <v>0</v>
      </c>
      <c r="BV291" s="16" t="n">
        <v>0</v>
      </c>
      <c r="BW291" s="16" t="n">
        <v>0</v>
      </c>
      <c r="BX291" s="16" t="n">
        <v>0</v>
      </c>
      <c r="BY291" s="16" t="n">
        <v>0</v>
      </c>
      <c r="BZ291" s="16" t="n">
        <v>0</v>
      </c>
      <c r="CA291" s="16" t="n">
        <v>0</v>
      </c>
      <c r="CB291" s="16" t="n">
        <v>0</v>
      </c>
      <c r="CC291" s="16" t="n">
        <v>0</v>
      </c>
      <c r="CD291" s="16" t="n">
        <v>0</v>
      </c>
      <c r="CE291" s="16" t="n">
        <v>0</v>
      </c>
      <c r="CF291" s="16" t="n">
        <v>0</v>
      </c>
      <c r="CG291" s="16" t="n">
        <v>0</v>
      </c>
      <c r="CH291" s="16" t="n">
        <v>0</v>
      </c>
      <c r="CI291" s="16" t="n">
        <v>0</v>
      </c>
      <c r="CJ291" s="16" t="n">
        <v>0</v>
      </c>
      <c r="CK291" s="16" t="n">
        <v>0</v>
      </c>
      <c r="CL291" s="16" t="n">
        <v>0</v>
      </c>
      <c r="CM291" s="16" t="n">
        <v>0</v>
      </c>
      <c r="CN291" s="16" t="n">
        <v>0</v>
      </c>
      <c r="CO291" s="16" t="n">
        <v>0</v>
      </c>
      <c r="CP291" s="16" t="n">
        <v>0</v>
      </c>
      <c r="CQ291" s="16" t="n">
        <v>0</v>
      </c>
      <c r="CR291" s="16" t="n">
        <v>0</v>
      </c>
      <c r="CS291" s="16" t="n">
        <v>0</v>
      </c>
      <c r="CT291" s="16" t="n">
        <v>0</v>
      </c>
      <c r="CU291" s="16" t="n">
        <v>0</v>
      </c>
      <c r="CV291" s="16" t="n">
        <v>0</v>
      </c>
      <c r="CW291" s="16" t="n">
        <v>0</v>
      </c>
      <c r="CX291" s="16" t="n">
        <v>0</v>
      </c>
      <c r="CY291" s="16" t="n">
        <v>0</v>
      </c>
      <c r="CZ291" s="16" t="n">
        <v>0</v>
      </c>
      <c r="DA291" s="16" t="n">
        <v>0</v>
      </c>
      <c r="DB291" s="16" t="n">
        <v>0</v>
      </c>
      <c r="DC291" s="16" t="n">
        <v>0</v>
      </c>
      <c r="DD291" s="16" t="n">
        <v>0</v>
      </c>
      <c r="DE291" s="16" t="n">
        <v>0</v>
      </c>
      <c r="DF291" s="16" t="n">
        <v>0</v>
      </c>
      <c r="DG291" s="16" t="n">
        <v>0</v>
      </c>
      <c r="DH291" s="16" t="n">
        <v>0</v>
      </c>
      <c r="DI291" s="16" t="n">
        <v>0</v>
      </c>
      <c r="DJ291" s="16" t="n">
        <v>0</v>
      </c>
      <c r="DK291" s="16" t="n">
        <v>0</v>
      </c>
      <c r="DL291" s="16" t="n">
        <v>0</v>
      </c>
      <c r="DM291" s="16" t="n">
        <v>0</v>
      </c>
      <c r="DN291" s="16" t="n">
        <v>0</v>
      </c>
      <c r="DO291" s="16" t="n">
        <v>0</v>
      </c>
      <c r="DP291" s="16" t="n">
        <v>0</v>
      </c>
      <c r="DQ291" s="16" t="n">
        <v>0</v>
      </c>
      <c r="DR291" s="16" t="n">
        <v>0</v>
      </c>
      <c r="DS291" s="16" t="n">
        <v>0</v>
      </c>
      <c r="DT291" s="16" t="n">
        <v>0</v>
      </c>
      <c r="DU291" s="16" t="n">
        <v>0</v>
      </c>
      <c r="DV291" s="16" t="n">
        <v>0</v>
      </c>
      <c r="DW291" s="16" t="n">
        <v>0</v>
      </c>
      <c r="DX291" s="16" t="n">
        <v>0</v>
      </c>
      <c r="DY291" s="16" t="n">
        <v>0</v>
      </c>
      <c r="DZ291" s="16" t="n">
        <v>0</v>
      </c>
      <c r="EA291" s="16" t="n">
        <v>0</v>
      </c>
      <c r="EB291" s="16" t="n">
        <v>0</v>
      </c>
      <c r="EC291" s="16" t="n">
        <v>0</v>
      </c>
      <c r="ED291" s="16" t="n">
        <v>0</v>
      </c>
      <c r="EE291" s="16" t="n">
        <v>0</v>
      </c>
      <c r="EF291" s="16" t="n">
        <v>0</v>
      </c>
    </row>
    <row r="292" customFormat="false" ht="15" hidden="false" customHeight="true" outlineLevel="0" collapsed="false">
      <c r="A292" s="9" t="s">
        <v>12</v>
      </c>
      <c r="B292" s="9" t="s">
        <v>24</v>
      </c>
      <c r="C292" s="9" t="s">
        <v>24</v>
      </c>
      <c r="D292" s="9" t="s">
        <v>342</v>
      </c>
      <c r="E292" s="9" t="s">
        <v>14</v>
      </c>
      <c r="F292" s="9" t="s">
        <v>103</v>
      </c>
      <c r="G292" s="16" t="n">
        <v>0</v>
      </c>
      <c r="H292" s="16" t="n">
        <v>0</v>
      </c>
      <c r="I292" s="16" t="n">
        <v>855</v>
      </c>
      <c r="J292" s="16" t="n">
        <v>-855</v>
      </c>
      <c r="K292" s="16" t="n">
        <v>0</v>
      </c>
      <c r="L292" s="16" t="n">
        <v>0</v>
      </c>
      <c r="M292" s="16" t="n">
        <v>0</v>
      </c>
      <c r="N292" s="16" t="n">
        <v>0</v>
      </c>
      <c r="O292" s="16" t="n">
        <v>0</v>
      </c>
      <c r="P292" s="16" t="n">
        <v>0</v>
      </c>
      <c r="Q292" s="16" t="n">
        <v>0</v>
      </c>
      <c r="R292" s="16" t="n">
        <v>0</v>
      </c>
      <c r="S292" s="16" t="n">
        <v>0</v>
      </c>
      <c r="T292" s="16" t="n">
        <v>0</v>
      </c>
      <c r="U292" s="16" t="n">
        <v>0</v>
      </c>
      <c r="V292" s="16" t="n">
        <v>0</v>
      </c>
      <c r="W292" s="16" t="n">
        <v>0</v>
      </c>
      <c r="X292" s="16" t="n">
        <v>0</v>
      </c>
      <c r="Y292" s="16" t="n">
        <v>0</v>
      </c>
      <c r="Z292" s="16" t="n">
        <v>0</v>
      </c>
      <c r="AA292" s="16" t="n">
        <v>0</v>
      </c>
      <c r="AB292" s="16" t="n">
        <v>0</v>
      </c>
      <c r="AC292" s="16" t="n">
        <v>0</v>
      </c>
      <c r="AD292" s="16" t="n">
        <v>0</v>
      </c>
      <c r="AE292" s="16" t="n">
        <v>0</v>
      </c>
      <c r="AF292" s="16" t="n">
        <v>0</v>
      </c>
      <c r="AG292" s="16" t="n">
        <v>0</v>
      </c>
      <c r="AH292" s="16" t="n">
        <v>0</v>
      </c>
      <c r="AI292" s="16" t="n">
        <v>0</v>
      </c>
      <c r="AJ292" s="16" t="n">
        <v>19</v>
      </c>
      <c r="AK292" s="16" t="n">
        <v>23</v>
      </c>
      <c r="AL292" s="16" t="n">
        <v>34</v>
      </c>
      <c r="AM292" s="16" t="n">
        <v>18</v>
      </c>
      <c r="AN292" s="16" t="n">
        <v>4</v>
      </c>
      <c r="AO292" s="16" t="n">
        <v>25</v>
      </c>
      <c r="AP292" s="16" t="n">
        <v>36</v>
      </c>
      <c r="AQ292" s="16" t="n">
        <v>0</v>
      </c>
      <c r="AR292" s="16" t="n">
        <v>33</v>
      </c>
      <c r="AS292" s="16" t="n">
        <v>5.5</v>
      </c>
      <c r="AT292" s="16" t="n">
        <v>0</v>
      </c>
      <c r="AU292" s="16" t="n">
        <v>0</v>
      </c>
      <c r="AV292" s="16" t="n">
        <v>0</v>
      </c>
      <c r="AW292" s="16" t="n">
        <v>0</v>
      </c>
      <c r="AX292" s="16" t="n">
        <v>0</v>
      </c>
      <c r="AY292" s="16" t="n">
        <v>0</v>
      </c>
      <c r="AZ292" s="16" t="n">
        <v>0</v>
      </c>
      <c r="BA292" s="16" t="n">
        <v>0</v>
      </c>
      <c r="BB292" s="16" t="n">
        <v>0</v>
      </c>
      <c r="BC292" s="16" t="n">
        <v>0</v>
      </c>
      <c r="BD292" s="16" t="n">
        <v>0</v>
      </c>
      <c r="BE292" s="16" t="n">
        <v>0</v>
      </c>
      <c r="BF292" s="16" t="n">
        <v>0</v>
      </c>
      <c r="BG292" s="16" t="n">
        <v>0</v>
      </c>
      <c r="BH292" s="16" t="n">
        <v>0</v>
      </c>
      <c r="BI292" s="16" t="n">
        <v>0</v>
      </c>
      <c r="BJ292" s="16" t="n">
        <v>0</v>
      </c>
      <c r="BK292" s="16" t="n">
        <v>0</v>
      </c>
      <c r="BL292" s="16" t="n">
        <v>0</v>
      </c>
      <c r="BM292" s="16" t="n">
        <v>0</v>
      </c>
      <c r="BN292" s="16" t="n">
        <v>0</v>
      </c>
      <c r="BO292" s="16" t="n">
        <v>0</v>
      </c>
      <c r="BP292" s="16" t="n">
        <v>0</v>
      </c>
      <c r="BQ292" s="16" t="n">
        <v>0</v>
      </c>
      <c r="BR292" s="16" t="n">
        <v>0</v>
      </c>
      <c r="BS292" s="16" t="n">
        <v>0</v>
      </c>
      <c r="BT292" s="16" t="n">
        <v>0</v>
      </c>
      <c r="BU292" s="16" t="n">
        <v>0</v>
      </c>
      <c r="BV292" s="16" t="n">
        <v>0</v>
      </c>
      <c r="BW292" s="16" t="n">
        <v>0</v>
      </c>
      <c r="BX292" s="16" t="n">
        <v>0</v>
      </c>
      <c r="BY292" s="16" t="n">
        <v>0</v>
      </c>
      <c r="BZ292" s="16" t="n">
        <v>0</v>
      </c>
      <c r="CA292" s="16" t="n">
        <v>0</v>
      </c>
      <c r="CB292" s="16" t="n">
        <v>0</v>
      </c>
      <c r="CC292" s="16" t="n">
        <v>0</v>
      </c>
      <c r="CD292" s="16" t="n">
        <v>0</v>
      </c>
      <c r="CE292" s="16" t="n">
        <v>0</v>
      </c>
      <c r="CF292" s="16" t="n">
        <v>0</v>
      </c>
      <c r="CG292" s="16" t="n">
        <v>0</v>
      </c>
      <c r="CH292" s="16" t="n">
        <v>0</v>
      </c>
      <c r="CI292" s="16" t="n">
        <v>0</v>
      </c>
      <c r="CJ292" s="16" t="n">
        <v>0</v>
      </c>
      <c r="CK292" s="16" t="n">
        <v>0</v>
      </c>
      <c r="CL292" s="16" t="n">
        <v>0</v>
      </c>
      <c r="CM292" s="16" t="n">
        <v>0</v>
      </c>
      <c r="CN292" s="16" t="n">
        <v>0</v>
      </c>
      <c r="CO292" s="16" t="n">
        <v>0</v>
      </c>
      <c r="CP292" s="16" t="n">
        <v>0</v>
      </c>
      <c r="CQ292" s="16" t="n">
        <v>0</v>
      </c>
      <c r="CR292" s="16" t="n">
        <v>0</v>
      </c>
      <c r="CS292" s="16" t="n">
        <v>32</v>
      </c>
      <c r="CT292" s="16" t="n">
        <v>30</v>
      </c>
      <c r="CU292" s="16" t="n">
        <v>6</v>
      </c>
      <c r="CV292" s="16" t="n">
        <v>0</v>
      </c>
      <c r="CW292" s="16" t="n">
        <v>10</v>
      </c>
      <c r="CX292" s="16" t="n">
        <v>10</v>
      </c>
      <c r="CY292" s="16" t="n">
        <v>25</v>
      </c>
      <c r="CZ292" s="16" t="n">
        <v>35</v>
      </c>
      <c r="DA292" s="16" t="n">
        <v>15</v>
      </c>
      <c r="DB292" s="16" t="n">
        <v>30</v>
      </c>
      <c r="DC292" s="16" t="n">
        <v>30</v>
      </c>
      <c r="DD292" s="16" t="n">
        <v>30</v>
      </c>
      <c r="DE292" s="16" t="n">
        <v>25</v>
      </c>
      <c r="DF292" s="16" t="n">
        <v>20</v>
      </c>
      <c r="DG292" s="16" t="n">
        <v>10</v>
      </c>
      <c r="DH292" s="16" t="n">
        <v>5</v>
      </c>
      <c r="DI292" s="16" t="n">
        <v>0</v>
      </c>
      <c r="DJ292" s="16" t="n">
        <v>0</v>
      </c>
      <c r="DK292" s="16" t="n">
        <v>35</v>
      </c>
      <c r="DL292" s="16" t="n">
        <v>50</v>
      </c>
      <c r="DM292" s="16" t="n">
        <v>60</v>
      </c>
      <c r="DN292" s="16" t="n">
        <v>65</v>
      </c>
      <c r="DO292" s="16" t="n">
        <v>60</v>
      </c>
      <c r="DP292" s="16" t="n">
        <v>50</v>
      </c>
      <c r="DQ292" s="16" t="n">
        <v>30</v>
      </c>
      <c r="DR292" s="16" t="n">
        <v>0</v>
      </c>
      <c r="DS292" s="16" t="n">
        <v>0</v>
      </c>
      <c r="DT292" s="16" t="n">
        <v>0</v>
      </c>
      <c r="DU292" s="16" t="n">
        <v>0</v>
      </c>
      <c r="DV292" s="16" t="n">
        <v>0</v>
      </c>
      <c r="DW292" s="16" t="n">
        <v>0</v>
      </c>
      <c r="DX292" s="16" t="n">
        <v>0</v>
      </c>
      <c r="DY292" s="16" t="n">
        <v>0</v>
      </c>
      <c r="DZ292" s="16" t="n">
        <v>0</v>
      </c>
      <c r="EA292" s="16" t="n">
        <v>0</v>
      </c>
      <c r="EB292" s="16" t="n">
        <v>0</v>
      </c>
      <c r="EC292" s="16" t="n">
        <v>0</v>
      </c>
      <c r="ED292" s="16" t="n">
        <v>0</v>
      </c>
      <c r="EE292" s="16" t="n">
        <v>0</v>
      </c>
      <c r="EF292" s="16" t="n">
        <v>0</v>
      </c>
    </row>
    <row r="293" customFormat="false" ht="15" hidden="false" customHeight="true" outlineLevel="0" collapsed="false">
      <c r="A293" s="9" t="s">
        <v>12</v>
      </c>
      <c r="B293" s="9" t="s">
        <v>24</v>
      </c>
      <c r="C293" s="9" t="s">
        <v>24</v>
      </c>
      <c r="D293" s="9" t="s">
        <v>336</v>
      </c>
      <c r="E293" s="9" t="s">
        <v>14</v>
      </c>
      <c r="F293" s="9" t="s">
        <v>111</v>
      </c>
      <c r="G293" s="16" t="n">
        <v>14.5</v>
      </c>
      <c r="H293" s="16" t="n">
        <v>14.5</v>
      </c>
      <c r="I293" s="16" t="n">
        <v>14.5</v>
      </c>
      <c r="J293" s="16" t="n">
        <v>0</v>
      </c>
      <c r="K293" s="16" t="n">
        <v>0</v>
      </c>
      <c r="L293" s="16" t="n">
        <v>0</v>
      </c>
      <c r="M293" s="16" t="n">
        <v>0</v>
      </c>
      <c r="N293" s="16" t="n">
        <v>0</v>
      </c>
      <c r="O293" s="16" t="n">
        <v>0</v>
      </c>
      <c r="P293" s="16" t="n">
        <v>0</v>
      </c>
      <c r="Q293" s="16" t="n">
        <v>0</v>
      </c>
      <c r="R293" s="16" t="n">
        <v>0</v>
      </c>
      <c r="S293" s="16" t="n">
        <v>0</v>
      </c>
      <c r="T293" s="16" t="n">
        <v>0</v>
      </c>
      <c r="U293" s="16" t="n">
        <v>0</v>
      </c>
      <c r="V293" s="16" t="n">
        <v>0</v>
      </c>
      <c r="W293" s="16" t="n">
        <v>0</v>
      </c>
      <c r="X293" s="16" t="n">
        <v>0</v>
      </c>
      <c r="Y293" s="16" t="n">
        <v>0</v>
      </c>
      <c r="Z293" s="16" t="n">
        <v>0</v>
      </c>
      <c r="AA293" s="16" t="n">
        <v>0</v>
      </c>
      <c r="AB293" s="16" t="n">
        <v>0</v>
      </c>
      <c r="AC293" s="16" t="n">
        <v>7.5</v>
      </c>
      <c r="AD293" s="16" t="n">
        <v>6.5</v>
      </c>
      <c r="AE293" s="16" t="n">
        <v>0.5</v>
      </c>
      <c r="AF293" s="16" t="n">
        <v>0</v>
      </c>
      <c r="AG293" s="16" t="n">
        <v>0</v>
      </c>
      <c r="AH293" s="16" t="n">
        <v>0</v>
      </c>
      <c r="AI293" s="16" t="n">
        <v>0</v>
      </c>
      <c r="AJ293" s="16" t="n">
        <v>0</v>
      </c>
      <c r="AK293" s="16" t="n">
        <v>0</v>
      </c>
      <c r="AL293" s="16" t="n">
        <v>0</v>
      </c>
      <c r="AM293" s="16" t="n">
        <v>0</v>
      </c>
      <c r="AN293" s="16" t="n">
        <v>0</v>
      </c>
      <c r="AO293" s="16" t="n">
        <v>0</v>
      </c>
      <c r="AP293" s="16" t="n">
        <v>0</v>
      </c>
      <c r="AQ293" s="16" t="n">
        <v>0</v>
      </c>
      <c r="AR293" s="16" t="n">
        <v>0</v>
      </c>
      <c r="AS293" s="16" t="n">
        <v>0</v>
      </c>
      <c r="AT293" s="16" t="n">
        <v>0</v>
      </c>
      <c r="AU293" s="16" t="n">
        <v>0</v>
      </c>
      <c r="AV293" s="16" t="n">
        <v>0</v>
      </c>
      <c r="AW293" s="16" t="n">
        <v>0</v>
      </c>
      <c r="AX293" s="16" t="n">
        <v>0</v>
      </c>
      <c r="AY293" s="16" t="n">
        <v>0</v>
      </c>
      <c r="AZ293" s="16" t="n">
        <v>0</v>
      </c>
      <c r="BA293" s="16" t="n">
        <v>0</v>
      </c>
      <c r="BB293" s="16" t="n">
        <v>0</v>
      </c>
      <c r="BC293" s="16" t="n">
        <v>0</v>
      </c>
      <c r="BD293" s="16" t="n">
        <v>0</v>
      </c>
      <c r="BE293" s="16" t="n">
        <v>0</v>
      </c>
      <c r="BF293" s="16" t="n">
        <v>0</v>
      </c>
      <c r="BG293" s="16" t="n">
        <v>0</v>
      </c>
      <c r="BH293" s="16" t="n">
        <v>0</v>
      </c>
      <c r="BI293" s="16" t="n">
        <v>0</v>
      </c>
      <c r="BJ293" s="16" t="n">
        <v>0</v>
      </c>
      <c r="BK293" s="16" t="n">
        <v>0</v>
      </c>
      <c r="BL293" s="16" t="n">
        <v>0</v>
      </c>
      <c r="BM293" s="16" t="n">
        <v>0</v>
      </c>
      <c r="BN293" s="16" t="n">
        <v>0</v>
      </c>
      <c r="BO293" s="16" t="n">
        <v>0</v>
      </c>
      <c r="BP293" s="16" t="n">
        <v>0</v>
      </c>
      <c r="BQ293" s="16" t="n">
        <v>0</v>
      </c>
      <c r="BR293" s="16" t="n">
        <v>0</v>
      </c>
      <c r="BS293" s="16" t="n">
        <v>0</v>
      </c>
      <c r="BT293" s="16" t="n">
        <v>0</v>
      </c>
      <c r="BU293" s="16" t="n">
        <v>0</v>
      </c>
      <c r="BV293" s="16" t="n">
        <v>0</v>
      </c>
      <c r="BW293" s="16" t="n">
        <v>0</v>
      </c>
      <c r="BX293" s="16" t="n">
        <v>0</v>
      </c>
      <c r="BY293" s="16" t="n">
        <v>0</v>
      </c>
      <c r="BZ293" s="16" t="n">
        <v>0</v>
      </c>
      <c r="CA293" s="16" t="n">
        <v>0</v>
      </c>
      <c r="CB293" s="16" t="n">
        <v>0</v>
      </c>
      <c r="CC293" s="16" t="n">
        <v>0</v>
      </c>
      <c r="CD293" s="16" t="n">
        <v>0</v>
      </c>
      <c r="CE293" s="16" t="n">
        <v>0</v>
      </c>
      <c r="CF293" s="16" t="n">
        <v>0</v>
      </c>
      <c r="CG293" s="16" t="n">
        <v>0</v>
      </c>
      <c r="CH293" s="16" t="n">
        <v>0</v>
      </c>
      <c r="CI293" s="16" t="n">
        <v>0</v>
      </c>
      <c r="CJ293" s="16" t="n">
        <v>0</v>
      </c>
      <c r="CK293" s="16" t="n">
        <v>0</v>
      </c>
      <c r="CL293" s="16" t="n">
        <v>0</v>
      </c>
      <c r="CM293" s="16" t="n">
        <v>0</v>
      </c>
      <c r="CN293" s="16" t="n">
        <v>0</v>
      </c>
      <c r="CO293" s="16" t="n">
        <v>0</v>
      </c>
      <c r="CP293" s="16" t="n">
        <v>0</v>
      </c>
      <c r="CQ293" s="16" t="n">
        <v>0</v>
      </c>
      <c r="CR293" s="16" t="n">
        <v>0</v>
      </c>
      <c r="CS293" s="16" t="n">
        <v>0</v>
      </c>
      <c r="CT293" s="16" t="n">
        <v>0</v>
      </c>
      <c r="CU293" s="16" t="n">
        <v>0</v>
      </c>
      <c r="CV293" s="16" t="n">
        <v>0</v>
      </c>
      <c r="CW293" s="16" t="n">
        <v>0</v>
      </c>
      <c r="CX293" s="16" t="n">
        <v>0</v>
      </c>
      <c r="CY293" s="16" t="n">
        <v>0</v>
      </c>
      <c r="CZ293" s="16" t="n">
        <v>0</v>
      </c>
      <c r="DA293" s="16" t="n">
        <v>0</v>
      </c>
      <c r="DB293" s="16" t="n">
        <v>0</v>
      </c>
      <c r="DC293" s="16" t="n">
        <v>0</v>
      </c>
      <c r="DD293" s="16" t="n">
        <v>0</v>
      </c>
      <c r="DE293" s="16" t="n">
        <v>0</v>
      </c>
      <c r="DF293" s="16" t="n">
        <v>0</v>
      </c>
      <c r="DG293" s="16" t="n">
        <v>0</v>
      </c>
      <c r="DH293" s="16" t="n">
        <v>0</v>
      </c>
      <c r="DI293" s="16" t="n">
        <v>0</v>
      </c>
      <c r="DJ293" s="16" t="n">
        <v>0</v>
      </c>
      <c r="DK293" s="16" t="n">
        <v>0</v>
      </c>
      <c r="DL293" s="16" t="n">
        <v>0</v>
      </c>
      <c r="DM293" s="16" t="n">
        <v>0</v>
      </c>
      <c r="DN293" s="16" t="n">
        <v>0</v>
      </c>
      <c r="DO293" s="16" t="n">
        <v>0</v>
      </c>
      <c r="DP293" s="16" t="n">
        <v>0</v>
      </c>
      <c r="DQ293" s="16" t="n">
        <v>0</v>
      </c>
      <c r="DR293" s="16" t="n">
        <v>0</v>
      </c>
      <c r="DS293" s="16" t="n">
        <v>0</v>
      </c>
      <c r="DT293" s="16" t="n">
        <v>0</v>
      </c>
      <c r="DU293" s="16" t="n">
        <v>0</v>
      </c>
      <c r="DV293" s="16" t="n">
        <v>0</v>
      </c>
      <c r="DW293" s="16" t="n">
        <v>0</v>
      </c>
      <c r="DX293" s="16" t="n">
        <v>0</v>
      </c>
      <c r="DY293" s="16" t="n">
        <v>0</v>
      </c>
      <c r="DZ293" s="16" t="n">
        <v>0</v>
      </c>
      <c r="EA293" s="16" t="n">
        <v>0</v>
      </c>
      <c r="EB293" s="16" t="n">
        <v>0</v>
      </c>
      <c r="EC293" s="16" t="n">
        <v>0</v>
      </c>
      <c r="ED293" s="16" t="n">
        <v>0</v>
      </c>
      <c r="EE293" s="16" t="n">
        <v>0</v>
      </c>
      <c r="EF293" s="16" t="n">
        <v>0</v>
      </c>
    </row>
    <row r="294" customFormat="false" ht="15" hidden="false" customHeight="true" outlineLevel="0" collapsed="false">
      <c r="A294" s="9" t="s">
        <v>12</v>
      </c>
      <c r="B294" s="9" t="s">
        <v>24</v>
      </c>
      <c r="C294" s="9" t="s">
        <v>24</v>
      </c>
      <c r="D294" s="9" t="s">
        <v>342</v>
      </c>
      <c r="E294" s="9" t="s">
        <v>14</v>
      </c>
      <c r="F294" s="9" t="s">
        <v>111</v>
      </c>
      <c r="G294" s="16" t="n">
        <v>0</v>
      </c>
      <c r="H294" s="16" t="n">
        <v>0</v>
      </c>
      <c r="I294" s="16" t="n">
        <v>0</v>
      </c>
      <c r="J294" s="16" t="n">
        <v>0</v>
      </c>
      <c r="K294" s="16" t="n">
        <v>0</v>
      </c>
      <c r="L294" s="16" t="n">
        <v>0</v>
      </c>
      <c r="M294" s="16" t="n">
        <v>0</v>
      </c>
      <c r="N294" s="16" t="n">
        <v>0</v>
      </c>
      <c r="O294" s="16" t="n">
        <v>0</v>
      </c>
      <c r="P294" s="16" t="n">
        <v>0</v>
      </c>
      <c r="Q294" s="16" t="n">
        <v>0</v>
      </c>
      <c r="R294" s="16" t="n">
        <v>0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0</v>
      </c>
      <c r="X294" s="16" t="n">
        <v>0</v>
      </c>
      <c r="Y294" s="16" t="n">
        <v>0</v>
      </c>
      <c r="Z294" s="16" t="n">
        <v>0</v>
      </c>
      <c r="AA294" s="16" t="n">
        <v>0</v>
      </c>
      <c r="AB294" s="16" t="n">
        <v>0</v>
      </c>
      <c r="AC294" s="16" t="n">
        <v>0</v>
      </c>
      <c r="AD294" s="16" t="n">
        <v>0</v>
      </c>
      <c r="AE294" s="16" t="n">
        <v>0</v>
      </c>
      <c r="AF294" s="16" t="n">
        <v>0</v>
      </c>
      <c r="AG294" s="16" t="n">
        <v>0</v>
      </c>
      <c r="AH294" s="16" t="n">
        <v>0</v>
      </c>
      <c r="AI294" s="16" t="n">
        <v>0</v>
      </c>
      <c r="AJ294" s="16" t="n">
        <v>0</v>
      </c>
      <c r="AK294" s="16" t="n">
        <v>0</v>
      </c>
      <c r="AL294" s="16" t="n">
        <v>0</v>
      </c>
      <c r="AM294" s="16" t="n">
        <v>0</v>
      </c>
      <c r="AN294" s="16" t="n">
        <v>0</v>
      </c>
      <c r="AO294" s="16" t="n">
        <v>0</v>
      </c>
      <c r="AP294" s="16" t="n">
        <v>0</v>
      </c>
      <c r="AQ294" s="16" t="n">
        <v>0</v>
      </c>
      <c r="AR294" s="16" t="n">
        <v>0</v>
      </c>
      <c r="AS294" s="16" t="n">
        <v>0</v>
      </c>
      <c r="AT294" s="16" t="n">
        <v>0</v>
      </c>
      <c r="AU294" s="16" t="n">
        <v>0</v>
      </c>
      <c r="AV294" s="16" t="n">
        <v>0</v>
      </c>
      <c r="AW294" s="16" t="n">
        <v>0</v>
      </c>
      <c r="AX294" s="16" t="n">
        <v>0</v>
      </c>
      <c r="AY294" s="16" t="n">
        <v>0</v>
      </c>
      <c r="AZ294" s="16" t="n">
        <v>0</v>
      </c>
      <c r="BA294" s="16" t="n">
        <v>0</v>
      </c>
      <c r="BB294" s="16" t="n">
        <v>0</v>
      </c>
      <c r="BC294" s="16" t="n">
        <v>0</v>
      </c>
      <c r="BD294" s="16" t="n">
        <v>0</v>
      </c>
      <c r="BE294" s="16" t="n">
        <v>0</v>
      </c>
      <c r="BF294" s="16" t="n">
        <v>0</v>
      </c>
      <c r="BG294" s="16" t="n">
        <v>0</v>
      </c>
      <c r="BH294" s="16" t="n">
        <v>0</v>
      </c>
      <c r="BI294" s="16" t="n">
        <v>0</v>
      </c>
      <c r="BJ294" s="16" t="n">
        <v>0</v>
      </c>
      <c r="BK294" s="16" t="n">
        <v>0</v>
      </c>
      <c r="BL294" s="16" t="n">
        <v>0</v>
      </c>
      <c r="BM294" s="16" t="n">
        <v>0</v>
      </c>
      <c r="BN294" s="16" t="n">
        <v>0</v>
      </c>
      <c r="BO294" s="16" t="n">
        <v>0</v>
      </c>
      <c r="BP294" s="16" t="n">
        <v>0</v>
      </c>
      <c r="BQ294" s="16" t="n">
        <v>0</v>
      </c>
      <c r="BR294" s="16" t="n">
        <v>0</v>
      </c>
      <c r="BS294" s="16" t="n">
        <v>0</v>
      </c>
      <c r="BT294" s="16" t="n">
        <v>0</v>
      </c>
      <c r="BU294" s="16" t="n">
        <v>0</v>
      </c>
      <c r="BV294" s="16" t="n">
        <v>0</v>
      </c>
      <c r="BW294" s="16" t="n">
        <v>0</v>
      </c>
      <c r="BX294" s="16" t="n">
        <v>0</v>
      </c>
      <c r="BY294" s="16" t="n">
        <v>0</v>
      </c>
      <c r="BZ294" s="16" t="n">
        <v>0</v>
      </c>
      <c r="CA294" s="16" t="n">
        <v>0</v>
      </c>
      <c r="CB294" s="16" t="n">
        <v>0</v>
      </c>
      <c r="CC294" s="16" t="n">
        <v>0</v>
      </c>
      <c r="CD294" s="16" t="n">
        <v>0</v>
      </c>
      <c r="CE294" s="16" t="n">
        <v>0</v>
      </c>
      <c r="CF294" s="16" t="n">
        <v>0</v>
      </c>
      <c r="CG294" s="16" t="n">
        <v>0</v>
      </c>
      <c r="CH294" s="16" t="n">
        <v>0</v>
      </c>
      <c r="CI294" s="16" t="n">
        <v>0</v>
      </c>
      <c r="CJ294" s="16" t="n">
        <v>0</v>
      </c>
      <c r="CK294" s="16" t="n">
        <v>0</v>
      </c>
      <c r="CL294" s="16" t="n">
        <v>0</v>
      </c>
      <c r="CM294" s="16" t="n">
        <v>0</v>
      </c>
      <c r="CN294" s="16" t="n">
        <v>0</v>
      </c>
      <c r="CO294" s="16" t="n">
        <v>0</v>
      </c>
      <c r="CP294" s="16" t="n">
        <v>0</v>
      </c>
      <c r="CQ294" s="16" t="n">
        <v>0</v>
      </c>
      <c r="CR294" s="16" t="n">
        <v>0</v>
      </c>
      <c r="CS294" s="16" t="n">
        <v>0</v>
      </c>
      <c r="CT294" s="16" t="n">
        <v>0</v>
      </c>
      <c r="CU294" s="16" t="n">
        <v>0</v>
      </c>
      <c r="CV294" s="16" t="n">
        <v>0</v>
      </c>
      <c r="CW294" s="16" t="n">
        <v>0</v>
      </c>
      <c r="CX294" s="16" t="n">
        <v>0</v>
      </c>
      <c r="CY294" s="16" t="n">
        <v>0</v>
      </c>
      <c r="CZ294" s="16" t="n">
        <v>0</v>
      </c>
      <c r="DA294" s="16" t="n">
        <v>0</v>
      </c>
      <c r="DB294" s="16" t="n">
        <v>0</v>
      </c>
      <c r="DC294" s="16" t="n">
        <v>0</v>
      </c>
      <c r="DD294" s="16" t="n">
        <v>0</v>
      </c>
      <c r="DE294" s="16" t="n">
        <v>0</v>
      </c>
      <c r="DF294" s="16" t="n">
        <v>0</v>
      </c>
      <c r="DG294" s="16" t="n">
        <v>0</v>
      </c>
      <c r="DH294" s="16" t="n">
        <v>0</v>
      </c>
      <c r="DI294" s="16" t="n">
        <v>0</v>
      </c>
      <c r="DJ294" s="16" t="n">
        <v>0</v>
      </c>
      <c r="DK294" s="16" t="n">
        <v>0</v>
      </c>
      <c r="DL294" s="16" t="n">
        <v>0</v>
      </c>
      <c r="DM294" s="16" t="n">
        <v>0</v>
      </c>
      <c r="DN294" s="16" t="n">
        <v>0</v>
      </c>
      <c r="DO294" s="16" t="n">
        <v>0</v>
      </c>
      <c r="DP294" s="16" t="n">
        <v>0</v>
      </c>
      <c r="DQ294" s="16" t="n">
        <v>0</v>
      </c>
      <c r="DR294" s="16" t="n">
        <v>0</v>
      </c>
      <c r="DS294" s="16" t="n">
        <v>0</v>
      </c>
      <c r="DT294" s="16" t="n">
        <v>0</v>
      </c>
      <c r="DU294" s="16" t="n">
        <v>0</v>
      </c>
      <c r="DV294" s="16" t="n">
        <v>0</v>
      </c>
      <c r="DW294" s="16" t="n">
        <v>0</v>
      </c>
      <c r="DX294" s="16" t="n">
        <v>0</v>
      </c>
      <c r="DY294" s="16" t="n">
        <v>0</v>
      </c>
      <c r="DZ294" s="16" t="n">
        <v>0</v>
      </c>
      <c r="EA294" s="16" t="n">
        <v>0</v>
      </c>
      <c r="EB294" s="16" t="n">
        <v>0</v>
      </c>
      <c r="EC294" s="16" t="n">
        <v>0</v>
      </c>
      <c r="ED294" s="16" t="n">
        <v>0</v>
      </c>
      <c r="EE294" s="16" t="n">
        <v>0</v>
      </c>
      <c r="EF294" s="16" t="n">
        <v>0</v>
      </c>
    </row>
    <row r="295" customFormat="false" ht="15" hidden="false" customHeight="true" outlineLevel="0" collapsed="false">
      <c r="A295" s="9" t="s">
        <v>12</v>
      </c>
      <c r="B295" s="9" t="s">
        <v>24</v>
      </c>
      <c r="C295" s="9" t="s">
        <v>24</v>
      </c>
      <c r="D295" s="9" t="s">
        <v>336</v>
      </c>
      <c r="E295" s="9" t="s">
        <v>14</v>
      </c>
      <c r="F295" s="9" t="s">
        <v>87</v>
      </c>
      <c r="G295" s="16" t="n">
        <v>0</v>
      </c>
      <c r="H295" s="16" t="n">
        <v>0</v>
      </c>
      <c r="I295" s="16" t="n">
        <v>0</v>
      </c>
      <c r="J295" s="16" t="n">
        <v>0</v>
      </c>
      <c r="K295" s="16" t="n">
        <v>0</v>
      </c>
      <c r="L295" s="16" t="n">
        <v>0</v>
      </c>
      <c r="M295" s="16" t="n">
        <v>0</v>
      </c>
      <c r="N295" s="16" t="n">
        <v>0</v>
      </c>
      <c r="O295" s="16" t="n">
        <v>0</v>
      </c>
      <c r="P295" s="16" t="n">
        <v>0</v>
      </c>
      <c r="Q295" s="16" t="n">
        <v>0</v>
      </c>
      <c r="R295" s="16" t="n">
        <v>0</v>
      </c>
      <c r="S295" s="16" t="n">
        <v>0</v>
      </c>
      <c r="T295" s="16" t="n">
        <v>0</v>
      </c>
      <c r="U295" s="16" t="n">
        <v>0</v>
      </c>
      <c r="V295" s="16" t="n">
        <v>0</v>
      </c>
      <c r="W295" s="16" t="n">
        <v>0</v>
      </c>
      <c r="X295" s="16" t="n">
        <v>0</v>
      </c>
      <c r="Y295" s="16" t="n">
        <v>0</v>
      </c>
      <c r="Z295" s="16" t="n">
        <v>0</v>
      </c>
      <c r="AA295" s="16" t="n">
        <v>0</v>
      </c>
      <c r="AB295" s="16" t="n">
        <v>0</v>
      </c>
      <c r="AC295" s="16" t="n">
        <v>0</v>
      </c>
      <c r="AD295" s="16" t="n">
        <v>0</v>
      </c>
      <c r="AE295" s="16" t="n">
        <v>0</v>
      </c>
      <c r="AF295" s="16" t="n">
        <v>0</v>
      </c>
      <c r="AG295" s="16" t="n">
        <v>0</v>
      </c>
      <c r="AH295" s="16" t="n">
        <v>0</v>
      </c>
      <c r="AI295" s="16" t="n">
        <v>0</v>
      </c>
      <c r="AJ295" s="16" t="n">
        <v>0</v>
      </c>
      <c r="AK295" s="16" t="n">
        <v>0</v>
      </c>
      <c r="AL295" s="16" t="n">
        <v>0</v>
      </c>
      <c r="AM295" s="16" t="n">
        <v>0</v>
      </c>
      <c r="AN295" s="16" t="n">
        <v>0</v>
      </c>
      <c r="AO295" s="16" t="n">
        <v>0</v>
      </c>
      <c r="AP295" s="16" t="n">
        <v>0</v>
      </c>
      <c r="AQ295" s="16" t="n">
        <v>0</v>
      </c>
      <c r="AR295" s="16" t="n">
        <v>0</v>
      </c>
      <c r="AS295" s="16" t="n">
        <v>0</v>
      </c>
      <c r="AT295" s="16" t="n">
        <v>0</v>
      </c>
      <c r="AU295" s="16" t="n">
        <v>0</v>
      </c>
      <c r="AV295" s="16" t="n">
        <v>0</v>
      </c>
      <c r="AW295" s="16" t="n">
        <v>0</v>
      </c>
      <c r="AX295" s="16" t="n">
        <v>0</v>
      </c>
      <c r="AY295" s="16" t="n">
        <v>0</v>
      </c>
      <c r="AZ295" s="16" t="n">
        <v>0</v>
      </c>
      <c r="BA295" s="16" t="n">
        <v>0</v>
      </c>
      <c r="BB295" s="16" t="n">
        <v>0</v>
      </c>
      <c r="BC295" s="16" t="n">
        <v>0</v>
      </c>
      <c r="BD295" s="16" t="n">
        <v>0</v>
      </c>
      <c r="BE295" s="16" t="n">
        <v>0</v>
      </c>
      <c r="BF295" s="16" t="n">
        <v>0</v>
      </c>
      <c r="BG295" s="16" t="n">
        <v>0</v>
      </c>
      <c r="BH295" s="16" t="n">
        <v>0</v>
      </c>
      <c r="BI295" s="16" t="n">
        <v>0</v>
      </c>
      <c r="BJ295" s="16" t="n">
        <v>0</v>
      </c>
      <c r="BK295" s="16" t="n">
        <v>0</v>
      </c>
      <c r="BL295" s="16" t="n">
        <v>0</v>
      </c>
      <c r="BM295" s="16" t="n">
        <v>0</v>
      </c>
      <c r="BN295" s="16" t="n">
        <v>0</v>
      </c>
      <c r="BO295" s="16" t="n">
        <v>0</v>
      </c>
      <c r="BP295" s="16" t="n">
        <v>0</v>
      </c>
      <c r="BQ295" s="16" t="n">
        <v>0</v>
      </c>
      <c r="BR295" s="16" t="n">
        <v>0</v>
      </c>
      <c r="BS295" s="16" t="n">
        <v>0</v>
      </c>
      <c r="BT295" s="16" t="n">
        <v>0</v>
      </c>
      <c r="BU295" s="16" t="n">
        <v>0</v>
      </c>
      <c r="BV295" s="16" t="n">
        <v>0</v>
      </c>
      <c r="BW295" s="16" t="n">
        <v>0</v>
      </c>
      <c r="BX295" s="16" t="n">
        <v>0</v>
      </c>
      <c r="BY295" s="16" t="n">
        <v>0</v>
      </c>
      <c r="BZ295" s="16" t="n">
        <v>0</v>
      </c>
      <c r="CA295" s="16" t="n">
        <v>0</v>
      </c>
      <c r="CB295" s="16" t="n">
        <v>0</v>
      </c>
      <c r="CC295" s="16" t="n">
        <v>0</v>
      </c>
      <c r="CD295" s="16" t="n">
        <v>0</v>
      </c>
      <c r="CE295" s="16" t="n">
        <v>0</v>
      </c>
      <c r="CF295" s="16" t="n">
        <v>0</v>
      </c>
      <c r="CG295" s="16" t="n">
        <v>0</v>
      </c>
      <c r="CH295" s="16" t="n">
        <v>0</v>
      </c>
      <c r="CI295" s="16" t="n">
        <v>0</v>
      </c>
      <c r="CJ295" s="16" t="n">
        <v>0</v>
      </c>
      <c r="CK295" s="16" t="n">
        <v>0</v>
      </c>
      <c r="CL295" s="16" t="n">
        <v>0</v>
      </c>
      <c r="CM295" s="16" t="n">
        <v>0</v>
      </c>
      <c r="CN295" s="16" t="n">
        <v>0</v>
      </c>
      <c r="CO295" s="16" t="n">
        <v>0</v>
      </c>
      <c r="CP295" s="16" t="n">
        <v>0</v>
      </c>
      <c r="CQ295" s="16" t="n">
        <v>0</v>
      </c>
      <c r="CR295" s="16" t="n">
        <v>0</v>
      </c>
      <c r="CS295" s="16" t="n">
        <v>0</v>
      </c>
      <c r="CT295" s="16" t="n">
        <v>0</v>
      </c>
      <c r="CU295" s="16" t="n">
        <v>0</v>
      </c>
      <c r="CV295" s="16" t="n">
        <v>0</v>
      </c>
      <c r="CW295" s="16" t="n">
        <v>0</v>
      </c>
      <c r="CX295" s="16" t="n">
        <v>0</v>
      </c>
      <c r="CY295" s="16" t="n">
        <v>0</v>
      </c>
      <c r="CZ295" s="16" t="n">
        <v>0</v>
      </c>
      <c r="DA295" s="16" t="n">
        <v>0</v>
      </c>
      <c r="DB295" s="16" t="n">
        <v>0</v>
      </c>
      <c r="DC295" s="16" t="n">
        <v>0</v>
      </c>
      <c r="DD295" s="16" t="n">
        <v>0</v>
      </c>
      <c r="DE295" s="16" t="n">
        <v>0</v>
      </c>
      <c r="DF295" s="16" t="n">
        <v>0</v>
      </c>
      <c r="DG295" s="16" t="n">
        <v>0</v>
      </c>
      <c r="DH295" s="16" t="n">
        <v>0</v>
      </c>
      <c r="DI295" s="16" t="n">
        <v>0</v>
      </c>
      <c r="DJ295" s="16" t="n">
        <v>0</v>
      </c>
      <c r="DK295" s="16" t="n">
        <v>0</v>
      </c>
      <c r="DL295" s="16" t="n">
        <v>0</v>
      </c>
      <c r="DM295" s="16" t="n">
        <v>0</v>
      </c>
      <c r="DN295" s="16" t="n">
        <v>0</v>
      </c>
      <c r="DO295" s="16" t="n">
        <v>0</v>
      </c>
      <c r="DP295" s="16" t="n">
        <v>0</v>
      </c>
      <c r="DQ295" s="16" t="n">
        <v>0</v>
      </c>
      <c r="DR295" s="16" t="n">
        <v>0</v>
      </c>
      <c r="DS295" s="16" t="n">
        <v>0</v>
      </c>
      <c r="DT295" s="16" t="n">
        <v>0</v>
      </c>
      <c r="DU295" s="16" t="n">
        <v>0</v>
      </c>
      <c r="DV295" s="16" t="n">
        <v>0</v>
      </c>
      <c r="DW295" s="16" t="n">
        <v>0</v>
      </c>
      <c r="DX295" s="16" t="n">
        <v>0</v>
      </c>
      <c r="DY295" s="16" t="n">
        <v>0</v>
      </c>
      <c r="DZ295" s="16" t="n">
        <v>0</v>
      </c>
      <c r="EA295" s="16" t="n">
        <v>0</v>
      </c>
      <c r="EB295" s="16" t="n">
        <v>0</v>
      </c>
      <c r="EC295" s="16" t="n">
        <v>0</v>
      </c>
      <c r="ED295" s="16" t="n">
        <v>0</v>
      </c>
      <c r="EE295" s="16" t="n">
        <v>0</v>
      </c>
      <c r="EF295" s="16" t="n">
        <v>0</v>
      </c>
    </row>
    <row r="296" customFormat="false" ht="15" hidden="false" customHeight="true" outlineLevel="0" collapsed="false">
      <c r="A296" s="9" t="s">
        <v>12</v>
      </c>
      <c r="B296" s="9" t="s">
        <v>24</v>
      </c>
      <c r="C296" s="9" t="s">
        <v>24</v>
      </c>
      <c r="D296" s="9" t="s">
        <v>342</v>
      </c>
      <c r="E296" s="9" t="s">
        <v>14</v>
      </c>
      <c r="F296" s="9" t="s">
        <v>87</v>
      </c>
      <c r="G296" s="16" t="n">
        <v>0</v>
      </c>
      <c r="H296" s="16" t="n">
        <v>0</v>
      </c>
      <c r="I296" s="16" t="n">
        <v>35</v>
      </c>
      <c r="J296" s="16" t="n">
        <v>-35</v>
      </c>
      <c r="K296" s="16" t="n">
        <v>0</v>
      </c>
      <c r="L296" s="16" t="n">
        <v>0</v>
      </c>
      <c r="M296" s="16" t="n">
        <v>0</v>
      </c>
      <c r="N296" s="16" t="n">
        <v>0</v>
      </c>
      <c r="O296" s="16" t="n">
        <v>0</v>
      </c>
      <c r="P296" s="16" t="n">
        <v>0</v>
      </c>
      <c r="Q296" s="16" t="n">
        <v>0</v>
      </c>
      <c r="R296" s="16" t="n">
        <v>0</v>
      </c>
      <c r="S296" s="16" t="n">
        <v>0</v>
      </c>
      <c r="T296" s="16" t="n">
        <v>0</v>
      </c>
      <c r="U296" s="16" t="n">
        <v>0</v>
      </c>
      <c r="V296" s="16" t="n">
        <v>0</v>
      </c>
      <c r="W296" s="16" t="n">
        <v>0</v>
      </c>
      <c r="X296" s="16" t="n">
        <v>0</v>
      </c>
      <c r="Y296" s="16" t="n">
        <v>0</v>
      </c>
      <c r="Z296" s="16" t="n">
        <v>0</v>
      </c>
      <c r="AA296" s="16" t="n">
        <v>0</v>
      </c>
      <c r="AB296" s="16" t="n">
        <v>0</v>
      </c>
      <c r="AC296" s="16" t="n">
        <v>0</v>
      </c>
      <c r="AD296" s="16" t="n">
        <v>0</v>
      </c>
      <c r="AE296" s="16" t="n">
        <v>0</v>
      </c>
      <c r="AF296" s="16" t="n">
        <v>0</v>
      </c>
      <c r="AG296" s="16" t="n">
        <v>0</v>
      </c>
      <c r="AH296" s="16" t="n">
        <v>0</v>
      </c>
      <c r="AI296" s="16" t="n">
        <v>0</v>
      </c>
      <c r="AJ296" s="16" t="n">
        <v>0</v>
      </c>
      <c r="AK296" s="16" t="n">
        <v>0</v>
      </c>
      <c r="AL296" s="16" t="n">
        <v>3</v>
      </c>
      <c r="AM296" s="16" t="n">
        <v>16.5</v>
      </c>
      <c r="AN296" s="16" t="n">
        <v>15.5</v>
      </c>
      <c r="AO296" s="16" t="n">
        <v>0</v>
      </c>
      <c r="AP296" s="16" t="n">
        <v>0</v>
      </c>
      <c r="AQ296" s="16" t="n">
        <v>0</v>
      </c>
      <c r="AR296" s="16" t="n">
        <v>0</v>
      </c>
      <c r="AS296" s="16" t="n">
        <v>0</v>
      </c>
      <c r="AT296" s="16" t="n">
        <v>0</v>
      </c>
      <c r="AU296" s="16" t="n">
        <v>0</v>
      </c>
      <c r="AV296" s="16" t="n">
        <v>0</v>
      </c>
      <c r="AW296" s="16" t="n">
        <v>0</v>
      </c>
      <c r="AX296" s="16" t="n">
        <v>0</v>
      </c>
      <c r="AY296" s="16" t="n">
        <v>0</v>
      </c>
      <c r="AZ296" s="16" t="n">
        <v>0</v>
      </c>
      <c r="BA296" s="16" t="n">
        <v>0</v>
      </c>
      <c r="BB296" s="16" t="n">
        <v>0</v>
      </c>
      <c r="BC296" s="16" t="n">
        <v>0</v>
      </c>
      <c r="BD296" s="16" t="n">
        <v>0</v>
      </c>
      <c r="BE296" s="16" t="n">
        <v>0</v>
      </c>
      <c r="BF296" s="16" t="n">
        <v>0</v>
      </c>
      <c r="BG296" s="16" t="n">
        <v>0</v>
      </c>
      <c r="BH296" s="16" t="n">
        <v>0</v>
      </c>
      <c r="BI296" s="16" t="n">
        <v>0</v>
      </c>
      <c r="BJ296" s="16" t="n">
        <v>0</v>
      </c>
      <c r="BK296" s="16" t="n">
        <v>0</v>
      </c>
      <c r="BL296" s="16" t="n">
        <v>0</v>
      </c>
      <c r="BM296" s="16" t="n">
        <v>0</v>
      </c>
      <c r="BN296" s="16" t="n">
        <v>0</v>
      </c>
      <c r="BO296" s="16" t="n">
        <v>0</v>
      </c>
      <c r="BP296" s="16" t="n">
        <v>0</v>
      </c>
      <c r="BQ296" s="16" t="n">
        <v>0</v>
      </c>
      <c r="BR296" s="16" t="n">
        <v>0</v>
      </c>
      <c r="BS296" s="16" t="n">
        <v>0</v>
      </c>
      <c r="BT296" s="16" t="n">
        <v>0</v>
      </c>
      <c r="BU296" s="16" t="n">
        <v>0</v>
      </c>
      <c r="BV296" s="16" t="n">
        <v>0</v>
      </c>
      <c r="BW296" s="16" t="n">
        <v>0</v>
      </c>
      <c r="BX296" s="16" t="n">
        <v>0</v>
      </c>
      <c r="BY296" s="16" t="n">
        <v>0</v>
      </c>
      <c r="BZ296" s="16" t="n">
        <v>0</v>
      </c>
      <c r="CA296" s="16" t="n">
        <v>0</v>
      </c>
      <c r="CB296" s="16" t="n">
        <v>0</v>
      </c>
      <c r="CC296" s="16" t="n">
        <v>0</v>
      </c>
      <c r="CD296" s="16" t="n">
        <v>0</v>
      </c>
      <c r="CE296" s="16" t="n">
        <v>0</v>
      </c>
      <c r="CF296" s="16" t="n">
        <v>0</v>
      </c>
      <c r="CG296" s="16" t="n">
        <v>0</v>
      </c>
      <c r="CH296" s="16" t="n">
        <v>0</v>
      </c>
      <c r="CI296" s="16" t="n">
        <v>0</v>
      </c>
      <c r="CJ296" s="16" t="n">
        <v>0</v>
      </c>
      <c r="CK296" s="16" t="n">
        <v>0</v>
      </c>
      <c r="CL296" s="16" t="n">
        <v>0</v>
      </c>
      <c r="CM296" s="16" t="n">
        <v>0</v>
      </c>
      <c r="CN296" s="16" t="n">
        <v>0</v>
      </c>
      <c r="CO296" s="16" t="n">
        <v>0</v>
      </c>
      <c r="CP296" s="16" t="n">
        <v>0</v>
      </c>
      <c r="CQ296" s="16" t="n">
        <v>0</v>
      </c>
      <c r="CR296" s="16" t="n">
        <v>0</v>
      </c>
      <c r="CS296" s="16" t="n">
        <v>0</v>
      </c>
      <c r="CT296" s="16" t="n">
        <v>0</v>
      </c>
      <c r="CU296" s="16" t="n">
        <v>0</v>
      </c>
      <c r="CV296" s="16" t="n">
        <v>0</v>
      </c>
      <c r="CW296" s="16" t="n">
        <v>0</v>
      </c>
      <c r="CX296" s="16" t="n">
        <v>0</v>
      </c>
      <c r="CY296" s="16" t="n">
        <v>0</v>
      </c>
      <c r="CZ296" s="16" t="n">
        <v>0</v>
      </c>
      <c r="DA296" s="16" t="n">
        <v>0</v>
      </c>
      <c r="DB296" s="16" t="n">
        <v>0</v>
      </c>
      <c r="DC296" s="16" t="n">
        <v>0</v>
      </c>
      <c r="DD296" s="16" t="n">
        <v>0</v>
      </c>
      <c r="DE296" s="16" t="n">
        <v>0</v>
      </c>
      <c r="DF296" s="16" t="n">
        <v>0</v>
      </c>
      <c r="DG296" s="16" t="n">
        <v>0</v>
      </c>
      <c r="DH296" s="16" t="n">
        <v>0</v>
      </c>
      <c r="DI296" s="16" t="n">
        <v>0</v>
      </c>
      <c r="DJ296" s="16" t="n">
        <v>0</v>
      </c>
      <c r="DK296" s="16" t="n">
        <v>0</v>
      </c>
      <c r="DL296" s="16" t="n">
        <v>0</v>
      </c>
      <c r="DM296" s="16" t="n">
        <v>0</v>
      </c>
      <c r="DN296" s="16" t="n">
        <v>0</v>
      </c>
      <c r="DO296" s="16" t="n">
        <v>0</v>
      </c>
      <c r="DP296" s="16" t="n">
        <v>0</v>
      </c>
      <c r="DQ296" s="16" t="n">
        <v>0</v>
      </c>
      <c r="DR296" s="16" t="n">
        <v>0</v>
      </c>
      <c r="DS296" s="16" t="n">
        <v>0</v>
      </c>
      <c r="DT296" s="16" t="n">
        <v>0</v>
      </c>
      <c r="DU296" s="16" t="n">
        <v>0</v>
      </c>
      <c r="DV296" s="16" t="n">
        <v>0</v>
      </c>
      <c r="DW296" s="16" t="n">
        <v>0</v>
      </c>
      <c r="DX296" s="16" t="n">
        <v>0</v>
      </c>
      <c r="DY296" s="16" t="n">
        <v>0</v>
      </c>
      <c r="DZ296" s="16" t="n">
        <v>0</v>
      </c>
      <c r="EA296" s="16" t="n">
        <v>0</v>
      </c>
      <c r="EB296" s="16" t="n">
        <v>0</v>
      </c>
      <c r="EC296" s="16" t="n">
        <v>0</v>
      </c>
      <c r="ED296" s="16" t="n">
        <v>0</v>
      </c>
      <c r="EE296" s="16" t="n">
        <v>0</v>
      </c>
      <c r="EF296" s="16" t="n">
        <v>0</v>
      </c>
    </row>
    <row r="297" customFormat="false" ht="15" hidden="false" customHeight="true" outlineLevel="0" collapsed="false">
      <c r="A297" s="9" t="s">
        <v>12</v>
      </c>
      <c r="B297" s="9" t="s">
        <v>15</v>
      </c>
      <c r="C297" s="9" t="s">
        <v>15</v>
      </c>
      <c r="D297" s="9" t="s">
        <v>341</v>
      </c>
      <c r="E297" s="9" t="s">
        <v>16</v>
      </c>
      <c r="F297" s="9" t="s">
        <v>79</v>
      </c>
      <c r="G297" s="16" t="n">
        <v>0</v>
      </c>
      <c r="H297" s="16" t="n">
        <v>0</v>
      </c>
      <c r="I297" s="16" t="n">
        <v>56.4</v>
      </c>
      <c r="J297" s="16" t="n">
        <v>-56.4</v>
      </c>
      <c r="K297" s="16" t="n">
        <v>0</v>
      </c>
      <c r="L297" s="16" t="n">
        <v>0</v>
      </c>
      <c r="M297" s="16" t="n">
        <v>0</v>
      </c>
      <c r="N297" s="16" t="n">
        <v>0</v>
      </c>
      <c r="O297" s="16" t="n">
        <v>0</v>
      </c>
      <c r="P297" s="16" t="n">
        <v>0</v>
      </c>
      <c r="Q297" s="16" t="n">
        <v>0</v>
      </c>
      <c r="R297" s="16" t="n">
        <v>0</v>
      </c>
      <c r="S297" s="16" t="n">
        <v>0</v>
      </c>
      <c r="T297" s="16" t="n">
        <v>0</v>
      </c>
      <c r="U297" s="16" t="n">
        <v>0</v>
      </c>
      <c r="V297" s="16" t="n">
        <v>0</v>
      </c>
      <c r="W297" s="16" t="n">
        <v>0</v>
      </c>
      <c r="X297" s="16" t="n">
        <v>0</v>
      </c>
      <c r="Y297" s="16" t="n">
        <v>0</v>
      </c>
      <c r="Z297" s="16" t="n">
        <v>0</v>
      </c>
      <c r="AA297" s="16" t="n">
        <v>0</v>
      </c>
      <c r="AB297" s="16" t="n">
        <v>0</v>
      </c>
      <c r="AC297" s="16" t="n">
        <v>0</v>
      </c>
      <c r="AD297" s="16" t="n">
        <v>0</v>
      </c>
      <c r="AE297" s="16" t="n">
        <v>0</v>
      </c>
      <c r="AF297" s="16" t="n">
        <v>0</v>
      </c>
      <c r="AG297" s="16" t="n">
        <v>0</v>
      </c>
      <c r="AH297" s="16" t="n">
        <v>0</v>
      </c>
      <c r="AI297" s="16" t="n">
        <v>0</v>
      </c>
      <c r="AJ297" s="16" t="n">
        <v>0</v>
      </c>
      <c r="AK297" s="16" t="n">
        <v>0.5</v>
      </c>
      <c r="AL297" s="16" t="n">
        <v>0.5</v>
      </c>
      <c r="AM297" s="16" t="n">
        <v>0</v>
      </c>
      <c r="AN297" s="16" t="n">
        <v>1</v>
      </c>
      <c r="AO297" s="16" t="n">
        <v>0</v>
      </c>
      <c r="AP297" s="16" t="n">
        <v>1</v>
      </c>
      <c r="AQ297" s="16" t="n">
        <v>0.5</v>
      </c>
      <c r="AR297" s="16" t="n">
        <v>1</v>
      </c>
      <c r="AS297" s="16" t="n">
        <v>0.5</v>
      </c>
      <c r="AT297" s="16" t="n">
        <v>0</v>
      </c>
      <c r="AU297" s="16" t="n">
        <v>0</v>
      </c>
      <c r="AV297" s="16" t="n">
        <v>0</v>
      </c>
      <c r="AW297" s="16" t="n">
        <v>0</v>
      </c>
      <c r="AX297" s="16" t="n">
        <v>0</v>
      </c>
      <c r="AY297" s="16" t="n">
        <v>0</v>
      </c>
      <c r="AZ297" s="16" t="n">
        <v>0</v>
      </c>
      <c r="BA297" s="16" t="n">
        <v>0</v>
      </c>
      <c r="BB297" s="16" t="n">
        <v>0</v>
      </c>
      <c r="BC297" s="16" t="n">
        <v>0</v>
      </c>
      <c r="BD297" s="16" t="n">
        <v>0</v>
      </c>
      <c r="BE297" s="16" t="n">
        <v>0</v>
      </c>
      <c r="BF297" s="16" t="n">
        <v>0</v>
      </c>
      <c r="BG297" s="16" t="n">
        <v>0</v>
      </c>
      <c r="BH297" s="16" t="n">
        <v>0</v>
      </c>
      <c r="BI297" s="16" t="n">
        <v>0</v>
      </c>
      <c r="BJ297" s="16" t="n">
        <v>0</v>
      </c>
      <c r="BK297" s="16" t="n">
        <v>0</v>
      </c>
      <c r="BL297" s="16" t="n">
        <v>0</v>
      </c>
      <c r="BM297" s="16" t="n">
        <v>0</v>
      </c>
      <c r="BN297" s="16" t="n">
        <v>0</v>
      </c>
      <c r="BO297" s="16" t="n">
        <v>0</v>
      </c>
      <c r="BP297" s="16" t="n">
        <v>0</v>
      </c>
      <c r="BQ297" s="16" t="n">
        <v>0</v>
      </c>
      <c r="BR297" s="16" t="n">
        <v>0</v>
      </c>
      <c r="BS297" s="16" t="n">
        <v>0</v>
      </c>
      <c r="BT297" s="16" t="n">
        <v>0</v>
      </c>
      <c r="BU297" s="16" t="n">
        <v>0</v>
      </c>
      <c r="BV297" s="16" t="n">
        <v>0</v>
      </c>
      <c r="BW297" s="16" t="n">
        <v>0</v>
      </c>
      <c r="BX297" s="16" t="n">
        <v>0</v>
      </c>
      <c r="BY297" s="16" t="n">
        <v>0</v>
      </c>
      <c r="BZ297" s="16" t="n">
        <v>0</v>
      </c>
      <c r="CA297" s="16" t="n">
        <v>0</v>
      </c>
      <c r="CB297" s="16" t="n">
        <v>0</v>
      </c>
      <c r="CC297" s="16" t="n">
        <v>0</v>
      </c>
      <c r="CD297" s="16" t="n">
        <v>0</v>
      </c>
      <c r="CE297" s="16" t="n">
        <v>0</v>
      </c>
      <c r="CF297" s="16" t="n">
        <v>0</v>
      </c>
      <c r="CG297" s="16" t="n">
        <v>0</v>
      </c>
      <c r="CH297" s="16" t="n">
        <v>0</v>
      </c>
      <c r="CI297" s="16" t="n">
        <v>0</v>
      </c>
      <c r="CJ297" s="16" t="n">
        <v>0</v>
      </c>
      <c r="CK297" s="16" t="n">
        <v>0</v>
      </c>
      <c r="CL297" s="16" t="n">
        <v>0</v>
      </c>
      <c r="CM297" s="16" t="n">
        <v>0</v>
      </c>
      <c r="CN297" s="16" t="n">
        <v>0</v>
      </c>
      <c r="CO297" s="16" t="n">
        <v>0</v>
      </c>
      <c r="CP297" s="16" t="n">
        <v>0</v>
      </c>
      <c r="CQ297" s="16" t="n">
        <v>0</v>
      </c>
      <c r="CR297" s="16" t="n">
        <v>0</v>
      </c>
      <c r="CS297" s="16" t="n">
        <v>1.403509</v>
      </c>
      <c r="CT297" s="16" t="n">
        <v>1.403509</v>
      </c>
      <c r="CU297" s="16" t="n">
        <v>1.403509</v>
      </c>
      <c r="CV297" s="16" t="n">
        <v>1.403509</v>
      </c>
      <c r="CW297" s="16" t="n">
        <v>1.403509</v>
      </c>
      <c r="CX297" s="16" t="n">
        <v>1.403509</v>
      </c>
      <c r="CY297" s="16" t="n">
        <v>1.403509</v>
      </c>
      <c r="CZ297" s="16" t="n">
        <v>1.403509</v>
      </c>
      <c r="DA297" s="16" t="n">
        <v>1.403509</v>
      </c>
      <c r="DB297" s="16" t="n">
        <v>1.403509</v>
      </c>
      <c r="DC297" s="16" t="n">
        <v>1.403509</v>
      </c>
      <c r="DD297" s="16" t="n">
        <v>1.403509</v>
      </c>
      <c r="DE297" s="16" t="n">
        <v>1.403509</v>
      </c>
      <c r="DF297" s="16" t="n">
        <v>1.403509</v>
      </c>
      <c r="DG297" s="16" t="n">
        <v>1.403509</v>
      </c>
      <c r="DH297" s="16" t="n">
        <v>1.403509</v>
      </c>
      <c r="DI297" s="16" t="n">
        <v>1.403509</v>
      </c>
      <c r="DJ297" s="16" t="n">
        <v>1.403509</v>
      </c>
      <c r="DK297" s="16" t="n">
        <v>1.403509</v>
      </c>
      <c r="DL297" s="16" t="n">
        <v>1.403509</v>
      </c>
      <c r="DM297" s="16" t="n">
        <v>1.403509</v>
      </c>
      <c r="DN297" s="16" t="n">
        <v>1.403509</v>
      </c>
      <c r="DO297" s="16" t="n">
        <v>1.403509</v>
      </c>
      <c r="DP297" s="16" t="n">
        <v>1.403509</v>
      </c>
      <c r="DQ297" s="16" t="n">
        <v>1.403509</v>
      </c>
      <c r="DR297" s="16" t="n">
        <v>1.403509</v>
      </c>
      <c r="DS297" s="16" t="n">
        <v>1.403509</v>
      </c>
      <c r="DT297" s="16" t="n">
        <v>1.403509</v>
      </c>
      <c r="DU297" s="16" t="n">
        <v>1.403509</v>
      </c>
      <c r="DV297" s="16" t="n">
        <v>1.403509</v>
      </c>
      <c r="DW297" s="16" t="n">
        <v>1.403509</v>
      </c>
      <c r="DX297" s="16" t="n">
        <v>1.403509</v>
      </c>
      <c r="DY297" s="16" t="n">
        <v>1.403509</v>
      </c>
      <c r="DZ297" s="16" t="n">
        <v>1.403509</v>
      </c>
      <c r="EA297" s="16" t="n">
        <v>1.403509</v>
      </c>
      <c r="EB297" s="16" t="n">
        <v>1.403509</v>
      </c>
      <c r="EC297" s="16" t="n">
        <v>1.403509</v>
      </c>
      <c r="ED297" s="16" t="n">
        <v>0</v>
      </c>
      <c r="EE297" s="16" t="n">
        <v>0</v>
      </c>
      <c r="EF297" s="16" t="n">
        <v>0</v>
      </c>
    </row>
    <row r="298" customFormat="false" ht="15" hidden="false" customHeight="true" outlineLevel="0" collapsed="false">
      <c r="A298" s="9" t="s">
        <v>12</v>
      </c>
      <c r="B298" s="9" t="s">
        <v>15</v>
      </c>
      <c r="C298" s="9" t="s">
        <v>15</v>
      </c>
      <c r="D298" s="9" t="s">
        <v>340</v>
      </c>
      <c r="E298" s="9" t="s">
        <v>16</v>
      </c>
      <c r="F298" s="9" t="s">
        <v>79</v>
      </c>
      <c r="G298" s="16" t="n">
        <v>42.9</v>
      </c>
      <c r="H298" s="16" t="n">
        <v>94.9</v>
      </c>
      <c r="I298" s="16" t="n">
        <v>28.5</v>
      </c>
      <c r="J298" s="16" t="n">
        <v>66.4</v>
      </c>
      <c r="K298" s="16" t="n">
        <v>0</v>
      </c>
      <c r="L298" s="16" t="n">
        <v>0</v>
      </c>
      <c r="M298" s="16" t="n">
        <v>0</v>
      </c>
      <c r="N298" s="16" t="n">
        <v>0</v>
      </c>
      <c r="O298" s="16" t="n">
        <v>0</v>
      </c>
      <c r="P298" s="16" t="n">
        <v>0</v>
      </c>
      <c r="Q298" s="16" t="n">
        <v>0</v>
      </c>
      <c r="R298" s="16" t="n">
        <v>0</v>
      </c>
      <c r="S298" s="16" t="n">
        <v>0</v>
      </c>
      <c r="T298" s="16" t="n">
        <v>0</v>
      </c>
      <c r="U298" s="16" t="n">
        <v>0</v>
      </c>
      <c r="V298" s="16" t="n">
        <v>0</v>
      </c>
      <c r="W298" s="16" t="n">
        <v>0</v>
      </c>
      <c r="X298" s="16" t="n">
        <v>0</v>
      </c>
      <c r="Y298" s="16" t="n">
        <v>0</v>
      </c>
      <c r="Z298" s="16" t="n">
        <v>0</v>
      </c>
      <c r="AA298" s="16" t="n">
        <v>0</v>
      </c>
      <c r="AB298" s="16" t="n">
        <v>9</v>
      </c>
      <c r="AC298" s="16" t="n">
        <v>7</v>
      </c>
      <c r="AD298" s="16" t="n">
        <v>7</v>
      </c>
      <c r="AE298" s="16" t="n">
        <v>1</v>
      </c>
      <c r="AF298" s="16" t="n">
        <v>2</v>
      </c>
      <c r="AG298" s="16" t="n">
        <v>1.5</v>
      </c>
      <c r="AH298" s="16" t="n">
        <v>1</v>
      </c>
      <c r="AI298" s="16" t="n">
        <v>0</v>
      </c>
      <c r="AJ298" s="16" t="n">
        <v>0</v>
      </c>
      <c r="AK298" s="16" t="n">
        <v>0</v>
      </c>
      <c r="AL298" s="16" t="n">
        <v>0</v>
      </c>
      <c r="AM298" s="16" t="n">
        <v>0</v>
      </c>
      <c r="AN298" s="16" t="n">
        <v>0</v>
      </c>
      <c r="AO298" s="16" t="n">
        <v>0</v>
      </c>
      <c r="AP298" s="16" t="n">
        <v>0</v>
      </c>
      <c r="AQ298" s="16" t="n">
        <v>0</v>
      </c>
      <c r="AR298" s="16" t="n">
        <v>0</v>
      </c>
      <c r="AS298" s="16" t="n">
        <v>0</v>
      </c>
      <c r="AT298" s="16" t="n">
        <v>0</v>
      </c>
      <c r="AU298" s="16" t="n">
        <v>0</v>
      </c>
      <c r="AV298" s="16" t="n">
        <v>0</v>
      </c>
      <c r="AW298" s="16" t="n">
        <v>0</v>
      </c>
      <c r="AX298" s="16" t="n">
        <v>0</v>
      </c>
      <c r="AY298" s="16" t="n">
        <v>0</v>
      </c>
      <c r="AZ298" s="16" t="n">
        <v>0</v>
      </c>
      <c r="BA298" s="16" t="n">
        <v>0</v>
      </c>
      <c r="BB298" s="16" t="n">
        <v>0</v>
      </c>
      <c r="BC298" s="16" t="n">
        <v>0</v>
      </c>
      <c r="BD298" s="16" t="n">
        <v>0</v>
      </c>
      <c r="BE298" s="16" t="n">
        <v>0</v>
      </c>
      <c r="BF298" s="16" t="n">
        <v>0</v>
      </c>
      <c r="BG298" s="16" t="n">
        <v>0</v>
      </c>
      <c r="BH298" s="16" t="n">
        <v>0</v>
      </c>
      <c r="BI298" s="16" t="n">
        <v>0</v>
      </c>
      <c r="BJ298" s="16" t="n">
        <v>0</v>
      </c>
      <c r="BK298" s="16" t="n">
        <v>0</v>
      </c>
      <c r="BL298" s="16" t="n">
        <v>0</v>
      </c>
      <c r="BM298" s="16" t="n">
        <v>0</v>
      </c>
      <c r="BN298" s="16" t="n">
        <v>0</v>
      </c>
      <c r="BO298" s="16" t="n">
        <v>0</v>
      </c>
      <c r="BP298" s="16" t="n">
        <v>0</v>
      </c>
      <c r="BQ298" s="16" t="n">
        <v>0</v>
      </c>
      <c r="BR298" s="16" t="n">
        <v>0</v>
      </c>
      <c r="BS298" s="16" t="n">
        <v>0</v>
      </c>
      <c r="BT298" s="16" t="n">
        <v>0</v>
      </c>
      <c r="BU298" s="16" t="n">
        <v>0</v>
      </c>
      <c r="BV298" s="16" t="n">
        <v>0</v>
      </c>
      <c r="BW298" s="16" t="n">
        <v>0</v>
      </c>
      <c r="BX298" s="16" t="n">
        <v>0</v>
      </c>
      <c r="BY298" s="16" t="n">
        <v>0</v>
      </c>
      <c r="BZ298" s="16" t="n">
        <v>0</v>
      </c>
      <c r="CA298" s="16" t="n">
        <v>0</v>
      </c>
      <c r="CB298" s="16" t="n">
        <v>0</v>
      </c>
      <c r="CC298" s="16" t="n">
        <v>0</v>
      </c>
      <c r="CD298" s="16" t="n">
        <v>0</v>
      </c>
      <c r="CE298" s="16" t="n">
        <v>0</v>
      </c>
      <c r="CF298" s="16" t="n">
        <v>0</v>
      </c>
      <c r="CG298" s="16" t="n">
        <v>0</v>
      </c>
      <c r="CH298" s="16" t="n">
        <v>0</v>
      </c>
      <c r="CI298" s="16" t="n">
        <v>0</v>
      </c>
      <c r="CJ298" s="16" t="n">
        <v>0</v>
      </c>
      <c r="CK298" s="16" t="n">
        <v>0</v>
      </c>
      <c r="CL298" s="16" t="n">
        <v>0</v>
      </c>
      <c r="CM298" s="16" t="n">
        <v>0</v>
      </c>
      <c r="CN298" s="16" t="n">
        <v>0</v>
      </c>
      <c r="CO298" s="16" t="n">
        <v>0</v>
      </c>
      <c r="CP298" s="16" t="n">
        <v>0</v>
      </c>
      <c r="CQ298" s="16" t="n">
        <v>0</v>
      </c>
      <c r="CR298" s="16" t="n">
        <v>0</v>
      </c>
      <c r="CS298" s="16" t="n">
        <v>0</v>
      </c>
      <c r="CT298" s="16" t="n">
        <v>0</v>
      </c>
      <c r="CU298" s="16" t="n">
        <v>0</v>
      </c>
      <c r="CV298" s="16" t="n">
        <v>0</v>
      </c>
      <c r="CW298" s="16" t="n">
        <v>0</v>
      </c>
      <c r="CX298" s="16" t="n">
        <v>0</v>
      </c>
      <c r="CY298" s="16" t="n">
        <v>0</v>
      </c>
      <c r="CZ298" s="16" t="n">
        <v>0</v>
      </c>
      <c r="DA298" s="16" t="n">
        <v>0</v>
      </c>
      <c r="DB298" s="16" t="n">
        <v>0</v>
      </c>
      <c r="DC298" s="16" t="n">
        <v>0</v>
      </c>
      <c r="DD298" s="16" t="n">
        <v>0</v>
      </c>
      <c r="DE298" s="16" t="n">
        <v>0</v>
      </c>
      <c r="DF298" s="16" t="n">
        <v>0</v>
      </c>
      <c r="DG298" s="16" t="n">
        <v>0</v>
      </c>
      <c r="DH298" s="16" t="n">
        <v>0</v>
      </c>
      <c r="DI298" s="16" t="n">
        <v>0</v>
      </c>
      <c r="DJ298" s="16" t="n">
        <v>0</v>
      </c>
      <c r="DK298" s="16" t="n">
        <v>0</v>
      </c>
      <c r="DL298" s="16" t="n">
        <v>0</v>
      </c>
      <c r="DM298" s="16" t="n">
        <v>0</v>
      </c>
      <c r="DN298" s="16" t="n">
        <v>0</v>
      </c>
      <c r="DO298" s="16" t="n">
        <v>0</v>
      </c>
      <c r="DP298" s="16" t="n">
        <v>0</v>
      </c>
      <c r="DQ298" s="16" t="n">
        <v>0</v>
      </c>
      <c r="DR298" s="16" t="n">
        <v>0</v>
      </c>
      <c r="DS298" s="16" t="n">
        <v>0</v>
      </c>
      <c r="DT298" s="16" t="n">
        <v>0</v>
      </c>
      <c r="DU298" s="16" t="n">
        <v>0</v>
      </c>
      <c r="DV298" s="16" t="n">
        <v>0</v>
      </c>
      <c r="DW298" s="16" t="n">
        <v>0</v>
      </c>
      <c r="DX298" s="16" t="n">
        <v>0</v>
      </c>
      <c r="DY298" s="16" t="n">
        <v>0</v>
      </c>
      <c r="DZ298" s="16" t="n">
        <v>0</v>
      </c>
      <c r="EA298" s="16" t="n">
        <v>0</v>
      </c>
      <c r="EB298" s="16" t="n">
        <v>0</v>
      </c>
      <c r="EC298" s="16" t="n">
        <v>0</v>
      </c>
      <c r="ED298" s="16" t="n">
        <v>0</v>
      </c>
      <c r="EE298" s="16" t="n">
        <v>0</v>
      </c>
      <c r="EF298" s="16" t="n">
        <v>0</v>
      </c>
    </row>
    <row r="299" customFormat="false" ht="15" hidden="false" customHeight="true" outlineLevel="0" collapsed="false">
      <c r="A299" s="9" t="s">
        <v>12</v>
      </c>
      <c r="B299" s="9" t="s">
        <v>15</v>
      </c>
      <c r="C299" s="9" t="s">
        <v>15</v>
      </c>
      <c r="D299" s="9" t="s">
        <v>341</v>
      </c>
      <c r="E299" s="9" t="s">
        <v>16</v>
      </c>
      <c r="F299" s="9" t="s">
        <v>81</v>
      </c>
      <c r="G299" s="16" t="n">
        <v>0</v>
      </c>
      <c r="H299" s="16" t="n">
        <v>0</v>
      </c>
      <c r="I299" s="16" t="n">
        <v>73.5</v>
      </c>
      <c r="J299" s="16" t="n">
        <v>-73.5</v>
      </c>
      <c r="K299" s="16" t="n">
        <v>0</v>
      </c>
      <c r="L299" s="16" t="n">
        <v>0</v>
      </c>
      <c r="M299" s="16" t="n">
        <v>0</v>
      </c>
      <c r="N299" s="16" t="n">
        <v>0</v>
      </c>
      <c r="O299" s="16" t="n">
        <v>0</v>
      </c>
      <c r="P299" s="16" t="n">
        <v>0</v>
      </c>
      <c r="Q299" s="16" t="n">
        <v>0</v>
      </c>
      <c r="R299" s="16" t="n">
        <v>0</v>
      </c>
      <c r="S299" s="16" t="n">
        <v>0</v>
      </c>
      <c r="T299" s="16" t="n">
        <v>0</v>
      </c>
      <c r="U299" s="16" t="n">
        <v>0</v>
      </c>
      <c r="V299" s="16" t="n">
        <v>0</v>
      </c>
      <c r="W299" s="16" t="n">
        <v>0</v>
      </c>
      <c r="X299" s="16" t="n">
        <v>0</v>
      </c>
      <c r="Y299" s="16" t="n">
        <v>0</v>
      </c>
      <c r="Z299" s="16" t="n">
        <v>0</v>
      </c>
      <c r="AA299" s="16" t="n">
        <v>0</v>
      </c>
      <c r="AB299" s="16" t="n">
        <v>0</v>
      </c>
      <c r="AC299" s="16" t="n">
        <v>0</v>
      </c>
      <c r="AD299" s="16" t="n">
        <v>0</v>
      </c>
      <c r="AE299" s="16" t="n">
        <v>0</v>
      </c>
      <c r="AF299" s="16" t="n">
        <v>0</v>
      </c>
      <c r="AG299" s="16" t="n">
        <v>0</v>
      </c>
      <c r="AH299" s="16" t="n">
        <v>0</v>
      </c>
      <c r="AI299" s="16" t="n">
        <v>0</v>
      </c>
      <c r="AJ299" s="16" t="n">
        <v>0</v>
      </c>
      <c r="AK299" s="16" t="n">
        <v>0</v>
      </c>
      <c r="AL299" s="16" t="n">
        <v>0</v>
      </c>
      <c r="AM299" s="16" t="n">
        <v>0</v>
      </c>
      <c r="AN299" s="16" t="n">
        <v>0</v>
      </c>
      <c r="AO299" s="16" t="n">
        <v>0</v>
      </c>
      <c r="AP299" s="16" t="n">
        <v>1.5</v>
      </c>
      <c r="AQ299" s="16" t="n">
        <v>0</v>
      </c>
      <c r="AR299" s="16" t="n">
        <v>0</v>
      </c>
      <c r="AS299" s="16" t="n">
        <v>0</v>
      </c>
      <c r="AT299" s="16" t="n">
        <v>0</v>
      </c>
      <c r="AU299" s="16" t="n">
        <v>0</v>
      </c>
      <c r="AV299" s="16" t="n">
        <v>0</v>
      </c>
      <c r="AW299" s="16" t="n">
        <v>0</v>
      </c>
      <c r="AX299" s="16" t="n">
        <v>0</v>
      </c>
      <c r="AY299" s="16" t="n">
        <v>0</v>
      </c>
      <c r="AZ299" s="16" t="n">
        <v>0</v>
      </c>
      <c r="BA299" s="16" t="n">
        <v>0</v>
      </c>
      <c r="BB299" s="16" t="n">
        <v>0</v>
      </c>
      <c r="BC299" s="16" t="n">
        <v>0</v>
      </c>
      <c r="BD299" s="16" t="n">
        <v>0</v>
      </c>
      <c r="BE299" s="16" t="n">
        <v>0</v>
      </c>
      <c r="BF299" s="16" t="n">
        <v>0</v>
      </c>
      <c r="BG299" s="16" t="n">
        <v>0</v>
      </c>
      <c r="BH299" s="16" t="n">
        <v>0</v>
      </c>
      <c r="BI299" s="16" t="n">
        <v>0</v>
      </c>
      <c r="BJ299" s="16" t="n">
        <v>0</v>
      </c>
      <c r="BK299" s="16" t="n">
        <v>0</v>
      </c>
      <c r="BL299" s="16" t="n">
        <v>0</v>
      </c>
      <c r="BM299" s="16" t="n">
        <v>0</v>
      </c>
      <c r="BN299" s="16" t="n">
        <v>0</v>
      </c>
      <c r="BO299" s="16" t="n">
        <v>0</v>
      </c>
      <c r="BP299" s="16" t="n">
        <v>0</v>
      </c>
      <c r="BQ299" s="16" t="n">
        <v>0</v>
      </c>
      <c r="BR299" s="16" t="n">
        <v>0</v>
      </c>
      <c r="BS299" s="16" t="n">
        <v>0</v>
      </c>
      <c r="BT299" s="16" t="n">
        <v>0</v>
      </c>
      <c r="BU299" s="16" t="n">
        <v>0</v>
      </c>
      <c r="BV299" s="16" t="n">
        <v>0</v>
      </c>
      <c r="BW299" s="16" t="n">
        <v>0</v>
      </c>
      <c r="BX299" s="16" t="n">
        <v>0</v>
      </c>
      <c r="BY299" s="16" t="n">
        <v>0</v>
      </c>
      <c r="BZ299" s="16" t="n">
        <v>0</v>
      </c>
      <c r="CA299" s="16" t="n">
        <v>0</v>
      </c>
      <c r="CB299" s="16" t="n">
        <v>0</v>
      </c>
      <c r="CC299" s="16" t="n">
        <v>0</v>
      </c>
      <c r="CD299" s="16" t="n">
        <v>0</v>
      </c>
      <c r="CE299" s="16" t="n">
        <v>0</v>
      </c>
      <c r="CF299" s="16" t="n">
        <v>0</v>
      </c>
      <c r="CG299" s="16" t="n">
        <v>0</v>
      </c>
      <c r="CH299" s="16" t="n">
        <v>0</v>
      </c>
      <c r="CI299" s="16" t="n">
        <v>0</v>
      </c>
      <c r="CJ299" s="16" t="n">
        <v>0</v>
      </c>
      <c r="CK299" s="16" t="n">
        <v>0</v>
      </c>
      <c r="CL299" s="16" t="n">
        <v>0</v>
      </c>
      <c r="CM299" s="16" t="n">
        <v>0</v>
      </c>
      <c r="CN299" s="16" t="n">
        <v>0</v>
      </c>
      <c r="CO299" s="16" t="n">
        <v>0</v>
      </c>
      <c r="CP299" s="16" t="n">
        <v>0</v>
      </c>
      <c r="CQ299" s="16" t="n">
        <v>0</v>
      </c>
      <c r="CR299" s="16" t="n">
        <v>0</v>
      </c>
      <c r="CS299" s="16" t="n">
        <v>1.3</v>
      </c>
      <c r="CT299" s="16" t="n">
        <v>11.5</v>
      </c>
      <c r="CU299" s="16" t="n">
        <v>0</v>
      </c>
      <c r="CV299" s="16" t="n">
        <v>0</v>
      </c>
      <c r="CW299" s="16" t="n">
        <v>0</v>
      </c>
      <c r="CX299" s="16" t="n">
        <v>0</v>
      </c>
      <c r="CY299" s="16" t="n">
        <v>0</v>
      </c>
      <c r="CZ299" s="16" t="n">
        <v>0</v>
      </c>
      <c r="DA299" s="16" t="n">
        <v>2</v>
      </c>
      <c r="DB299" s="16" t="n">
        <v>0</v>
      </c>
      <c r="DC299" s="16" t="n">
        <v>2.3</v>
      </c>
      <c r="DD299" s="16" t="n">
        <v>1.9</v>
      </c>
      <c r="DE299" s="16" t="n">
        <v>1</v>
      </c>
      <c r="DF299" s="16" t="n">
        <v>8.8</v>
      </c>
      <c r="DG299" s="16" t="n">
        <v>1.4</v>
      </c>
      <c r="DH299" s="16" t="n">
        <v>0</v>
      </c>
      <c r="DI299" s="16" t="n">
        <v>0</v>
      </c>
      <c r="DJ299" s="16" t="n">
        <v>0</v>
      </c>
      <c r="DK299" s="16" t="n">
        <v>0</v>
      </c>
      <c r="DL299" s="16" t="n">
        <v>0</v>
      </c>
      <c r="DM299" s="16" t="n">
        <v>0</v>
      </c>
      <c r="DN299" s="16" t="n">
        <v>1</v>
      </c>
      <c r="DO299" s="16" t="n">
        <v>3.4</v>
      </c>
      <c r="DP299" s="16" t="n">
        <v>7.9</v>
      </c>
      <c r="DQ299" s="16" t="n">
        <v>13.7</v>
      </c>
      <c r="DR299" s="16" t="n">
        <v>15.8</v>
      </c>
      <c r="DS299" s="16" t="n">
        <v>0</v>
      </c>
      <c r="DT299" s="16" t="n">
        <v>0</v>
      </c>
      <c r="DU299" s="16" t="n">
        <v>0</v>
      </c>
      <c r="DV299" s="16" t="n">
        <v>0</v>
      </c>
      <c r="DW299" s="16" t="n">
        <v>0</v>
      </c>
      <c r="DX299" s="16" t="n">
        <v>0</v>
      </c>
      <c r="DY299" s="16" t="n">
        <v>0</v>
      </c>
      <c r="DZ299" s="16" t="n">
        <v>0</v>
      </c>
      <c r="EA299" s="16" t="n">
        <v>0</v>
      </c>
      <c r="EB299" s="16" t="n">
        <v>0</v>
      </c>
      <c r="EC299" s="16" t="n">
        <v>0</v>
      </c>
      <c r="ED299" s="16" t="n">
        <v>0</v>
      </c>
      <c r="EE299" s="16" t="n">
        <v>0</v>
      </c>
      <c r="EF299" s="16" t="n">
        <v>0</v>
      </c>
    </row>
    <row r="300" customFormat="false" ht="15" hidden="false" customHeight="true" outlineLevel="0" collapsed="false">
      <c r="A300" s="9" t="s">
        <v>12</v>
      </c>
      <c r="B300" s="9" t="s">
        <v>15</v>
      </c>
      <c r="C300" s="9" t="s">
        <v>15</v>
      </c>
      <c r="D300" s="9" t="s">
        <v>340</v>
      </c>
      <c r="E300" s="9" t="s">
        <v>16</v>
      </c>
      <c r="F300" s="9" t="s">
        <v>81</v>
      </c>
      <c r="G300" s="16" t="n">
        <v>21.1</v>
      </c>
      <c r="H300" s="16" t="n">
        <v>93.1</v>
      </c>
      <c r="I300" s="16" t="n">
        <v>0</v>
      </c>
      <c r="J300" s="16" t="n">
        <v>93.1</v>
      </c>
      <c r="K300" s="16" t="n">
        <v>0</v>
      </c>
      <c r="L300" s="16" t="n">
        <v>0</v>
      </c>
      <c r="M300" s="16" t="n">
        <v>0</v>
      </c>
      <c r="N300" s="16" t="n">
        <v>0</v>
      </c>
      <c r="O300" s="16" t="n">
        <v>0</v>
      </c>
      <c r="P300" s="16" t="n">
        <v>0</v>
      </c>
      <c r="Q300" s="16" t="n">
        <v>0</v>
      </c>
      <c r="R300" s="16" t="n">
        <v>0</v>
      </c>
      <c r="S300" s="16" t="n">
        <v>0</v>
      </c>
      <c r="T300" s="16" t="n">
        <v>0</v>
      </c>
      <c r="U300" s="16" t="n">
        <v>0</v>
      </c>
      <c r="V300" s="16" t="n">
        <v>0</v>
      </c>
      <c r="W300" s="16" t="n">
        <v>0</v>
      </c>
      <c r="X300" s="16" t="n">
        <v>0</v>
      </c>
      <c r="Y300" s="16" t="n">
        <v>0</v>
      </c>
      <c r="Z300" s="16" t="n">
        <v>0</v>
      </c>
      <c r="AA300" s="16" t="n">
        <v>0</v>
      </c>
      <c r="AB300" s="16" t="n">
        <v>0</v>
      </c>
      <c r="AC300" s="16" t="n">
        <v>0</v>
      </c>
      <c r="AD300" s="16" t="n">
        <v>0</v>
      </c>
      <c r="AE300" s="16" t="n">
        <v>0</v>
      </c>
      <c r="AF300" s="16" t="n">
        <v>0</v>
      </c>
      <c r="AG300" s="16" t="n">
        <v>0</v>
      </c>
      <c r="AH300" s="16" t="n">
        <v>0</v>
      </c>
      <c r="AI300" s="16" t="n">
        <v>0</v>
      </c>
      <c r="AJ300" s="16" t="n">
        <v>0</v>
      </c>
      <c r="AK300" s="16" t="n">
        <v>0</v>
      </c>
      <c r="AL300" s="16" t="n">
        <v>0</v>
      </c>
      <c r="AM300" s="16" t="n">
        <v>0</v>
      </c>
      <c r="AN300" s="16" t="n">
        <v>0</v>
      </c>
      <c r="AO300" s="16" t="n">
        <v>0</v>
      </c>
      <c r="AP300" s="16" t="n">
        <v>0</v>
      </c>
      <c r="AQ300" s="16" t="n">
        <v>0</v>
      </c>
      <c r="AR300" s="16" t="n">
        <v>0</v>
      </c>
      <c r="AS300" s="16" t="n">
        <v>0</v>
      </c>
      <c r="AT300" s="16" t="n">
        <v>0</v>
      </c>
      <c r="AU300" s="16" t="n">
        <v>0</v>
      </c>
      <c r="AV300" s="16" t="n">
        <v>0</v>
      </c>
      <c r="AW300" s="16" t="n">
        <v>0</v>
      </c>
      <c r="AX300" s="16" t="n">
        <v>0</v>
      </c>
      <c r="AY300" s="16" t="n">
        <v>0</v>
      </c>
      <c r="AZ300" s="16" t="n">
        <v>0</v>
      </c>
      <c r="BA300" s="16" t="n">
        <v>0</v>
      </c>
      <c r="BB300" s="16" t="n">
        <v>0</v>
      </c>
      <c r="BC300" s="16" t="n">
        <v>0</v>
      </c>
      <c r="BD300" s="16" t="n">
        <v>0</v>
      </c>
      <c r="BE300" s="16" t="n">
        <v>0</v>
      </c>
      <c r="BF300" s="16" t="n">
        <v>0</v>
      </c>
      <c r="BG300" s="16" t="n">
        <v>0</v>
      </c>
      <c r="BH300" s="16" t="n">
        <v>0</v>
      </c>
      <c r="BI300" s="16" t="n">
        <v>0</v>
      </c>
      <c r="BJ300" s="16" t="n">
        <v>0</v>
      </c>
      <c r="BK300" s="16" t="n">
        <v>0</v>
      </c>
      <c r="BL300" s="16" t="n">
        <v>0</v>
      </c>
      <c r="BM300" s="16" t="n">
        <v>0</v>
      </c>
      <c r="BN300" s="16" t="n">
        <v>0</v>
      </c>
      <c r="BO300" s="16" t="n">
        <v>0</v>
      </c>
      <c r="BP300" s="16" t="n">
        <v>0</v>
      </c>
      <c r="BQ300" s="16" t="n">
        <v>0</v>
      </c>
      <c r="BR300" s="16" t="n">
        <v>0</v>
      </c>
      <c r="BS300" s="16" t="n">
        <v>0</v>
      </c>
      <c r="BT300" s="16" t="n">
        <v>0</v>
      </c>
      <c r="BU300" s="16" t="n">
        <v>0</v>
      </c>
      <c r="BV300" s="16" t="n">
        <v>0</v>
      </c>
      <c r="BW300" s="16" t="n">
        <v>0</v>
      </c>
      <c r="BX300" s="16" t="n">
        <v>0</v>
      </c>
      <c r="BY300" s="16" t="n">
        <v>0</v>
      </c>
      <c r="BZ300" s="16" t="n">
        <v>0</v>
      </c>
      <c r="CA300" s="16" t="n">
        <v>0</v>
      </c>
      <c r="CB300" s="16" t="n">
        <v>0</v>
      </c>
      <c r="CC300" s="16" t="n">
        <v>0</v>
      </c>
      <c r="CD300" s="16" t="n">
        <v>0</v>
      </c>
      <c r="CE300" s="16" t="n">
        <v>0</v>
      </c>
      <c r="CF300" s="16" t="n">
        <v>0</v>
      </c>
      <c r="CG300" s="16" t="n">
        <v>0</v>
      </c>
      <c r="CH300" s="16" t="n">
        <v>0</v>
      </c>
      <c r="CI300" s="16" t="n">
        <v>0</v>
      </c>
      <c r="CJ300" s="16" t="n">
        <v>0</v>
      </c>
      <c r="CK300" s="16" t="n">
        <v>0</v>
      </c>
      <c r="CL300" s="16" t="n">
        <v>0</v>
      </c>
      <c r="CM300" s="16" t="n">
        <v>0</v>
      </c>
      <c r="CN300" s="16" t="n">
        <v>0</v>
      </c>
      <c r="CO300" s="16" t="n">
        <v>0</v>
      </c>
      <c r="CP300" s="16" t="n">
        <v>0</v>
      </c>
      <c r="CQ300" s="16" t="n">
        <v>0</v>
      </c>
      <c r="CR300" s="16" t="n">
        <v>0</v>
      </c>
      <c r="CS300" s="16" t="n">
        <v>0</v>
      </c>
      <c r="CT300" s="16" t="n">
        <v>0</v>
      </c>
      <c r="CU300" s="16" t="n">
        <v>0</v>
      </c>
      <c r="CV300" s="16" t="n">
        <v>0</v>
      </c>
      <c r="CW300" s="16" t="n">
        <v>0</v>
      </c>
      <c r="CX300" s="16" t="n">
        <v>0</v>
      </c>
      <c r="CY300" s="16" t="n">
        <v>0</v>
      </c>
      <c r="CZ300" s="16" t="n">
        <v>0</v>
      </c>
      <c r="DA300" s="16" t="n">
        <v>0</v>
      </c>
      <c r="DB300" s="16" t="n">
        <v>0</v>
      </c>
      <c r="DC300" s="16" t="n">
        <v>0</v>
      </c>
      <c r="DD300" s="16" t="n">
        <v>0</v>
      </c>
      <c r="DE300" s="16" t="n">
        <v>0</v>
      </c>
      <c r="DF300" s="16" t="n">
        <v>0</v>
      </c>
      <c r="DG300" s="16" t="n">
        <v>0</v>
      </c>
      <c r="DH300" s="16" t="n">
        <v>0</v>
      </c>
      <c r="DI300" s="16" t="n">
        <v>0</v>
      </c>
      <c r="DJ300" s="16" t="n">
        <v>0</v>
      </c>
      <c r="DK300" s="16" t="n">
        <v>0</v>
      </c>
      <c r="DL300" s="16" t="n">
        <v>0</v>
      </c>
      <c r="DM300" s="16" t="n">
        <v>0</v>
      </c>
      <c r="DN300" s="16" t="n">
        <v>0</v>
      </c>
      <c r="DO300" s="16" t="n">
        <v>0</v>
      </c>
      <c r="DP300" s="16" t="n">
        <v>0</v>
      </c>
      <c r="DQ300" s="16" t="n">
        <v>0</v>
      </c>
      <c r="DR300" s="16" t="n">
        <v>0</v>
      </c>
      <c r="DS300" s="16" t="n">
        <v>0</v>
      </c>
      <c r="DT300" s="16" t="n">
        <v>0</v>
      </c>
      <c r="DU300" s="16" t="n">
        <v>0</v>
      </c>
      <c r="DV300" s="16" t="n">
        <v>0</v>
      </c>
      <c r="DW300" s="16" t="n">
        <v>0</v>
      </c>
      <c r="DX300" s="16" t="n">
        <v>0</v>
      </c>
      <c r="DY300" s="16" t="n">
        <v>0</v>
      </c>
      <c r="DZ300" s="16" t="n">
        <v>0</v>
      </c>
      <c r="EA300" s="16" t="n">
        <v>0</v>
      </c>
      <c r="EB300" s="16" t="n">
        <v>0</v>
      </c>
      <c r="EC300" s="16" t="n">
        <v>0</v>
      </c>
      <c r="ED300" s="16" t="n">
        <v>0</v>
      </c>
      <c r="EE300" s="16" t="n">
        <v>0</v>
      </c>
      <c r="EF300" s="16" t="n">
        <v>0</v>
      </c>
    </row>
    <row r="301" customFormat="false" ht="15" hidden="false" customHeight="true" outlineLevel="0" collapsed="false">
      <c r="A301" s="9" t="s">
        <v>12</v>
      </c>
      <c r="B301" s="9" t="s">
        <v>15</v>
      </c>
      <c r="C301" s="9" t="s">
        <v>15</v>
      </c>
      <c r="D301" s="9" t="s">
        <v>341</v>
      </c>
      <c r="E301" s="9" t="s">
        <v>16</v>
      </c>
      <c r="F301" s="9" t="s">
        <v>94</v>
      </c>
      <c r="G301" s="16" t="n">
        <v>0</v>
      </c>
      <c r="H301" s="16" t="n">
        <v>0</v>
      </c>
      <c r="I301" s="16" t="n">
        <v>52.2</v>
      </c>
      <c r="J301" s="16" t="n">
        <v>-52.2</v>
      </c>
      <c r="K301" s="16" t="n">
        <v>0</v>
      </c>
      <c r="L301" s="16" t="n">
        <v>0</v>
      </c>
      <c r="M301" s="16" t="n">
        <v>0</v>
      </c>
      <c r="N301" s="16" t="n">
        <v>0</v>
      </c>
      <c r="O301" s="16" t="n">
        <v>0</v>
      </c>
      <c r="P301" s="16" t="n">
        <v>0</v>
      </c>
      <c r="Q301" s="16" t="n">
        <v>0</v>
      </c>
      <c r="R301" s="16" t="n">
        <v>0</v>
      </c>
      <c r="S301" s="16" t="n">
        <v>0</v>
      </c>
      <c r="T301" s="16" t="n">
        <v>0</v>
      </c>
      <c r="U301" s="16" t="n">
        <v>0</v>
      </c>
      <c r="V301" s="16" t="n">
        <v>0</v>
      </c>
      <c r="W301" s="16" t="n">
        <v>0</v>
      </c>
      <c r="X301" s="16" t="n">
        <v>0</v>
      </c>
      <c r="Y301" s="16" t="n">
        <v>0</v>
      </c>
      <c r="Z301" s="16" t="n">
        <v>0</v>
      </c>
      <c r="AA301" s="16" t="n">
        <v>0</v>
      </c>
      <c r="AB301" s="16" t="n">
        <v>0</v>
      </c>
      <c r="AC301" s="16" t="n">
        <v>0</v>
      </c>
      <c r="AD301" s="16" t="n">
        <v>0</v>
      </c>
      <c r="AE301" s="16" t="n">
        <v>0</v>
      </c>
      <c r="AF301" s="16" t="n">
        <v>0</v>
      </c>
      <c r="AG301" s="16" t="n">
        <v>0</v>
      </c>
      <c r="AH301" s="16" t="n">
        <v>0</v>
      </c>
      <c r="AI301" s="16" t="n">
        <v>0</v>
      </c>
      <c r="AJ301" s="16" t="n">
        <v>0</v>
      </c>
      <c r="AK301" s="16" t="n">
        <v>0</v>
      </c>
      <c r="AL301" s="16" t="n">
        <v>0</v>
      </c>
      <c r="AM301" s="16" t="n">
        <v>0</v>
      </c>
      <c r="AN301" s="16" t="n">
        <v>0</v>
      </c>
      <c r="AO301" s="16" t="n">
        <v>2</v>
      </c>
      <c r="AP301" s="16" t="n">
        <v>4.5</v>
      </c>
      <c r="AQ301" s="16" t="n">
        <v>0</v>
      </c>
      <c r="AR301" s="16" t="n">
        <v>0</v>
      </c>
      <c r="AS301" s="16" t="n">
        <v>0</v>
      </c>
      <c r="AT301" s="16" t="n">
        <v>0</v>
      </c>
      <c r="AU301" s="16" t="n">
        <v>0</v>
      </c>
      <c r="AV301" s="16" t="n">
        <v>0</v>
      </c>
      <c r="AW301" s="16" t="n">
        <v>0</v>
      </c>
      <c r="AX301" s="16" t="n">
        <v>0</v>
      </c>
      <c r="AY301" s="16" t="n">
        <v>0</v>
      </c>
      <c r="AZ301" s="16" t="n">
        <v>0</v>
      </c>
      <c r="BA301" s="16" t="n">
        <v>0</v>
      </c>
      <c r="BB301" s="16" t="n">
        <v>0</v>
      </c>
      <c r="BC301" s="16" t="n">
        <v>0</v>
      </c>
      <c r="BD301" s="16" t="n">
        <v>0</v>
      </c>
      <c r="BE301" s="16" t="n">
        <v>0</v>
      </c>
      <c r="BF301" s="16" t="n">
        <v>0</v>
      </c>
      <c r="BG301" s="16" t="n">
        <v>0</v>
      </c>
      <c r="BH301" s="16" t="n">
        <v>0</v>
      </c>
      <c r="BI301" s="16" t="n">
        <v>0</v>
      </c>
      <c r="BJ301" s="16" t="n">
        <v>0</v>
      </c>
      <c r="BK301" s="16" t="n">
        <v>0</v>
      </c>
      <c r="BL301" s="16" t="n">
        <v>0</v>
      </c>
      <c r="BM301" s="16" t="n">
        <v>0</v>
      </c>
      <c r="BN301" s="16" t="n">
        <v>0</v>
      </c>
      <c r="BO301" s="16" t="n">
        <v>0</v>
      </c>
      <c r="BP301" s="16" t="n">
        <v>0</v>
      </c>
      <c r="BQ301" s="16" t="n">
        <v>0</v>
      </c>
      <c r="BR301" s="16" t="n">
        <v>0</v>
      </c>
      <c r="BS301" s="16" t="n">
        <v>0</v>
      </c>
      <c r="BT301" s="16" t="n">
        <v>0</v>
      </c>
      <c r="BU301" s="16" t="n">
        <v>0</v>
      </c>
      <c r="BV301" s="16" t="n">
        <v>0</v>
      </c>
      <c r="BW301" s="16" t="n">
        <v>0</v>
      </c>
      <c r="BX301" s="16" t="n">
        <v>0</v>
      </c>
      <c r="BY301" s="16" t="n">
        <v>0</v>
      </c>
      <c r="BZ301" s="16" t="n">
        <v>0</v>
      </c>
      <c r="CA301" s="16" t="n">
        <v>0</v>
      </c>
      <c r="CB301" s="16" t="n">
        <v>0</v>
      </c>
      <c r="CC301" s="16" t="n">
        <v>0</v>
      </c>
      <c r="CD301" s="16" t="n">
        <v>0</v>
      </c>
      <c r="CE301" s="16" t="n">
        <v>0</v>
      </c>
      <c r="CF301" s="16" t="n">
        <v>0</v>
      </c>
      <c r="CG301" s="16" t="n">
        <v>0</v>
      </c>
      <c r="CH301" s="16" t="n">
        <v>0</v>
      </c>
      <c r="CI301" s="16" t="n">
        <v>0</v>
      </c>
      <c r="CJ301" s="16" t="n">
        <v>0</v>
      </c>
      <c r="CK301" s="16" t="n">
        <v>0</v>
      </c>
      <c r="CL301" s="16" t="n">
        <v>0</v>
      </c>
      <c r="CM301" s="16" t="n">
        <v>0</v>
      </c>
      <c r="CN301" s="16" t="n">
        <v>0</v>
      </c>
      <c r="CO301" s="16" t="n">
        <v>0</v>
      </c>
      <c r="CP301" s="16" t="n">
        <v>0</v>
      </c>
      <c r="CQ301" s="16" t="n">
        <v>0</v>
      </c>
      <c r="CR301" s="16" t="n">
        <v>0</v>
      </c>
      <c r="CS301" s="16" t="n">
        <v>0</v>
      </c>
      <c r="CT301" s="16" t="n">
        <v>0.3</v>
      </c>
      <c r="CU301" s="16" t="n">
        <v>0</v>
      </c>
      <c r="CV301" s="16" t="n">
        <v>0</v>
      </c>
      <c r="CW301" s="16" t="n">
        <v>0</v>
      </c>
      <c r="CX301" s="16" t="n">
        <v>0.2</v>
      </c>
      <c r="CY301" s="16" t="n">
        <v>0</v>
      </c>
      <c r="CZ301" s="16" t="n">
        <v>0</v>
      </c>
      <c r="DA301" s="16" t="n">
        <v>1</v>
      </c>
      <c r="DB301" s="16" t="n">
        <v>0</v>
      </c>
      <c r="DC301" s="16" t="n">
        <v>0</v>
      </c>
      <c r="DD301" s="16" t="n">
        <v>2</v>
      </c>
      <c r="DE301" s="16" t="n">
        <v>0</v>
      </c>
      <c r="DF301" s="16" t="n">
        <v>1</v>
      </c>
      <c r="DG301" s="16" t="n">
        <v>0</v>
      </c>
      <c r="DH301" s="16" t="n">
        <v>0</v>
      </c>
      <c r="DI301" s="16" t="n">
        <v>0</v>
      </c>
      <c r="DJ301" s="16" t="n">
        <v>0</v>
      </c>
      <c r="DK301" s="16" t="n">
        <v>0</v>
      </c>
      <c r="DL301" s="16" t="n">
        <v>1</v>
      </c>
      <c r="DM301" s="16" t="n">
        <v>5.2</v>
      </c>
      <c r="DN301" s="16" t="n">
        <v>8</v>
      </c>
      <c r="DO301" s="16" t="n">
        <v>8</v>
      </c>
      <c r="DP301" s="16" t="n">
        <v>5</v>
      </c>
      <c r="DQ301" s="16" t="n">
        <v>14</v>
      </c>
      <c r="DR301" s="16" t="n">
        <v>0</v>
      </c>
      <c r="DS301" s="16" t="n">
        <v>0</v>
      </c>
      <c r="DT301" s="16" t="n">
        <v>0</v>
      </c>
      <c r="DU301" s="16" t="n">
        <v>0</v>
      </c>
      <c r="DV301" s="16" t="n">
        <v>0</v>
      </c>
      <c r="DW301" s="16" t="n">
        <v>0</v>
      </c>
      <c r="DX301" s="16" t="n">
        <v>0</v>
      </c>
      <c r="DY301" s="16" t="n">
        <v>0</v>
      </c>
      <c r="DZ301" s="16" t="n">
        <v>0</v>
      </c>
      <c r="EA301" s="16" t="n">
        <v>0</v>
      </c>
      <c r="EB301" s="16" t="n">
        <v>0</v>
      </c>
      <c r="EC301" s="16" t="n">
        <v>0</v>
      </c>
      <c r="ED301" s="16" t="n">
        <v>0</v>
      </c>
      <c r="EE301" s="16" t="n">
        <v>0</v>
      </c>
      <c r="EF301" s="16" t="n">
        <v>0</v>
      </c>
    </row>
    <row r="302" customFormat="false" ht="15" hidden="false" customHeight="true" outlineLevel="0" collapsed="false">
      <c r="A302" s="9" t="s">
        <v>12</v>
      </c>
      <c r="B302" s="9" t="s">
        <v>15</v>
      </c>
      <c r="C302" s="9" t="s">
        <v>15</v>
      </c>
      <c r="D302" s="9" t="s">
        <v>340</v>
      </c>
      <c r="E302" s="9" t="s">
        <v>16</v>
      </c>
      <c r="F302" s="9" t="s">
        <v>94</v>
      </c>
      <c r="G302" s="16" t="n">
        <v>25.1</v>
      </c>
      <c r="H302" s="16" t="n">
        <v>70.8</v>
      </c>
      <c r="I302" s="16" t="n">
        <v>11</v>
      </c>
      <c r="J302" s="16" t="n">
        <v>59.8</v>
      </c>
      <c r="K302" s="16" t="n">
        <v>0</v>
      </c>
      <c r="L302" s="16" t="n">
        <v>0</v>
      </c>
      <c r="M302" s="16" t="n">
        <v>0</v>
      </c>
      <c r="N302" s="16" t="n">
        <v>0</v>
      </c>
      <c r="O302" s="16" t="n">
        <v>0</v>
      </c>
      <c r="P302" s="16" t="n">
        <v>0</v>
      </c>
      <c r="Q302" s="16" t="n">
        <v>0</v>
      </c>
      <c r="R302" s="16" t="n">
        <v>0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0</v>
      </c>
      <c r="X302" s="16" t="n">
        <v>0</v>
      </c>
      <c r="Y302" s="16" t="n">
        <v>0</v>
      </c>
      <c r="Z302" s="16" t="n">
        <v>0</v>
      </c>
      <c r="AA302" s="16" t="n">
        <v>0</v>
      </c>
      <c r="AB302" s="16" t="n">
        <v>0</v>
      </c>
      <c r="AC302" s="16" t="n">
        <v>1.5</v>
      </c>
      <c r="AD302" s="16" t="n">
        <v>1.5</v>
      </c>
      <c r="AE302" s="16" t="n">
        <v>0</v>
      </c>
      <c r="AF302" s="16" t="n">
        <v>0.5</v>
      </c>
      <c r="AG302" s="16" t="n">
        <v>0</v>
      </c>
      <c r="AH302" s="16" t="n">
        <v>0</v>
      </c>
      <c r="AI302" s="16" t="n">
        <v>7</v>
      </c>
      <c r="AJ302" s="16" t="n">
        <v>0.5</v>
      </c>
      <c r="AK302" s="16" t="n">
        <v>0</v>
      </c>
      <c r="AL302" s="16" t="n">
        <v>0</v>
      </c>
      <c r="AM302" s="16" t="n">
        <v>0</v>
      </c>
      <c r="AN302" s="16" t="n">
        <v>0</v>
      </c>
      <c r="AO302" s="16" t="n">
        <v>0</v>
      </c>
      <c r="AP302" s="16" t="n">
        <v>0</v>
      </c>
      <c r="AQ302" s="16" t="n">
        <v>0</v>
      </c>
      <c r="AR302" s="16" t="n">
        <v>0</v>
      </c>
      <c r="AS302" s="16" t="n">
        <v>0</v>
      </c>
      <c r="AT302" s="16" t="n">
        <v>0</v>
      </c>
      <c r="AU302" s="16" t="n">
        <v>0</v>
      </c>
      <c r="AV302" s="16" t="n">
        <v>0</v>
      </c>
      <c r="AW302" s="16" t="n">
        <v>0</v>
      </c>
      <c r="AX302" s="16" t="n">
        <v>0</v>
      </c>
      <c r="AY302" s="16" t="n">
        <v>0</v>
      </c>
      <c r="AZ302" s="16" t="n">
        <v>0</v>
      </c>
      <c r="BA302" s="16" t="n">
        <v>0</v>
      </c>
      <c r="BB302" s="16" t="n">
        <v>0</v>
      </c>
      <c r="BC302" s="16" t="n">
        <v>0</v>
      </c>
      <c r="BD302" s="16" t="n">
        <v>0</v>
      </c>
      <c r="BE302" s="16" t="n">
        <v>0</v>
      </c>
      <c r="BF302" s="16" t="n">
        <v>0</v>
      </c>
      <c r="BG302" s="16" t="n">
        <v>0</v>
      </c>
      <c r="BH302" s="16" t="n">
        <v>0</v>
      </c>
      <c r="BI302" s="16" t="n">
        <v>0</v>
      </c>
      <c r="BJ302" s="16" t="n">
        <v>0</v>
      </c>
      <c r="BK302" s="16" t="n">
        <v>0</v>
      </c>
      <c r="BL302" s="16" t="n">
        <v>0</v>
      </c>
      <c r="BM302" s="16" t="n">
        <v>0</v>
      </c>
      <c r="BN302" s="16" t="n">
        <v>0</v>
      </c>
      <c r="BO302" s="16" t="n">
        <v>0</v>
      </c>
      <c r="BP302" s="16" t="n">
        <v>0</v>
      </c>
      <c r="BQ302" s="16" t="n">
        <v>0</v>
      </c>
      <c r="BR302" s="16" t="n">
        <v>0</v>
      </c>
      <c r="BS302" s="16" t="n">
        <v>0</v>
      </c>
      <c r="BT302" s="16" t="n">
        <v>0</v>
      </c>
      <c r="BU302" s="16" t="n">
        <v>0</v>
      </c>
      <c r="BV302" s="16" t="n">
        <v>0</v>
      </c>
      <c r="BW302" s="16" t="n">
        <v>0</v>
      </c>
      <c r="BX302" s="16" t="n">
        <v>0</v>
      </c>
      <c r="BY302" s="16" t="n">
        <v>0</v>
      </c>
      <c r="BZ302" s="16" t="n">
        <v>0</v>
      </c>
      <c r="CA302" s="16" t="n">
        <v>0</v>
      </c>
      <c r="CB302" s="16" t="n">
        <v>0</v>
      </c>
      <c r="CC302" s="16" t="n">
        <v>0</v>
      </c>
      <c r="CD302" s="16" t="n">
        <v>0</v>
      </c>
      <c r="CE302" s="16" t="n">
        <v>0</v>
      </c>
      <c r="CF302" s="16" t="n">
        <v>0</v>
      </c>
      <c r="CG302" s="16" t="n">
        <v>0</v>
      </c>
      <c r="CH302" s="16" t="n">
        <v>0</v>
      </c>
      <c r="CI302" s="16" t="n">
        <v>0</v>
      </c>
      <c r="CJ302" s="16" t="n">
        <v>0</v>
      </c>
      <c r="CK302" s="16" t="n">
        <v>0</v>
      </c>
      <c r="CL302" s="16" t="n">
        <v>0</v>
      </c>
      <c r="CM302" s="16" t="n">
        <v>0</v>
      </c>
      <c r="CN302" s="16" t="n">
        <v>0</v>
      </c>
      <c r="CO302" s="16" t="n">
        <v>0</v>
      </c>
      <c r="CP302" s="16" t="n">
        <v>0</v>
      </c>
      <c r="CQ302" s="16" t="n">
        <v>0</v>
      </c>
      <c r="CR302" s="16" t="n">
        <v>0</v>
      </c>
      <c r="CS302" s="16" t="n">
        <v>0</v>
      </c>
      <c r="CT302" s="16" t="n">
        <v>0</v>
      </c>
      <c r="CU302" s="16" t="n">
        <v>0</v>
      </c>
      <c r="CV302" s="16" t="n">
        <v>0</v>
      </c>
      <c r="CW302" s="16" t="n">
        <v>0</v>
      </c>
      <c r="CX302" s="16" t="n">
        <v>0</v>
      </c>
      <c r="CY302" s="16" t="n">
        <v>0</v>
      </c>
      <c r="CZ302" s="16" t="n">
        <v>0</v>
      </c>
      <c r="DA302" s="16" t="n">
        <v>0</v>
      </c>
      <c r="DB302" s="16" t="n">
        <v>0</v>
      </c>
      <c r="DC302" s="16" t="n">
        <v>0</v>
      </c>
      <c r="DD302" s="16" t="n">
        <v>0</v>
      </c>
      <c r="DE302" s="16" t="n">
        <v>0</v>
      </c>
      <c r="DF302" s="16" t="n">
        <v>0</v>
      </c>
      <c r="DG302" s="16" t="n">
        <v>0</v>
      </c>
      <c r="DH302" s="16" t="n">
        <v>0</v>
      </c>
      <c r="DI302" s="16" t="n">
        <v>0</v>
      </c>
      <c r="DJ302" s="16" t="n">
        <v>0</v>
      </c>
      <c r="DK302" s="16" t="n">
        <v>0</v>
      </c>
      <c r="DL302" s="16" t="n">
        <v>0</v>
      </c>
      <c r="DM302" s="16" t="n">
        <v>0</v>
      </c>
      <c r="DN302" s="16" t="n">
        <v>0</v>
      </c>
      <c r="DO302" s="16" t="n">
        <v>0</v>
      </c>
      <c r="DP302" s="16" t="n">
        <v>0</v>
      </c>
      <c r="DQ302" s="16" t="n">
        <v>0</v>
      </c>
      <c r="DR302" s="16" t="n">
        <v>0</v>
      </c>
      <c r="DS302" s="16" t="n">
        <v>0</v>
      </c>
      <c r="DT302" s="16" t="n">
        <v>0</v>
      </c>
      <c r="DU302" s="16" t="n">
        <v>0</v>
      </c>
      <c r="DV302" s="16" t="n">
        <v>0</v>
      </c>
      <c r="DW302" s="16" t="n">
        <v>0</v>
      </c>
      <c r="DX302" s="16" t="n">
        <v>0</v>
      </c>
      <c r="DY302" s="16" t="n">
        <v>0</v>
      </c>
      <c r="DZ302" s="16" t="n">
        <v>0</v>
      </c>
      <c r="EA302" s="16" t="n">
        <v>0</v>
      </c>
      <c r="EB302" s="16" t="n">
        <v>0</v>
      </c>
      <c r="EC302" s="16" t="n">
        <v>0</v>
      </c>
      <c r="ED302" s="16" t="n">
        <v>0</v>
      </c>
      <c r="EE302" s="16" t="n">
        <v>0</v>
      </c>
      <c r="EF302" s="16" t="n">
        <v>0</v>
      </c>
    </row>
    <row r="303" customFormat="false" ht="15" hidden="false" customHeight="true" outlineLevel="0" collapsed="false">
      <c r="A303" s="9" t="s">
        <v>12</v>
      </c>
      <c r="B303" s="9" t="s">
        <v>15</v>
      </c>
      <c r="C303" s="9" t="s">
        <v>15</v>
      </c>
      <c r="D303" s="9" t="s">
        <v>341</v>
      </c>
      <c r="E303" s="9" t="s">
        <v>16</v>
      </c>
      <c r="F303" s="9" t="s">
        <v>95</v>
      </c>
      <c r="G303" s="16" t="n">
        <v>0</v>
      </c>
      <c r="H303" s="16" t="n">
        <v>0</v>
      </c>
      <c r="I303" s="16" t="n">
        <v>172.5</v>
      </c>
      <c r="J303" s="16" t="n">
        <v>-172.5</v>
      </c>
      <c r="K303" s="16" t="n">
        <v>0</v>
      </c>
      <c r="L303" s="16" t="n">
        <v>0</v>
      </c>
      <c r="M303" s="16" t="n">
        <v>0</v>
      </c>
      <c r="N303" s="16" t="n">
        <v>0</v>
      </c>
      <c r="O303" s="16" t="n">
        <v>0</v>
      </c>
      <c r="P303" s="16" t="n">
        <v>0</v>
      </c>
      <c r="Q303" s="16" t="n">
        <v>0</v>
      </c>
      <c r="R303" s="16" t="n">
        <v>0</v>
      </c>
      <c r="S303" s="16" t="n">
        <v>0</v>
      </c>
      <c r="T303" s="16" t="n">
        <v>0</v>
      </c>
      <c r="U303" s="16" t="n">
        <v>0</v>
      </c>
      <c r="V303" s="16" t="n">
        <v>0</v>
      </c>
      <c r="W303" s="16" t="n">
        <v>0</v>
      </c>
      <c r="X303" s="16" t="n">
        <v>0</v>
      </c>
      <c r="Y303" s="16" t="n">
        <v>0</v>
      </c>
      <c r="Z303" s="16" t="n">
        <v>0</v>
      </c>
      <c r="AA303" s="16" t="n">
        <v>0</v>
      </c>
      <c r="AB303" s="16" t="n">
        <v>0</v>
      </c>
      <c r="AC303" s="16" t="n">
        <v>0</v>
      </c>
      <c r="AD303" s="16" t="n">
        <v>0</v>
      </c>
      <c r="AE303" s="16" t="n">
        <v>0</v>
      </c>
      <c r="AF303" s="16" t="n">
        <v>0</v>
      </c>
      <c r="AG303" s="16" t="n">
        <v>0</v>
      </c>
      <c r="AH303" s="16" t="n">
        <v>0</v>
      </c>
      <c r="AI303" s="16" t="n">
        <v>0</v>
      </c>
      <c r="AJ303" s="16" t="n">
        <v>3</v>
      </c>
      <c r="AK303" s="16" t="n">
        <v>6.5</v>
      </c>
      <c r="AL303" s="16" t="n">
        <v>17</v>
      </c>
      <c r="AM303" s="16" t="n">
        <v>0</v>
      </c>
      <c r="AN303" s="16" t="n">
        <v>14.5</v>
      </c>
      <c r="AO303" s="16" t="n">
        <v>0</v>
      </c>
      <c r="AP303" s="16" t="n">
        <v>3</v>
      </c>
      <c r="AQ303" s="16" t="n">
        <v>1</v>
      </c>
      <c r="AR303" s="16" t="n">
        <v>0</v>
      </c>
      <c r="AS303" s="16" t="n">
        <v>0</v>
      </c>
      <c r="AT303" s="16" t="n">
        <v>0</v>
      </c>
      <c r="AU303" s="16" t="n">
        <v>0</v>
      </c>
      <c r="AV303" s="16" t="n">
        <v>0</v>
      </c>
      <c r="AW303" s="16" t="n">
        <v>0</v>
      </c>
      <c r="AX303" s="16" t="n">
        <v>0</v>
      </c>
      <c r="AY303" s="16" t="n">
        <v>0</v>
      </c>
      <c r="AZ303" s="16" t="n">
        <v>0</v>
      </c>
      <c r="BA303" s="16" t="n">
        <v>0</v>
      </c>
      <c r="BB303" s="16" t="n">
        <v>0</v>
      </c>
      <c r="BC303" s="16" t="n">
        <v>0</v>
      </c>
      <c r="BD303" s="16" t="n">
        <v>0</v>
      </c>
      <c r="BE303" s="16" t="n">
        <v>0</v>
      </c>
      <c r="BF303" s="16" t="n">
        <v>0</v>
      </c>
      <c r="BG303" s="16" t="n">
        <v>0</v>
      </c>
      <c r="BH303" s="16" t="n">
        <v>0</v>
      </c>
      <c r="BI303" s="16" t="n">
        <v>0</v>
      </c>
      <c r="BJ303" s="16" t="n">
        <v>0</v>
      </c>
      <c r="BK303" s="16" t="n">
        <v>0</v>
      </c>
      <c r="BL303" s="16" t="n">
        <v>0</v>
      </c>
      <c r="BM303" s="16" t="n">
        <v>0</v>
      </c>
      <c r="BN303" s="16" t="n">
        <v>0</v>
      </c>
      <c r="BO303" s="16" t="n">
        <v>0</v>
      </c>
      <c r="BP303" s="16" t="n">
        <v>0</v>
      </c>
      <c r="BQ303" s="16" t="n">
        <v>0</v>
      </c>
      <c r="BR303" s="16" t="n">
        <v>0</v>
      </c>
      <c r="BS303" s="16" t="n">
        <v>0</v>
      </c>
      <c r="BT303" s="16" t="n">
        <v>0</v>
      </c>
      <c r="BU303" s="16" t="n">
        <v>0</v>
      </c>
      <c r="BV303" s="16" t="n">
        <v>0</v>
      </c>
      <c r="BW303" s="16" t="n">
        <v>0</v>
      </c>
      <c r="BX303" s="16" t="n">
        <v>0</v>
      </c>
      <c r="BY303" s="16" t="n">
        <v>0</v>
      </c>
      <c r="BZ303" s="16" t="n">
        <v>0</v>
      </c>
      <c r="CA303" s="16" t="n">
        <v>0</v>
      </c>
      <c r="CB303" s="16" t="n">
        <v>0</v>
      </c>
      <c r="CC303" s="16" t="n">
        <v>0</v>
      </c>
      <c r="CD303" s="16" t="n">
        <v>0</v>
      </c>
      <c r="CE303" s="16" t="n">
        <v>0</v>
      </c>
      <c r="CF303" s="16" t="n">
        <v>0</v>
      </c>
      <c r="CG303" s="16" t="n">
        <v>0</v>
      </c>
      <c r="CH303" s="16" t="n">
        <v>0</v>
      </c>
      <c r="CI303" s="16" t="n">
        <v>0</v>
      </c>
      <c r="CJ303" s="16" t="n">
        <v>0</v>
      </c>
      <c r="CK303" s="16" t="n">
        <v>0</v>
      </c>
      <c r="CL303" s="16" t="n">
        <v>0</v>
      </c>
      <c r="CM303" s="16" t="n">
        <v>0</v>
      </c>
      <c r="CN303" s="16" t="n">
        <v>0</v>
      </c>
      <c r="CO303" s="16" t="n">
        <v>0</v>
      </c>
      <c r="CP303" s="16" t="n">
        <v>0</v>
      </c>
      <c r="CQ303" s="16" t="n">
        <v>0</v>
      </c>
      <c r="CR303" s="16" t="n">
        <v>0</v>
      </c>
      <c r="CS303" s="16" t="n">
        <v>0</v>
      </c>
      <c r="CT303" s="16" t="n">
        <v>0</v>
      </c>
      <c r="CU303" s="16" t="n">
        <v>0</v>
      </c>
      <c r="CV303" s="16" t="n">
        <v>0</v>
      </c>
      <c r="CW303" s="16" t="n">
        <v>0</v>
      </c>
      <c r="CX303" s="16" t="n">
        <v>0</v>
      </c>
      <c r="CY303" s="16" t="n">
        <v>0</v>
      </c>
      <c r="CZ303" s="16" t="n">
        <v>0</v>
      </c>
      <c r="DA303" s="16" t="n">
        <v>0</v>
      </c>
      <c r="DB303" s="16" t="n">
        <v>0</v>
      </c>
      <c r="DC303" s="16" t="n">
        <v>0</v>
      </c>
      <c r="DD303" s="16" t="n">
        <v>6</v>
      </c>
      <c r="DE303" s="16" t="n">
        <v>10</v>
      </c>
      <c r="DF303" s="16" t="n">
        <v>12</v>
      </c>
      <c r="DG303" s="16" t="n">
        <v>10</v>
      </c>
      <c r="DH303" s="16" t="n">
        <v>21</v>
      </c>
      <c r="DI303" s="16" t="n">
        <v>4</v>
      </c>
      <c r="DJ303" s="16" t="n">
        <v>1</v>
      </c>
      <c r="DK303" s="16" t="n">
        <v>1</v>
      </c>
      <c r="DL303" s="16" t="n">
        <v>2.5</v>
      </c>
      <c r="DM303" s="16" t="n">
        <v>2.5</v>
      </c>
      <c r="DN303" s="16" t="n">
        <v>9</v>
      </c>
      <c r="DO303" s="16" t="n">
        <v>11.5</v>
      </c>
      <c r="DP303" s="16" t="n">
        <v>12</v>
      </c>
      <c r="DQ303" s="16" t="n">
        <v>25</v>
      </c>
      <c r="DR303" s="16" t="n">
        <v>0</v>
      </c>
      <c r="DS303" s="16" t="n">
        <v>0</v>
      </c>
      <c r="DT303" s="16" t="n">
        <v>0</v>
      </c>
      <c r="DU303" s="16" t="n">
        <v>0</v>
      </c>
      <c r="DV303" s="16" t="n">
        <v>0</v>
      </c>
      <c r="DW303" s="16" t="n">
        <v>0</v>
      </c>
      <c r="DX303" s="16" t="n">
        <v>0</v>
      </c>
      <c r="DY303" s="16" t="n">
        <v>0</v>
      </c>
      <c r="DZ303" s="16" t="n">
        <v>0</v>
      </c>
      <c r="EA303" s="16" t="n">
        <v>0</v>
      </c>
      <c r="EB303" s="16" t="n">
        <v>0</v>
      </c>
      <c r="EC303" s="16" t="n">
        <v>0</v>
      </c>
      <c r="ED303" s="16" t="n">
        <v>0</v>
      </c>
      <c r="EE303" s="16" t="n">
        <v>0</v>
      </c>
      <c r="EF303" s="16" t="n">
        <v>0</v>
      </c>
    </row>
    <row r="304" customFormat="false" ht="15" hidden="false" customHeight="true" outlineLevel="0" collapsed="false">
      <c r="A304" s="9" t="s">
        <v>12</v>
      </c>
      <c r="B304" s="9" t="s">
        <v>15</v>
      </c>
      <c r="C304" s="9" t="s">
        <v>15</v>
      </c>
      <c r="D304" s="9" t="s">
        <v>340</v>
      </c>
      <c r="E304" s="9" t="s">
        <v>16</v>
      </c>
      <c r="F304" s="9" t="s">
        <v>95</v>
      </c>
      <c r="G304" s="16" t="n">
        <v>117.5</v>
      </c>
      <c r="H304" s="16" t="n">
        <v>245</v>
      </c>
      <c r="I304" s="16" t="n">
        <v>42</v>
      </c>
      <c r="J304" s="16" t="n">
        <v>203</v>
      </c>
      <c r="K304" s="16" t="n">
        <v>0</v>
      </c>
      <c r="L304" s="16" t="n">
        <v>0</v>
      </c>
      <c r="M304" s="16" t="n">
        <v>0</v>
      </c>
      <c r="N304" s="16" t="n">
        <v>0</v>
      </c>
      <c r="O304" s="16" t="n">
        <v>0</v>
      </c>
      <c r="P304" s="16" t="n">
        <v>0</v>
      </c>
      <c r="Q304" s="16" t="n">
        <v>0</v>
      </c>
      <c r="R304" s="16" t="n">
        <v>0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0</v>
      </c>
      <c r="X304" s="16" t="n">
        <v>0</v>
      </c>
      <c r="Y304" s="16" t="n">
        <v>0</v>
      </c>
      <c r="Z304" s="16" t="n">
        <v>0</v>
      </c>
      <c r="AA304" s="16" t="n">
        <v>0</v>
      </c>
      <c r="AB304" s="16" t="n">
        <v>0</v>
      </c>
      <c r="AC304" s="16" t="n">
        <v>0</v>
      </c>
      <c r="AD304" s="16" t="n">
        <v>3.5</v>
      </c>
      <c r="AE304" s="16" t="n">
        <v>3.5</v>
      </c>
      <c r="AF304" s="16" t="n">
        <v>4.5</v>
      </c>
      <c r="AG304" s="16" t="n">
        <v>13</v>
      </c>
      <c r="AH304" s="16" t="n">
        <v>10.5</v>
      </c>
      <c r="AI304" s="16" t="n">
        <v>2.5</v>
      </c>
      <c r="AJ304" s="16" t="n">
        <v>4.5</v>
      </c>
      <c r="AK304" s="16" t="n">
        <v>0</v>
      </c>
      <c r="AL304" s="16" t="n">
        <v>0</v>
      </c>
      <c r="AM304" s="16" t="n">
        <v>0</v>
      </c>
      <c r="AN304" s="16" t="n">
        <v>0</v>
      </c>
      <c r="AO304" s="16" t="n">
        <v>0</v>
      </c>
      <c r="AP304" s="16" t="n">
        <v>0</v>
      </c>
      <c r="AQ304" s="16" t="n">
        <v>0</v>
      </c>
      <c r="AR304" s="16" t="n">
        <v>0</v>
      </c>
      <c r="AS304" s="16" t="n">
        <v>0</v>
      </c>
      <c r="AT304" s="16" t="n">
        <v>0</v>
      </c>
      <c r="AU304" s="16" t="n">
        <v>0</v>
      </c>
      <c r="AV304" s="16" t="n">
        <v>0</v>
      </c>
      <c r="AW304" s="16" t="n">
        <v>0</v>
      </c>
      <c r="AX304" s="16" t="n">
        <v>0</v>
      </c>
      <c r="AY304" s="16" t="n">
        <v>0</v>
      </c>
      <c r="AZ304" s="16" t="n">
        <v>0</v>
      </c>
      <c r="BA304" s="16" t="n">
        <v>0</v>
      </c>
      <c r="BB304" s="16" t="n">
        <v>0</v>
      </c>
      <c r="BC304" s="16" t="n">
        <v>0</v>
      </c>
      <c r="BD304" s="16" t="n">
        <v>0</v>
      </c>
      <c r="BE304" s="16" t="n">
        <v>0</v>
      </c>
      <c r="BF304" s="16" t="n">
        <v>0</v>
      </c>
      <c r="BG304" s="16" t="n">
        <v>0</v>
      </c>
      <c r="BH304" s="16" t="n">
        <v>0</v>
      </c>
      <c r="BI304" s="16" t="n">
        <v>0</v>
      </c>
      <c r="BJ304" s="16" t="n">
        <v>0</v>
      </c>
      <c r="BK304" s="16" t="n">
        <v>0</v>
      </c>
      <c r="BL304" s="16" t="n">
        <v>0</v>
      </c>
      <c r="BM304" s="16" t="n">
        <v>0</v>
      </c>
      <c r="BN304" s="16" t="n">
        <v>0</v>
      </c>
      <c r="BO304" s="16" t="n">
        <v>0</v>
      </c>
      <c r="BP304" s="16" t="n">
        <v>0</v>
      </c>
      <c r="BQ304" s="16" t="n">
        <v>0</v>
      </c>
      <c r="BR304" s="16" t="n">
        <v>0</v>
      </c>
      <c r="BS304" s="16" t="n">
        <v>0</v>
      </c>
      <c r="BT304" s="16" t="n">
        <v>0</v>
      </c>
      <c r="BU304" s="16" t="n">
        <v>0</v>
      </c>
      <c r="BV304" s="16" t="n">
        <v>0</v>
      </c>
      <c r="BW304" s="16" t="n">
        <v>0</v>
      </c>
      <c r="BX304" s="16" t="n">
        <v>0</v>
      </c>
      <c r="BY304" s="16" t="n">
        <v>0</v>
      </c>
      <c r="BZ304" s="16" t="n">
        <v>0</v>
      </c>
      <c r="CA304" s="16" t="n">
        <v>0</v>
      </c>
      <c r="CB304" s="16" t="n">
        <v>0</v>
      </c>
      <c r="CC304" s="16" t="n">
        <v>0</v>
      </c>
      <c r="CD304" s="16" t="n">
        <v>0</v>
      </c>
      <c r="CE304" s="16" t="n">
        <v>0</v>
      </c>
      <c r="CF304" s="16" t="n">
        <v>0</v>
      </c>
      <c r="CG304" s="16" t="n">
        <v>0</v>
      </c>
      <c r="CH304" s="16" t="n">
        <v>0</v>
      </c>
      <c r="CI304" s="16" t="n">
        <v>0</v>
      </c>
      <c r="CJ304" s="16" t="n">
        <v>0</v>
      </c>
      <c r="CK304" s="16" t="n">
        <v>0</v>
      </c>
      <c r="CL304" s="16" t="n">
        <v>0</v>
      </c>
      <c r="CM304" s="16" t="n">
        <v>0</v>
      </c>
      <c r="CN304" s="16" t="n">
        <v>0</v>
      </c>
      <c r="CO304" s="16" t="n">
        <v>0</v>
      </c>
      <c r="CP304" s="16" t="n">
        <v>0</v>
      </c>
      <c r="CQ304" s="16" t="n">
        <v>0</v>
      </c>
      <c r="CR304" s="16" t="n">
        <v>0</v>
      </c>
      <c r="CS304" s="16" t="n">
        <v>0</v>
      </c>
      <c r="CT304" s="16" t="n">
        <v>0</v>
      </c>
      <c r="CU304" s="16" t="n">
        <v>0</v>
      </c>
      <c r="CV304" s="16" t="n">
        <v>0</v>
      </c>
      <c r="CW304" s="16" t="n">
        <v>0</v>
      </c>
      <c r="CX304" s="16" t="n">
        <v>0</v>
      </c>
      <c r="CY304" s="16" t="n">
        <v>0</v>
      </c>
      <c r="CZ304" s="16" t="n">
        <v>0</v>
      </c>
      <c r="DA304" s="16" t="n">
        <v>0</v>
      </c>
      <c r="DB304" s="16" t="n">
        <v>0</v>
      </c>
      <c r="DC304" s="16" t="n">
        <v>0</v>
      </c>
      <c r="DD304" s="16" t="n">
        <v>0</v>
      </c>
      <c r="DE304" s="16" t="n">
        <v>0</v>
      </c>
      <c r="DF304" s="16" t="n">
        <v>0</v>
      </c>
      <c r="DG304" s="16" t="n">
        <v>0</v>
      </c>
      <c r="DH304" s="16" t="n">
        <v>0</v>
      </c>
      <c r="DI304" s="16" t="n">
        <v>0</v>
      </c>
      <c r="DJ304" s="16" t="n">
        <v>0</v>
      </c>
      <c r="DK304" s="16" t="n">
        <v>0</v>
      </c>
      <c r="DL304" s="16" t="n">
        <v>0</v>
      </c>
      <c r="DM304" s="16" t="n">
        <v>0</v>
      </c>
      <c r="DN304" s="16" t="n">
        <v>0</v>
      </c>
      <c r="DO304" s="16" t="n">
        <v>0</v>
      </c>
      <c r="DP304" s="16" t="n">
        <v>0</v>
      </c>
      <c r="DQ304" s="16" t="n">
        <v>0</v>
      </c>
      <c r="DR304" s="16" t="n">
        <v>0</v>
      </c>
      <c r="DS304" s="16" t="n">
        <v>0</v>
      </c>
      <c r="DT304" s="16" t="n">
        <v>0</v>
      </c>
      <c r="DU304" s="16" t="n">
        <v>0</v>
      </c>
      <c r="DV304" s="16" t="n">
        <v>0</v>
      </c>
      <c r="DW304" s="16" t="n">
        <v>0</v>
      </c>
      <c r="DX304" s="16" t="n">
        <v>0</v>
      </c>
      <c r="DY304" s="16" t="n">
        <v>0</v>
      </c>
      <c r="DZ304" s="16" t="n">
        <v>0</v>
      </c>
      <c r="EA304" s="16" t="n">
        <v>0</v>
      </c>
      <c r="EB304" s="16" t="n">
        <v>0</v>
      </c>
      <c r="EC304" s="16" t="n">
        <v>0</v>
      </c>
      <c r="ED304" s="16" t="n">
        <v>0</v>
      </c>
      <c r="EE304" s="16" t="n">
        <v>0</v>
      </c>
      <c r="EF304" s="16" t="n">
        <v>0</v>
      </c>
    </row>
    <row r="305" customFormat="false" ht="15" hidden="false" customHeight="true" outlineLevel="0" collapsed="false">
      <c r="A305" s="9" t="s">
        <v>12</v>
      </c>
      <c r="B305" s="9" t="s">
        <v>15</v>
      </c>
      <c r="C305" s="9" t="s">
        <v>15</v>
      </c>
      <c r="D305" s="9" t="s">
        <v>341</v>
      </c>
      <c r="E305" s="9" t="s">
        <v>16</v>
      </c>
      <c r="F305" s="9" t="s">
        <v>82</v>
      </c>
      <c r="G305" s="16" t="n">
        <v>0</v>
      </c>
      <c r="H305" s="16" t="n">
        <v>0</v>
      </c>
      <c r="I305" s="16" t="n">
        <v>0</v>
      </c>
      <c r="J305" s="16" t="n">
        <v>0</v>
      </c>
      <c r="K305" s="16" t="n">
        <v>0</v>
      </c>
      <c r="L305" s="16" t="n">
        <v>0</v>
      </c>
      <c r="M305" s="16" t="n">
        <v>0</v>
      </c>
      <c r="N305" s="16" t="n">
        <v>0</v>
      </c>
      <c r="O305" s="16" t="n">
        <v>0</v>
      </c>
      <c r="P305" s="16" t="n">
        <v>0</v>
      </c>
      <c r="Q305" s="16" t="n">
        <v>0</v>
      </c>
      <c r="R305" s="16" t="n">
        <v>0</v>
      </c>
      <c r="S305" s="16" t="n">
        <v>0</v>
      </c>
      <c r="T305" s="16" t="n">
        <v>0</v>
      </c>
      <c r="U305" s="16" t="n">
        <v>0</v>
      </c>
      <c r="V305" s="16" t="n">
        <v>0</v>
      </c>
      <c r="W305" s="16" t="n">
        <v>0</v>
      </c>
      <c r="X305" s="16" t="n">
        <v>0</v>
      </c>
      <c r="Y305" s="16" t="n">
        <v>0</v>
      </c>
      <c r="Z305" s="16" t="n">
        <v>0</v>
      </c>
      <c r="AA305" s="16" t="n">
        <v>0</v>
      </c>
      <c r="AB305" s="16" t="n">
        <v>0</v>
      </c>
      <c r="AC305" s="16" t="n">
        <v>0</v>
      </c>
      <c r="AD305" s="16" t="n">
        <v>0</v>
      </c>
      <c r="AE305" s="16" t="n">
        <v>0</v>
      </c>
      <c r="AF305" s="16" t="n">
        <v>0</v>
      </c>
      <c r="AG305" s="16" t="n">
        <v>0</v>
      </c>
      <c r="AH305" s="16" t="n">
        <v>0</v>
      </c>
      <c r="AI305" s="16" t="n">
        <v>0</v>
      </c>
      <c r="AJ305" s="16" t="n">
        <v>0</v>
      </c>
      <c r="AK305" s="16" t="n">
        <v>0</v>
      </c>
      <c r="AL305" s="16" t="n">
        <v>0</v>
      </c>
      <c r="AM305" s="16" t="n">
        <v>0</v>
      </c>
      <c r="AN305" s="16" t="n">
        <v>0</v>
      </c>
      <c r="AO305" s="16" t="n">
        <v>0</v>
      </c>
      <c r="AP305" s="16" t="n">
        <v>0</v>
      </c>
      <c r="AQ305" s="16" t="n">
        <v>0</v>
      </c>
      <c r="AR305" s="16" t="n">
        <v>0</v>
      </c>
      <c r="AS305" s="16" t="n">
        <v>0</v>
      </c>
      <c r="AT305" s="16" t="n">
        <v>0</v>
      </c>
      <c r="AU305" s="16" t="n">
        <v>0</v>
      </c>
      <c r="AV305" s="16" t="n">
        <v>0</v>
      </c>
      <c r="AW305" s="16" t="n">
        <v>0</v>
      </c>
      <c r="AX305" s="16" t="n">
        <v>0</v>
      </c>
      <c r="AY305" s="16" t="n">
        <v>0</v>
      </c>
      <c r="AZ305" s="16" t="n">
        <v>0</v>
      </c>
      <c r="BA305" s="16" t="n">
        <v>0</v>
      </c>
      <c r="BB305" s="16" t="n">
        <v>0</v>
      </c>
      <c r="BC305" s="16" t="n">
        <v>0</v>
      </c>
      <c r="BD305" s="16" t="n">
        <v>0</v>
      </c>
      <c r="BE305" s="16" t="n">
        <v>0</v>
      </c>
      <c r="BF305" s="16" t="n">
        <v>0</v>
      </c>
      <c r="BG305" s="16" t="n">
        <v>0</v>
      </c>
      <c r="BH305" s="16" t="n">
        <v>0</v>
      </c>
      <c r="BI305" s="16" t="n">
        <v>0</v>
      </c>
      <c r="BJ305" s="16" t="n">
        <v>0</v>
      </c>
      <c r="BK305" s="16" t="n">
        <v>0</v>
      </c>
      <c r="BL305" s="16" t="n">
        <v>0</v>
      </c>
      <c r="BM305" s="16" t="n">
        <v>0</v>
      </c>
      <c r="BN305" s="16" t="n">
        <v>0</v>
      </c>
      <c r="BO305" s="16" t="n">
        <v>0</v>
      </c>
      <c r="BP305" s="16" t="n">
        <v>0</v>
      </c>
      <c r="BQ305" s="16" t="n">
        <v>0</v>
      </c>
      <c r="BR305" s="16" t="n">
        <v>0</v>
      </c>
      <c r="BS305" s="16" t="n">
        <v>0</v>
      </c>
      <c r="BT305" s="16" t="n">
        <v>0</v>
      </c>
      <c r="BU305" s="16" t="n">
        <v>0</v>
      </c>
      <c r="BV305" s="16" t="n">
        <v>0</v>
      </c>
      <c r="BW305" s="16" t="n">
        <v>0</v>
      </c>
      <c r="BX305" s="16" t="n">
        <v>0</v>
      </c>
      <c r="BY305" s="16" t="n">
        <v>0</v>
      </c>
      <c r="BZ305" s="16" t="n">
        <v>0</v>
      </c>
      <c r="CA305" s="16" t="n">
        <v>0</v>
      </c>
      <c r="CB305" s="16" t="n">
        <v>0</v>
      </c>
      <c r="CC305" s="16" t="n">
        <v>0</v>
      </c>
      <c r="CD305" s="16" t="n">
        <v>0</v>
      </c>
      <c r="CE305" s="16" t="n">
        <v>0</v>
      </c>
      <c r="CF305" s="16" t="n">
        <v>0</v>
      </c>
      <c r="CG305" s="16" t="n">
        <v>0</v>
      </c>
      <c r="CH305" s="16" t="n">
        <v>0</v>
      </c>
      <c r="CI305" s="16" t="n">
        <v>0</v>
      </c>
      <c r="CJ305" s="16" t="n">
        <v>0</v>
      </c>
      <c r="CK305" s="16" t="n">
        <v>0</v>
      </c>
      <c r="CL305" s="16" t="n">
        <v>0</v>
      </c>
      <c r="CM305" s="16" t="n">
        <v>0</v>
      </c>
      <c r="CN305" s="16" t="n">
        <v>0</v>
      </c>
      <c r="CO305" s="16" t="n">
        <v>0</v>
      </c>
      <c r="CP305" s="16" t="n">
        <v>0</v>
      </c>
      <c r="CQ305" s="16" t="n">
        <v>0</v>
      </c>
      <c r="CR305" s="16" t="n">
        <v>0</v>
      </c>
      <c r="CS305" s="16" t="n">
        <v>0</v>
      </c>
      <c r="CT305" s="16" t="n">
        <v>0</v>
      </c>
      <c r="CU305" s="16" t="n">
        <v>0</v>
      </c>
      <c r="CV305" s="16" t="n">
        <v>0</v>
      </c>
      <c r="CW305" s="16" t="n">
        <v>0</v>
      </c>
      <c r="CX305" s="16" t="n">
        <v>0</v>
      </c>
      <c r="CY305" s="16" t="n">
        <v>0</v>
      </c>
      <c r="CZ305" s="16" t="n">
        <v>0</v>
      </c>
      <c r="DA305" s="16" t="n">
        <v>0</v>
      </c>
      <c r="DB305" s="16" t="n">
        <v>0</v>
      </c>
      <c r="DC305" s="16" t="n">
        <v>0</v>
      </c>
      <c r="DD305" s="16" t="n">
        <v>0</v>
      </c>
      <c r="DE305" s="16" t="n">
        <v>0</v>
      </c>
      <c r="DF305" s="16" t="n">
        <v>0</v>
      </c>
      <c r="DG305" s="16" t="n">
        <v>0</v>
      </c>
      <c r="DH305" s="16" t="n">
        <v>0</v>
      </c>
      <c r="DI305" s="16" t="n">
        <v>0</v>
      </c>
      <c r="DJ305" s="16" t="n">
        <v>0</v>
      </c>
      <c r="DK305" s="16" t="n">
        <v>0</v>
      </c>
      <c r="DL305" s="16" t="n">
        <v>0</v>
      </c>
      <c r="DM305" s="16" t="n">
        <v>0</v>
      </c>
      <c r="DN305" s="16" t="n">
        <v>0</v>
      </c>
      <c r="DO305" s="16" t="n">
        <v>0</v>
      </c>
      <c r="DP305" s="16" t="n">
        <v>0</v>
      </c>
      <c r="DQ305" s="16" t="n">
        <v>0</v>
      </c>
      <c r="DR305" s="16" t="n">
        <v>0</v>
      </c>
      <c r="DS305" s="16" t="n">
        <v>0</v>
      </c>
      <c r="DT305" s="16" t="n">
        <v>0</v>
      </c>
      <c r="DU305" s="16" t="n">
        <v>0</v>
      </c>
      <c r="DV305" s="16" t="n">
        <v>0</v>
      </c>
      <c r="DW305" s="16" t="n">
        <v>0</v>
      </c>
      <c r="DX305" s="16" t="n">
        <v>0</v>
      </c>
      <c r="DY305" s="16" t="n">
        <v>0</v>
      </c>
      <c r="DZ305" s="16" t="n">
        <v>0</v>
      </c>
      <c r="EA305" s="16" t="n">
        <v>0</v>
      </c>
      <c r="EB305" s="16" t="n">
        <v>0</v>
      </c>
      <c r="EC305" s="16" t="n">
        <v>0</v>
      </c>
      <c r="ED305" s="16" t="n">
        <v>0</v>
      </c>
      <c r="EE305" s="16" t="n">
        <v>0</v>
      </c>
      <c r="EF305" s="16" t="n">
        <v>0</v>
      </c>
    </row>
    <row r="306" customFormat="false" ht="15" hidden="false" customHeight="true" outlineLevel="0" collapsed="false">
      <c r="A306" s="9" t="s">
        <v>12</v>
      </c>
      <c r="B306" s="9" t="s">
        <v>15</v>
      </c>
      <c r="C306" s="9" t="s">
        <v>15</v>
      </c>
      <c r="D306" s="9" t="s">
        <v>340</v>
      </c>
      <c r="E306" s="9" t="s">
        <v>16</v>
      </c>
      <c r="F306" s="9" t="s">
        <v>82</v>
      </c>
      <c r="G306" s="16" t="n">
        <v>3</v>
      </c>
      <c r="H306" s="16" t="n">
        <v>3</v>
      </c>
      <c r="I306" s="16" t="n">
        <v>3</v>
      </c>
      <c r="J306" s="16" t="n">
        <v>0</v>
      </c>
      <c r="K306" s="16" t="n">
        <v>0</v>
      </c>
      <c r="L306" s="16" t="n">
        <v>0</v>
      </c>
      <c r="M306" s="16" t="n">
        <v>0</v>
      </c>
      <c r="N306" s="16" t="n">
        <v>0</v>
      </c>
      <c r="O306" s="16" t="n">
        <v>0</v>
      </c>
      <c r="P306" s="16" t="n">
        <v>0</v>
      </c>
      <c r="Q306" s="16" t="n">
        <v>0</v>
      </c>
      <c r="R306" s="16" t="n">
        <v>0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0</v>
      </c>
      <c r="X306" s="16" t="n">
        <v>0</v>
      </c>
      <c r="Y306" s="16" t="n">
        <v>0</v>
      </c>
      <c r="Z306" s="16" t="n">
        <v>0</v>
      </c>
      <c r="AA306" s="16" t="n">
        <v>0</v>
      </c>
      <c r="AB306" s="16" t="n">
        <v>3</v>
      </c>
      <c r="AC306" s="16" t="n">
        <v>0</v>
      </c>
      <c r="AD306" s="16" t="n">
        <v>0</v>
      </c>
      <c r="AE306" s="16" t="n">
        <v>0</v>
      </c>
      <c r="AF306" s="16" t="n">
        <v>0</v>
      </c>
      <c r="AG306" s="16" t="n">
        <v>0</v>
      </c>
      <c r="AH306" s="16" t="n">
        <v>0</v>
      </c>
      <c r="AI306" s="16" t="n">
        <v>0</v>
      </c>
      <c r="AJ306" s="16" t="n">
        <v>0</v>
      </c>
      <c r="AK306" s="16" t="n">
        <v>0</v>
      </c>
      <c r="AL306" s="16" t="n">
        <v>0</v>
      </c>
      <c r="AM306" s="16" t="n">
        <v>0</v>
      </c>
      <c r="AN306" s="16" t="n">
        <v>0</v>
      </c>
      <c r="AO306" s="16" t="n">
        <v>0</v>
      </c>
      <c r="AP306" s="16" t="n">
        <v>0</v>
      </c>
      <c r="AQ306" s="16" t="n">
        <v>0</v>
      </c>
      <c r="AR306" s="16" t="n">
        <v>0</v>
      </c>
      <c r="AS306" s="16" t="n">
        <v>0</v>
      </c>
      <c r="AT306" s="16" t="n">
        <v>0</v>
      </c>
      <c r="AU306" s="16" t="n">
        <v>0</v>
      </c>
      <c r="AV306" s="16" t="n">
        <v>0</v>
      </c>
      <c r="AW306" s="16" t="n">
        <v>0</v>
      </c>
      <c r="AX306" s="16" t="n">
        <v>0</v>
      </c>
      <c r="AY306" s="16" t="n">
        <v>0</v>
      </c>
      <c r="AZ306" s="16" t="n">
        <v>0</v>
      </c>
      <c r="BA306" s="16" t="n">
        <v>0</v>
      </c>
      <c r="BB306" s="16" t="n">
        <v>0</v>
      </c>
      <c r="BC306" s="16" t="n">
        <v>0</v>
      </c>
      <c r="BD306" s="16" t="n">
        <v>0</v>
      </c>
      <c r="BE306" s="16" t="n">
        <v>0</v>
      </c>
      <c r="BF306" s="16" t="n">
        <v>0</v>
      </c>
      <c r="BG306" s="16" t="n">
        <v>0</v>
      </c>
      <c r="BH306" s="16" t="n">
        <v>0</v>
      </c>
      <c r="BI306" s="16" t="n">
        <v>0</v>
      </c>
      <c r="BJ306" s="16" t="n">
        <v>0</v>
      </c>
      <c r="BK306" s="16" t="n">
        <v>0</v>
      </c>
      <c r="BL306" s="16" t="n">
        <v>0</v>
      </c>
      <c r="BM306" s="16" t="n">
        <v>0</v>
      </c>
      <c r="BN306" s="16" t="n">
        <v>0</v>
      </c>
      <c r="BO306" s="16" t="n">
        <v>0</v>
      </c>
      <c r="BP306" s="16" t="n">
        <v>0</v>
      </c>
      <c r="BQ306" s="16" t="n">
        <v>0</v>
      </c>
      <c r="BR306" s="16" t="n">
        <v>0</v>
      </c>
      <c r="BS306" s="16" t="n">
        <v>0</v>
      </c>
      <c r="BT306" s="16" t="n">
        <v>0</v>
      </c>
      <c r="BU306" s="16" t="n">
        <v>0</v>
      </c>
      <c r="BV306" s="16" t="n">
        <v>0</v>
      </c>
      <c r="BW306" s="16" t="n">
        <v>0</v>
      </c>
      <c r="BX306" s="16" t="n">
        <v>0</v>
      </c>
      <c r="BY306" s="16" t="n">
        <v>0</v>
      </c>
      <c r="BZ306" s="16" t="n">
        <v>0</v>
      </c>
      <c r="CA306" s="16" t="n">
        <v>0</v>
      </c>
      <c r="CB306" s="16" t="n">
        <v>0</v>
      </c>
      <c r="CC306" s="16" t="n">
        <v>0</v>
      </c>
      <c r="CD306" s="16" t="n">
        <v>0</v>
      </c>
      <c r="CE306" s="16" t="n">
        <v>0</v>
      </c>
      <c r="CF306" s="16" t="n">
        <v>0</v>
      </c>
      <c r="CG306" s="16" t="n">
        <v>0</v>
      </c>
      <c r="CH306" s="16" t="n">
        <v>0</v>
      </c>
      <c r="CI306" s="16" t="n">
        <v>0</v>
      </c>
      <c r="CJ306" s="16" t="n">
        <v>0</v>
      </c>
      <c r="CK306" s="16" t="n">
        <v>0</v>
      </c>
      <c r="CL306" s="16" t="n">
        <v>0</v>
      </c>
      <c r="CM306" s="16" t="n">
        <v>0</v>
      </c>
      <c r="CN306" s="16" t="n">
        <v>0</v>
      </c>
      <c r="CO306" s="16" t="n">
        <v>0</v>
      </c>
      <c r="CP306" s="16" t="n">
        <v>0</v>
      </c>
      <c r="CQ306" s="16" t="n">
        <v>0</v>
      </c>
      <c r="CR306" s="16" t="n">
        <v>0</v>
      </c>
      <c r="CS306" s="16" t="n">
        <v>0</v>
      </c>
      <c r="CT306" s="16" t="n">
        <v>0</v>
      </c>
      <c r="CU306" s="16" t="n">
        <v>0</v>
      </c>
      <c r="CV306" s="16" t="n">
        <v>0</v>
      </c>
      <c r="CW306" s="16" t="n">
        <v>0</v>
      </c>
      <c r="CX306" s="16" t="n">
        <v>0</v>
      </c>
      <c r="CY306" s="16" t="n">
        <v>0</v>
      </c>
      <c r="CZ306" s="16" t="n">
        <v>0</v>
      </c>
      <c r="DA306" s="16" t="n">
        <v>0</v>
      </c>
      <c r="DB306" s="16" t="n">
        <v>0</v>
      </c>
      <c r="DC306" s="16" t="n">
        <v>0</v>
      </c>
      <c r="DD306" s="16" t="n">
        <v>0</v>
      </c>
      <c r="DE306" s="16" t="n">
        <v>0</v>
      </c>
      <c r="DF306" s="16" t="n">
        <v>0</v>
      </c>
      <c r="DG306" s="16" t="n">
        <v>0</v>
      </c>
      <c r="DH306" s="16" t="n">
        <v>0</v>
      </c>
      <c r="DI306" s="16" t="n">
        <v>0</v>
      </c>
      <c r="DJ306" s="16" t="n">
        <v>0</v>
      </c>
      <c r="DK306" s="16" t="n">
        <v>0</v>
      </c>
      <c r="DL306" s="16" t="n">
        <v>0</v>
      </c>
      <c r="DM306" s="16" t="n">
        <v>0</v>
      </c>
      <c r="DN306" s="16" t="n">
        <v>0</v>
      </c>
      <c r="DO306" s="16" t="n">
        <v>0</v>
      </c>
      <c r="DP306" s="16" t="n">
        <v>0</v>
      </c>
      <c r="DQ306" s="16" t="n">
        <v>0</v>
      </c>
      <c r="DR306" s="16" t="n">
        <v>0</v>
      </c>
      <c r="DS306" s="16" t="n">
        <v>0</v>
      </c>
      <c r="DT306" s="16" t="n">
        <v>0</v>
      </c>
      <c r="DU306" s="16" t="n">
        <v>0</v>
      </c>
      <c r="DV306" s="16" t="n">
        <v>0</v>
      </c>
      <c r="DW306" s="16" t="n">
        <v>0</v>
      </c>
      <c r="DX306" s="16" t="n">
        <v>0</v>
      </c>
      <c r="DY306" s="16" t="n">
        <v>0</v>
      </c>
      <c r="DZ306" s="16" t="n">
        <v>0</v>
      </c>
      <c r="EA306" s="16" t="n">
        <v>0</v>
      </c>
      <c r="EB306" s="16" t="n">
        <v>0</v>
      </c>
      <c r="EC306" s="16" t="n">
        <v>0</v>
      </c>
      <c r="ED306" s="16" t="n">
        <v>0</v>
      </c>
      <c r="EE306" s="16" t="n">
        <v>0</v>
      </c>
      <c r="EF306" s="16" t="n">
        <v>0</v>
      </c>
    </row>
    <row r="307" customFormat="false" ht="15" hidden="false" customHeight="true" outlineLevel="0" collapsed="false">
      <c r="A307" s="9" t="s">
        <v>12</v>
      </c>
      <c r="B307" s="9" t="s">
        <v>15</v>
      </c>
      <c r="C307" s="9" t="s">
        <v>15</v>
      </c>
      <c r="D307" s="9" t="s">
        <v>341</v>
      </c>
      <c r="E307" s="9" t="s">
        <v>16</v>
      </c>
      <c r="F307" s="9" t="s">
        <v>83</v>
      </c>
      <c r="G307" s="16" t="n">
        <v>0</v>
      </c>
      <c r="H307" s="16" t="n">
        <v>0</v>
      </c>
      <c r="I307" s="16" t="n">
        <v>10</v>
      </c>
      <c r="J307" s="16" t="n">
        <v>-10</v>
      </c>
      <c r="K307" s="16" t="n">
        <v>0</v>
      </c>
      <c r="L307" s="16" t="n">
        <v>0</v>
      </c>
      <c r="M307" s="16" t="n">
        <v>0</v>
      </c>
      <c r="N307" s="16" t="n">
        <v>0</v>
      </c>
      <c r="O307" s="16" t="n">
        <v>0</v>
      </c>
      <c r="P307" s="16" t="n">
        <v>0</v>
      </c>
      <c r="Q307" s="16" t="n">
        <v>0</v>
      </c>
      <c r="R307" s="16" t="n">
        <v>0</v>
      </c>
      <c r="S307" s="16" t="n">
        <v>0</v>
      </c>
      <c r="T307" s="16" t="n">
        <v>0</v>
      </c>
      <c r="U307" s="16" t="n">
        <v>0</v>
      </c>
      <c r="V307" s="16" t="n">
        <v>0</v>
      </c>
      <c r="W307" s="16" t="n">
        <v>0</v>
      </c>
      <c r="X307" s="16" t="n">
        <v>0</v>
      </c>
      <c r="Y307" s="16" t="n">
        <v>0</v>
      </c>
      <c r="Z307" s="16" t="n">
        <v>0</v>
      </c>
      <c r="AA307" s="16" t="n">
        <v>0</v>
      </c>
      <c r="AB307" s="16" t="n">
        <v>0</v>
      </c>
      <c r="AC307" s="16" t="n">
        <v>0</v>
      </c>
      <c r="AD307" s="16" t="n">
        <v>0</v>
      </c>
      <c r="AE307" s="16" t="n">
        <v>0</v>
      </c>
      <c r="AF307" s="16" t="n">
        <v>0</v>
      </c>
      <c r="AG307" s="16" t="n">
        <v>0</v>
      </c>
      <c r="AH307" s="16" t="n">
        <v>0</v>
      </c>
      <c r="AI307" s="16" t="n">
        <v>0</v>
      </c>
      <c r="AJ307" s="16" t="n">
        <v>0</v>
      </c>
      <c r="AK307" s="16" t="n">
        <v>0</v>
      </c>
      <c r="AL307" s="16" t="n">
        <v>0</v>
      </c>
      <c r="AM307" s="16" t="n">
        <v>0</v>
      </c>
      <c r="AN307" s="16" t="n">
        <v>0</v>
      </c>
      <c r="AO307" s="16" t="n">
        <v>10</v>
      </c>
      <c r="AP307" s="16" t="n">
        <v>0</v>
      </c>
      <c r="AQ307" s="16" t="n">
        <v>0</v>
      </c>
      <c r="AR307" s="16" t="n">
        <v>0</v>
      </c>
      <c r="AS307" s="16" t="n">
        <v>0</v>
      </c>
      <c r="AT307" s="16" t="n">
        <v>0</v>
      </c>
      <c r="AU307" s="16" t="n">
        <v>0</v>
      </c>
      <c r="AV307" s="16" t="n">
        <v>0</v>
      </c>
      <c r="AW307" s="16" t="n">
        <v>0</v>
      </c>
      <c r="AX307" s="16" t="n">
        <v>0</v>
      </c>
      <c r="AY307" s="16" t="n">
        <v>0</v>
      </c>
      <c r="AZ307" s="16" t="n">
        <v>0</v>
      </c>
      <c r="BA307" s="16" t="n">
        <v>0</v>
      </c>
      <c r="BB307" s="16" t="n">
        <v>0</v>
      </c>
      <c r="BC307" s="16" t="n">
        <v>0</v>
      </c>
      <c r="BD307" s="16" t="n">
        <v>0</v>
      </c>
      <c r="BE307" s="16" t="n">
        <v>0</v>
      </c>
      <c r="BF307" s="16" t="n">
        <v>0</v>
      </c>
      <c r="BG307" s="16" t="n">
        <v>0</v>
      </c>
      <c r="BH307" s="16" t="n">
        <v>0</v>
      </c>
      <c r="BI307" s="16" t="n">
        <v>0</v>
      </c>
      <c r="BJ307" s="16" t="n">
        <v>0</v>
      </c>
      <c r="BK307" s="16" t="n">
        <v>0</v>
      </c>
      <c r="BL307" s="16" t="n">
        <v>0</v>
      </c>
      <c r="BM307" s="16" t="n">
        <v>0</v>
      </c>
      <c r="BN307" s="16" t="n">
        <v>0</v>
      </c>
      <c r="BO307" s="16" t="n">
        <v>0</v>
      </c>
      <c r="BP307" s="16" t="n">
        <v>0</v>
      </c>
      <c r="BQ307" s="16" t="n">
        <v>0</v>
      </c>
      <c r="BR307" s="16" t="n">
        <v>0</v>
      </c>
      <c r="BS307" s="16" t="n">
        <v>0</v>
      </c>
      <c r="BT307" s="16" t="n">
        <v>0</v>
      </c>
      <c r="BU307" s="16" t="n">
        <v>0</v>
      </c>
      <c r="BV307" s="16" t="n">
        <v>0</v>
      </c>
      <c r="BW307" s="16" t="n">
        <v>0</v>
      </c>
      <c r="BX307" s="16" t="n">
        <v>0</v>
      </c>
      <c r="BY307" s="16" t="n">
        <v>0</v>
      </c>
      <c r="BZ307" s="16" t="n">
        <v>0</v>
      </c>
      <c r="CA307" s="16" t="n">
        <v>0</v>
      </c>
      <c r="CB307" s="16" t="n">
        <v>0</v>
      </c>
      <c r="CC307" s="16" t="n">
        <v>0</v>
      </c>
      <c r="CD307" s="16" t="n">
        <v>0</v>
      </c>
      <c r="CE307" s="16" t="n">
        <v>0</v>
      </c>
      <c r="CF307" s="16" t="n">
        <v>0</v>
      </c>
      <c r="CG307" s="16" t="n">
        <v>0</v>
      </c>
      <c r="CH307" s="16" t="n">
        <v>0</v>
      </c>
      <c r="CI307" s="16" t="n">
        <v>0</v>
      </c>
      <c r="CJ307" s="16" t="n">
        <v>0</v>
      </c>
      <c r="CK307" s="16" t="n">
        <v>0</v>
      </c>
      <c r="CL307" s="16" t="n">
        <v>0</v>
      </c>
      <c r="CM307" s="16" t="n">
        <v>0</v>
      </c>
      <c r="CN307" s="16" t="n">
        <v>0</v>
      </c>
      <c r="CO307" s="16" t="n">
        <v>0</v>
      </c>
      <c r="CP307" s="16" t="n">
        <v>0</v>
      </c>
      <c r="CQ307" s="16" t="n">
        <v>0</v>
      </c>
      <c r="CR307" s="16" t="n">
        <v>0</v>
      </c>
      <c r="CS307" s="16" t="n">
        <v>0</v>
      </c>
      <c r="CT307" s="16" t="n">
        <v>0</v>
      </c>
      <c r="CU307" s="16" t="n">
        <v>0</v>
      </c>
      <c r="CV307" s="16" t="n">
        <v>0</v>
      </c>
      <c r="CW307" s="16" t="n">
        <v>0</v>
      </c>
      <c r="CX307" s="16" t="n">
        <v>0</v>
      </c>
      <c r="CY307" s="16" t="n">
        <v>0</v>
      </c>
      <c r="CZ307" s="16" t="n">
        <v>0</v>
      </c>
      <c r="DA307" s="16" t="n">
        <v>0</v>
      </c>
      <c r="DB307" s="16" t="n">
        <v>0</v>
      </c>
      <c r="DC307" s="16" t="n">
        <v>0</v>
      </c>
      <c r="DD307" s="16" t="n">
        <v>0</v>
      </c>
      <c r="DE307" s="16" t="n">
        <v>0</v>
      </c>
      <c r="DF307" s="16" t="n">
        <v>0</v>
      </c>
      <c r="DG307" s="16" t="n">
        <v>0</v>
      </c>
      <c r="DH307" s="16" t="n">
        <v>0</v>
      </c>
      <c r="DI307" s="16" t="n">
        <v>0</v>
      </c>
      <c r="DJ307" s="16" t="n">
        <v>0</v>
      </c>
      <c r="DK307" s="16" t="n">
        <v>0</v>
      </c>
      <c r="DL307" s="16" t="n">
        <v>0</v>
      </c>
      <c r="DM307" s="16" t="n">
        <v>0</v>
      </c>
      <c r="DN307" s="16" t="n">
        <v>0</v>
      </c>
      <c r="DO307" s="16" t="n">
        <v>0</v>
      </c>
      <c r="DP307" s="16" t="n">
        <v>0</v>
      </c>
      <c r="DQ307" s="16" t="n">
        <v>0</v>
      </c>
      <c r="DR307" s="16" t="n">
        <v>0</v>
      </c>
      <c r="DS307" s="16" t="n">
        <v>0</v>
      </c>
      <c r="DT307" s="16" t="n">
        <v>0</v>
      </c>
      <c r="DU307" s="16" t="n">
        <v>0</v>
      </c>
      <c r="DV307" s="16" t="n">
        <v>0</v>
      </c>
      <c r="DW307" s="16" t="n">
        <v>0</v>
      </c>
      <c r="DX307" s="16" t="n">
        <v>0</v>
      </c>
      <c r="DY307" s="16" t="n">
        <v>0</v>
      </c>
      <c r="DZ307" s="16" t="n">
        <v>0</v>
      </c>
      <c r="EA307" s="16" t="n">
        <v>0</v>
      </c>
      <c r="EB307" s="16" t="n">
        <v>0</v>
      </c>
      <c r="EC307" s="16" t="n">
        <v>0</v>
      </c>
      <c r="ED307" s="16" t="n">
        <v>0</v>
      </c>
      <c r="EE307" s="16" t="n">
        <v>0</v>
      </c>
      <c r="EF307" s="16" t="n">
        <v>0</v>
      </c>
    </row>
    <row r="308" customFormat="false" ht="15" hidden="false" customHeight="true" outlineLevel="0" collapsed="false">
      <c r="A308" s="9" t="s">
        <v>12</v>
      </c>
      <c r="B308" s="9" t="s">
        <v>15</v>
      </c>
      <c r="C308" s="9" t="s">
        <v>15</v>
      </c>
      <c r="D308" s="9" t="s">
        <v>341</v>
      </c>
      <c r="E308" s="9" t="s">
        <v>16</v>
      </c>
      <c r="F308" s="9" t="s">
        <v>40</v>
      </c>
      <c r="G308" s="16" t="n">
        <v>0</v>
      </c>
      <c r="H308" s="16" t="n">
        <v>0</v>
      </c>
      <c r="I308" s="16" t="n">
        <v>54.6</v>
      </c>
      <c r="J308" s="16" t="n">
        <v>-54.6</v>
      </c>
      <c r="K308" s="16" t="n">
        <v>0</v>
      </c>
      <c r="L308" s="16" t="n">
        <v>0</v>
      </c>
      <c r="M308" s="16" t="n">
        <v>0</v>
      </c>
      <c r="N308" s="16" t="n">
        <v>0</v>
      </c>
      <c r="O308" s="16" t="n">
        <v>0</v>
      </c>
      <c r="P308" s="16" t="n">
        <v>0</v>
      </c>
      <c r="Q308" s="16" t="n">
        <v>0</v>
      </c>
      <c r="R308" s="16" t="n">
        <v>0</v>
      </c>
      <c r="S308" s="16" t="n">
        <v>0</v>
      </c>
      <c r="T308" s="16" t="n">
        <v>0</v>
      </c>
      <c r="U308" s="16" t="n">
        <v>0</v>
      </c>
      <c r="V308" s="16" t="n">
        <v>0</v>
      </c>
      <c r="W308" s="16" t="n">
        <v>0</v>
      </c>
      <c r="X308" s="16" t="n">
        <v>0</v>
      </c>
      <c r="Y308" s="16" t="n">
        <v>0</v>
      </c>
      <c r="Z308" s="16" t="n">
        <v>0</v>
      </c>
      <c r="AA308" s="16" t="n">
        <v>0</v>
      </c>
      <c r="AB308" s="16" t="n">
        <v>0</v>
      </c>
      <c r="AC308" s="16" t="n">
        <v>0</v>
      </c>
      <c r="AD308" s="16" t="n">
        <v>0</v>
      </c>
      <c r="AE308" s="16" t="n">
        <v>0</v>
      </c>
      <c r="AF308" s="16" t="n">
        <v>0</v>
      </c>
      <c r="AG308" s="16" t="n">
        <v>0</v>
      </c>
      <c r="AH308" s="16" t="n">
        <v>0</v>
      </c>
      <c r="AI308" s="16" t="n">
        <v>0</v>
      </c>
      <c r="AJ308" s="16" t="n">
        <v>0</v>
      </c>
      <c r="AK308" s="16" t="n">
        <v>0</v>
      </c>
      <c r="AL308" s="16" t="n">
        <v>0</v>
      </c>
      <c r="AM308" s="16" t="n">
        <v>0</v>
      </c>
      <c r="AN308" s="16" t="n">
        <v>0</v>
      </c>
      <c r="AO308" s="16" t="n">
        <v>0</v>
      </c>
      <c r="AP308" s="16" t="n">
        <v>0</v>
      </c>
      <c r="AQ308" s="16" t="n">
        <v>0.5</v>
      </c>
      <c r="AR308" s="16" t="n">
        <v>1</v>
      </c>
      <c r="AS308" s="16" t="n">
        <v>0</v>
      </c>
      <c r="AT308" s="16" t="n">
        <v>0</v>
      </c>
      <c r="AU308" s="16" t="n">
        <v>0</v>
      </c>
      <c r="AV308" s="16" t="n">
        <v>0</v>
      </c>
      <c r="AW308" s="16" t="n">
        <v>0</v>
      </c>
      <c r="AX308" s="16" t="n">
        <v>0</v>
      </c>
      <c r="AY308" s="16" t="n">
        <v>0</v>
      </c>
      <c r="AZ308" s="16" t="n">
        <v>0</v>
      </c>
      <c r="BA308" s="16" t="n">
        <v>0</v>
      </c>
      <c r="BB308" s="16" t="n">
        <v>0</v>
      </c>
      <c r="BC308" s="16" t="n">
        <v>0</v>
      </c>
      <c r="BD308" s="16" t="n">
        <v>0</v>
      </c>
      <c r="BE308" s="16" t="n">
        <v>0</v>
      </c>
      <c r="BF308" s="16" t="n">
        <v>0</v>
      </c>
      <c r="BG308" s="16" t="n">
        <v>0</v>
      </c>
      <c r="BH308" s="16" t="n">
        <v>0</v>
      </c>
      <c r="BI308" s="16" t="n">
        <v>0</v>
      </c>
      <c r="BJ308" s="16" t="n">
        <v>0</v>
      </c>
      <c r="BK308" s="16" t="n">
        <v>0</v>
      </c>
      <c r="BL308" s="16" t="n">
        <v>0</v>
      </c>
      <c r="BM308" s="16" t="n">
        <v>0</v>
      </c>
      <c r="BN308" s="16" t="n">
        <v>0</v>
      </c>
      <c r="BO308" s="16" t="n">
        <v>0</v>
      </c>
      <c r="BP308" s="16" t="n">
        <v>0</v>
      </c>
      <c r="BQ308" s="16" t="n">
        <v>0</v>
      </c>
      <c r="BR308" s="16" t="n">
        <v>0</v>
      </c>
      <c r="BS308" s="16" t="n">
        <v>0</v>
      </c>
      <c r="BT308" s="16" t="n">
        <v>0</v>
      </c>
      <c r="BU308" s="16" t="n">
        <v>0</v>
      </c>
      <c r="BV308" s="16" t="n">
        <v>0</v>
      </c>
      <c r="BW308" s="16" t="n">
        <v>0</v>
      </c>
      <c r="BX308" s="16" t="n">
        <v>0</v>
      </c>
      <c r="BY308" s="16" t="n">
        <v>0</v>
      </c>
      <c r="BZ308" s="16" t="n">
        <v>0</v>
      </c>
      <c r="CA308" s="16" t="n">
        <v>0</v>
      </c>
      <c r="CB308" s="16" t="n">
        <v>0</v>
      </c>
      <c r="CC308" s="16" t="n">
        <v>0</v>
      </c>
      <c r="CD308" s="16" t="n">
        <v>0</v>
      </c>
      <c r="CE308" s="16" t="n">
        <v>0</v>
      </c>
      <c r="CF308" s="16" t="n">
        <v>0</v>
      </c>
      <c r="CG308" s="16" t="n">
        <v>0</v>
      </c>
      <c r="CH308" s="16" t="n">
        <v>0</v>
      </c>
      <c r="CI308" s="16" t="n">
        <v>0</v>
      </c>
      <c r="CJ308" s="16" t="n">
        <v>0</v>
      </c>
      <c r="CK308" s="16" t="n">
        <v>0</v>
      </c>
      <c r="CL308" s="16" t="n">
        <v>0</v>
      </c>
      <c r="CM308" s="16" t="n">
        <v>0</v>
      </c>
      <c r="CN308" s="16" t="n">
        <v>0</v>
      </c>
      <c r="CO308" s="16" t="n">
        <v>0</v>
      </c>
      <c r="CP308" s="16" t="n">
        <v>0</v>
      </c>
      <c r="CQ308" s="16" t="n">
        <v>0</v>
      </c>
      <c r="CR308" s="16" t="n">
        <v>0</v>
      </c>
      <c r="CS308" s="16" t="n">
        <v>7.9</v>
      </c>
      <c r="CT308" s="16" t="n">
        <v>0</v>
      </c>
      <c r="CU308" s="16" t="n">
        <v>0</v>
      </c>
      <c r="CV308" s="16" t="n">
        <v>0</v>
      </c>
      <c r="CW308" s="16" t="n">
        <v>0</v>
      </c>
      <c r="CX308" s="16" t="n">
        <v>0</v>
      </c>
      <c r="CY308" s="16" t="n">
        <v>0</v>
      </c>
      <c r="CZ308" s="16" t="n">
        <v>0</v>
      </c>
      <c r="DA308" s="16" t="n">
        <v>0</v>
      </c>
      <c r="DB308" s="16" t="n">
        <v>1.8</v>
      </c>
      <c r="DC308" s="16" t="n">
        <v>1.4</v>
      </c>
      <c r="DD308" s="16" t="n">
        <v>0</v>
      </c>
      <c r="DE308" s="16" t="n">
        <v>6.4</v>
      </c>
      <c r="DF308" s="16" t="n">
        <v>3.8</v>
      </c>
      <c r="DG308" s="16" t="n">
        <v>0</v>
      </c>
      <c r="DH308" s="16" t="n">
        <v>6</v>
      </c>
      <c r="DI308" s="16" t="n">
        <v>5</v>
      </c>
      <c r="DJ308" s="16" t="n">
        <v>0</v>
      </c>
      <c r="DK308" s="16" t="n">
        <v>0</v>
      </c>
      <c r="DL308" s="16" t="n">
        <v>0</v>
      </c>
      <c r="DM308" s="16" t="n">
        <v>0</v>
      </c>
      <c r="DN308" s="16" t="n">
        <v>0</v>
      </c>
      <c r="DO308" s="16" t="n">
        <v>6.9</v>
      </c>
      <c r="DP308" s="16" t="n">
        <v>2.9</v>
      </c>
      <c r="DQ308" s="16" t="n">
        <v>9.8</v>
      </c>
      <c r="DR308" s="16" t="n">
        <v>1.2</v>
      </c>
      <c r="DS308" s="16" t="n">
        <v>0</v>
      </c>
      <c r="DT308" s="16" t="n">
        <v>0</v>
      </c>
      <c r="DU308" s="16" t="n">
        <v>0</v>
      </c>
      <c r="DV308" s="16" t="n">
        <v>0</v>
      </c>
      <c r="DW308" s="16" t="n">
        <v>0</v>
      </c>
      <c r="DX308" s="16" t="n">
        <v>0</v>
      </c>
      <c r="DY308" s="16" t="n">
        <v>0</v>
      </c>
      <c r="DZ308" s="16" t="n">
        <v>0</v>
      </c>
      <c r="EA308" s="16" t="n">
        <v>0</v>
      </c>
      <c r="EB308" s="16" t="n">
        <v>0</v>
      </c>
      <c r="EC308" s="16" t="n">
        <v>0</v>
      </c>
      <c r="ED308" s="16" t="n">
        <v>0</v>
      </c>
      <c r="EE308" s="16" t="n">
        <v>0</v>
      </c>
      <c r="EF308" s="16" t="n">
        <v>0</v>
      </c>
    </row>
    <row r="309" customFormat="false" ht="15" hidden="false" customHeight="true" outlineLevel="0" collapsed="false">
      <c r="A309" s="9" t="s">
        <v>12</v>
      </c>
      <c r="B309" s="9" t="s">
        <v>15</v>
      </c>
      <c r="C309" s="9" t="s">
        <v>15</v>
      </c>
      <c r="D309" s="9" t="s">
        <v>340</v>
      </c>
      <c r="E309" s="9" t="s">
        <v>16</v>
      </c>
      <c r="F309" s="9" t="s">
        <v>40</v>
      </c>
      <c r="G309" s="16" t="n">
        <v>11.8</v>
      </c>
      <c r="H309" s="16" t="n">
        <v>64.9</v>
      </c>
      <c r="I309" s="16" t="n">
        <v>0.5</v>
      </c>
      <c r="J309" s="16" t="n">
        <v>64.4</v>
      </c>
      <c r="K309" s="16" t="n">
        <v>0</v>
      </c>
      <c r="L309" s="16" t="n">
        <v>0</v>
      </c>
      <c r="M309" s="16" t="n">
        <v>0</v>
      </c>
      <c r="N309" s="16" t="n">
        <v>0</v>
      </c>
      <c r="O309" s="16" t="n">
        <v>0</v>
      </c>
      <c r="P309" s="16" t="n">
        <v>0</v>
      </c>
      <c r="Q309" s="16" t="n">
        <v>0</v>
      </c>
      <c r="R309" s="16" t="n">
        <v>0</v>
      </c>
      <c r="S309" s="16" t="n">
        <v>0</v>
      </c>
      <c r="T309" s="16" t="n">
        <v>0</v>
      </c>
      <c r="U309" s="16" t="n">
        <v>0</v>
      </c>
      <c r="V309" s="16" t="n">
        <v>0</v>
      </c>
      <c r="W309" s="16" t="n">
        <v>0</v>
      </c>
      <c r="X309" s="16" t="n">
        <v>0</v>
      </c>
      <c r="Y309" s="16" t="n">
        <v>0</v>
      </c>
      <c r="Z309" s="16" t="n">
        <v>0</v>
      </c>
      <c r="AA309" s="16" t="n">
        <v>0</v>
      </c>
      <c r="AB309" s="16" t="n">
        <v>0</v>
      </c>
      <c r="AC309" s="16" t="n">
        <v>0</v>
      </c>
      <c r="AD309" s="16" t="n">
        <v>0</v>
      </c>
      <c r="AE309" s="16" t="n">
        <v>0</v>
      </c>
      <c r="AF309" s="16" t="n">
        <v>0</v>
      </c>
      <c r="AG309" s="16" t="n">
        <v>0</v>
      </c>
      <c r="AH309" s="16" t="n">
        <v>0.5</v>
      </c>
      <c r="AI309" s="16" t="n">
        <v>0</v>
      </c>
      <c r="AJ309" s="16" t="n">
        <v>0</v>
      </c>
      <c r="AK309" s="16" t="n">
        <v>0</v>
      </c>
      <c r="AL309" s="16" t="n">
        <v>0</v>
      </c>
      <c r="AM309" s="16" t="n">
        <v>0</v>
      </c>
      <c r="AN309" s="16" t="n">
        <v>0</v>
      </c>
      <c r="AO309" s="16" t="n">
        <v>0</v>
      </c>
      <c r="AP309" s="16" t="n">
        <v>0</v>
      </c>
      <c r="AQ309" s="16" t="n">
        <v>0</v>
      </c>
      <c r="AR309" s="16" t="n">
        <v>0</v>
      </c>
      <c r="AS309" s="16" t="n">
        <v>0</v>
      </c>
      <c r="AT309" s="16" t="n">
        <v>0</v>
      </c>
      <c r="AU309" s="16" t="n">
        <v>0</v>
      </c>
      <c r="AV309" s="16" t="n">
        <v>0</v>
      </c>
      <c r="AW309" s="16" t="n">
        <v>0</v>
      </c>
      <c r="AX309" s="16" t="n">
        <v>0</v>
      </c>
      <c r="AY309" s="16" t="n">
        <v>0</v>
      </c>
      <c r="AZ309" s="16" t="n">
        <v>0</v>
      </c>
      <c r="BA309" s="16" t="n">
        <v>0</v>
      </c>
      <c r="BB309" s="16" t="n">
        <v>0</v>
      </c>
      <c r="BC309" s="16" t="n">
        <v>0</v>
      </c>
      <c r="BD309" s="16" t="n">
        <v>0</v>
      </c>
      <c r="BE309" s="16" t="n">
        <v>0</v>
      </c>
      <c r="BF309" s="16" t="n">
        <v>0</v>
      </c>
      <c r="BG309" s="16" t="n">
        <v>0</v>
      </c>
      <c r="BH309" s="16" t="n">
        <v>0</v>
      </c>
      <c r="BI309" s="16" t="n">
        <v>0</v>
      </c>
      <c r="BJ309" s="16" t="n">
        <v>0</v>
      </c>
      <c r="BK309" s="16" t="n">
        <v>0</v>
      </c>
      <c r="BL309" s="16" t="n">
        <v>0</v>
      </c>
      <c r="BM309" s="16" t="n">
        <v>0</v>
      </c>
      <c r="BN309" s="16" t="n">
        <v>0</v>
      </c>
      <c r="BO309" s="16" t="n">
        <v>0</v>
      </c>
      <c r="BP309" s="16" t="n">
        <v>0</v>
      </c>
      <c r="BQ309" s="16" t="n">
        <v>0</v>
      </c>
      <c r="BR309" s="16" t="n">
        <v>0</v>
      </c>
      <c r="BS309" s="16" t="n">
        <v>0</v>
      </c>
      <c r="BT309" s="16" t="n">
        <v>0</v>
      </c>
      <c r="BU309" s="16" t="n">
        <v>0</v>
      </c>
      <c r="BV309" s="16" t="n">
        <v>0</v>
      </c>
      <c r="BW309" s="16" t="n">
        <v>0</v>
      </c>
      <c r="BX309" s="16" t="n">
        <v>0</v>
      </c>
      <c r="BY309" s="16" t="n">
        <v>0</v>
      </c>
      <c r="BZ309" s="16" t="n">
        <v>0</v>
      </c>
      <c r="CA309" s="16" t="n">
        <v>0</v>
      </c>
      <c r="CB309" s="16" t="n">
        <v>0</v>
      </c>
      <c r="CC309" s="16" t="n">
        <v>0</v>
      </c>
      <c r="CD309" s="16" t="n">
        <v>0</v>
      </c>
      <c r="CE309" s="16" t="n">
        <v>0</v>
      </c>
      <c r="CF309" s="16" t="n">
        <v>0</v>
      </c>
      <c r="CG309" s="16" t="n">
        <v>0</v>
      </c>
      <c r="CH309" s="16" t="n">
        <v>0</v>
      </c>
      <c r="CI309" s="16" t="n">
        <v>0</v>
      </c>
      <c r="CJ309" s="16" t="n">
        <v>0</v>
      </c>
      <c r="CK309" s="16" t="n">
        <v>0</v>
      </c>
      <c r="CL309" s="16" t="n">
        <v>0</v>
      </c>
      <c r="CM309" s="16" t="n">
        <v>0</v>
      </c>
      <c r="CN309" s="16" t="n">
        <v>0</v>
      </c>
      <c r="CO309" s="16" t="n">
        <v>0</v>
      </c>
      <c r="CP309" s="16" t="n">
        <v>0</v>
      </c>
      <c r="CQ309" s="16" t="n">
        <v>0</v>
      </c>
      <c r="CR309" s="16" t="n">
        <v>0</v>
      </c>
      <c r="CS309" s="16" t="n">
        <v>0</v>
      </c>
      <c r="CT309" s="16" t="n">
        <v>0</v>
      </c>
      <c r="CU309" s="16" t="n">
        <v>0</v>
      </c>
      <c r="CV309" s="16" t="n">
        <v>0</v>
      </c>
      <c r="CW309" s="16" t="n">
        <v>0</v>
      </c>
      <c r="CX309" s="16" t="n">
        <v>0</v>
      </c>
      <c r="CY309" s="16" t="n">
        <v>0</v>
      </c>
      <c r="CZ309" s="16" t="n">
        <v>0</v>
      </c>
      <c r="DA309" s="16" t="n">
        <v>0</v>
      </c>
      <c r="DB309" s="16" t="n">
        <v>0</v>
      </c>
      <c r="DC309" s="16" t="n">
        <v>0</v>
      </c>
      <c r="DD309" s="16" t="n">
        <v>0</v>
      </c>
      <c r="DE309" s="16" t="n">
        <v>0</v>
      </c>
      <c r="DF309" s="16" t="n">
        <v>0</v>
      </c>
      <c r="DG309" s="16" t="n">
        <v>0</v>
      </c>
      <c r="DH309" s="16" t="n">
        <v>0</v>
      </c>
      <c r="DI309" s="16" t="n">
        <v>0</v>
      </c>
      <c r="DJ309" s="16" t="n">
        <v>0</v>
      </c>
      <c r="DK309" s="16" t="n">
        <v>0</v>
      </c>
      <c r="DL309" s="16" t="n">
        <v>0</v>
      </c>
      <c r="DM309" s="16" t="n">
        <v>0</v>
      </c>
      <c r="DN309" s="16" t="n">
        <v>0</v>
      </c>
      <c r="DO309" s="16" t="n">
        <v>0</v>
      </c>
      <c r="DP309" s="16" t="n">
        <v>0</v>
      </c>
      <c r="DQ309" s="16" t="n">
        <v>0</v>
      </c>
      <c r="DR309" s="16" t="n">
        <v>0</v>
      </c>
      <c r="DS309" s="16" t="n">
        <v>0</v>
      </c>
      <c r="DT309" s="16" t="n">
        <v>0</v>
      </c>
      <c r="DU309" s="16" t="n">
        <v>0</v>
      </c>
      <c r="DV309" s="16" t="n">
        <v>0</v>
      </c>
      <c r="DW309" s="16" t="n">
        <v>0</v>
      </c>
      <c r="DX309" s="16" t="n">
        <v>0</v>
      </c>
      <c r="DY309" s="16" t="n">
        <v>0</v>
      </c>
      <c r="DZ309" s="16" t="n">
        <v>0</v>
      </c>
      <c r="EA309" s="16" t="n">
        <v>0</v>
      </c>
      <c r="EB309" s="16" t="n">
        <v>0</v>
      </c>
      <c r="EC309" s="16" t="n">
        <v>0</v>
      </c>
      <c r="ED309" s="16" t="n">
        <v>0</v>
      </c>
      <c r="EE309" s="16" t="n">
        <v>0</v>
      </c>
      <c r="EF309" s="16" t="n">
        <v>0</v>
      </c>
    </row>
    <row r="310" customFormat="false" ht="15" hidden="false" customHeight="true" outlineLevel="0" collapsed="false">
      <c r="A310" s="9" t="s">
        <v>12</v>
      </c>
      <c r="B310" s="9" t="s">
        <v>15</v>
      </c>
      <c r="C310" s="9" t="s">
        <v>15</v>
      </c>
      <c r="D310" s="9" t="s">
        <v>341</v>
      </c>
      <c r="E310" s="9" t="s">
        <v>16</v>
      </c>
      <c r="F310" s="9" t="s">
        <v>96</v>
      </c>
      <c r="G310" s="16" t="n">
        <v>0</v>
      </c>
      <c r="H310" s="16" t="n">
        <v>0</v>
      </c>
      <c r="I310" s="16" t="n">
        <v>154.6</v>
      </c>
      <c r="J310" s="16" t="n">
        <v>-154.6</v>
      </c>
      <c r="K310" s="16" t="n">
        <v>0</v>
      </c>
      <c r="L310" s="16" t="n">
        <v>0</v>
      </c>
      <c r="M310" s="16" t="n">
        <v>0</v>
      </c>
      <c r="N310" s="16" t="n">
        <v>0</v>
      </c>
      <c r="O310" s="16" t="n">
        <v>0</v>
      </c>
      <c r="P310" s="16" t="n">
        <v>0</v>
      </c>
      <c r="Q310" s="16" t="n">
        <v>0</v>
      </c>
      <c r="R310" s="16" t="n">
        <v>0</v>
      </c>
      <c r="S310" s="16" t="n">
        <v>0</v>
      </c>
      <c r="T310" s="16" t="n">
        <v>0</v>
      </c>
      <c r="U310" s="16" t="n">
        <v>0</v>
      </c>
      <c r="V310" s="16" t="n">
        <v>0</v>
      </c>
      <c r="W310" s="16" t="n">
        <v>0</v>
      </c>
      <c r="X310" s="16" t="n">
        <v>0</v>
      </c>
      <c r="Y310" s="16" t="n">
        <v>0</v>
      </c>
      <c r="Z310" s="16" t="n">
        <v>0</v>
      </c>
      <c r="AA310" s="16" t="n">
        <v>0</v>
      </c>
      <c r="AB310" s="16" t="n">
        <v>0</v>
      </c>
      <c r="AC310" s="16" t="n">
        <v>0</v>
      </c>
      <c r="AD310" s="16" t="n">
        <v>0</v>
      </c>
      <c r="AE310" s="16" t="n">
        <v>0</v>
      </c>
      <c r="AF310" s="16" t="n">
        <v>0</v>
      </c>
      <c r="AG310" s="16" t="n">
        <v>0</v>
      </c>
      <c r="AH310" s="16" t="n">
        <v>0</v>
      </c>
      <c r="AI310" s="16" t="n">
        <v>0</v>
      </c>
      <c r="AJ310" s="16" t="n">
        <v>0</v>
      </c>
      <c r="AK310" s="16" t="n">
        <v>1.5</v>
      </c>
      <c r="AL310" s="16" t="n">
        <v>1.5</v>
      </c>
      <c r="AM310" s="16" t="n">
        <v>0</v>
      </c>
      <c r="AN310" s="16" t="n">
        <v>0</v>
      </c>
      <c r="AO310" s="16" t="n">
        <v>4</v>
      </c>
      <c r="AP310" s="16" t="n">
        <v>11</v>
      </c>
      <c r="AQ310" s="16" t="n">
        <v>14</v>
      </c>
      <c r="AR310" s="16" t="n">
        <v>7.5</v>
      </c>
      <c r="AS310" s="16" t="n">
        <v>2</v>
      </c>
      <c r="AT310" s="16" t="n">
        <v>0</v>
      </c>
      <c r="AU310" s="16" t="n">
        <v>0</v>
      </c>
      <c r="AV310" s="16" t="n">
        <v>0</v>
      </c>
      <c r="AW310" s="16" t="n">
        <v>0</v>
      </c>
      <c r="AX310" s="16" t="n">
        <v>0</v>
      </c>
      <c r="AY310" s="16" t="n">
        <v>0</v>
      </c>
      <c r="AZ310" s="16" t="n">
        <v>0</v>
      </c>
      <c r="BA310" s="16" t="n">
        <v>0</v>
      </c>
      <c r="BB310" s="16" t="n">
        <v>0</v>
      </c>
      <c r="BC310" s="16" t="n">
        <v>0</v>
      </c>
      <c r="BD310" s="16" t="n">
        <v>0</v>
      </c>
      <c r="BE310" s="16" t="n">
        <v>0</v>
      </c>
      <c r="BF310" s="16" t="n">
        <v>0</v>
      </c>
      <c r="BG310" s="16" t="n">
        <v>0</v>
      </c>
      <c r="BH310" s="16" t="n">
        <v>0</v>
      </c>
      <c r="BI310" s="16" t="n">
        <v>0</v>
      </c>
      <c r="BJ310" s="16" t="n">
        <v>0</v>
      </c>
      <c r="BK310" s="16" t="n">
        <v>0</v>
      </c>
      <c r="BL310" s="16" t="n">
        <v>0</v>
      </c>
      <c r="BM310" s="16" t="n">
        <v>0</v>
      </c>
      <c r="BN310" s="16" t="n">
        <v>0</v>
      </c>
      <c r="BO310" s="16" t="n">
        <v>0</v>
      </c>
      <c r="BP310" s="16" t="n">
        <v>0</v>
      </c>
      <c r="BQ310" s="16" t="n">
        <v>0</v>
      </c>
      <c r="BR310" s="16" t="n">
        <v>0</v>
      </c>
      <c r="BS310" s="16" t="n">
        <v>0</v>
      </c>
      <c r="BT310" s="16" t="n">
        <v>0</v>
      </c>
      <c r="BU310" s="16" t="n">
        <v>0</v>
      </c>
      <c r="BV310" s="16" t="n">
        <v>0</v>
      </c>
      <c r="BW310" s="16" t="n">
        <v>0</v>
      </c>
      <c r="BX310" s="16" t="n">
        <v>0</v>
      </c>
      <c r="BY310" s="16" t="n">
        <v>0</v>
      </c>
      <c r="BZ310" s="16" t="n">
        <v>0</v>
      </c>
      <c r="CA310" s="16" t="n">
        <v>0</v>
      </c>
      <c r="CB310" s="16" t="n">
        <v>0</v>
      </c>
      <c r="CC310" s="16" t="n">
        <v>0</v>
      </c>
      <c r="CD310" s="16" t="n">
        <v>0</v>
      </c>
      <c r="CE310" s="16" t="n">
        <v>0</v>
      </c>
      <c r="CF310" s="16" t="n">
        <v>0</v>
      </c>
      <c r="CG310" s="16" t="n">
        <v>0</v>
      </c>
      <c r="CH310" s="16" t="n">
        <v>0</v>
      </c>
      <c r="CI310" s="16" t="n">
        <v>0</v>
      </c>
      <c r="CJ310" s="16" t="n">
        <v>0</v>
      </c>
      <c r="CK310" s="16" t="n">
        <v>0</v>
      </c>
      <c r="CL310" s="16" t="n">
        <v>0</v>
      </c>
      <c r="CM310" s="16" t="n">
        <v>0</v>
      </c>
      <c r="CN310" s="16" t="n">
        <v>0</v>
      </c>
      <c r="CO310" s="16" t="n">
        <v>0</v>
      </c>
      <c r="CP310" s="16" t="n">
        <v>0</v>
      </c>
      <c r="CQ310" s="16" t="n">
        <v>0</v>
      </c>
      <c r="CR310" s="16" t="n">
        <v>0</v>
      </c>
      <c r="CS310" s="16" t="n">
        <v>10</v>
      </c>
      <c r="CT310" s="16" t="n">
        <v>1</v>
      </c>
      <c r="CU310" s="16" t="n">
        <v>0</v>
      </c>
      <c r="CV310" s="16" t="n">
        <v>0</v>
      </c>
      <c r="CW310" s="16" t="n">
        <v>0</v>
      </c>
      <c r="CX310" s="16" t="n">
        <v>11</v>
      </c>
      <c r="CY310" s="16" t="n">
        <v>10.5</v>
      </c>
      <c r="CZ310" s="16" t="n">
        <v>11</v>
      </c>
      <c r="DA310" s="16" t="n">
        <v>0</v>
      </c>
      <c r="DB310" s="16" t="n">
        <v>0</v>
      </c>
      <c r="DC310" s="16" t="n">
        <v>7.4</v>
      </c>
      <c r="DD310" s="16" t="n">
        <v>1</v>
      </c>
      <c r="DE310" s="16" t="n">
        <v>0</v>
      </c>
      <c r="DF310" s="16" t="n">
        <v>2</v>
      </c>
      <c r="DG310" s="16" t="n">
        <v>14.5</v>
      </c>
      <c r="DH310" s="16" t="n">
        <v>11.5</v>
      </c>
      <c r="DI310" s="16" t="n">
        <v>0</v>
      </c>
      <c r="DJ310" s="16" t="n">
        <v>0</v>
      </c>
      <c r="DK310" s="16" t="n">
        <v>0</v>
      </c>
      <c r="DL310" s="16" t="n">
        <v>0</v>
      </c>
      <c r="DM310" s="16" t="n">
        <v>0</v>
      </c>
      <c r="DN310" s="16" t="n">
        <v>0</v>
      </c>
      <c r="DO310" s="16" t="n">
        <v>0</v>
      </c>
      <c r="DP310" s="16" t="n">
        <v>15</v>
      </c>
      <c r="DQ310" s="16" t="n">
        <v>20.2</v>
      </c>
      <c r="DR310" s="16" t="n">
        <v>0</v>
      </c>
      <c r="DS310" s="16" t="n">
        <v>0</v>
      </c>
      <c r="DT310" s="16" t="n">
        <v>0</v>
      </c>
      <c r="DU310" s="16" t="n">
        <v>0</v>
      </c>
      <c r="DV310" s="16" t="n">
        <v>0</v>
      </c>
      <c r="DW310" s="16" t="n">
        <v>0</v>
      </c>
      <c r="DX310" s="16" t="n">
        <v>0</v>
      </c>
      <c r="DY310" s="16" t="n">
        <v>0</v>
      </c>
      <c r="DZ310" s="16" t="n">
        <v>0</v>
      </c>
      <c r="EA310" s="16" t="n">
        <v>0</v>
      </c>
      <c r="EB310" s="16" t="n">
        <v>0</v>
      </c>
      <c r="EC310" s="16" t="n">
        <v>0</v>
      </c>
      <c r="ED310" s="16" t="n">
        <v>0</v>
      </c>
      <c r="EE310" s="16" t="n">
        <v>0</v>
      </c>
      <c r="EF310" s="16" t="n">
        <v>0</v>
      </c>
    </row>
    <row r="311" customFormat="false" ht="15" hidden="false" customHeight="true" outlineLevel="0" collapsed="false">
      <c r="A311" s="9" t="s">
        <v>12</v>
      </c>
      <c r="B311" s="9" t="s">
        <v>15</v>
      </c>
      <c r="C311" s="9" t="s">
        <v>15</v>
      </c>
      <c r="D311" s="9" t="s">
        <v>340</v>
      </c>
      <c r="E311" s="9" t="s">
        <v>16</v>
      </c>
      <c r="F311" s="9" t="s">
        <v>96</v>
      </c>
      <c r="G311" s="16" t="n">
        <v>55.8</v>
      </c>
      <c r="H311" s="16" t="n">
        <v>168.6</v>
      </c>
      <c r="I311" s="16" t="n">
        <v>11.5</v>
      </c>
      <c r="J311" s="16" t="n">
        <v>157.1</v>
      </c>
      <c r="K311" s="16" t="n">
        <v>0</v>
      </c>
      <c r="L311" s="16" t="n">
        <v>0</v>
      </c>
      <c r="M311" s="16" t="n">
        <v>0</v>
      </c>
      <c r="N311" s="16" t="n">
        <v>0</v>
      </c>
      <c r="O311" s="16" t="n">
        <v>0</v>
      </c>
      <c r="P311" s="16" t="n">
        <v>0</v>
      </c>
      <c r="Q311" s="16" t="n">
        <v>0</v>
      </c>
      <c r="R311" s="16" t="n">
        <v>0</v>
      </c>
      <c r="S311" s="16" t="n">
        <v>0</v>
      </c>
      <c r="T311" s="16" t="n">
        <v>0</v>
      </c>
      <c r="U311" s="16" t="n">
        <v>0</v>
      </c>
      <c r="V311" s="16" t="n">
        <v>0</v>
      </c>
      <c r="W311" s="16" t="n">
        <v>0</v>
      </c>
      <c r="X311" s="16" t="n">
        <v>0</v>
      </c>
      <c r="Y311" s="16" t="n">
        <v>0</v>
      </c>
      <c r="Z311" s="16" t="n">
        <v>0</v>
      </c>
      <c r="AA311" s="16" t="n">
        <v>0</v>
      </c>
      <c r="AB311" s="16" t="n">
        <v>0</v>
      </c>
      <c r="AC311" s="16" t="n">
        <v>1.5</v>
      </c>
      <c r="AD311" s="16" t="n">
        <v>1</v>
      </c>
      <c r="AE311" s="16" t="n">
        <v>1</v>
      </c>
      <c r="AF311" s="16" t="n">
        <v>2.5</v>
      </c>
      <c r="AG311" s="16" t="n">
        <v>2.5</v>
      </c>
      <c r="AH311" s="16" t="n">
        <v>1.5</v>
      </c>
      <c r="AI311" s="16" t="n">
        <v>0.5</v>
      </c>
      <c r="AJ311" s="16" t="n">
        <v>1</v>
      </c>
      <c r="AK311" s="16" t="n">
        <v>0</v>
      </c>
      <c r="AL311" s="16" t="n">
        <v>0</v>
      </c>
      <c r="AM311" s="16" t="n">
        <v>0</v>
      </c>
      <c r="AN311" s="16" t="n">
        <v>0</v>
      </c>
      <c r="AO311" s="16" t="n">
        <v>0</v>
      </c>
      <c r="AP311" s="16" t="n">
        <v>0</v>
      </c>
      <c r="AQ311" s="16" t="n">
        <v>0</v>
      </c>
      <c r="AR311" s="16" t="n">
        <v>0</v>
      </c>
      <c r="AS311" s="16" t="n">
        <v>0</v>
      </c>
      <c r="AT311" s="16" t="n">
        <v>0</v>
      </c>
      <c r="AU311" s="16" t="n">
        <v>0</v>
      </c>
      <c r="AV311" s="16" t="n">
        <v>0</v>
      </c>
      <c r="AW311" s="16" t="n">
        <v>0</v>
      </c>
      <c r="AX311" s="16" t="n">
        <v>0</v>
      </c>
      <c r="AY311" s="16" t="n">
        <v>0</v>
      </c>
      <c r="AZ311" s="16" t="n">
        <v>0</v>
      </c>
      <c r="BA311" s="16" t="n">
        <v>0</v>
      </c>
      <c r="BB311" s="16" t="n">
        <v>0</v>
      </c>
      <c r="BC311" s="16" t="n">
        <v>0</v>
      </c>
      <c r="BD311" s="16" t="n">
        <v>0</v>
      </c>
      <c r="BE311" s="16" t="n">
        <v>0</v>
      </c>
      <c r="BF311" s="16" t="n">
        <v>0</v>
      </c>
      <c r="BG311" s="16" t="n">
        <v>0</v>
      </c>
      <c r="BH311" s="16" t="n">
        <v>0</v>
      </c>
      <c r="BI311" s="16" t="n">
        <v>0</v>
      </c>
      <c r="BJ311" s="16" t="n">
        <v>0</v>
      </c>
      <c r="BK311" s="16" t="n">
        <v>0</v>
      </c>
      <c r="BL311" s="16" t="n">
        <v>0</v>
      </c>
      <c r="BM311" s="16" t="n">
        <v>0</v>
      </c>
      <c r="BN311" s="16" t="n">
        <v>0</v>
      </c>
      <c r="BO311" s="16" t="n">
        <v>0</v>
      </c>
      <c r="BP311" s="16" t="n">
        <v>0</v>
      </c>
      <c r="BQ311" s="16" t="n">
        <v>0</v>
      </c>
      <c r="BR311" s="16" t="n">
        <v>0</v>
      </c>
      <c r="BS311" s="16" t="n">
        <v>0</v>
      </c>
      <c r="BT311" s="16" t="n">
        <v>0</v>
      </c>
      <c r="BU311" s="16" t="n">
        <v>0</v>
      </c>
      <c r="BV311" s="16" t="n">
        <v>0</v>
      </c>
      <c r="BW311" s="16" t="n">
        <v>0</v>
      </c>
      <c r="BX311" s="16" t="n">
        <v>0</v>
      </c>
      <c r="BY311" s="16" t="n">
        <v>0</v>
      </c>
      <c r="BZ311" s="16" t="n">
        <v>0</v>
      </c>
      <c r="CA311" s="16" t="n">
        <v>0</v>
      </c>
      <c r="CB311" s="16" t="n">
        <v>0</v>
      </c>
      <c r="CC311" s="16" t="n">
        <v>0</v>
      </c>
      <c r="CD311" s="16" t="n">
        <v>0</v>
      </c>
      <c r="CE311" s="16" t="n">
        <v>0</v>
      </c>
      <c r="CF311" s="16" t="n">
        <v>0</v>
      </c>
      <c r="CG311" s="16" t="n">
        <v>0</v>
      </c>
      <c r="CH311" s="16" t="n">
        <v>0</v>
      </c>
      <c r="CI311" s="16" t="n">
        <v>0</v>
      </c>
      <c r="CJ311" s="16" t="n">
        <v>0</v>
      </c>
      <c r="CK311" s="16" t="n">
        <v>0</v>
      </c>
      <c r="CL311" s="16" t="n">
        <v>0</v>
      </c>
      <c r="CM311" s="16" t="n">
        <v>0</v>
      </c>
      <c r="CN311" s="16" t="n">
        <v>0</v>
      </c>
      <c r="CO311" s="16" t="n">
        <v>0</v>
      </c>
      <c r="CP311" s="16" t="n">
        <v>0</v>
      </c>
      <c r="CQ311" s="16" t="n">
        <v>0</v>
      </c>
      <c r="CR311" s="16" t="n">
        <v>0</v>
      </c>
      <c r="CS311" s="16" t="n">
        <v>0</v>
      </c>
      <c r="CT311" s="16" t="n">
        <v>0</v>
      </c>
      <c r="CU311" s="16" t="n">
        <v>0</v>
      </c>
      <c r="CV311" s="16" t="n">
        <v>0</v>
      </c>
      <c r="CW311" s="16" t="n">
        <v>0</v>
      </c>
      <c r="CX311" s="16" t="n">
        <v>0</v>
      </c>
      <c r="CY311" s="16" t="n">
        <v>0</v>
      </c>
      <c r="CZ311" s="16" t="n">
        <v>0</v>
      </c>
      <c r="DA311" s="16" t="n">
        <v>0</v>
      </c>
      <c r="DB311" s="16" t="n">
        <v>0</v>
      </c>
      <c r="DC311" s="16" t="n">
        <v>0</v>
      </c>
      <c r="DD311" s="16" t="n">
        <v>0</v>
      </c>
      <c r="DE311" s="16" t="n">
        <v>0</v>
      </c>
      <c r="DF311" s="16" t="n">
        <v>0</v>
      </c>
      <c r="DG311" s="16" t="n">
        <v>0</v>
      </c>
      <c r="DH311" s="16" t="n">
        <v>0</v>
      </c>
      <c r="DI311" s="16" t="n">
        <v>0</v>
      </c>
      <c r="DJ311" s="16" t="n">
        <v>0</v>
      </c>
      <c r="DK311" s="16" t="n">
        <v>0</v>
      </c>
      <c r="DL311" s="16" t="n">
        <v>0</v>
      </c>
      <c r="DM311" s="16" t="n">
        <v>0</v>
      </c>
      <c r="DN311" s="16" t="n">
        <v>0</v>
      </c>
      <c r="DO311" s="16" t="n">
        <v>0</v>
      </c>
      <c r="DP311" s="16" t="n">
        <v>0</v>
      </c>
      <c r="DQ311" s="16" t="n">
        <v>0</v>
      </c>
      <c r="DR311" s="16" t="n">
        <v>0</v>
      </c>
      <c r="DS311" s="16" t="n">
        <v>0</v>
      </c>
      <c r="DT311" s="16" t="n">
        <v>0</v>
      </c>
      <c r="DU311" s="16" t="n">
        <v>0</v>
      </c>
      <c r="DV311" s="16" t="n">
        <v>0</v>
      </c>
      <c r="DW311" s="16" t="n">
        <v>0</v>
      </c>
      <c r="DX311" s="16" t="n">
        <v>0</v>
      </c>
      <c r="DY311" s="16" t="n">
        <v>0</v>
      </c>
      <c r="DZ311" s="16" t="n">
        <v>0</v>
      </c>
      <c r="EA311" s="16" t="n">
        <v>0</v>
      </c>
      <c r="EB311" s="16" t="n">
        <v>0</v>
      </c>
      <c r="EC311" s="16" t="n">
        <v>0</v>
      </c>
      <c r="ED311" s="16" t="n">
        <v>0</v>
      </c>
      <c r="EE311" s="16" t="n">
        <v>0</v>
      </c>
      <c r="EF311" s="16" t="n">
        <v>0</v>
      </c>
    </row>
    <row r="312" customFormat="false" ht="15" hidden="false" customHeight="true" outlineLevel="0" collapsed="false">
      <c r="A312" s="9" t="s">
        <v>12</v>
      </c>
      <c r="B312" s="9" t="s">
        <v>15</v>
      </c>
      <c r="C312" s="9" t="s">
        <v>15</v>
      </c>
      <c r="D312" s="9" t="s">
        <v>341</v>
      </c>
      <c r="E312" s="9" t="s">
        <v>16</v>
      </c>
      <c r="F312" s="9" t="s">
        <v>97</v>
      </c>
      <c r="G312" s="16" t="n">
        <v>0</v>
      </c>
      <c r="H312" s="16" t="n">
        <v>0</v>
      </c>
      <c r="I312" s="16" t="n">
        <v>93.2</v>
      </c>
      <c r="J312" s="16" t="n">
        <v>-93.2</v>
      </c>
      <c r="K312" s="16" t="n">
        <v>0</v>
      </c>
      <c r="L312" s="16" t="n">
        <v>0</v>
      </c>
      <c r="M312" s="16" t="n">
        <v>0</v>
      </c>
      <c r="N312" s="16" t="n">
        <v>0</v>
      </c>
      <c r="O312" s="16" t="n">
        <v>0</v>
      </c>
      <c r="P312" s="16" t="n">
        <v>0</v>
      </c>
      <c r="Q312" s="16" t="n">
        <v>0</v>
      </c>
      <c r="R312" s="16" t="n">
        <v>0</v>
      </c>
      <c r="S312" s="16" t="n">
        <v>0</v>
      </c>
      <c r="T312" s="16" t="n">
        <v>0</v>
      </c>
      <c r="U312" s="16" t="n">
        <v>0</v>
      </c>
      <c r="V312" s="16" t="n">
        <v>0</v>
      </c>
      <c r="W312" s="16" t="n">
        <v>0</v>
      </c>
      <c r="X312" s="16" t="n">
        <v>0</v>
      </c>
      <c r="Y312" s="16" t="n">
        <v>0</v>
      </c>
      <c r="Z312" s="16" t="n">
        <v>0</v>
      </c>
      <c r="AA312" s="16" t="n">
        <v>0</v>
      </c>
      <c r="AB312" s="16" t="n">
        <v>0</v>
      </c>
      <c r="AC312" s="16" t="n">
        <v>0</v>
      </c>
      <c r="AD312" s="16" t="n">
        <v>0</v>
      </c>
      <c r="AE312" s="16" t="n">
        <v>0</v>
      </c>
      <c r="AF312" s="16" t="n">
        <v>0</v>
      </c>
      <c r="AG312" s="16" t="n">
        <v>0</v>
      </c>
      <c r="AH312" s="16" t="n">
        <v>0</v>
      </c>
      <c r="AI312" s="16" t="n">
        <v>0</v>
      </c>
      <c r="AJ312" s="16" t="n">
        <v>1.5</v>
      </c>
      <c r="AK312" s="16" t="n">
        <v>1.5</v>
      </c>
      <c r="AL312" s="16" t="n">
        <v>1.7</v>
      </c>
      <c r="AM312" s="16" t="n">
        <v>0</v>
      </c>
      <c r="AN312" s="16" t="n">
        <v>9</v>
      </c>
      <c r="AO312" s="16" t="n">
        <v>0.5</v>
      </c>
      <c r="AP312" s="16" t="n">
        <v>0.5</v>
      </c>
      <c r="AQ312" s="16" t="n">
        <v>1</v>
      </c>
      <c r="AR312" s="16" t="n">
        <v>5.5</v>
      </c>
      <c r="AS312" s="16" t="n">
        <v>2.5</v>
      </c>
      <c r="AT312" s="16" t="n">
        <v>0</v>
      </c>
      <c r="AU312" s="16" t="n">
        <v>0</v>
      </c>
      <c r="AV312" s="16" t="n">
        <v>0</v>
      </c>
      <c r="AW312" s="16" t="n">
        <v>0</v>
      </c>
      <c r="AX312" s="16" t="n">
        <v>0</v>
      </c>
      <c r="AY312" s="16" t="n">
        <v>0</v>
      </c>
      <c r="AZ312" s="16" t="n">
        <v>0</v>
      </c>
      <c r="BA312" s="16" t="n">
        <v>0</v>
      </c>
      <c r="BB312" s="16" t="n">
        <v>0</v>
      </c>
      <c r="BC312" s="16" t="n">
        <v>0</v>
      </c>
      <c r="BD312" s="16" t="n">
        <v>0</v>
      </c>
      <c r="BE312" s="16" t="n">
        <v>0</v>
      </c>
      <c r="BF312" s="16" t="n">
        <v>0</v>
      </c>
      <c r="BG312" s="16" t="n">
        <v>0</v>
      </c>
      <c r="BH312" s="16" t="n">
        <v>0</v>
      </c>
      <c r="BI312" s="16" t="n">
        <v>0</v>
      </c>
      <c r="BJ312" s="16" t="n">
        <v>0</v>
      </c>
      <c r="BK312" s="16" t="n">
        <v>0</v>
      </c>
      <c r="BL312" s="16" t="n">
        <v>0</v>
      </c>
      <c r="BM312" s="16" t="n">
        <v>0</v>
      </c>
      <c r="BN312" s="16" t="n">
        <v>0</v>
      </c>
      <c r="BO312" s="16" t="n">
        <v>0</v>
      </c>
      <c r="BP312" s="16" t="n">
        <v>0</v>
      </c>
      <c r="BQ312" s="16" t="n">
        <v>0</v>
      </c>
      <c r="BR312" s="16" t="n">
        <v>0</v>
      </c>
      <c r="BS312" s="16" t="n">
        <v>0</v>
      </c>
      <c r="BT312" s="16" t="n">
        <v>0</v>
      </c>
      <c r="BU312" s="16" t="n">
        <v>0</v>
      </c>
      <c r="BV312" s="16" t="n">
        <v>0</v>
      </c>
      <c r="BW312" s="16" t="n">
        <v>0</v>
      </c>
      <c r="BX312" s="16" t="n">
        <v>0</v>
      </c>
      <c r="BY312" s="16" t="n">
        <v>0</v>
      </c>
      <c r="BZ312" s="16" t="n">
        <v>0</v>
      </c>
      <c r="CA312" s="16" t="n">
        <v>0</v>
      </c>
      <c r="CB312" s="16" t="n">
        <v>0</v>
      </c>
      <c r="CC312" s="16" t="n">
        <v>0</v>
      </c>
      <c r="CD312" s="16" t="n">
        <v>0</v>
      </c>
      <c r="CE312" s="16" t="n">
        <v>0</v>
      </c>
      <c r="CF312" s="16" t="n">
        <v>0</v>
      </c>
      <c r="CG312" s="16" t="n">
        <v>0</v>
      </c>
      <c r="CH312" s="16" t="n">
        <v>0</v>
      </c>
      <c r="CI312" s="16" t="n">
        <v>0</v>
      </c>
      <c r="CJ312" s="16" t="n">
        <v>0</v>
      </c>
      <c r="CK312" s="16" t="n">
        <v>0</v>
      </c>
      <c r="CL312" s="16" t="n">
        <v>0</v>
      </c>
      <c r="CM312" s="16" t="n">
        <v>0</v>
      </c>
      <c r="CN312" s="16" t="n">
        <v>0</v>
      </c>
      <c r="CO312" s="16" t="n">
        <v>0</v>
      </c>
      <c r="CP312" s="16" t="n">
        <v>0</v>
      </c>
      <c r="CQ312" s="16" t="n">
        <v>0</v>
      </c>
      <c r="CR312" s="16" t="n">
        <v>0</v>
      </c>
      <c r="CS312" s="16" t="n">
        <v>4</v>
      </c>
      <c r="CT312" s="16" t="n">
        <v>0</v>
      </c>
      <c r="CU312" s="16" t="n">
        <v>4</v>
      </c>
      <c r="CV312" s="16" t="n">
        <v>4</v>
      </c>
      <c r="CW312" s="16" t="n">
        <v>4</v>
      </c>
      <c r="CX312" s="16" t="n">
        <v>0</v>
      </c>
      <c r="CY312" s="16" t="n">
        <v>0</v>
      </c>
      <c r="CZ312" s="16" t="n">
        <v>0</v>
      </c>
      <c r="DA312" s="16" t="n">
        <v>4</v>
      </c>
      <c r="DB312" s="16" t="n">
        <v>5</v>
      </c>
      <c r="DC312" s="16" t="n">
        <v>5</v>
      </c>
      <c r="DD312" s="16" t="n">
        <v>5</v>
      </c>
      <c r="DE312" s="16" t="n">
        <v>0</v>
      </c>
      <c r="DF312" s="16" t="n">
        <v>5</v>
      </c>
      <c r="DG312" s="16" t="n">
        <v>4</v>
      </c>
      <c r="DH312" s="16" t="n">
        <v>4</v>
      </c>
      <c r="DI312" s="16" t="n">
        <v>0</v>
      </c>
      <c r="DJ312" s="16" t="n">
        <v>0</v>
      </c>
      <c r="DK312" s="16" t="n">
        <v>0</v>
      </c>
      <c r="DL312" s="16" t="n">
        <v>2</v>
      </c>
      <c r="DM312" s="16" t="n">
        <v>2</v>
      </c>
      <c r="DN312" s="16" t="n">
        <v>4</v>
      </c>
      <c r="DO312" s="16" t="n">
        <v>4</v>
      </c>
      <c r="DP312" s="16" t="n">
        <v>4</v>
      </c>
      <c r="DQ312" s="16" t="n">
        <v>4</v>
      </c>
      <c r="DR312" s="16" t="n">
        <v>4</v>
      </c>
      <c r="DS312" s="16" t="n">
        <v>0</v>
      </c>
      <c r="DT312" s="16" t="n">
        <v>0</v>
      </c>
      <c r="DU312" s="16" t="n">
        <v>0</v>
      </c>
      <c r="DV312" s="16" t="n">
        <v>0</v>
      </c>
      <c r="DW312" s="16" t="n">
        <v>0</v>
      </c>
      <c r="DX312" s="16" t="n">
        <v>0</v>
      </c>
      <c r="DY312" s="16" t="n">
        <v>0</v>
      </c>
      <c r="DZ312" s="16" t="n">
        <v>0</v>
      </c>
      <c r="EA312" s="16" t="n">
        <v>0</v>
      </c>
      <c r="EB312" s="16" t="n">
        <v>0</v>
      </c>
      <c r="EC312" s="16" t="n">
        <v>0</v>
      </c>
      <c r="ED312" s="16" t="n">
        <v>0</v>
      </c>
      <c r="EE312" s="16" t="n">
        <v>0</v>
      </c>
      <c r="EF312" s="16" t="n">
        <v>0</v>
      </c>
    </row>
    <row r="313" customFormat="false" ht="15" hidden="false" customHeight="true" outlineLevel="0" collapsed="false">
      <c r="A313" s="9" t="s">
        <v>12</v>
      </c>
      <c r="B313" s="9" t="s">
        <v>15</v>
      </c>
      <c r="C313" s="9" t="s">
        <v>15</v>
      </c>
      <c r="D313" s="9" t="s">
        <v>340</v>
      </c>
      <c r="E313" s="9" t="s">
        <v>16</v>
      </c>
      <c r="F313" s="9" t="s">
        <v>97</v>
      </c>
      <c r="G313" s="16" t="n">
        <v>30.5</v>
      </c>
      <c r="H313" s="16" t="n">
        <v>102.5</v>
      </c>
      <c r="I313" s="16" t="n">
        <v>13</v>
      </c>
      <c r="J313" s="16" t="n">
        <v>89.5</v>
      </c>
      <c r="K313" s="16" t="n">
        <v>0</v>
      </c>
      <c r="L313" s="16" t="n">
        <v>0</v>
      </c>
      <c r="M313" s="16" t="n">
        <v>0</v>
      </c>
      <c r="N313" s="16" t="n">
        <v>0</v>
      </c>
      <c r="O313" s="16" t="n">
        <v>0</v>
      </c>
      <c r="P313" s="16" t="n">
        <v>0</v>
      </c>
      <c r="Q313" s="16" t="n">
        <v>0</v>
      </c>
      <c r="R313" s="16" t="n">
        <v>0</v>
      </c>
      <c r="S313" s="16" t="n">
        <v>0</v>
      </c>
      <c r="T313" s="16" t="n">
        <v>0</v>
      </c>
      <c r="U313" s="16" t="n">
        <v>0</v>
      </c>
      <c r="V313" s="16" t="n">
        <v>0</v>
      </c>
      <c r="W313" s="16" t="n">
        <v>0</v>
      </c>
      <c r="X313" s="16" t="n">
        <v>0</v>
      </c>
      <c r="Y313" s="16" t="n">
        <v>0</v>
      </c>
      <c r="Z313" s="16" t="n">
        <v>0</v>
      </c>
      <c r="AA313" s="16" t="n">
        <v>0</v>
      </c>
      <c r="AB313" s="16" t="n">
        <v>0</v>
      </c>
      <c r="AC313" s="16" t="n">
        <v>0</v>
      </c>
      <c r="AD313" s="16" t="n">
        <v>0</v>
      </c>
      <c r="AE313" s="16" t="n">
        <v>0.5</v>
      </c>
      <c r="AF313" s="16" t="n">
        <v>4</v>
      </c>
      <c r="AG313" s="16" t="n">
        <v>3</v>
      </c>
      <c r="AH313" s="16" t="n">
        <v>2</v>
      </c>
      <c r="AI313" s="16" t="n">
        <v>3.5</v>
      </c>
      <c r="AJ313" s="16" t="n">
        <v>0</v>
      </c>
      <c r="AK313" s="16" t="n">
        <v>0</v>
      </c>
      <c r="AL313" s="16" t="n">
        <v>0</v>
      </c>
      <c r="AM313" s="16" t="n">
        <v>0</v>
      </c>
      <c r="AN313" s="16" t="n">
        <v>0</v>
      </c>
      <c r="AO313" s="16" t="n">
        <v>0</v>
      </c>
      <c r="AP313" s="16" t="n">
        <v>0</v>
      </c>
      <c r="AQ313" s="16" t="n">
        <v>0</v>
      </c>
      <c r="AR313" s="16" t="n">
        <v>0</v>
      </c>
      <c r="AS313" s="16" t="n">
        <v>0</v>
      </c>
      <c r="AT313" s="16" t="n">
        <v>0</v>
      </c>
      <c r="AU313" s="16" t="n">
        <v>0</v>
      </c>
      <c r="AV313" s="16" t="n">
        <v>0</v>
      </c>
      <c r="AW313" s="16" t="n">
        <v>0</v>
      </c>
      <c r="AX313" s="16" t="n">
        <v>0</v>
      </c>
      <c r="AY313" s="16" t="n">
        <v>0</v>
      </c>
      <c r="AZ313" s="16" t="n">
        <v>0</v>
      </c>
      <c r="BA313" s="16" t="n">
        <v>0</v>
      </c>
      <c r="BB313" s="16" t="n">
        <v>0</v>
      </c>
      <c r="BC313" s="16" t="n">
        <v>0</v>
      </c>
      <c r="BD313" s="16" t="n">
        <v>0</v>
      </c>
      <c r="BE313" s="16" t="n">
        <v>0</v>
      </c>
      <c r="BF313" s="16" t="n">
        <v>0</v>
      </c>
      <c r="BG313" s="16" t="n">
        <v>0</v>
      </c>
      <c r="BH313" s="16" t="n">
        <v>0</v>
      </c>
      <c r="BI313" s="16" t="n">
        <v>0</v>
      </c>
      <c r="BJ313" s="16" t="n">
        <v>0</v>
      </c>
      <c r="BK313" s="16" t="n">
        <v>0</v>
      </c>
      <c r="BL313" s="16" t="n">
        <v>0</v>
      </c>
      <c r="BM313" s="16" t="n">
        <v>0</v>
      </c>
      <c r="BN313" s="16" t="n">
        <v>0</v>
      </c>
      <c r="BO313" s="16" t="n">
        <v>0</v>
      </c>
      <c r="BP313" s="16" t="n">
        <v>0</v>
      </c>
      <c r="BQ313" s="16" t="n">
        <v>0</v>
      </c>
      <c r="BR313" s="16" t="n">
        <v>0</v>
      </c>
      <c r="BS313" s="16" t="n">
        <v>0</v>
      </c>
      <c r="BT313" s="16" t="n">
        <v>0</v>
      </c>
      <c r="BU313" s="16" t="n">
        <v>0</v>
      </c>
      <c r="BV313" s="16" t="n">
        <v>0</v>
      </c>
      <c r="BW313" s="16" t="n">
        <v>0</v>
      </c>
      <c r="BX313" s="16" t="n">
        <v>0</v>
      </c>
      <c r="BY313" s="16" t="n">
        <v>0</v>
      </c>
      <c r="BZ313" s="16" t="n">
        <v>0</v>
      </c>
      <c r="CA313" s="16" t="n">
        <v>0</v>
      </c>
      <c r="CB313" s="16" t="n">
        <v>0</v>
      </c>
      <c r="CC313" s="16" t="n">
        <v>0</v>
      </c>
      <c r="CD313" s="16" t="n">
        <v>0</v>
      </c>
      <c r="CE313" s="16" t="n">
        <v>0</v>
      </c>
      <c r="CF313" s="16" t="n">
        <v>0</v>
      </c>
      <c r="CG313" s="16" t="n">
        <v>0</v>
      </c>
      <c r="CH313" s="16" t="n">
        <v>0</v>
      </c>
      <c r="CI313" s="16" t="n">
        <v>0</v>
      </c>
      <c r="CJ313" s="16" t="n">
        <v>0</v>
      </c>
      <c r="CK313" s="16" t="n">
        <v>0</v>
      </c>
      <c r="CL313" s="16" t="n">
        <v>0</v>
      </c>
      <c r="CM313" s="16" t="n">
        <v>0</v>
      </c>
      <c r="CN313" s="16" t="n">
        <v>0</v>
      </c>
      <c r="CO313" s="16" t="n">
        <v>0</v>
      </c>
      <c r="CP313" s="16" t="n">
        <v>0</v>
      </c>
      <c r="CQ313" s="16" t="n">
        <v>0</v>
      </c>
      <c r="CR313" s="16" t="n">
        <v>0</v>
      </c>
      <c r="CS313" s="16" t="n">
        <v>0</v>
      </c>
      <c r="CT313" s="16" t="n">
        <v>0</v>
      </c>
      <c r="CU313" s="16" t="n">
        <v>0</v>
      </c>
      <c r="CV313" s="16" t="n">
        <v>0</v>
      </c>
      <c r="CW313" s="16" t="n">
        <v>0</v>
      </c>
      <c r="CX313" s="16" t="n">
        <v>0</v>
      </c>
      <c r="CY313" s="16" t="n">
        <v>0</v>
      </c>
      <c r="CZ313" s="16" t="n">
        <v>0</v>
      </c>
      <c r="DA313" s="16" t="n">
        <v>0</v>
      </c>
      <c r="DB313" s="16" t="n">
        <v>0</v>
      </c>
      <c r="DC313" s="16" t="n">
        <v>0</v>
      </c>
      <c r="DD313" s="16" t="n">
        <v>0</v>
      </c>
      <c r="DE313" s="16" t="n">
        <v>0</v>
      </c>
      <c r="DF313" s="16" t="n">
        <v>0</v>
      </c>
      <c r="DG313" s="16" t="n">
        <v>0</v>
      </c>
      <c r="DH313" s="16" t="n">
        <v>0</v>
      </c>
      <c r="DI313" s="16" t="n">
        <v>0</v>
      </c>
      <c r="DJ313" s="16" t="n">
        <v>0</v>
      </c>
      <c r="DK313" s="16" t="n">
        <v>0</v>
      </c>
      <c r="DL313" s="16" t="n">
        <v>0</v>
      </c>
      <c r="DM313" s="16" t="n">
        <v>0</v>
      </c>
      <c r="DN313" s="16" t="n">
        <v>0</v>
      </c>
      <c r="DO313" s="16" t="n">
        <v>0</v>
      </c>
      <c r="DP313" s="16" t="n">
        <v>0</v>
      </c>
      <c r="DQ313" s="16" t="n">
        <v>0</v>
      </c>
      <c r="DR313" s="16" t="n">
        <v>0</v>
      </c>
      <c r="DS313" s="16" t="n">
        <v>0</v>
      </c>
      <c r="DT313" s="16" t="n">
        <v>0</v>
      </c>
      <c r="DU313" s="16" t="n">
        <v>0</v>
      </c>
      <c r="DV313" s="16" t="n">
        <v>0</v>
      </c>
      <c r="DW313" s="16" t="n">
        <v>0</v>
      </c>
      <c r="DX313" s="16" t="n">
        <v>0</v>
      </c>
      <c r="DY313" s="16" t="n">
        <v>0</v>
      </c>
      <c r="DZ313" s="16" t="n">
        <v>0</v>
      </c>
      <c r="EA313" s="16" t="n">
        <v>0</v>
      </c>
      <c r="EB313" s="16" t="n">
        <v>0</v>
      </c>
      <c r="EC313" s="16" t="n">
        <v>0</v>
      </c>
      <c r="ED313" s="16" t="n">
        <v>0</v>
      </c>
      <c r="EE313" s="16" t="n">
        <v>0</v>
      </c>
      <c r="EF313" s="16" t="n">
        <v>0</v>
      </c>
    </row>
    <row r="314" customFormat="false" ht="15" hidden="false" customHeight="true" outlineLevel="0" collapsed="false">
      <c r="A314" s="9" t="s">
        <v>12</v>
      </c>
      <c r="B314" s="9" t="s">
        <v>15</v>
      </c>
      <c r="C314" s="9" t="s">
        <v>15</v>
      </c>
      <c r="D314" s="9" t="s">
        <v>341</v>
      </c>
      <c r="E314" s="9" t="s">
        <v>16</v>
      </c>
      <c r="F314" s="9" t="s">
        <v>98</v>
      </c>
      <c r="G314" s="16" t="n">
        <v>0</v>
      </c>
      <c r="H314" s="16" t="n">
        <v>0</v>
      </c>
      <c r="I314" s="16" t="n">
        <v>13</v>
      </c>
      <c r="J314" s="16" t="n">
        <v>-13</v>
      </c>
      <c r="K314" s="16" t="n">
        <v>0</v>
      </c>
      <c r="L314" s="16" t="n">
        <v>0</v>
      </c>
      <c r="M314" s="16" t="n">
        <v>0</v>
      </c>
      <c r="N314" s="16" t="n">
        <v>0</v>
      </c>
      <c r="O314" s="16" t="n">
        <v>0</v>
      </c>
      <c r="P314" s="16" t="n">
        <v>0</v>
      </c>
      <c r="Q314" s="16" t="n">
        <v>0</v>
      </c>
      <c r="R314" s="16" t="n">
        <v>0</v>
      </c>
      <c r="S314" s="16" t="n">
        <v>0</v>
      </c>
      <c r="T314" s="16" t="n">
        <v>0</v>
      </c>
      <c r="U314" s="16" t="n">
        <v>0</v>
      </c>
      <c r="V314" s="16" t="n">
        <v>0</v>
      </c>
      <c r="W314" s="16" t="n">
        <v>0</v>
      </c>
      <c r="X314" s="16" t="n">
        <v>0</v>
      </c>
      <c r="Y314" s="16" t="n">
        <v>0</v>
      </c>
      <c r="Z314" s="16" t="n">
        <v>0</v>
      </c>
      <c r="AA314" s="16" t="n">
        <v>0</v>
      </c>
      <c r="AB314" s="16" t="n">
        <v>0</v>
      </c>
      <c r="AC314" s="16" t="n">
        <v>0</v>
      </c>
      <c r="AD314" s="16" t="n">
        <v>0</v>
      </c>
      <c r="AE314" s="16" t="n">
        <v>0</v>
      </c>
      <c r="AF314" s="16" t="n">
        <v>0</v>
      </c>
      <c r="AG314" s="16" t="n">
        <v>0</v>
      </c>
      <c r="AH314" s="16" t="n">
        <v>0</v>
      </c>
      <c r="AI314" s="16" t="n">
        <v>0</v>
      </c>
      <c r="AJ314" s="16" t="n">
        <v>0</v>
      </c>
      <c r="AK314" s="16" t="n">
        <v>0</v>
      </c>
      <c r="AL314" s="16" t="n">
        <v>0</v>
      </c>
      <c r="AM314" s="16" t="n">
        <v>0</v>
      </c>
      <c r="AN314" s="16" t="n">
        <v>0</v>
      </c>
      <c r="AO314" s="16" t="n">
        <v>0</v>
      </c>
      <c r="AP314" s="16" t="n">
        <v>0</v>
      </c>
      <c r="AQ314" s="16" t="n">
        <v>0</v>
      </c>
      <c r="AR314" s="16" t="n">
        <v>0</v>
      </c>
      <c r="AS314" s="16" t="n">
        <v>0</v>
      </c>
      <c r="AT314" s="16" t="n">
        <v>0</v>
      </c>
      <c r="AU314" s="16" t="n">
        <v>0</v>
      </c>
      <c r="AV314" s="16" t="n">
        <v>0</v>
      </c>
      <c r="AW314" s="16" t="n">
        <v>0</v>
      </c>
      <c r="AX314" s="16" t="n">
        <v>0</v>
      </c>
      <c r="AY314" s="16" t="n">
        <v>0</v>
      </c>
      <c r="AZ314" s="16" t="n">
        <v>0</v>
      </c>
      <c r="BA314" s="16" t="n">
        <v>0</v>
      </c>
      <c r="BB314" s="16" t="n">
        <v>0</v>
      </c>
      <c r="BC314" s="16" t="n">
        <v>0</v>
      </c>
      <c r="BD314" s="16" t="n">
        <v>0</v>
      </c>
      <c r="BE314" s="16" t="n">
        <v>0</v>
      </c>
      <c r="BF314" s="16" t="n">
        <v>0</v>
      </c>
      <c r="BG314" s="16" t="n">
        <v>0</v>
      </c>
      <c r="BH314" s="16" t="n">
        <v>0</v>
      </c>
      <c r="BI314" s="16" t="n">
        <v>0</v>
      </c>
      <c r="BJ314" s="16" t="n">
        <v>0</v>
      </c>
      <c r="BK314" s="16" t="n">
        <v>0</v>
      </c>
      <c r="BL314" s="16" t="n">
        <v>0</v>
      </c>
      <c r="BM314" s="16" t="n">
        <v>0</v>
      </c>
      <c r="BN314" s="16" t="n">
        <v>0</v>
      </c>
      <c r="BO314" s="16" t="n">
        <v>0</v>
      </c>
      <c r="BP314" s="16" t="n">
        <v>0</v>
      </c>
      <c r="BQ314" s="16" t="n">
        <v>0</v>
      </c>
      <c r="BR314" s="16" t="n">
        <v>0</v>
      </c>
      <c r="BS314" s="16" t="n">
        <v>0</v>
      </c>
      <c r="BT314" s="16" t="n">
        <v>0</v>
      </c>
      <c r="BU314" s="16" t="n">
        <v>0</v>
      </c>
      <c r="BV314" s="16" t="n">
        <v>0</v>
      </c>
      <c r="BW314" s="16" t="n">
        <v>0</v>
      </c>
      <c r="BX314" s="16" t="n">
        <v>0</v>
      </c>
      <c r="BY314" s="16" t="n">
        <v>0</v>
      </c>
      <c r="BZ314" s="16" t="n">
        <v>0</v>
      </c>
      <c r="CA314" s="16" t="n">
        <v>0</v>
      </c>
      <c r="CB314" s="16" t="n">
        <v>0</v>
      </c>
      <c r="CC314" s="16" t="n">
        <v>0</v>
      </c>
      <c r="CD314" s="16" t="n">
        <v>0</v>
      </c>
      <c r="CE314" s="16" t="n">
        <v>0</v>
      </c>
      <c r="CF314" s="16" t="n">
        <v>0</v>
      </c>
      <c r="CG314" s="16" t="n">
        <v>0</v>
      </c>
      <c r="CH314" s="16" t="n">
        <v>0</v>
      </c>
      <c r="CI314" s="16" t="n">
        <v>0</v>
      </c>
      <c r="CJ314" s="16" t="n">
        <v>0</v>
      </c>
      <c r="CK314" s="16" t="n">
        <v>0</v>
      </c>
      <c r="CL314" s="16" t="n">
        <v>0</v>
      </c>
      <c r="CM314" s="16" t="n">
        <v>0</v>
      </c>
      <c r="CN314" s="16" t="n">
        <v>0</v>
      </c>
      <c r="CO314" s="16" t="n">
        <v>0</v>
      </c>
      <c r="CP314" s="16" t="n">
        <v>0</v>
      </c>
      <c r="CQ314" s="16" t="n">
        <v>0</v>
      </c>
      <c r="CR314" s="16" t="n">
        <v>0</v>
      </c>
      <c r="CS314" s="16" t="n">
        <v>0</v>
      </c>
      <c r="CT314" s="16" t="n">
        <v>2</v>
      </c>
      <c r="CU314" s="16" t="n">
        <v>2</v>
      </c>
      <c r="CV314" s="16" t="n">
        <v>2</v>
      </c>
      <c r="CW314" s="16" t="n">
        <v>0</v>
      </c>
      <c r="CX314" s="16" t="n">
        <v>0</v>
      </c>
      <c r="CY314" s="16" t="n">
        <v>1</v>
      </c>
      <c r="CZ314" s="16" t="n">
        <v>0</v>
      </c>
      <c r="DA314" s="16" t="n">
        <v>0</v>
      </c>
      <c r="DB314" s="16" t="n">
        <v>1</v>
      </c>
      <c r="DC314" s="16" t="n">
        <v>1</v>
      </c>
      <c r="DD314" s="16" t="n">
        <v>1</v>
      </c>
      <c r="DE314" s="16" t="n">
        <v>0</v>
      </c>
      <c r="DF314" s="16" t="n">
        <v>1</v>
      </c>
      <c r="DG314" s="16" t="n">
        <v>1</v>
      </c>
      <c r="DH314" s="16" t="n">
        <v>1</v>
      </c>
      <c r="DI314" s="16" t="n">
        <v>0</v>
      </c>
      <c r="DJ314" s="16" t="n">
        <v>0</v>
      </c>
      <c r="DK314" s="16" t="n">
        <v>0</v>
      </c>
      <c r="DL314" s="16" t="n">
        <v>0</v>
      </c>
      <c r="DM314" s="16" t="n">
        <v>0</v>
      </c>
      <c r="DN314" s="16" t="n">
        <v>0</v>
      </c>
      <c r="DO314" s="16" t="n">
        <v>0</v>
      </c>
      <c r="DP314" s="16" t="n">
        <v>0</v>
      </c>
      <c r="DQ314" s="16" t="n">
        <v>0</v>
      </c>
      <c r="DR314" s="16" t="n">
        <v>0</v>
      </c>
      <c r="DS314" s="16" t="n">
        <v>0</v>
      </c>
      <c r="DT314" s="16" t="n">
        <v>0</v>
      </c>
      <c r="DU314" s="16" t="n">
        <v>0</v>
      </c>
      <c r="DV314" s="16" t="n">
        <v>0</v>
      </c>
      <c r="DW314" s="16" t="n">
        <v>0</v>
      </c>
      <c r="DX314" s="16" t="n">
        <v>0</v>
      </c>
      <c r="DY314" s="16" t="n">
        <v>0</v>
      </c>
      <c r="DZ314" s="16" t="n">
        <v>0</v>
      </c>
      <c r="EA314" s="16" t="n">
        <v>0</v>
      </c>
      <c r="EB314" s="16" t="n">
        <v>0</v>
      </c>
      <c r="EC314" s="16" t="n">
        <v>0</v>
      </c>
      <c r="ED314" s="16" t="n">
        <v>0</v>
      </c>
      <c r="EE314" s="16" t="n">
        <v>0</v>
      </c>
      <c r="EF314" s="16" t="n">
        <v>0</v>
      </c>
    </row>
    <row r="315" customFormat="false" ht="15" hidden="false" customHeight="true" outlineLevel="0" collapsed="false">
      <c r="A315" s="9" t="s">
        <v>12</v>
      </c>
      <c r="B315" s="9" t="s">
        <v>15</v>
      </c>
      <c r="C315" s="9" t="s">
        <v>15</v>
      </c>
      <c r="D315" s="9" t="s">
        <v>341</v>
      </c>
      <c r="E315" s="9" t="s">
        <v>16</v>
      </c>
      <c r="F315" s="9" t="s">
        <v>99</v>
      </c>
      <c r="G315" s="16" t="n">
        <v>0</v>
      </c>
      <c r="H315" s="16" t="n">
        <v>0</v>
      </c>
      <c r="I315" s="16" t="n">
        <v>30.4</v>
      </c>
      <c r="J315" s="16" t="n">
        <v>-30.4</v>
      </c>
      <c r="K315" s="16" t="n">
        <v>0</v>
      </c>
      <c r="L315" s="16" t="n">
        <v>0</v>
      </c>
      <c r="M315" s="16" t="n">
        <v>0</v>
      </c>
      <c r="N315" s="16" t="n">
        <v>0</v>
      </c>
      <c r="O315" s="16" t="n">
        <v>0</v>
      </c>
      <c r="P315" s="16" t="n">
        <v>0</v>
      </c>
      <c r="Q315" s="16" t="n">
        <v>0</v>
      </c>
      <c r="R315" s="16" t="n">
        <v>0</v>
      </c>
      <c r="S315" s="16" t="n">
        <v>0</v>
      </c>
      <c r="T315" s="16" t="n">
        <v>0</v>
      </c>
      <c r="U315" s="16" t="n">
        <v>0</v>
      </c>
      <c r="V315" s="16" t="n">
        <v>0</v>
      </c>
      <c r="W315" s="16" t="n">
        <v>0</v>
      </c>
      <c r="X315" s="16" t="n">
        <v>0</v>
      </c>
      <c r="Y315" s="16" t="n">
        <v>0</v>
      </c>
      <c r="Z315" s="16" t="n">
        <v>0</v>
      </c>
      <c r="AA315" s="16" t="n">
        <v>0</v>
      </c>
      <c r="AB315" s="16" t="n">
        <v>0</v>
      </c>
      <c r="AC315" s="16" t="n">
        <v>0</v>
      </c>
      <c r="AD315" s="16" t="n">
        <v>0</v>
      </c>
      <c r="AE315" s="16" t="n">
        <v>0</v>
      </c>
      <c r="AF315" s="16" t="n">
        <v>0</v>
      </c>
      <c r="AG315" s="16" t="n">
        <v>0</v>
      </c>
      <c r="AH315" s="16" t="n">
        <v>0</v>
      </c>
      <c r="AI315" s="16" t="n">
        <v>0</v>
      </c>
      <c r="AJ315" s="16" t="n">
        <v>0</v>
      </c>
      <c r="AK315" s="16" t="n">
        <v>0</v>
      </c>
      <c r="AL315" s="16" t="n">
        <v>0</v>
      </c>
      <c r="AM315" s="16" t="n">
        <v>0</v>
      </c>
      <c r="AN315" s="16" t="n">
        <v>0</v>
      </c>
      <c r="AO315" s="16" t="n">
        <v>0</v>
      </c>
      <c r="AP315" s="16" t="n">
        <v>0</v>
      </c>
      <c r="AQ315" s="16" t="n">
        <v>0</v>
      </c>
      <c r="AR315" s="16" t="n">
        <v>0</v>
      </c>
      <c r="AS315" s="16" t="n">
        <v>0</v>
      </c>
      <c r="AT315" s="16" t="n">
        <v>0</v>
      </c>
      <c r="AU315" s="16" t="n">
        <v>0</v>
      </c>
      <c r="AV315" s="16" t="n">
        <v>0</v>
      </c>
      <c r="AW315" s="16" t="n">
        <v>0</v>
      </c>
      <c r="AX315" s="16" t="n">
        <v>0</v>
      </c>
      <c r="AY315" s="16" t="n">
        <v>0</v>
      </c>
      <c r="AZ315" s="16" t="n">
        <v>0</v>
      </c>
      <c r="BA315" s="16" t="n">
        <v>0</v>
      </c>
      <c r="BB315" s="16" t="n">
        <v>0</v>
      </c>
      <c r="BC315" s="16" t="n">
        <v>0</v>
      </c>
      <c r="BD315" s="16" t="n">
        <v>0</v>
      </c>
      <c r="BE315" s="16" t="n">
        <v>0</v>
      </c>
      <c r="BF315" s="16" t="n">
        <v>0</v>
      </c>
      <c r="BG315" s="16" t="n">
        <v>0</v>
      </c>
      <c r="BH315" s="16" t="n">
        <v>0</v>
      </c>
      <c r="BI315" s="16" t="n">
        <v>0</v>
      </c>
      <c r="BJ315" s="16" t="n">
        <v>0</v>
      </c>
      <c r="BK315" s="16" t="n">
        <v>0</v>
      </c>
      <c r="BL315" s="16" t="n">
        <v>0</v>
      </c>
      <c r="BM315" s="16" t="n">
        <v>0</v>
      </c>
      <c r="BN315" s="16" t="n">
        <v>0</v>
      </c>
      <c r="BO315" s="16" t="n">
        <v>0</v>
      </c>
      <c r="BP315" s="16" t="n">
        <v>0</v>
      </c>
      <c r="BQ315" s="16" t="n">
        <v>0</v>
      </c>
      <c r="BR315" s="16" t="n">
        <v>0</v>
      </c>
      <c r="BS315" s="16" t="n">
        <v>0</v>
      </c>
      <c r="BT315" s="16" t="n">
        <v>0</v>
      </c>
      <c r="BU315" s="16" t="n">
        <v>0</v>
      </c>
      <c r="BV315" s="16" t="n">
        <v>0</v>
      </c>
      <c r="BW315" s="16" t="n">
        <v>0</v>
      </c>
      <c r="BX315" s="16" t="n">
        <v>0</v>
      </c>
      <c r="BY315" s="16" t="n">
        <v>0</v>
      </c>
      <c r="BZ315" s="16" t="n">
        <v>0</v>
      </c>
      <c r="CA315" s="16" t="n">
        <v>0</v>
      </c>
      <c r="CB315" s="16" t="n">
        <v>0</v>
      </c>
      <c r="CC315" s="16" t="n">
        <v>0</v>
      </c>
      <c r="CD315" s="16" t="n">
        <v>0</v>
      </c>
      <c r="CE315" s="16" t="n">
        <v>0</v>
      </c>
      <c r="CF315" s="16" t="n">
        <v>0</v>
      </c>
      <c r="CG315" s="16" t="n">
        <v>0</v>
      </c>
      <c r="CH315" s="16" t="n">
        <v>0</v>
      </c>
      <c r="CI315" s="16" t="n">
        <v>0</v>
      </c>
      <c r="CJ315" s="16" t="n">
        <v>0</v>
      </c>
      <c r="CK315" s="16" t="n">
        <v>0</v>
      </c>
      <c r="CL315" s="16" t="n">
        <v>0</v>
      </c>
      <c r="CM315" s="16" t="n">
        <v>0</v>
      </c>
      <c r="CN315" s="16" t="n">
        <v>0</v>
      </c>
      <c r="CO315" s="16" t="n">
        <v>0</v>
      </c>
      <c r="CP315" s="16" t="n">
        <v>0</v>
      </c>
      <c r="CQ315" s="16" t="n">
        <v>0</v>
      </c>
      <c r="CR315" s="16" t="n">
        <v>0</v>
      </c>
      <c r="CS315" s="16" t="n">
        <v>2.4</v>
      </c>
      <c r="CT315" s="16" t="n">
        <v>0</v>
      </c>
      <c r="CU315" s="16" t="n">
        <v>0</v>
      </c>
      <c r="CV315" s="16" t="n">
        <v>0</v>
      </c>
      <c r="CW315" s="16" t="n">
        <v>0</v>
      </c>
      <c r="CX315" s="16" t="n">
        <v>0</v>
      </c>
      <c r="CY315" s="16" t="n">
        <v>0</v>
      </c>
      <c r="CZ315" s="16" t="n">
        <v>0</v>
      </c>
      <c r="DA315" s="16" t="n">
        <v>0</v>
      </c>
      <c r="DB315" s="16" t="n">
        <v>1.4</v>
      </c>
      <c r="DC315" s="16" t="n">
        <v>1.2</v>
      </c>
      <c r="DD315" s="16" t="n">
        <v>0</v>
      </c>
      <c r="DE315" s="16" t="n">
        <v>2</v>
      </c>
      <c r="DF315" s="16" t="n">
        <v>1.4</v>
      </c>
      <c r="DG315" s="16" t="n">
        <v>0</v>
      </c>
      <c r="DH315" s="16" t="n">
        <v>0</v>
      </c>
      <c r="DI315" s="16" t="n">
        <v>0</v>
      </c>
      <c r="DJ315" s="16" t="n">
        <v>0</v>
      </c>
      <c r="DK315" s="16" t="n">
        <v>0</v>
      </c>
      <c r="DL315" s="16" t="n">
        <v>0</v>
      </c>
      <c r="DM315" s="16" t="n">
        <v>0</v>
      </c>
      <c r="DN315" s="16" t="n">
        <v>0</v>
      </c>
      <c r="DO315" s="16" t="n">
        <v>2</v>
      </c>
      <c r="DP315" s="16" t="n">
        <v>16.7</v>
      </c>
      <c r="DQ315" s="16" t="n">
        <v>2.1</v>
      </c>
      <c r="DR315" s="16" t="n">
        <v>1.2</v>
      </c>
      <c r="DS315" s="16" t="n">
        <v>0</v>
      </c>
      <c r="DT315" s="16" t="n">
        <v>0</v>
      </c>
      <c r="DU315" s="16" t="n">
        <v>0</v>
      </c>
      <c r="DV315" s="16" t="n">
        <v>0</v>
      </c>
      <c r="DW315" s="16" t="n">
        <v>0</v>
      </c>
      <c r="DX315" s="16" t="n">
        <v>0</v>
      </c>
      <c r="DY315" s="16" t="n">
        <v>0</v>
      </c>
      <c r="DZ315" s="16" t="n">
        <v>0</v>
      </c>
      <c r="EA315" s="16" t="n">
        <v>0</v>
      </c>
      <c r="EB315" s="16" t="n">
        <v>0</v>
      </c>
      <c r="EC315" s="16" t="n">
        <v>0</v>
      </c>
      <c r="ED315" s="16" t="n">
        <v>0</v>
      </c>
      <c r="EE315" s="16" t="n">
        <v>0</v>
      </c>
      <c r="EF315" s="16" t="n">
        <v>0</v>
      </c>
    </row>
    <row r="316" customFormat="false" ht="15" hidden="false" customHeight="true" outlineLevel="0" collapsed="false">
      <c r="A316" s="9" t="s">
        <v>12</v>
      </c>
      <c r="B316" s="9" t="s">
        <v>15</v>
      </c>
      <c r="C316" s="9" t="s">
        <v>15</v>
      </c>
      <c r="D316" s="9" t="s">
        <v>340</v>
      </c>
      <c r="E316" s="9" t="s">
        <v>16</v>
      </c>
      <c r="F316" s="9" t="s">
        <v>99</v>
      </c>
      <c r="G316" s="16" t="n">
        <v>25.2</v>
      </c>
      <c r="H316" s="16" t="n">
        <v>55.6</v>
      </c>
      <c r="I316" s="16" t="n">
        <v>0</v>
      </c>
      <c r="J316" s="16" t="n">
        <v>55.6</v>
      </c>
      <c r="K316" s="16" t="n">
        <v>0</v>
      </c>
      <c r="L316" s="16" t="n">
        <v>0</v>
      </c>
      <c r="M316" s="16" t="n">
        <v>0</v>
      </c>
      <c r="N316" s="16" t="n">
        <v>0</v>
      </c>
      <c r="O316" s="16" t="n">
        <v>0</v>
      </c>
      <c r="P316" s="16" t="n">
        <v>0</v>
      </c>
      <c r="Q316" s="16" t="n">
        <v>0</v>
      </c>
      <c r="R316" s="16" t="n">
        <v>0</v>
      </c>
      <c r="S316" s="16" t="n">
        <v>0</v>
      </c>
      <c r="T316" s="16" t="n">
        <v>0</v>
      </c>
      <c r="U316" s="16" t="n">
        <v>0</v>
      </c>
      <c r="V316" s="16" t="n">
        <v>0</v>
      </c>
      <c r="W316" s="16" t="n">
        <v>0</v>
      </c>
      <c r="X316" s="16" t="n">
        <v>0</v>
      </c>
      <c r="Y316" s="16" t="n">
        <v>0</v>
      </c>
      <c r="Z316" s="16" t="n">
        <v>0</v>
      </c>
      <c r="AA316" s="16" t="n">
        <v>0</v>
      </c>
      <c r="AB316" s="16" t="n">
        <v>0</v>
      </c>
      <c r="AC316" s="16" t="n">
        <v>0</v>
      </c>
      <c r="AD316" s="16" t="n">
        <v>0</v>
      </c>
      <c r="AE316" s="16" t="n">
        <v>0</v>
      </c>
      <c r="AF316" s="16" t="n">
        <v>0</v>
      </c>
      <c r="AG316" s="16" t="n">
        <v>0</v>
      </c>
      <c r="AH316" s="16" t="n">
        <v>0</v>
      </c>
      <c r="AI316" s="16" t="n">
        <v>0</v>
      </c>
      <c r="AJ316" s="16" t="n">
        <v>0</v>
      </c>
      <c r="AK316" s="16" t="n">
        <v>0</v>
      </c>
      <c r="AL316" s="16" t="n">
        <v>0</v>
      </c>
      <c r="AM316" s="16" t="n">
        <v>0</v>
      </c>
      <c r="AN316" s="16" t="n">
        <v>0</v>
      </c>
      <c r="AO316" s="16" t="n">
        <v>0</v>
      </c>
      <c r="AP316" s="16" t="n">
        <v>0</v>
      </c>
      <c r="AQ316" s="16" t="n">
        <v>0</v>
      </c>
      <c r="AR316" s="16" t="n">
        <v>0</v>
      </c>
      <c r="AS316" s="16" t="n">
        <v>0</v>
      </c>
      <c r="AT316" s="16" t="n">
        <v>0</v>
      </c>
      <c r="AU316" s="16" t="n">
        <v>0</v>
      </c>
      <c r="AV316" s="16" t="n">
        <v>0</v>
      </c>
      <c r="AW316" s="16" t="n">
        <v>0</v>
      </c>
      <c r="AX316" s="16" t="n">
        <v>0</v>
      </c>
      <c r="AY316" s="16" t="n">
        <v>0</v>
      </c>
      <c r="AZ316" s="16" t="n">
        <v>0</v>
      </c>
      <c r="BA316" s="16" t="n">
        <v>0</v>
      </c>
      <c r="BB316" s="16" t="n">
        <v>0</v>
      </c>
      <c r="BC316" s="16" t="n">
        <v>0</v>
      </c>
      <c r="BD316" s="16" t="n">
        <v>0</v>
      </c>
      <c r="BE316" s="16" t="n">
        <v>0</v>
      </c>
      <c r="BF316" s="16" t="n">
        <v>0</v>
      </c>
      <c r="BG316" s="16" t="n">
        <v>0</v>
      </c>
      <c r="BH316" s="16" t="n">
        <v>0</v>
      </c>
      <c r="BI316" s="16" t="n">
        <v>0</v>
      </c>
      <c r="BJ316" s="16" t="n">
        <v>0</v>
      </c>
      <c r="BK316" s="16" t="n">
        <v>0</v>
      </c>
      <c r="BL316" s="16" t="n">
        <v>0</v>
      </c>
      <c r="BM316" s="16" t="n">
        <v>0</v>
      </c>
      <c r="BN316" s="16" t="n">
        <v>0</v>
      </c>
      <c r="BO316" s="16" t="n">
        <v>0</v>
      </c>
      <c r="BP316" s="16" t="n">
        <v>0</v>
      </c>
      <c r="BQ316" s="16" t="n">
        <v>0</v>
      </c>
      <c r="BR316" s="16" t="n">
        <v>0</v>
      </c>
      <c r="BS316" s="16" t="n">
        <v>0</v>
      </c>
      <c r="BT316" s="16" t="n">
        <v>0</v>
      </c>
      <c r="BU316" s="16" t="n">
        <v>0</v>
      </c>
      <c r="BV316" s="16" t="n">
        <v>0</v>
      </c>
      <c r="BW316" s="16" t="n">
        <v>0</v>
      </c>
      <c r="BX316" s="16" t="n">
        <v>0</v>
      </c>
      <c r="BY316" s="16" t="n">
        <v>0</v>
      </c>
      <c r="BZ316" s="16" t="n">
        <v>0</v>
      </c>
      <c r="CA316" s="16" t="n">
        <v>0</v>
      </c>
      <c r="CB316" s="16" t="n">
        <v>0</v>
      </c>
      <c r="CC316" s="16" t="n">
        <v>0</v>
      </c>
      <c r="CD316" s="16" t="n">
        <v>0</v>
      </c>
      <c r="CE316" s="16" t="n">
        <v>0</v>
      </c>
      <c r="CF316" s="16" t="n">
        <v>0</v>
      </c>
      <c r="CG316" s="16" t="n">
        <v>0</v>
      </c>
      <c r="CH316" s="16" t="n">
        <v>0</v>
      </c>
      <c r="CI316" s="16" t="n">
        <v>0</v>
      </c>
      <c r="CJ316" s="16" t="n">
        <v>0</v>
      </c>
      <c r="CK316" s="16" t="n">
        <v>0</v>
      </c>
      <c r="CL316" s="16" t="n">
        <v>0</v>
      </c>
      <c r="CM316" s="16" t="n">
        <v>0</v>
      </c>
      <c r="CN316" s="16" t="n">
        <v>0</v>
      </c>
      <c r="CO316" s="16" t="n">
        <v>0</v>
      </c>
      <c r="CP316" s="16" t="n">
        <v>0</v>
      </c>
      <c r="CQ316" s="16" t="n">
        <v>0</v>
      </c>
      <c r="CR316" s="16" t="n">
        <v>0</v>
      </c>
      <c r="CS316" s="16" t="n">
        <v>0</v>
      </c>
      <c r="CT316" s="16" t="n">
        <v>0</v>
      </c>
      <c r="CU316" s="16" t="n">
        <v>0</v>
      </c>
      <c r="CV316" s="16" t="n">
        <v>0</v>
      </c>
      <c r="CW316" s="16" t="n">
        <v>0</v>
      </c>
      <c r="CX316" s="16" t="n">
        <v>0</v>
      </c>
      <c r="CY316" s="16" t="n">
        <v>0</v>
      </c>
      <c r="CZ316" s="16" t="n">
        <v>0</v>
      </c>
      <c r="DA316" s="16" t="n">
        <v>0</v>
      </c>
      <c r="DB316" s="16" t="n">
        <v>0</v>
      </c>
      <c r="DC316" s="16" t="n">
        <v>0</v>
      </c>
      <c r="DD316" s="16" t="n">
        <v>0</v>
      </c>
      <c r="DE316" s="16" t="n">
        <v>0</v>
      </c>
      <c r="DF316" s="16" t="n">
        <v>0</v>
      </c>
      <c r="DG316" s="16" t="n">
        <v>0</v>
      </c>
      <c r="DH316" s="16" t="n">
        <v>0</v>
      </c>
      <c r="DI316" s="16" t="n">
        <v>0</v>
      </c>
      <c r="DJ316" s="16" t="n">
        <v>0</v>
      </c>
      <c r="DK316" s="16" t="n">
        <v>0</v>
      </c>
      <c r="DL316" s="16" t="n">
        <v>0</v>
      </c>
      <c r="DM316" s="16" t="n">
        <v>0</v>
      </c>
      <c r="DN316" s="16" t="n">
        <v>0</v>
      </c>
      <c r="DO316" s="16" t="n">
        <v>0</v>
      </c>
      <c r="DP316" s="16" t="n">
        <v>0</v>
      </c>
      <c r="DQ316" s="16" t="n">
        <v>0</v>
      </c>
      <c r="DR316" s="16" t="n">
        <v>0</v>
      </c>
      <c r="DS316" s="16" t="n">
        <v>0</v>
      </c>
      <c r="DT316" s="16" t="n">
        <v>0</v>
      </c>
      <c r="DU316" s="16" t="n">
        <v>0</v>
      </c>
      <c r="DV316" s="16" t="n">
        <v>0</v>
      </c>
      <c r="DW316" s="16" t="n">
        <v>0</v>
      </c>
      <c r="DX316" s="16" t="n">
        <v>0</v>
      </c>
      <c r="DY316" s="16" t="n">
        <v>0</v>
      </c>
      <c r="DZ316" s="16" t="n">
        <v>0</v>
      </c>
      <c r="EA316" s="16" t="n">
        <v>0</v>
      </c>
      <c r="EB316" s="16" t="n">
        <v>0</v>
      </c>
      <c r="EC316" s="16" t="n">
        <v>0</v>
      </c>
      <c r="ED316" s="16" t="n">
        <v>0</v>
      </c>
      <c r="EE316" s="16" t="n">
        <v>0</v>
      </c>
      <c r="EF316" s="16" t="n">
        <v>0</v>
      </c>
    </row>
    <row r="317" customFormat="false" ht="15" hidden="false" customHeight="true" outlineLevel="0" collapsed="false">
      <c r="A317" s="9" t="s">
        <v>12</v>
      </c>
      <c r="B317" s="9" t="s">
        <v>15</v>
      </c>
      <c r="C317" s="9" t="s">
        <v>15</v>
      </c>
      <c r="D317" s="9" t="s">
        <v>341</v>
      </c>
      <c r="E317" s="9" t="s">
        <v>16</v>
      </c>
      <c r="F317" s="9" t="s">
        <v>43</v>
      </c>
      <c r="G317" s="16" t="n">
        <v>0</v>
      </c>
      <c r="H317" s="16" t="n">
        <v>0</v>
      </c>
      <c r="I317" s="16" t="n">
        <v>31.8</v>
      </c>
      <c r="J317" s="16" t="n">
        <v>-31.8</v>
      </c>
      <c r="K317" s="16" t="n">
        <v>0</v>
      </c>
      <c r="L317" s="16" t="n">
        <v>0</v>
      </c>
      <c r="M317" s="16" t="n">
        <v>0</v>
      </c>
      <c r="N317" s="16" t="n">
        <v>0</v>
      </c>
      <c r="O317" s="16" t="n">
        <v>0</v>
      </c>
      <c r="P317" s="16" t="n">
        <v>0</v>
      </c>
      <c r="Q317" s="16" t="n">
        <v>0</v>
      </c>
      <c r="R317" s="16" t="n">
        <v>0</v>
      </c>
      <c r="S317" s="16" t="n">
        <v>0</v>
      </c>
      <c r="T317" s="16" t="n">
        <v>0</v>
      </c>
      <c r="U317" s="16" t="n">
        <v>0</v>
      </c>
      <c r="V317" s="16" t="n">
        <v>0</v>
      </c>
      <c r="W317" s="16" t="n">
        <v>0</v>
      </c>
      <c r="X317" s="16" t="n">
        <v>0</v>
      </c>
      <c r="Y317" s="16" t="n">
        <v>0</v>
      </c>
      <c r="Z317" s="16" t="n">
        <v>0</v>
      </c>
      <c r="AA317" s="16" t="n">
        <v>0</v>
      </c>
      <c r="AB317" s="16" t="n">
        <v>0</v>
      </c>
      <c r="AC317" s="16" t="n">
        <v>0</v>
      </c>
      <c r="AD317" s="16" t="n">
        <v>0</v>
      </c>
      <c r="AE317" s="16" t="n">
        <v>0</v>
      </c>
      <c r="AF317" s="16" t="n">
        <v>0</v>
      </c>
      <c r="AG317" s="16" t="n">
        <v>0</v>
      </c>
      <c r="AH317" s="16" t="n">
        <v>0</v>
      </c>
      <c r="AI317" s="16" t="n">
        <v>0</v>
      </c>
      <c r="AJ317" s="16" t="n">
        <v>0</v>
      </c>
      <c r="AK317" s="16" t="n">
        <v>0</v>
      </c>
      <c r="AL317" s="16" t="n">
        <v>0</v>
      </c>
      <c r="AM317" s="16" t="n">
        <v>0</v>
      </c>
      <c r="AN317" s="16" t="n">
        <v>0</v>
      </c>
      <c r="AO317" s="16" t="n">
        <v>0</v>
      </c>
      <c r="AP317" s="16" t="n">
        <v>0</v>
      </c>
      <c r="AQ317" s="16" t="n">
        <v>0</v>
      </c>
      <c r="AR317" s="16" t="n">
        <v>0</v>
      </c>
      <c r="AS317" s="16" t="n">
        <v>0</v>
      </c>
      <c r="AT317" s="16" t="n">
        <v>0</v>
      </c>
      <c r="AU317" s="16" t="n">
        <v>0</v>
      </c>
      <c r="AV317" s="16" t="n">
        <v>0</v>
      </c>
      <c r="AW317" s="16" t="n">
        <v>0</v>
      </c>
      <c r="AX317" s="16" t="n">
        <v>0</v>
      </c>
      <c r="AY317" s="16" t="n">
        <v>0</v>
      </c>
      <c r="AZ317" s="16" t="n">
        <v>0</v>
      </c>
      <c r="BA317" s="16" t="n">
        <v>0</v>
      </c>
      <c r="BB317" s="16" t="n">
        <v>0</v>
      </c>
      <c r="BC317" s="16" t="n">
        <v>0</v>
      </c>
      <c r="BD317" s="16" t="n">
        <v>0</v>
      </c>
      <c r="BE317" s="16" t="n">
        <v>0</v>
      </c>
      <c r="BF317" s="16" t="n">
        <v>0</v>
      </c>
      <c r="BG317" s="16" t="n">
        <v>0</v>
      </c>
      <c r="BH317" s="16" t="n">
        <v>0</v>
      </c>
      <c r="BI317" s="16" t="n">
        <v>0</v>
      </c>
      <c r="BJ317" s="16" t="n">
        <v>0</v>
      </c>
      <c r="BK317" s="16" t="n">
        <v>0</v>
      </c>
      <c r="BL317" s="16" t="n">
        <v>0</v>
      </c>
      <c r="BM317" s="16" t="n">
        <v>0</v>
      </c>
      <c r="BN317" s="16" t="n">
        <v>0</v>
      </c>
      <c r="BO317" s="16" t="n">
        <v>0</v>
      </c>
      <c r="BP317" s="16" t="n">
        <v>0</v>
      </c>
      <c r="BQ317" s="16" t="n">
        <v>0</v>
      </c>
      <c r="BR317" s="16" t="n">
        <v>0</v>
      </c>
      <c r="BS317" s="16" t="n">
        <v>0</v>
      </c>
      <c r="BT317" s="16" t="n">
        <v>0</v>
      </c>
      <c r="BU317" s="16" t="n">
        <v>0</v>
      </c>
      <c r="BV317" s="16" t="n">
        <v>0</v>
      </c>
      <c r="BW317" s="16" t="n">
        <v>0</v>
      </c>
      <c r="BX317" s="16" t="n">
        <v>0</v>
      </c>
      <c r="BY317" s="16" t="n">
        <v>0</v>
      </c>
      <c r="BZ317" s="16" t="n">
        <v>0</v>
      </c>
      <c r="CA317" s="16" t="n">
        <v>0</v>
      </c>
      <c r="CB317" s="16" t="n">
        <v>0</v>
      </c>
      <c r="CC317" s="16" t="n">
        <v>0</v>
      </c>
      <c r="CD317" s="16" t="n">
        <v>0</v>
      </c>
      <c r="CE317" s="16" t="n">
        <v>0</v>
      </c>
      <c r="CF317" s="16" t="n">
        <v>0</v>
      </c>
      <c r="CG317" s="16" t="n">
        <v>0</v>
      </c>
      <c r="CH317" s="16" t="n">
        <v>0</v>
      </c>
      <c r="CI317" s="16" t="n">
        <v>0</v>
      </c>
      <c r="CJ317" s="16" t="n">
        <v>0</v>
      </c>
      <c r="CK317" s="16" t="n">
        <v>0</v>
      </c>
      <c r="CL317" s="16" t="n">
        <v>0</v>
      </c>
      <c r="CM317" s="16" t="n">
        <v>0</v>
      </c>
      <c r="CN317" s="16" t="n">
        <v>0</v>
      </c>
      <c r="CO317" s="16" t="n">
        <v>0</v>
      </c>
      <c r="CP317" s="16" t="n">
        <v>0</v>
      </c>
      <c r="CQ317" s="16" t="n">
        <v>0</v>
      </c>
      <c r="CR317" s="16" t="n">
        <v>0</v>
      </c>
      <c r="CS317" s="16" t="n">
        <v>3.6</v>
      </c>
      <c r="CT317" s="16" t="n">
        <v>0</v>
      </c>
      <c r="CU317" s="16" t="n">
        <v>0</v>
      </c>
      <c r="CV317" s="16" t="n">
        <v>0</v>
      </c>
      <c r="CW317" s="16" t="n">
        <v>0</v>
      </c>
      <c r="CX317" s="16" t="n">
        <v>0</v>
      </c>
      <c r="CY317" s="16" t="n">
        <v>0</v>
      </c>
      <c r="CZ317" s="16" t="n">
        <v>0</v>
      </c>
      <c r="DA317" s="16" t="n">
        <v>0</v>
      </c>
      <c r="DB317" s="16" t="n">
        <v>0</v>
      </c>
      <c r="DC317" s="16" t="n">
        <v>1.3</v>
      </c>
      <c r="DD317" s="16" t="n">
        <v>0.9</v>
      </c>
      <c r="DE317" s="16" t="n">
        <v>0</v>
      </c>
      <c r="DF317" s="16" t="n">
        <v>4</v>
      </c>
      <c r="DG317" s="16" t="n">
        <v>2.2</v>
      </c>
      <c r="DH317" s="16" t="n">
        <v>0</v>
      </c>
      <c r="DI317" s="16" t="n">
        <v>0</v>
      </c>
      <c r="DJ317" s="16" t="n">
        <v>0</v>
      </c>
      <c r="DK317" s="16" t="n">
        <v>0</v>
      </c>
      <c r="DL317" s="16" t="n">
        <v>0</v>
      </c>
      <c r="DM317" s="16" t="n">
        <v>0</v>
      </c>
      <c r="DN317" s="16" t="n">
        <v>0</v>
      </c>
      <c r="DO317" s="16" t="n">
        <v>0</v>
      </c>
      <c r="DP317" s="16" t="n">
        <v>4.3</v>
      </c>
      <c r="DQ317" s="16" t="n">
        <v>5</v>
      </c>
      <c r="DR317" s="16" t="n">
        <v>9.3</v>
      </c>
      <c r="DS317" s="16" t="n">
        <v>1.2</v>
      </c>
      <c r="DT317" s="16" t="n">
        <v>0</v>
      </c>
      <c r="DU317" s="16" t="n">
        <v>0</v>
      </c>
      <c r="DV317" s="16" t="n">
        <v>0</v>
      </c>
      <c r="DW317" s="16" t="n">
        <v>0</v>
      </c>
      <c r="DX317" s="16" t="n">
        <v>0</v>
      </c>
      <c r="DY317" s="16" t="n">
        <v>0</v>
      </c>
      <c r="DZ317" s="16" t="n">
        <v>0</v>
      </c>
      <c r="EA317" s="16" t="n">
        <v>0</v>
      </c>
      <c r="EB317" s="16" t="n">
        <v>0</v>
      </c>
      <c r="EC317" s="16" t="n">
        <v>0</v>
      </c>
      <c r="ED317" s="16" t="n">
        <v>0</v>
      </c>
      <c r="EE317" s="16" t="n">
        <v>0</v>
      </c>
      <c r="EF317" s="16" t="n">
        <v>0</v>
      </c>
    </row>
    <row r="318" customFormat="false" ht="15" hidden="false" customHeight="true" outlineLevel="0" collapsed="false">
      <c r="A318" s="9" t="s">
        <v>12</v>
      </c>
      <c r="B318" s="9" t="s">
        <v>15</v>
      </c>
      <c r="C318" s="9" t="s">
        <v>15</v>
      </c>
      <c r="D318" s="9" t="s">
        <v>340</v>
      </c>
      <c r="E318" s="9" t="s">
        <v>16</v>
      </c>
      <c r="F318" s="9" t="s">
        <v>43</v>
      </c>
      <c r="G318" s="16" t="n">
        <v>1.4</v>
      </c>
      <c r="H318" s="16" t="n">
        <v>33.2</v>
      </c>
      <c r="I318" s="16" t="n">
        <v>0</v>
      </c>
      <c r="J318" s="16" t="n">
        <v>33.2</v>
      </c>
      <c r="K318" s="16" t="n">
        <v>0</v>
      </c>
      <c r="L318" s="16" t="n">
        <v>0</v>
      </c>
      <c r="M318" s="16" t="n">
        <v>0</v>
      </c>
      <c r="N318" s="16" t="n">
        <v>0</v>
      </c>
      <c r="O318" s="16" t="n">
        <v>0</v>
      </c>
      <c r="P318" s="16" t="n">
        <v>0</v>
      </c>
      <c r="Q318" s="16" t="n">
        <v>0</v>
      </c>
      <c r="R318" s="16" t="n">
        <v>0</v>
      </c>
      <c r="S318" s="16" t="n">
        <v>0</v>
      </c>
      <c r="T318" s="16" t="n">
        <v>0</v>
      </c>
      <c r="U318" s="16" t="n">
        <v>0</v>
      </c>
      <c r="V318" s="16" t="n">
        <v>0</v>
      </c>
      <c r="W318" s="16" t="n">
        <v>0</v>
      </c>
      <c r="X318" s="16" t="n">
        <v>0</v>
      </c>
      <c r="Y318" s="16" t="n">
        <v>0</v>
      </c>
      <c r="Z318" s="16" t="n">
        <v>0</v>
      </c>
      <c r="AA318" s="16" t="n">
        <v>0</v>
      </c>
      <c r="AB318" s="16" t="n">
        <v>0</v>
      </c>
      <c r="AC318" s="16" t="n">
        <v>0</v>
      </c>
      <c r="AD318" s="16" t="n">
        <v>0</v>
      </c>
      <c r="AE318" s="16" t="n">
        <v>0</v>
      </c>
      <c r="AF318" s="16" t="n">
        <v>0</v>
      </c>
      <c r="AG318" s="16" t="n">
        <v>0</v>
      </c>
      <c r="AH318" s="16" t="n">
        <v>0</v>
      </c>
      <c r="AI318" s="16" t="n">
        <v>0</v>
      </c>
      <c r="AJ318" s="16" t="n">
        <v>0</v>
      </c>
      <c r="AK318" s="16" t="n">
        <v>0</v>
      </c>
      <c r="AL318" s="16" t="n">
        <v>0</v>
      </c>
      <c r="AM318" s="16" t="n">
        <v>0</v>
      </c>
      <c r="AN318" s="16" t="n">
        <v>0</v>
      </c>
      <c r="AO318" s="16" t="n">
        <v>0</v>
      </c>
      <c r="AP318" s="16" t="n">
        <v>0</v>
      </c>
      <c r="AQ318" s="16" t="n">
        <v>0</v>
      </c>
      <c r="AR318" s="16" t="n">
        <v>0</v>
      </c>
      <c r="AS318" s="16" t="n">
        <v>0</v>
      </c>
      <c r="AT318" s="16" t="n">
        <v>0</v>
      </c>
      <c r="AU318" s="16" t="n">
        <v>0</v>
      </c>
      <c r="AV318" s="16" t="n">
        <v>0</v>
      </c>
      <c r="AW318" s="16" t="n">
        <v>0</v>
      </c>
      <c r="AX318" s="16" t="n">
        <v>0</v>
      </c>
      <c r="AY318" s="16" t="n">
        <v>0</v>
      </c>
      <c r="AZ318" s="16" t="n">
        <v>0</v>
      </c>
      <c r="BA318" s="16" t="n">
        <v>0</v>
      </c>
      <c r="BB318" s="16" t="n">
        <v>0</v>
      </c>
      <c r="BC318" s="16" t="n">
        <v>0</v>
      </c>
      <c r="BD318" s="16" t="n">
        <v>0</v>
      </c>
      <c r="BE318" s="16" t="n">
        <v>0</v>
      </c>
      <c r="BF318" s="16" t="n">
        <v>0</v>
      </c>
      <c r="BG318" s="16" t="n">
        <v>0</v>
      </c>
      <c r="BH318" s="16" t="n">
        <v>0</v>
      </c>
      <c r="BI318" s="16" t="n">
        <v>0</v>
      </c>
      <c r="BJ318" s="16" t="n">
        <v>0</v>
      </c>
      <c r="BK318" s="16" t="n">
        <v>0</v>
      </c>
      <c r="BL318" s="16" t="n">
        <v>0</v>
      </c>
      <c r="BM318" s="16" t="n">
        <v>0</v>
      </c>
      <c r="BN318" s="16" t="n">
        <v>0</v>
      </c>
      <c r="BO318" s="16" t="n">
        <v>0</v>
      </c>
      <c r="BP318" s="16" t="n">
        <v>0</v>
      </c>
      <c r="BQ318" s="16" t="n">
        <v>0</v>
      </c>
      <c r="BR318" s="16" t="n">
        <v>0</v>
      </c>
      <c r="BS318" s="16" t="n">
        <v>0</v>
      </c>
      <c r="BT318" s="16" t="n">
        <v>0</v>
      </c>
      <c r="BU318" s="16" t="n">
        <v>0</v>
      </c>
      <c r="BV318" s="16" t="n">
        <v>0</v>
      </c>
      <c r="BW318" s="16" t="n">
        <v>0</v>
      </c>
      <c r="BX318" s="16" t="n">
        <v>0</v>
      </c>
      <c r="BY318" s="16" t="n">
        <v>0</v>
      </c>
      <c r="BZ318" s="16" t="n">
        <v>0</v>
      </c>
      <c r="CA318" s="16" t="n">
        <v>0</v>
      </c>
      <c r="CB318" s="16" t="n">
        <v>0</v>
      </c>
      <c r="CC318" s="16" t="n">
        <v>0</v>
      </c>
      <c r="CD318" s="16" t="n">
        <v>0</v>
      </c>
      <c r="CE318" s="16" t="n">
        <v>0</v>
      </c>
      <c r="CF318" s="16" t="n">
        <v>0</v>
      </c>
      <c r="CG318" s="16" t="n">
        <v>0</v>
      </c>
      <c r="CH318" s="16" t="n">
        <v>0</v>
      </c>
      <c r="CI318" s="16" t="n">
        <v>0</v>
      </c>
      <c r="CJ318" s="16" t="n">
        <v>0</v>
      </c>
      <c r="CK318" s="16" t="n">
        <v>0</v>
      </c>
      <c r="CL318" s="16" t="n">
        <v>0</v>
      </c>
      <c r="CM318" s="16" t="n">
        <v>0</v>
      </c>
      <c r="CN318" s="16" t="n">
        <v>0</v>
      </c>
      <c r="CO318" s="16" t="n">
        <v>0</v>
      </c>
      <c r="CP318" s="16" t="n">
        <v>0</v>
      </c>
      <c r="CQ318" s="16" t="n">
        <v>0</v>
      </c>
      <c r="CR318" s="16" t="n">
        <v>0</v>
      </c>
      <c r="CS318" s="16" t="n">
        <v>0</v>
      </c>
      <c r="CT318" s="16" t="n">
        <v>0</v>
      </c>
      <c r="CU318" s="16" t="n">
        <v>0</v>
      </c>
      <c r="CV318" s="16" t="n">
        <v>0</v>
      </c>
      <c r="CW318" s="16" t="n">
        <v>0</v>
      </c>
      <c r="CX318" s="16" t="n">
        <v>0</v>
      </c>
      <c r="CY318" s="16" t="n">
        <v>0</v>
      </c>
      <c r="CZ318" s="16" t="n">
        <v>0</v>
      </c>
      <c r="DA318" s="16" t="n">
        <v>0</v>
      </c>
      <c r="DB318" s="16" t="n">
        <v>0</v>
      </c>
      <c r="DC318" s="16" t="n">
        <v>0</v>
      </c>
      <c r="DD318" s="16" t="n">
        <v>0</v>
      </c>
      <c r="DE318" s="16" t="n">
        <v>0</v>
      </c>
      <c r="DF318" s="16" t="n">
        <v>0</v>
      </c>
      <c r="DG318" s="16" t="n">
        <v>0</v>
      </c>
      <c r="DH318" s="16" t="n">
        <v>0</v>
      </c>
      <c r="DI318" s="16" t="n">
        <v>0</v>
      </c>
      <c r="DJ318" s="16" t="n">
        <v>0</v>
      </c>
      <c r="DK318" s="16" t="n">
        <v>0</v>
      </c>
      <c r="DL318" s="16" t="n">
        <v>0</v>
      </c>
      <c r="DM318" s="16" t="n">
        <v>0</v>
      </c>
      <c r="DN318" s="16" t="n">
        <v>0</v>
      </c>
      <c r="DO318" s="16" t="n">
        <v>0</v>
      </c>
      <c r="DP318" s="16" t="n">
        <v>0</v>
      </c>
      <c r="DQ318" s="16" t="n">
        <v>0</v>
      </c>
      <c r="DR318" s="16" t="n">
        <v>0</v>
      </c>
      <c r="DS318" s="16" t="n">
        <v>0</v>
      </c>
      <c r="DT318" s="16" t="n">
        <v>0</v>
      </c>
      <c r="DU318" s="16" t="n">
        <v>0</v>
      </c>
      <c r="DV318" s="16" t="n">
        <v>0</v>
      </c>
      <c r="DW318" s="16" t="n">
        <v>0</v>
      </c>
      <c r="DX318" s="16" t="n">
        <v>0</v>
      </c>
      <c r="DY318" s="16" t="n">
        <v>0</v>
      </c>
      <c r="DZ318" s="16" t="n">
        <v>0</v>
      </c>
      <c r="EA318" s="16" t="n">
        <v>0</v>
      </c>
      <c r="EB318" s="16" t="n">
        <v>0</v>
      </c>
      <c r="EC318" s="16" t="n">
        <v>0</v>
      </c>
      <c r="ED318" s="16" t="n">
        <v>0</v>
      </c>
      <c r="EE318" s="16" t="n">
        <v>0</v>
      </c>
      <c r="EF318" s="16" t="n">
        <v>0</v>
      </c>
    </row>
    <row r="319" customFormat="false" ht="15" hidden="false" customHeight="true" outlineLevel="0" collapsed="false">
      <c r="A319" s="9" t="s">
        <v>12</v>
      </c>
      <c r="B319" s="9" t="s">
        <v>15</v>
      </c>
      <c r="C319" s="9" t="s">
        <v>15</v>
      </c>
      <c r="D319" s="9" t="s">
        <v>341</v>
      </c>
      <c r="E319" s="9" t="s">
        <v>16</v>
      </c>
      <c r="F319" s="9" t="s">
        <v>100</v>
      </c>
      <c r="G319" s="16" t="n">
        <v>0</v>
      </c>
      <c r="H319" s="16" t="n">
        <v>0</v>
      </c>
      <c r="I319" s="16" t="n">
        <v>24.8</v>
      </c>
      <c r="J319" s="16" t="n">
        <v>-24.8</v>
      </c>
      <c r="K319" s="16" t="n">
        <v>0</v>
      </c>
      <c r="L319" s="16" t="n">
        <v>0</v>
      </c>
      <c r="M319" s="16" t="n">
        <v>0</v>
      </c>
      <c r="N319" s="16" t="n">
        <v>0</v>
      </c>
      <c r="O319" s="16" t="n">
        <v>0</v>
      </c>
      <c r="P319" s="16" t="n">
        <v>0</v>
      </c>
      <c r="Q319" s="16" t="n">
        <v>0</v>
      </c>
      <c r="R319" s="16" t="n">
        <v>0</v>
      </c>
      <c r="S319" s="16" t="n">
        <v>0</v>
      </c>
      <c r="T319" s="16" t="n">
        <v>0</v>
      </c>
      <c r="U319" s="16" t="n">
        <v>0</v>
      </c>
      <c r="V319" s="16" t="n">
        <v>0</v>
      </c>
      <c r="W319" s="16" t="n">
        <v>0</v>
      </c>
      <c r="X319" s="16" t="n">
        <v>0</v>
      </c>
      <c r="Y319" s="16" t="n">
        <v>0</v>
      </c>
      <c r="Z319" s="16" t="n">
        <v>0</v>
      </c>
      <c r="AA319" s="16" t="n">
        <v>0</v>
      </c>
      <c r="AB319" s="16" t="n">
        <v>0</v>
      </c>
      <c r="AC319" s="16" t="n">
        <v>0</v>
      </c>
      <c r="AD319" s="16" t="n">
        <v>0</v>
      </c>
      <c r="AE319" s="16" t="n">
        <v>0</v>
      </c>
      <c r="AF319" s="16" t="n">
        <v>0</v>
      </c>
      <c r="AG319" s="16" t="n">
        <v>0</v>
      </c>
      <c r="AH319" s="16" t="n">
        <v>0</v>
      </c>
      <c r="AI319" s="16" t="n">
        <v>0</v>
      </c>
      <c r="AJ319" s="16" t="n">
        <v>0</v>
      </c>
      <c r="AK319" s="16" t="n">
        <v>0</v>
      </c>
      <c r="AL319" s="16" t="n">
        <v>0</v>
      </c>
      <c r="AM319" s="16" t="n">
        <v>0</v>
      </c>
      <c r="AN319" s="16" t="n">
        <v>0</v>
      </c>
      <c r="AO319" s="16" t="n">
        <v>0</v>
      </c>
      <c r="AP319" s="16" t="n">
        <v>0.5</v>
      </c>
      <c r="AQ319" s="16" t="n">
        <v>0</v>
      </c>
      <c r="AR319" s="16" t="n">
        <v>0</v>
      </c>
      <c r="AS319" s="16" t="n">
        <v>0</v>
      </c>
      <c r="AT319" s="16" t="n">
        <v>0</v>
      </c>
      <c r="AU319" s="16" t="n">
        <v>0</v>
      </c>
      <c r="AV319" s="16" t="n">
        <v>0</v>
      </c>
      <c r="AW319" s="16" t="n">
        <v>0</v>
      </c>
      <c r="AX319" s="16" t="n">
        <v>0</v>
      </c>
      <c r="AY319" s="16" t="n">
        <v>0</v>
      </c>
      <c r="AZ319" s="16" t="n">
        <v>0</v>
      </c>
      <c r="BA319" s="16" t="n">
        <v>0</v>
      </c>
      <c r="BB319" s="16" t="n">
        <v>0</v>
      </c>
      <c r="BC319" s="16" t="n">
        <v>0</v>
      </c>
      <c r="BD319" s="16" t="n">
        <v>0</v>
      </c>
      <c r="BE319" s="16" t="n">
        <v>0</v>
      </c>
      <c r="BF319" s="16" t="n">
        <v>0</v>
      </c>
      <c r="BG319" s="16" t="n">
        <v>0</v>
      </c>
      <c r="BH319" s="16" t="n">
        <v>0</v>
      </c>
      <c r="BI319" s="16" t="n">
        <v>0</v>
      </c>
      <c r="BJ319" s="16" t="n">
        <v>0</v>
      </c>
      <c r="BK319" s="16" t="n">
        <v>0</v>
      </c>
      <c r="BL319" s="16" t="n">
        <v>0</v>
      </c>
      <c r="BM319" s="16" t="n">
        <v>0</v>
      </c>
      <c r="BN319" s="16" t="n">
        <v>0</v>
      </c>
      <c r="BO319" s="16" t="n">
        <v>0</v>
      </c>
      <c r="BP319" s="16" t="n">
        <v>0</v>
      </c>
      <c r="BQ319" s="16" t="n">
        <v>0</v>
      </c>
      <c r="BR319" s="16" t="n">
        <v>0</v>
      </c>
      <c r="BS319" s="16" t="n">
        <v>0</v>
      </c>
      <c r="BT319" s="16" t="n">
        <v>0</v>
      </c>
      <c r="BU319" s="16" t="n">
        <v>0</v>
      </c>
      <c r="BV319" s="16" t="n">
        <v>0</v>
      </c>
      <c r="BW319" s="16" t="n">
        <v>0</v>
      </c>
      <c r="BX319" s="16" t="n">
        <v>0</v>
      </c>
      <c r="BY319" s="16" t="n">
        <v>0</v>
      </c>
      <c r="BZ319" s="16" t="n">
        <v>0</v>
      </c>
      <c r="CA319" s="16" t="n">
        <v>0</v>
      </c>
      <c r="CB319" s="16" t="n">
        <v>0</v>
      </c>
      <c r="CC319" s="16" t="n">
        <v>0</v>
      </c>
      <c r="CD319" s="16" t="n">
        <v>0</v>
      </c>
      <c r="CE319" s="16" t="n">
        <v>0</v>
      </c>
      <c r="CF319" s="16" t="n">
        <v>0</v>
      </c>
      <c r="CG319" s="16" t="n">
        <v>0</v>
      </c>
      <c r="CH319" s="16" t="n">
        <v>0</v>
      </c>
      <c r="CI319" s="16" t="n">
        <v>0</v>
      </c>
      <c r="CJ319" s="16" t="n">
        <v>0</v>
      </c>
      <c r="CK319" s="16" t="n">
        <v>0</v>
      </c>
      <c r="CL319" s="16" t="n">
        <v>0</v>
      </c>
      <c r="CM319" s="16" t="n">
        <v>0</v>
      </c>
      <c r="CN319" s="16" t="n">
        <v>0</v>
      </c>
      <c r="CO319" s="16" t="n">
        <v>0</v>
      </c>
      <c r="CP319" s="16" t="n">
        <v>0</v>
      </c>
      <c r="CQ319" s="16" t="n">
        <v>0</v>
      </c>
      <c r="CR319" s="16" t="n">
        <v>0</v>
      </c>
      <c r="CS319" s="16" t="n">
        <v>3.6</v>
      </c>
      <c r="CT319" s="16" t="n">
        <v>0</v>
      </c>
      <c r="CU319" s="16" t="n">
        <v>0</v>
      </c>
      <c r="CV319" s="16" t="n">
        <v>0</v>
      </c>
      <c r="CW319" s="16" t="n">
        <v>0</v>
      </c>
      <c r="CX319" s="16" t="n">
        <v>0</v>
      </c>
      <c r="CY319" s="16" t="n">
        <v>0</v>
      </c>
      <c r="CZ319" s="16" t="n">
        <v>0</v>
      </c>
      <c r="DA319" s="16" t="n">
        <v>0</v>
      </c>
      <c r="DB319" s="16" t="n">
        <v>1.9</v>
      </c>
      <c r="DC319" s="16" t="n">
        <v>0</v>
      </c>
      <c r="DD319" s="16" t="n">
        <v>0</v>
      </c>
      <c r="DE319" s="16" t="n">
        <v>0</v>
      </c>
      <c r="DF319" s="16" t="n">
        <v>4.5</v>
      </c>
      <c r="DG319" s="16" t="n">
        <v>0</v>
      </c>
      <c r="DH319" s="16" t="n">
        <v>0</v>
      </c>
      <c r="DI319" s="16" t="n">
        <v>0</v>
      </c>
      <c r="DJ319" s="16" t="n">
        <v>0</v>
      </c>
      <c r="DK319" s="16" t="n">
        <v>0</v>
      </c>
      <c r="DL319" s="16" t="n">
        <v>0</v>
      </c>
      <c r="DM319" s="16" t="n">
        <v>0</v>
      </c>
      <c r="DN319" s="16" t="n">
        <v>0</v>
      </c>
      <c r="DO319" s="16" t="n">
        <v>4.3</v>
      </c>
      <c r="DP319" s="16" t="n">
        <v>10</v>
      </c>
      <c r="DQ319" s="16" t="n">
        <v>0</v>
      </c>
      <c r="DR319" s="16" t="n">
        <v>0</v>
      </c>
      <c r="DS319" s="16" t="n">
        <v>0</v>
      </c>
      <c r="DT319" s="16" t="n">
        <v>0</v>
      </c>
      <c r="DU319" s="16" t="n">
        <v>0</v>
      </c>
      <c r="DV319" s="16" t="n">
        <v>0</v>
      </c>
      <c r="DW319" s="16" t="n">
        <v>0</v>
      </c>
      <c r="DX319" s="16" t="n">
        <v>0</v>
      </c>
      <c r="DY319" s="16" t="n">
        <v>0</v>
      </c>
      <c r="DZ319" s="16" t="n">
        <v>0</v>
      </c>
      <c r="EA319" s="16" t="n">
        <v>0</v>
      </c>
      <c r="EB319" s="16" t="n">
        <v>0</v>
      </c>
      <c r="EC319" s="16" t="n">
        <v>0</v>
      </c>
      <c r="ED319" s="16" t="n">
        <v>0</v>
      </c>
      <c r="EE319" s="16" t="n">
        <v>0</v>
      </c>
      <c r="EF319" s="16" t="n">
        <v>0</v>
      </c>
    </row>
    <row r="320" customFormat="false" ht="15" hidden="false" customHeight="true" outlineLevel="0" collapsed="false">
      <c r="A320" s="9" t="s">
        <v>12</v>
      </c>
      <c r="B320" s="9" t="s">
        <v>15</v>
      </c>
      <c r="C320" s="9" t="s">
        <v>15</v>
      </c>
      <c r="D320" s="9" t="s">
        <v>340</v>
      </c>
      <c r="E320" s="9" t="s">
        <v>16</v>
      </c>
      <c r="F320" s="9" t="s">
        <v>100</v>
      </c>
      <c r="G320" s="16" t="n">
        <v>3.3</v>
      </c>
      <c r="H320" s="16" t="n">
        <v>27.6</v>
      </c>
      <c r="I320" s="16" t="n">
        <v>0.5</v>
      </c>
      <c r="J320" s="16" t="n">
        <v>27.1</v>
      </c>
      <c r="K320" s="16" t="n">
        <v>0</v>
      </c>
      <c r="L320" s="16" t="n">
        <v>0</v>
      </c>
      <c r="M320" s="16" t="n">
        <v>0</v>
      </c>
      <c r="N320" s="16" t="n">
        <v>0</v>
      </c>
      <c r="O320" s="16" t="n">
        <v>0</v>
      </c>
      <c r="P320" s="16" t="n">
        <v>0</v>
      </c>
      <c r="Q320" s="16" t="n">
        <v>0</v>
      </c>
      <c r="R320" s="16" t="n">
        <v>0</v>
      </c>
      <c r="S320" s="16" t="n">
        <v>0</v>
      </c>
      <c r="T320" s="16" t="n">
        <v>0</v>
      </c>
      <c r="U320" s="16" t="n">
        <v>0</v>
      </c>
      <c r="V320" s="16" t="n">
        <v>0</v>
      </c>
      <c r="W320" s="16" t="n">
        <v>0</v>
      </c>
      <c r="X320" s="16" t="n">
        <v>0</v>
      </c>
      <c r="Y320" s="16" t="n">
        <v>0</v>
      </c>
      <c r="Z320" s="16" t="n">
        <v>0</v>
      </c>
      <c r="AA320" s="16" t="n">
        <v>0</v>
      </c>
      <c r="AB320" s="16" t="n">
        <v>0.5</v>
      </c>
      <c r="AC320" s="16" t="n">
        <v>0</v>
      </c>
      <c r="AD320" s="16" t="n">
        <v>0</v>
      </c>
      <c r="AE320" s="16" t="n">
        <v>0</v>
      </c>
      <c r="AF320" s="16" t="n">
        <v>0</v>
      </c>
      <c r="AG320" s="16" t="n">
        <v>0</v>
      </c>
      <c r="AH320" s="16" t="n">
        <v>0</v>
      </c>
      <c r="AI320" s="16" t="n">
        <v>0</v>
      </c>
      <c r="AJ320" s="16" t="n">
        <v>0</v>
      </c>
      <c r="AK320" s="16" t="n">
        <v>0</v>
      </c>
      <c r="AL320" s="16" t="n">
        <v>0</v>
      </c>
      <c r="AM320" s="16" t="n">
        <v>0</v>
      </c>
      <c r="AN320" s="16" t="n">
        <v>0</v>
      </c>
      <c r="AO320" s="16" t="n">
        <v>0</v>
      </c>
      <c r="AP320" s="16" t="n">
        <v>0</v>
      </c>
      <c r="AQ320" s="16" t="n">
        <v>0</v>
      </c>
      <c r="AR320" s="16" t="n">
        <v>0</v>
      </c>
      <c r="AS320" s="16" t="n">
        <v>0</v>
      </c>
      <c r="AT320" s="16" t="n">
        <v>0</v>
      </c>
      <c r="AU320" s="16" t="n">
        <v>0</v>
      </c>
      <c r="AV320" s="16" t="n">
        <v>0</v>
      </c>
      <c r="AW320" s="16" t="n">
        <v>0</v>
      </c>
      <c r="AX320" s="16" t="n">
        <v>0</v>
      </c>
      <c r="AY320" s="16" t="n">
        <v>0</v>
      </c>
      <c r="AZ320" s="16" t="n">
        <v>0</v>
      </c>
      <c r="BA320" s="16" t="n">
        <v>0</v>
      </c>
      <c r="BB320" s="16" t="n">
        <v>0</v>
      </c>
      <c r="BC320" s="16" t="n">
        <v>0</v>
      </c>
      <c r="BD320" s="16" t="n">
        <v>0</v>
      </c>
      <c r="BE320" s="16" t="n">
        <v>0</v>
      </c>
      <c r="BF320" s="16" t="n">
        <v>0</v>
      </c>
      <c r="BG320" s="16" t="n">
        <v>0</v>
      </c>
      <c r="BH320" s="16" t="n">
        <v>0</v>
      </c>
      <c r="BI320" s="16" t="n">
        <v>0</v>
      </c>
      <c r="BJ320" s="16" t="n">
        <v>0</v>
      </c>
      <c r="BK320" s="16" t="n">
        <v>0</v>
      </c>
      <c r="BL320" s="16" t="n">
        <v>0</v>
      </c>
      <c r="BM320" s="16" t="n">
        <v>0</v>
      </c>
      <c r="BN320" s="16" t="n">
        <v>0</v>
      </c>
      <c r="BO320" s="16" t="n">
        <v>0</v>
      </c>
      <c r="BP320" s="16" t="n">
        <v>0</v>
      </c>
      <c r="BQ320" s="16" t="n">
        <v>0</v>
      </c>
      <c r="BR320" s="16" t="n">
        <v>0</v>
      </c>
      <c r="BS320" s="16" t="n">
        <v>0</v>
      </c>
      <c r="BT320" s="16" t="n">
        <v>0</v>
      </c>
      <c r="BU320" s="16" t="n">
        <v>0</v>
      </c>
      <c r="BV320" s="16" t="n">
        <v>0</v>
      </c>
      <c r="BW320" s="16" t="n">
        <v>0</v>
      </c>
      <c r="BX320" s="16" t="n">
        <v>0</v>
      </c>
      <c r="BY320" s="16" t="n">
        <v>0</v>
      </c>
      <c r="BZ320" s="16" t="n">
        <v>0</v>
      </c>
      <c r="CA320" s="16" t="n">
        <v>0</v>
      </c>
      <c r="CB320" s="16" t="n">
        <v>0</v>
      </c>
      <c r="CC320" s="16" t="n">
        <v>0</v>
      </c>
      <c r="CD320" s="16" t="n">
        <v>0</v>
      </c>
      <c r="CE320" s="16" t="n">
        <v>0</v>
      </c>
      <c r="CF320" s="16" t="n">
        <v>0</v>
      </c>
      <c r="CG320" s="16" t="n">
        <v>0</v>
      </c>
      <c r="CH320" s="16" t="n">
        <v>0</v>
      </c>
      <c r="CI320" s="16" t="n">
        <v>0</v>
      </c>
      <c r="CJ320" s="16" t="n">
        <v>0</v>
      </c>
      <c r="CK320" s="16" t="n">
        <v>0</v>
      </c>
      <c r="CL320" s="16" t="n">
        <v>0</v>
      </c>
      <c r="CM320" s="16" t="n">
        <v>0</v>
      </c>
      <c r="CN320" s="16" t="n">
        <v>0</v>
      </c>
      <c r="CO320" s="16" t="n">
        <v>0</v>
      </c>
      <c r="CP320" s="16" t="n">
        <v>0</v>
      </c>
      <c r="CQ320" s="16" t="n">
        <v>0</v>
      </c>
      <c r="CR320" s="16" t="n">
        <v>0</v>
      </c>
      <c r="CS320" s="16" t="n">
        <v>0</v>
      </c>
      <c r="CT320" s="16" t="n">
        <v>0</v>
      </c>
      <c r="CU320" s="16" t="n">
        <v>0</v>
      </c>
      <c r="CV320" s="16" t="n">
        <v>0</v>
      </c>
      <c r="CW320" s="16" t="n">
        <v>0</v>
      </c>
      <c r="CX320" s="16" t="n">
        <v>0</v>
      </c>
      <c r="CY320" s="16" t="n">
        <v>0</v>
      </c>
      <c r="CZ320" s="16" t="n">
        <v>0</v>
      </c>
      <c r="DA320" s="16" t="n">
        <v>0</v>
      </c>
      <c r="DB320" s="16" t="n">
        <v>0</v>
      </c>
      <c r="DC320" s="16" t="n">
        <v>0</v>
      </c>
      <c r="DD320" s="16" t="n">
        <v>0</v>
      </c>
      <c r="DE320" s="16" t="n">
        <v>0</v>
      </c>
      <c r="DF320" s="16" t="n">
        <v>0</v>
      </c>
      <c r="DG320" s="16" t="n">
        <v>0</v>
      </c>
      <c r="DH320" s="16" t="n">
        <v>0</v>
      </c>
      <c r="DI320" s="16" t="n">
        <v>0</v>
      </c>
      <c r="DJ320" s="16" t="n">
        <v>0</v>
      </c>
      <c r="DK320" s="16" t="n">
        <v>0</v>
      </c>
      <c r="DL320" s="16" t="n">
        <v>0</v>
      </c>
      <c r="DM320" s="16" t="n">
        <v>0</v>
      </c>
      <c r="DN320" s="16" t="n">
        <v>0</v>
      </c>
      <c r="DO320" s="16" t="n">
        <v>0</v>
      </c>
      <c r="DP320" s="16" t="n">
        <v>0</v>
      </c>
      <c r="DQ320" s="16" t="n">
        <v>0</v>
      </c>
      <c r="DR320" s="16" t="n">
        <v>0</v>
      </c>
      <c r="DS320" s="16" t="n">
        <v>0</v>
      </c>
      <c r="DT320" s="16" t="n">
        <v>0</v>
      </c>
      <c r="DU320" s="16" t="n">
        <v>0</v>
      </c>
      <c r="DV320" s="16" t="n">
        <v>0</v>
      </c>
      <c r="DW320" s="16" t="n">
        <v>0</v>
      </c>
      <c r="DX320" s="16" t="n">
        <v>0</v>
      </c>
      <c r="DY320" s="16" t="n">
        <v>0</v>
      </c>
      <c r="DZ320" s="16" t="n">
        <v>0</v>
      </c>
      <c r="EA320" s="16" t="n">
        <v>0</v>
      </c>
      <c r="EB320" s="16" t="n">
        <v>0</v>
      </c>
      <c r="EC320" s="16" t="n">
        <v>0</v>
      </c>
      <c r="ED320" s="16" t="n">
        <v>0</v>
      </c>
      <c r="EE320" s="16" t="n">
        <v>0</v>
      </c>
      <c r="EF320" s="16" t="n">
        <v>0</v>
      </c>
    </row>
    <row r="321" customFormat="false" ht="15" hidden="false" customHeight="true" outlineLevel="0" collapsed="false">
      <c r="A321" s="9" t="s">
        <v>12</v>
      </c>
      <c r="B321" s="9" t="s">
        <v>15</v>
      </c>
      <c r="C321" s="9" t="s">
        <v>15</v>
      </c>
      <c r="D321" s="9" t="s">
        <v>341</v>
      </c>
      <c r="E321" s="9" t="s">
        <v>16</v>
      </c>
      <c r="F321" s="9" t="s">
        <v>87</v>
      </c>
      <c r="G321" s="16" t="n">
        <v>0</v>
      </c>
      <c r="H321" s="16" t="n">
        <v>0</v>
      </c>
      <c r="I321" s="16" t="n">
        <v>21</v>
      </c>
      <c r="J321" s="16" t="n">
        <v>-21</v>
      </c>
      <c r="K321" s="16" t="n">
        <v>0</v>
      </c>
      <c r="L321" s="16" t="n">
        <v>0</v>
      </c>
      <c r="M321" s="16" t="n">
        <v>0</v>
      </c>
      <c r="N321" s="16" t="n">
        <v>0</v>
      </c>
      <c r="O321" s="16" t="n">
        <v>0</v>
      </c>
      <c r="P321" s="16" t="n">
        <v>0</v>
      </c>
      <c r="Q321" s="16" t="n">
        <v>0</v>
      </c>
      <c r="R321" s="16" t="n">
        <v>0</v>
      </c>
      <c r="S321" s="16" t="n">
        <v>0</v>
      </c>
      <c r="T321" s="16" t="n">
        <v>0</v>
      </c>
      <c r="U321" s="16" t="n">
        <v>0</v>
      </c>
      <c r="V321" s="16" t="n">
        <v>0</v>
      </c>
      <c r="W321" s="16" t="n">
        <v>0</v>
      </c>
      <c r="X321" s="16" t="n">
        <v>0</v>
      </c>
      <c r="Y321" s="16" t="n">
        <v>0</v>
      </c>
      <c r="Z321" s="16" t="n">
        <v>0</v>
      </c>
      <c r="AA321" s="16" t="n">
        <v>0</v>
      </c>
      <c r="AB321" s="16" t="n">
        <v>0</v>
      </c>
      <c r="AC321" s="16" t="n">
        <v>0</v>
      </c>
      <c r="AD321" s="16" t="n">
        <v>0</v>
      </c>
      <c r="AE321" s="16" t="n">
        <v>0</v>
      </c>
      <c r="AF321" s="16" t="n">
        <v>0</v>
      </c>
      <c r="AG321" s="16" t="n">
        <v>0</v>
      </c>
      <c r="AH321" s="16" t="n">
        <v>0</v>
      </c>
      <c r="AI321" s="16" t="n">
        <v>0</v>
      </c>
      <c r="AJ321" s="16" t="n">
        <v>0</v>
      </c>
      <c r="AK321" s="16" t="n">
        <v>0</v>
      </c>
      <c r="AL321" s="16" t="n">
        <v>0</v>
      </c>
      <c r="AM321" s="16" t="n">
        <v>0</v>
      </c>
      <c r="AN321" s="16" t="n">
        <v>14</v>
      </c>
      <c r="AO321" s="16" t="n">
        <v>7</v>
      </c>
      <c r="AP321" s="16" t="n">
        <v>0</v>
      </c>
      <c r="AQ321" s="16" t="n">
        <v>0</v>
      </c>
      <c r="AR321" s="16" t="n">
        <v>0</v>
      </c>
      <c r="AS321" s="16" t="n">
        <v>0</v>
      </c>
      <c r="AT321" s="16" t="n">
        <v>0</v>
      </c>
      <c r="AU321" s="16" t="n">
        <v>0</v>
      </c>
      <c r="AV321" s="16" t="n">
        <v>0</v>
      </c>
      <c r="AW321" s="16" t="n">
        <v>0</v>
      </c>
      <c r="AX321" s="16" t="n">
        <v>0</v>
      </c>
      <c r="AY321" s="16" t="n">
        <v>0</v>
      </c>
      <c r="AZ321" s="16" t="n">
        <v>0</v>
      </c>
      <c r="BA321" s="16" t="n">
        <v>0</v>
      </c>
      <c r="BB321" s="16" t="n">
        <v>0</v>
      </c>
      <c r="BC321" s="16" t="n">
        <v>0</v>
      </c>
      <c r="BD321" s="16" t="n">
        <v>0</v>
      </c>
      <c r="BE321" s="16" t="n">
        <v>0</v>
      </c>
      <c r="BF321" s="16" t="n">
        <v>0</v>
      </c>
      <c r="BG321" s="16" t="n">
        <v>0</v>
      </c>
      <c r="BH321" s="16" t="n">
        <v>0</v>
      </c>
      <c r="BI321" s="16" t="n">
        <v>0</v>
      </c>
      <c r="BJ321" s="16" t="n">
        <v>0</v>
      </c>
      <c r="BK321" s="16" t="n">
        <v>0</v>
      </c>
      <c r="BL321" s="16" t="n">
        <v>0</v>
      </c>
      <c r="BM321" s="16" t="n">
        <v>0</v>
      </c>
      <c r="BN321" s="16" t="n">
        <v>0</v>
      </c>
      <c r="BO321" s="16" t="n">
        <v>0</v>
      </c>
      <c r="BP321" s="16" t="n">
        <v>0</v>
      </c>
      <c r="BQ321" s="16" t="n">
        <v>0</v>
      </c>
      <c r="BR321" s="16" t="n">
        <v>0</v>
      </c>
      <c r="BS321" s="16" t="n">
        <v>0</v>
      </c>
      <c r="BT321" s="16" t="n">
        <v>0</v>
      </c>
      <c r="BU321" s="16" t="n">
        <v>0</v>
      </c>
      <c r="BV321" s="16" t="n">
        <v>0</v>
      </c>
      <c r="BW321" s="16" t="n">
        <v>0</v>
      </c>
      <c r="BX321" s="16" t="n">
        <v>0</v>
      </c>
      <c r="BY321" s="16" t="n">
        <v>0</v>
      </c>
      <c r="BZ321" s="16" t="n">
        <v>0</v>
      </c>
      <c r="CA321" s="16" t="n">
        <v>0</v>
      </c>
      <c r="CB321" s="16" t="n">
        <v>0</v>
      </c>
      <c r="CC321" s="16" t="n">
        <v>0</v>
      </c>
      <c r="CD321" s="16" t="n">
        <v>0</v>
      </c>
      <c r="CE321" s="16" t="n">
        <v>0</v>
      </c>
      <c r="CF321" s="16" t="n">
        <v>0</v>
      </c>
      <c r="CG321" s="16" t="n">
        <v>0</v>
      </c>
      <c r="CH321" s="16" t="n">
        <v>0</v>
      </c>
      <c r="CI321" s="16" t="n">
        <v>0</v>
      </c>
      <c r="CJ321" s="16" t="n">
        <v>0</v>
      </c>
      <c r="CK321" s="16" t="n">
        <v>0</v>
      </c>
      <c r="CL321" s="16" t="n">
        <v>0</v>
      </c>
      <c r="CM321" s="16" t="n">
        <v>0</v>
      </c>
      <c r="CN321" s="16" t="n">
        <v>0</v>
      </c>
      <c r="CO321" s="16" t="n">
        <v>0</v>
      </c>
      <c r="CP321" s="16" t="n">
        <v>0</v>
      </c>
      <c r="CQ321" s="16" t="n">
        <v>0</v>
      </c>
      <c r="CR321" s="16" t="n">
        <v>0</v>
      </c>
      <c r="CS321" s="16" t="n">
        <v>0</v>
      </c>
      <c r="CT321" s="16" t="n">
        <v>0</v>
      </c>
      <c r="CU321" s="16" t="n">
        <v>0</v>
      </c>
      <c r="CV321" s="16" t="n">
        <v>0</v>
      </c>
      <c r="CW321" s="16" t="n">
        <v>0</v>
      </c>
      <c r="CX321" s="16" t="n">
        <v>0</v>
      </c>
      <c r="CY321" s="16" t="n">
        <v>0</v>
      </c>
      <c r="CZ321" s="16" t="n">
        <v>0</v>
      </c>
      <c r="DA321" s="16" t="n">
        <v>0</v>
      </c>
      <c r="DB321" s="16" t="n">
        <v>0</v>
      </c>
      <c r="DC321" s="16" t="n">
        <v>0</v>
      </c>
      <c r="DD321" s="16" t="n">
        <v>0</v>
      </c>
      <c r="DE321" s="16" t="n">
        <v>0</v>
      </c>
      <c r="DF321" s="16" t="n">
        <v>0</v>
      </c>
      <c r="DG321" s="16" t="n">
        <v>0</v>
      </c>
      <c r="DH321" s="16" t="n">
        <v>0</v>
      </c>
      <c r="DI321" s="16" t="n">
        <v>0</v>
      </c>
      <c r="DJ321" s="16" t="n">
        <v>0</v>
      </c>
      <c r="DK321" s="16" t="n">
        <v>0</v>
      </c>
      <c r="DL321" s="16" t="n">
        <v>0</v>
      </c>
      <c r="DM321" s="16" t="n">
        <v>0</v>
      </c>
      <c r="DN321" s="16" t="n">
        <v>0</v>
      </c>
      <c r="DO321" s="16" t="n">
        <v>0</v>
      </c>
      <c r="DP321" s="16" t="n">
        <v>0</v>
      </c>
      <c r="DQ321" s="16" t="n">
        <v>0</v>
      </c>
      <c r="DR321" s="16" t="n">
        <v>0</v>
      </c>
      <c r="DS321" s="16" t="n">
        <v>0</v>
      </c>
      <c r="DT321" s="16" t="n">
        <v>0</v>
      </c>
      <c r="DU321" s="16" t="n">
        <v>0</v>
      </c>
      <c r="DV321" s="16" t="n">
        <v>0</v>
      </c>
      <c r="DW321" s="16" t="n">
        <v>0</v>
      </c>
      <c r="DX321" s="16" t="n">
        <v>0</v>
      </c>
      <c r="DY321" s="16" t="n">
        <v>0</v>
      </c>
      <c r="DZ321" s="16" t="n">
        <v>0</v>
      </c>
      <c r="EA321" s="16" t="n">
        <v>0</v>
      </c>
      <c r="EB321" s="16" t="n">
        <v>0</v>
      </c>
      <c r="EC321" s="16" t="n">
        <v>0</v>
      </c>
      <c r="ED321" s="16" t="n">
        <v>0</v>
      </c>
      <c r="EE321" s="16" t="n">
        <v>0</v>
      </c>
      <c r="EF321" s="16" t="n">
        <v>0</v>
      </c>
    </row>
    <row r="322" customFormat="false" ht="15" hidden="false" customHeight="true" outlineLevel="0" collapsed="false">
      <c r="A322" s="9" t="s">
        <v>12</v>
      </c>
      <c r="B322" s="9" t="s">
        <v>15</v>
      </c>
      <c r="C322" s="9" t="s">
        <v>15</v>
      </c>
      <c r="D322" s="9" t="s">
        <v>340</v>
      </c>
      <c r="E322" s="9" t="s">
        <v>16</v>
      </c>
      <c r="F322" s="9" t="s">
        <v>87</v>
      </c>
      <c r="G322" s="16" t="n">
        <v>0</v>
      </c>
      <c r="H322" s="16" t="n">
        <v>0</v>
      </c>
      <c r="I322" s="16" t="n">
        <v>0</v>
      </c>
      <c r="J322" s="16" t="n">
        <v>0</v>
      </c>
      <c r="K322" s="16" t="n">
        <v>0</v>
      </c>
      <c r="L322" s="16" t="n">
        <v>0</v>
      </c>
      <c r="M322" s="16" t="n">
        <v>0</v>
      </c>
      <c r="N322" s="16" t="n">
        <v>0</v>
      </c>
      <c r="O322" s="16" t="n">
        <v>0</v>
      </c>
      <c r="P322" s="16" t="n">
        <v>0</v>
      </c>
      <c r="Q322" s="16" t="n">
        <v>0</v>
      </c>
      <c r="R322" s="16" t="n">
        <v>0</v>
      </c>
      <c r="S322" s="16" t="n">
        <v>0</v>
      </c>
      <c r="T322" s="16" t="n">
        <v>0</v>
      </c>
      <c r="U322" s="16" t="n">
        <v>0</v>
      </c>
      <c r="V322" s="16" t="n">
        <v>0</v>
      </c>
      <c r="W322" s="16" t="n">
        <v>0</v>
      </c>
      <c r="X322" s="16" t="n">
        <v>0</v>
      </c>
      <c r="Y322" s="16" t="n">
        <v>0</v>
      </c>
      <c r="Z322" s="16" t="n">
        <v>0</v>
      </c>
      <c r="AA322" s="16" t="n">
        <v>0</v>
      </c>
      <c r="AB322" s="16" t="n">
        <v>0</v>
      </c>
      <c r="AC322" s="16" t="n">
        <v>0</v>
      </c>
      <c r="AD322" s="16" t="n">
        <v>0</v>
      </c>
      <c r="AE322" s="16" t="n">
        <v>0</v>
      </c>
      <c r="AF322" s="16" t="n">
        <v>0</v>
      </c>
      <c r="AG322" s="16" t="n">
        <v>0</v>
      </c>
      <c r="AH322" s="16" t="n">
        <v>0</v>
      </c>
      <c r="AI322" s="16" t="n">
        <v>0</v>
      </c>
      <c r="AJ322" s="16" t="n">
        <v>0</v>
      </c>
      <c r="AK322" s="16" t="n">
        <v>0</v>
      </c>
      <c r="AL322" s="16" t="n">
        <v>0</v>
      </c>
      <c r="AM322" s="16" t="n">
        <v>0</v>
      </c>
      <c r="AN322" s="16" t="n">
        <v>0</v>
      </c>
      <c r="AO322" s="16" t="n">
        <v>0</v>
      </c>
      <c r="AP322" s="16" t="n">
        <v>0</v>
      </c>
      <c r="AQ322" s="16" t="n">
        <v>0</v>
      </c>
      <c r="AR322" s="16" t="n">
        <v>0</v>
      </c>
      <c r="AS322" s="16" t="n">
        <v>0</v>
      </c>
      <c r="AT322" s="16" t="n">
        <v>0</v>
      </c>
      <c r="AU322" s="16" t="n">
        <v>0</v>
      </c>
      <c r="AV322" s="16" t="n">
        <v>0</v>
      </c>
      <c r="AW322" s="16" t="n">
        <v>0</v>
      </c>
      <c r="AX322" s="16" t="n">
        <v>0</v>
      </c>
      <c r="AY322" s="16" t="n">
        <v>0</v>
      </c>
      <c r="AZ322" s="16" t="n">
        <v>0</v>
      </c>
      <c r="BA322" s="16" t="n">
        <v>0</v>
      </c>
      <c r="BB322" s="16" t="n">
        <v>0</v>
      </c>
      <c r="BC322" s="16" t="n">
        <v>0</v>
      </c>
      <c r="BD322" s="16" t="n">
        <v>0</v>
      </c>
      <c r="BE322" s="16" t="n">
        <v>0</v>
      </c>
      <c r="BF322" s="16" t="n">
        <v>0</v>
      </c>
      <c r="BG322" s="16" t="n">
        <v>0</v>
      </c>
      <c r="BH322" s="16" t="n">
        <v>0</v>
      </c>
      <c r="BI322" s="16" t="n">
        <v>0</v>
      </c>
      <c r="BJ322" s="16" t="n">
        <v>0</v>
      </c>
      <c r="BK322" s="16" t="n">
        <v>0</v>
      </c>
      <c r="BL322" s="16" t="n">
        <v>0</v>
      </c>
      <c r="BM322" s="16" t="n">
        <v>0</v>
      </c>
      <c r="BN322" s="16" t="n">
        <v>0</v>
      </c>
      <c r="BO322" s="16" t="n">
        <v>0</v>
      </c>
      <c r="BP322" s="16" t="n">
        <v>0</v>
      </c>
      <c r="BQ322" s="16" t="n">
        <v>0</v>
      </c>
      <c r="BR322" s="16" t="n">
        <v>0</v>
      </c>
      <c r="BS322" s="16" t="n">
        <v>0</v>
      </c>
      <c r="BT322" s="16" t="n">
        <v>0</v>
      </c>
      <c r="BU322" s="16" t="n">
        <v>0</v>
      </c>
      <c r="BV322" s="16" t="n">
        <v>0</v>
      </c>
      <c r="BW322" s="16" t="n">
        <v>0</v>
      </c>
      <c r="BX322" s="16" t="n">
        <v>0</v>
      </c>
      <c r="BY322" s="16" t="n">
        <v>0</v>
      </c>
      <c r="BZ322" s="16" t="n">
        <v>0</v>
      </c>
      <c r="CA322" s="16" t="n">
        <v>0</v>
      </c>
      <c r="CB322" s="16" t="n">
        <v>0</v>
      </c>
      <c r="CC322" s="16" t="n">
        <v>0</v>
      </c>
      <c r="CD322" s="16" t="n">
        <v>0</v>
      </c>
      <c r="CE322" s="16" t="n">
        <v>0</v>
      </c>
      <c r="CF322" s="16" t="n">
        <v>0</v>
      </c>
      <c r="CG322" s="16" t="n">
        <v>0</v>
      </c>
      <c r="CH322" s="16" t="n">
        <v>0</v>
      </c>
      <c r="CI322" s="16" t="n">
        <v>0</v>
      </c>
      <c r="CJ322" s="16" t="n">
        <v>0</v>
      </c>
      <c r="CK322" s="16" t="n">
        <v>0</v>
      </c>
      <c r="CL322" s="16" t="n">
        <v>0</v>
      </c>
      <c r="CM322" s="16" t="n">
        <v>0</v>
      </c>
      <c r="CN322" s="16" t="n">
        <v>0</v>
      </c>
      <c r="CO322" s="16" t="n">
        <v>0</v>
      </c>
      <c r="CP322" s="16" t="n">
        <v>0</v>
      </c>
      <c r="CQ322" s="16" t="n">
        <v>0</v>
      </c>
      <c r="CR322" s="16" t="n">
        <v>0</v>
      </c>
      <c r="CS322" s="16" t="n">
        <v>0</v>
      </c>
      <c r="CT322" s="16" t="n">
        <v>0</v>
      </c>
      <c r="CU322" s="16" t="n">
        <v>0</v>
      </c>
      <c r="CV322" s="16" t="n">
        <v>0</v>
      </c>
      <c r="CW322" s="16" t="n">
        <v>0</v>
      </c>
      <c r="CX322" s="16" t="n">
        <v>0</v>
      </c>
      <c r="CY322" s="16" t="n">
        <v>0</v>
      </c>
      <c r="CZ322" s="16" t="n">
        <v>0</v>
      </c>
      <c r="DA322" s="16" t="n">
        <v>0</v>
      </c>
      <c r="DB322" s="16" t="n">
        <v>0</v>
      </c>
      <c r="DC322" s="16" t="n">
        <v>0</v>
      </c>
      <c r="DD322" s="16" t="n">
        <v>0</v>
      </c>
      <c r="DE322" s="16" t="n">
        <v>0</v>
      </c>
      <c r="DF322" s="16" t="n">
        <v>0</v>
      </c>
      <c r="DG322" s="16" t="n">
        <v>0</v>
      </c>
      <c r="DH322" s="16" t="n">
        <v>0</v>
      </c>
      <c r="DI322" s="16" t="n">
        <v>0</v>
      </c>
      <c r="DJ322" s="16" t="n">
        <v>0</v>
      </c>
      <c r="DK322" s="16" t="n">
        <v>0</v>
      </c>
      <c r="DL322" s="16" t="n">
        <v>0</v>
      </c>
      <c r="DM322" s="16" t="n">
        <v>0</v>
      </c>
      <c r="DN322" s="16" t="n">
        <v>0</v>
      </c>
      <c r="DO322" s="16" t="n">
        <v>0</v>
      </c>
      <c r="DP322" s="16" t="n">
        <v>0</v>
      </c>
      <c r="DQ322" s="16" t="n">
        <v>0</v>
      </c>
      <c r="DR322" s="16" t="n">
        <v>0</v>
      </c>
      <c r="DS322" s="16" t="n">
        <v>0</v>
      </c>
      <c r="DT322" s="16" t="n">
        <v>0</v>
      </c>
      <c r="DU322" s="16" t="n">
        <v>0</v>
      </c>
      <c r="DV322" s="16" t="n">
        <v>0</v>
      </c>
      <c r="DW322" s="16" t="n">
        <v>0</v>
      </c>
      <c r="DX322" s="16" t="n">
        <v>0</v>
      </c>
      <c r="DY322" s="16" t="n">
        <v>0</v>
      </c>
      <c r="DZ322" s="16" t="n">
        <v>0</v>
      </c>
      <c r="EA322" s="16" t="n">
        <v>0</v>
      </c>
      <c r="EB322" s="16" t="n">
        <v>0</v>
      </c>
      <c r="EC322" s="16" t="n">
        <v>0</v>
      </c>
      <c r="ED322" s="16" t="n">
        <v>0</v>
      </c>
      <c r="EE322" s="16" t="n">
        <v>0</v>
      </c>
      <c r="EF322" s="16" t="n">
        <v>0</v>
      </c>
    </row>
    <row r="323" customFormat="false" ht="15" hidden="false" customHeight="true" outlineLevel="0" collapsed="false">
      <c r="A323" s="9" t="s">
        <v>12</v>
      </c>
      <c r="B323" s="9" t="s">
        <v>124</v>
      </c>
      <c r="C323" s="9" t="s">
        <v>124</v>
      </c>
      <c r="D323" s="9" t="s">
        <v>335</v>
      </c>
      <c r="E323" s="9" t="s">
        <v>14</v>
      </c>
      <c r="F323" s="9" t="s">
        <v>79</v>
      </c>
      <c r="G323" s="16" t="n">
        <v>0</v>
      </c>
      <c r="H323" s="16" t="n">
        <v>0</v>
      </c>
      <c r="I323" s="16" t="n">
        <v>8.3</v>
      </c>
      <c r="J323" s="16" t="n">
        <v>-8.3</v>
      </c>
      <c r="K323" s="16" t="n">
        <v>0</v>
      </c>
      <c r="L323" s="16" t="n">
        <v>0</v>
      </c>
      <c r="M323" s="16" t="n">
        <v>0</v>
      </c>
      <c r="N323" s="16" t="n">
        <v>0</v>
      </c>
      <c r="O323" s="16" t="n">
        <v>0</v>
      </c>
      <c r="P323" s="16" t="n">
        <v>0</v>
      </c>
      <c r="Q323" s="16" t="n">
        <v>0</v>
      </c>
      <c r="R323" s="16" t="n">
        <v>0</v>
      </c>
      <c r="S323" s="16" t="n">
        <v>0</v>
      </c>
      <c r="T323" s="16" t="n">
        <v>0</v>
      </c>
      <c r="U323" s="16" t="n">
        <v>0</v>
      </c>
      <c r="V323" s="16" t="n">
        <v>0</v>
      </c>
      <c r="W323" s="16" t="n">
        <v>0</v>
      </c>
      <c r="X323" s="16" t="n">
        <v>0</v>
      </c>
      <c r="Y323" s="16" t="n">
        <v>0</v>
      </c>
      <c r="Z323" s="16" t="n">
        <v>0</v>
      </c>
      <c r="AA323" s="16" t="n">
        <v>0</v>
      </c>
      <c r="AB323" s="16" t="n">
        <v>0</v>
      </c>
      <c r="AC323" s="16" t="n">
        <v>0</v>
      </c>
      <c r="AD323" s="16" t="n">
        <v>0</v>
      </c>
      <c r="AE323" s="16" t="n">
        <v>0</v>
      </c>
      <c r="AF323" s="16" t="n">
        <v>0</v>
      </c>
      <c r="AG323" s="16" t="n">
        <v>0</v>
      </c>
      <c r="AH323" s="16" t="n">
        <v>0</v>
      </c>
      <c r="AI323" s="16" t="n">
        <v>0</v>
      </c>
      <c r="AJ323" s="16" t="n">
        <v>0</v>
      </c>
      <c r="AK323" s="16" t="n">
        <v>0</v>
      </c>
      <c r="AL323" s="16" t="n">
        <v>0</v>
      </c>
      <c r="AM323" s="16" t="n">
        <v>1</v>
      </c>
      <c r="AN323" s="16" t="n">
        <v>5.3</v>
      </c>
      <c r="AO323" s="16" t="n">
        <v>2</v>
      </c>
      <c r="AP323" s="16" t="n">
        <v>0</v>
      </c>
      <c r="AQ323" s="16" t="n">
        <v>0</v>
      </c>
      <c r="AR323" s="16" t="n">
        <v>0</v>
      </c>
      <c r="AS323" s="16" t="n">
        <v>0</v>
      </c>
      <c r="AT323" s="16" t="n">
        <v>0</v>
      </c>
      <c r="AU323" s="16" t="n">
        <v>0</v>
      </c>
      <c r="AV323" s="16" t="n">
        <v>0</v>
      </c>
      <c r="AW323" s="16" t="n">
        <v>0</v>
      </c>
      <c r="AX323" s="16" t="n">
        <v>0</v>
      </c>
      <c r="AY323" s="16" t="n">
        <v>0</v>
      </c>
      <c r="AZ323" s="16" t="n">
        <v>0</v>
      </c>
      <c r="BA323" s="16" t="n">
        <v>0</v>
      </c>
      <c r="BB323" s="16" t="n">
        <v>0</v>
      </c>
      <c r="BC323" s="16" t="n">
        <v>0</v>
      </c>
      <c r="BD323" s="16" t="n">
        <v>0</v>
      </c>
      <c r="BE323" s="16" t="n">
        <v>0</v>
      </c>
      <c r="BF323" s="16" t="n">
        <v>0</v>
      </c>
      <c r="BG323" s="16" t="n">
        <v>0</v>
      </c>
      <c r="BH323" s="16" t="n">
        <v>0</v>
      </c>
      <c r="BI323" s="16" t="n">
        <v>0</v>
      </c>
      <c r="BJ323" s="16" t="n">
        <v>0</v>
      </c>
      <c r="BK323" s="16" t="n">
        <v>0</v>
      </c>
      <c r="BL323" s="16" t="n">
        <v>0</v>
      </c>
      <c r="BM323" s="16" t="n">
        <v>0</v>
      </c>
      <c r="BN323" s="16" t="n">
        <v>0</v>
      </c>
      <c r="BO323" s="16" t="n">
        <v>0</v>
      </c>
      <c r="BP323" s="16" t="n">
        <v>0</v>
      </c>
      <c r="BQ323" s="16" t="n">
        <v>0</v>
      </c>
      <c r="BR323" s="16" t="n">
        <v>0</v>
      </c>
      <c r="BS323" s="16" t="n">
        <v>0</v>
      </c>
      <c r="BT323" s="16" t="n">
        <v>0</v>
      </c>
      <c r="BU323" s="16" t="n">
        <v>0</v>
      </c>
      <c r="BV323" s="16" t="n">
        <v>0</v>
      </c>
      <c r="BW323" s="16" t="n">
        <v>0</v>
      </c>
      <c r="BX323" s="16" t="n">
        <v>0</v>
      </c>
      <c r="BY323" s="16" t="n">
        <v>0</v>
      </c>
      <c r="BZ323" s="16" t="n">
        <v>0</v>
      </c>
      <c r="CA323" s="16" t="n">
        <v>0</v>
      </c>
      <c r="CB323" s="16" t="n">
        <v>0</v>
      </c>
      <c r="CC323" s="16" t="n">
        <v>0</v>
      </c>
      <c r="CD323" s="16" t="n">
        <v>0</v>
      </c>
      <c r="CE323" s="16" t="n">
        <v>0</v>
      </c>
      <c r="CF323" s="16" t="n">
        <v>0</v>
      </c>
      <c r="CG323" s="16" t="n">
        <v>0</v>
      </c>
      <c r="CH323" s="16" t="n">
        <v>0</v>
      </c>
      <c r="CI323" s="16" t="n">
        <v>0</v>
      </c>
      <c r="CJ323" s="16" t="n">
        <v>0</v>
      </c>
      <c r="CK323" s="16" t="n">
        <v>0</v>
      </c>
      <c r="CL323" s="16" t="n">
        <v>0</v>
      </c>
      <c r="CM323" s="16" t="n">
        <v>0</v>
      </c>
      <c r="CN323" s="16" t="n">
        <v>0</v>
      </c>
      <c r="CO323" s="16" t="n">
        <v>0</v>
      </c>
      <c r="CP323" s="16" t="n">
        <v>0</v>
      </c>
      <c r="CQ323" s="16" t="n">
        <v>0</v>
      </c>
      <c r="CR323" s="16" t="n">
        <v>0</v>
      </c>
      <c r="CS323" s="16" t="n">
        <v>0</v>
      </c>
      <c r="CT323" s="16" t="n">
        <v>0</v>
      </c>
      <c r="CU323" s="16" t="n">
        <v>0</v>
      </c>
      <c r="CV323" s="16" t="n">
        <v>0</v>
      </c>
      <c r="CW323" s="16" t="n">
        <v>0</v>
      </c>
      <c r="CX323" s="16" t="n">
        <v>0</v>
      </c>
      <c r="CY323" s="16" t="n">
        <v>0</v>
      </c>
      <c r="CZ323" s="16" t="n">
        <v>0</v>
      </c>
      <c r="DA323" s="16" t="n">
        <v>0</v>
      </c>
      <c r="DB323" s="16" t="n">
        <v>0</v>
      </c>
      <c r="DC323" s="16" t="n">
        <v>0</v>
      </c>
      <c r="DD323" s="16" t="n">
        <v>0</v>
      </c>
      <c r="DE323" s="16" t="n">
        <v>0</v>
      </c>
      <c r="DF323" s="16" t="n">
        <v>0</v>
      </c>
      <c r="DG323" s="16" t="n">
        <v>0</v>
      </c>
      <c r="DH323" s="16" t="n">
        <v>0</v>
      </c>
      <c r="DI323" s="16" t="n">
        <v>0</v>
      </c>
      <c r="DJ323" s="16" t="n">
        <v>0</v>
      </c>
      <c r="DK323" s="16" t="n">
        <v>0</v>
      </c>
      <c r="DL323" s="16" t="n">
        <v>0</v>
      </c>
      <c r="DM323" s="16" t="n">
        <v>0</v>
      </c>
      <c r="DN323" s="16" t="n">
        <v>0</v>
      </c>
      <c r="DO323" s="16" t="n">
        <v>0</v>
      </c>
      <c r="DP323" s="16" t="n">
        <v>0</v>
      </c>
      <c r="DQ323" s="16" t="n">
        <v>0</v>
      </c>
      <c r="DR323" s="16" t="n">
        <v>0</v>
      </c>
      <c r="DS323" s="16" t="n">
        <v>0</v>
      </c>
      <c r="DT323" s="16" t="n">
        <v>0</v>
      </c>
      <c r="DU323" s="16" t="n">
        <v>0</v>
      </c>
      <c r="DV323" s="16" t="n">
        <v>0</v>
      </c>
      <c r="DW323" s="16" t="n">
        <v>0</v>
      </c>
      <c r="DX323" s="16" t="n">
        <v>0</v>
      </c>
      <c r="DY323" s="16" t="n">
        <v>0</v>
      </c>
      <c r="DZ323" s="16" t="n">
        <v>0</v>
      </c>
      <c r="EA323" s="16" t="n">
        <v>0</v>
      </c>
      <c r="EB323" s="16" t="n">
        <v>0</v>
      </c>
      <c r="EC323" s="16" t="n">
        <v>0</v>
      </c>
      <c r="ED323" s="16" t="n">
        <v>0</v>
      </c>
      <c r="EE323" s="16" t="n">
        <v>0</v>
      </c>
      <c r="EF323" s="16" t="n">
        <v>0</v>
      </c>
    </row>
    <row r="324" customFormat="false" ht="15" hidden="false" customHeight="true" outlineLevel="0" collapsed="false">
      <c r="A324" s="9" t="s">
        <v>12</v>
      </c>
      <c r="B324" s="9" t="s">
        <v>124</v>
      </c>
      <c r="C324" s="9" t="s">
        <v>124</v>
      </c>
      <c r="D324" s="9" t="s">
        <v>336</v>
      </c>
      <c r="E324" s="9" t="s">
        <v>14</v>
      </c>
      <c r="F324" s="9" t="s">
        <v>79</v>
      </c>
      <c r="G324" s="16" t="n">
        <v>0</v>
      </c>
      <c r="H324" s="16" t="n">
        <v>0</v>
      </c>
      <c r="I324" s="16" t="n">
        <v>0</v>
      </c>
      <c r="J324" s="16" t="n">
        <v>0</v>
      </c>
      <c r="K324" s="16" t="n">
        <v>0</v>
      </c>
      <c r="L324" s="16" t="n">
        <v>0</v>
      </c>
      <c r="M324" s="16" t="n">
        <v>0</v>
      </c>
      <c r="N324" s="16" t="n">
        <v>0</v>
      </c>
      <c r="O324" s="16" t="n">
        <v>0</v>
      </c>
      <c r="P324" s="16" t="n">
        <v>0</v>
      </c>
      <c r="Q324" s="16" t="n">
        <v>0</v>
      </c>
      <c r="R324" s="16" t="n">
        <v>0</v>
      </c>
      <c r="S324" s="16" t="n">
        <v>0</v>
      </c>
      <c r="T324" s="16" t="n">
        <v>0</v>
      </c>
      <c r="U324" s="16" t="n">
        <v>0</v>
      </c>
      <c r="V324" s="16" t="n">
        <v>0</v>
      </c>
      <c r="W324" s="16" t="n">
        <v>0</v>
      </c>
      <c r="X324" s="16" t="n">
        <v>0</v>
      </c>
      <c r="Y324" s="16" t="n">
        <v>0</v>
      </c>
      <c r="Z324" s="16" t="n">
        <v>0</v>
      </c>
      <c r="AA324" s="16" t="n">
        <v>0</v>
      </c>
      <c r="AB324" s="16" t="n">
        <v>0</v>
      </c>
      <c r="AC324" s="16" t="n">
        <v>0</v>
      </c>
      <c r="AD324" s="16" t="n">
        <v>0</v>
      </c>
      <c r="AE324" s="16" t="n">
        <v>0</v>
      </c>
      <c r="AF324" s="16" t="n">
        <v>0</v>
      </c>
      <c r="AG324" s="16" t="n">
        <v>0</v>
      </c>
      <c r="AH324" s="16" t="n">
        <v>0</v>
      </c>
      <c r="AI324" s="16" t="n">
        <v>0</v>
      </c>
      <c r="AJ324" s="16" t="n">
        <v>0</v>
      </c>
      <c r="AK324" s="16" t="n">
        <v>0</v>
      </c>
      <c r="AL324" s="16" t="n">
        <v>0</v>
      </c>
      <c r="AM324" s="16" t="n">
        <v>0</v>
      </c>
      <c r="AN324" s="16" t="n">
        <v>0</v>
      </c>
      <c r="AO324" s="16" t="n">
        <v>0</v>
      </c>
      <c r="AP324" s="16" t="n">
        <v>0</v>
      </c>
      <c r="AQ324" s="16" t="n">
        <v>0</v>
      </c>
      <c r="AR324" s="16" t="n">
        <v>0</v>
      </c>
      <c r="AS324" s="16" t="n">
        <v>0</v>
      </c>
      <c r="AT324" s="16" t="n">
        <v>0</v>
      </c>
      <c r="AU324" s="16" t="n">
        <v>0</v>
      </c>
      <c r="AV324" s="16" t="n">
        <v>0</v>
      </c>
      <c r="AW324" s="16" t="n">
        <v>0</v>
      </c>
      <c r="AX324" s="16" t="n">
        <v>0</v>
      </c>
      <c r="AY324" s="16" t="n">
        <v>0</v>
      </c>
      <c r="AZ324" s="16" t="n">
        <v>0</v>
      </c>
      <c r="BA324" s="16" t="n">
        <v>0</v>
      </c>
      <c r="BB324" s="16" t="n">
        <v>0</v>
      </c>
      <c r="BC324" s="16" t="n">
        <v>0</v>
      </c>
      <c r="BD324" s="16" t="n">
        <v>0</v>
      </c>
      <c r="BE324" s="16" t="n">
        <v>0</v>
      </c>
      <c r="BF324" s="16" t="n">
        <v>0</v>
      </c>
      <c r="BG324" s="16" t="n">
        <v>0</v>
      </c>
      <c r="BH324" s="16" t="n">
        <v>0</v>
      </c>
      <c r="BI324" s="16" t="n">
        <v>0</v>
      </c>
      <c r="BJ324" s="16" t="n">
        <v>0</v>
      </c>
      <c r="BK324" s="16" t="n">
        <v>0</v>
      </c>
      <c r="BL324" s="16" t="n">
        <v>0</v>
      </c>
      <c r="BM324" s="16" t="n">
        <v>0</v>
      </c>
      <c r="BN324" s="16" t="n">
        <v>0</v>
      </c>
      <c r="BO324" s="16" t="n">
        <v>0</v>
      </c>
      <c r="BP324" s="16" t="n">
        <v>0</v>
      </c>
      <c r="BQ324" s="16" t="n">
        <v>0</v>
      </c>
      <c r="BR324" s="16" t="n">
        <v>0</v>
      </c>
      <c r="BS324" s="16" t="n">
        <v>0</v>
      </c>
      <c r="BT324" s="16" t="n">
        <v>0</v>
      </c>
      <c r="BU324" s="16" t="n">
        <v>0</v>
      </c>
      <c r="BV324" s="16" t="n">
        <v>0</v>
      </c>
      <c r="BW324" s="16" t="n">
        <v>0</v>
      </c>
      <c r="BX324" s="16" t="n">
        <v>0</v>
      </c>
      <c r="BY324" s="16" t="n">
        <v>0</v>
      </c>
      <c r="BZ324" s="16" t="n">
        <v>0</v>
      </c>
      <c r="CA324" s="16" t="n">
        <v>0</v>
      </c>
      <c r="CB324" s="16" t="n">
        <v>0</v>
      </c>
      <c r="CC324" s="16" t="n">
        <v>0</v>
      </c>
      <c r="CD324" s="16" t="n">
        <v>0</v>
      </c>
      <c r="CE324" s="16" t="n">
        <v>0</v>
      </c>
      <c r="CF324" s="16" t="n">
        <v>0</v>
      </c>
      <c r="CG324" s="16" t="n">
        <v>0</v>
      </c>
      <c r="CH324" s="16" t="n">
        <v>0</v>
      </c>
      <c r="CI324" s="16" t="n">
        <v>0</v>
      </c>
      <c r="CJ324" s="16" t="n">
        <v>0</v>
      </c>
      <c r="CK324" s="16" t="n">
        <v>0</v>
      </c>
      <c r="CL324" s="16" t="n">
        <v>0</v>
      </c>
      <c r="CM324" s="16" t="n">
        <v>0</v>
      </c>
      <c r="CN324" s="16" t="n">
        <v>0</v>
      </c>
      <c r="CO324" s="16" t="n">
        <v>0</v>
      </c>
      <c r="CP324" s="16" t="n">
        <v>0</v>
      </c>
      <c r="CQ324" s="16" t="n">
        <v>0</v>
      </c>
      <c r="CR324" s="16" t="n">
        <v>0</v>
      </c>
      <c r="CS324" s="16" t="n">
        <v>0</v>
      </c>
      <c r="CT324" s="16" t="n">
        <v>0</v>
      </c>
      <c r="CU324" s="16" t="n">
        <v>0</v>
      </c>
      <c r="CV324" s="16" t="n">
        <v>0</v>
      </c>
      <c r="CW324" s="16" t="n">
        <v>0</v>
      </c>
      <c r="CX324" s="16" t="n">
        <v>0</v>
      </c>
      <c r="CY324" s="16" t="n">
        <v>0</v>
      </c>
      <c r="CZ324" s="16" t="n">
        <v>0</v>
      </c>
      <c r="DA324" s="16" t="n">
        <v>0</v>
      </c>
      <c r="DB324" s="16" t="n">
        <v>0</v>
      </c>
      <c r="DC324" s="16" t="n">
        <v>0</v>
      </c>
      <c r="DD324" s="16" t="n">
        <v>0</v>
      </c>
      <c r="DE324" s="16" t="n">
        <v>0</v>
      </c>
      <c r="DF324" s="16" t="n">
        <v>0</v>
      </c>
      <c r="DG324" s="16" t="n">
        <v>0</v>
      </c>
      <c r="DH324" s="16" t="n">
        <v>0</v>
      </c>
      <c r="DI324" s="16" t="n">
        <v>0</v>
      </c>
      <c r="DJ324" s="16" t="n">
        <v>0</v>
      </c>
      <c r="DK324" s="16" t="n">
        <v>0</v>
      </c>
      <c r="DL324" s="16" t="n">
        <v>0</v>
      </c>
      <c r="DM324" s="16" t="n">
        <v>0</v>
      </c>
      <c r="DN324" s="16" t="n">
        <v>0</v>
      </c>
      <c r="DO324" s="16" t="n">
        <v>0</v>
      </c>
      <c r="DP324" s="16" t="n">
        <v>0</v>
      </c>
      <c r="DQ324" s="16" t="n">
        <v>0</v>
      </c>
      <c r="DR324" s="16" t="n">
        <v>0</v>
      </c>
      <c r="DS324" s="16" t="n">
        <v>0</v>
      </c>
      <c r="DT324" s="16" t="n">
        <v>0</v>
      </c>
      <c r="DU324" s="16" t="n">
        <v>0</v>
      </c>
      <c r="DV324" s="16" t="n">
        <v>0</v>
      </c>
      <c r="DW324" s="16" t="n">
        <v>0</v>
      </c>
      <c r="DX324" s="16" t="n">
        <v>0</v>
      </c>
      <c r="DY324" s="16" t="n">
        <v>0</v>
      </c>
      <c r="DZ324" s="16" t="n">
        <v>0</v>
      </c>
      <c r="EA324" s="16" t="n">
        <v>0</v>
      </c>
      <c r="EB324" s="16" t="n">
        <v>0</v>
      </c>
      <c r="EC324" s="16" t="n">
        <v>0</v>
      </c>
      <c r="ED324" s="16" t="n">
        <v>0</v>
      </c>
      <c r="EE324" s="16" t="n">
        <v>0</v>
      </c>
      <c r="EF324" s="16" t="n">
        <v>0</v>
      </c>
    </row>
    <row r="325" customFormat="false" ht="15" hidden="false" customHeight="true" outlineLevel="0" collapsed="false">
      <c r="A325" s="9" t="s">
        <v>12</v>
      </c>
      <c r="B325" s="9" t="s">
        <v>125</v>
      </c>
      <c r="C325" s="9" t="s">
        <v>125</v>
      </c>
      <c r="D325" s="9" t="s">
        <v>335</v>
      </c>
      <c r="E325" s="9" t="s">
        <v>14</v>
      </c>
      <c r="F325" s="9" t="s">
        <v>87</v>
      </c>
      <c r="G325" s="16" t="n">
        <v>0</v>
      </c>
      <c r="H325" s="16" t="n">
        <v>0</v>
      </c>
      <c r="I325" s="16" t="n">
        <v>0</v>
      </c>
      <c r="J325" s="16" t="n">
        <v>0</v>
      </c>
      <c r="K325" s="16" t="n">
        <v>0</v>
      </c>
      <c r="L325" s="16" t="n">
        <v>0</v>
      </c>
      <c r="M325" s="16" t="n">
        <v>0</v>
      </c>
      <c r="N325" s="16" t="n">
        <v>0</v>
      </c>
      <c r="O325" s="16" t="n">
        <v>0</v>
      </c>
      <c r="P325" s="16" t="n">
        <v>0</v>
      </c>
      <c r="Q325" s="16" t="n">
        <v>0</v>
      </c>
      <c r="R325" s="16" t="n">
        <v>0</v>
      </c>
      <c r="S325" s="16" t="n">
        <v>0</v>
      </c>
      <c r="T325" s="16" t="n">
        <v>0</v>
      </c>
      <c r="U325" s="16" t="n">
        <v>0</v>
      </c>
      <c r="V325" s="16" t="n">
        <v>0</v>
      </c>
      <c r="W325" s="16" t="n">
        <v>0</v>
      </c>
      <c r="X325" s="16" t="n">
        <v>0</v>
      </c>
      <c r="Y325" s="16" t="n">
        <v>0</v>
      </c>
      <c r="Z325" s="16" t="n">
        <v>0</v>
      </c>
      <c r="AA325" s="16" t="n">
        <v>0</v>
      </c>
      <c r="AB325" s="16" t="n">
        <v>0</v>
      </c>
      <c r="AC325" s="16" t="n">
        <v>0</v>
      </c>
      <c r="AD325" s="16" t="n">
        <v>0</v>
      </c>
      <c r="AE325" s="16" t="n">
        <v>0</v>
      </c>
      <c r="AF325" s="16" t="n">
        <v>0</v>
      </c>
      <c r="AG325" s="16" t="n">
        <v>0</v>
      </c>
      <c r="AH325" s="16" t="n">
        <v>0</v>
      </c>
      <c r="AI325" s="16" t="n">
        <v>0</v>
      </c>
      <c r="AJ325" s="16" t="n">
        <v>0</v>
      </c>
      <c r="AK325" s="16" t="n">
        <v>0</v>
      </c>
      <c r="AL325" s="16" t="n">
        <v>0</v>
      </c>
      <c r="AM325" s="16" t="n">
        <v>0</v>
      </c>
      <c r="AN325" s="16" t="n">
        <v>0</v>
      </c>
      <c r="AO325" s="16" t="n">
        <v>0</v>
      </c>
      <c r="AP325" s="16" t="n">
        <v>0</v>
      </c>
      <c r="AQ325" s="16" t="n">
        <v>0</v>
      </c>
      <c r="AR325" s="16" t="n">
        <v>0</v>
      </c>
      <c r="AS325" s="16" t="n">
        <v>0</v>
      </c>
      <c r="AT325" s="16" t="n">
        <v>0</v>
      </c>
      <c r="AU325" s="16" t="n">
        <v>0</v>
      </c>
      <c r="AV325" s="16" t="n">
        <v>0</v>
      </c>
      <c r="AW325" s="16" t="n">
        <v>0</v>
      </c>
      <c r="AX325" s="16" t="n">
        <v>0</v>
      </c>
      <c r="AY325" s="16" t="n">
        <v>0</v>
      </c>
      <c r="AZ325" s="16" t="n">
        <v>0</v>
      </c>
      <c r="BA325" s="16" t="n">
        <v>0</v>
      </c>
      <c r="BB325" s="16" t="n">
        <v>0</v>
      </c>
      <c r="BC325" s="16" t="n">
        <v>0</v>
      </c>
      <c r="BD325" s="16" t="n">
        <v>0</v>
      </c>
      <c r="BE325" s="16" t="n">
        <v>0</v>
      </c>
      <c r="BF325" s="16" t="n">
        <v>0</v>
      </c>
      <c r="BG325" s="16" t="n">
        <v>0</v>
      </c>
      <c r="BH325" s="16" t="n">
        <v>0</v>
      </c>
      <c r="BI325" s="16" t="n">
        <v>0</v>
      </c>
      <c r="BJ325" s="16" t="n">
        <v>0</v>
      </c>
      <c r="BK325" s="16" t="n">
        <v>0</v>
      </c>
      <c r="BL325" s="16" t="n">
        <v>0</v>
      </c>
      <c r="BM325" s="16" t="n">
        <v>0</v>
      </c>
      <c r="BN325" s="16" t="n">
        <v>0</v>
      </c>
      <c r="BO325" s="16" t="n">
        <v>0</v>
      </c>
      <c r="BP325" s="16" t="n">
        <v>0</v>
      </c>
      <c r="BQ325" s="16" t="n">
        <v>0</v>
      </c>
      <c r="BR325" s="16" t="n">
        <v>0</v>
      </c>
      <c r="BS325" s="16" t="n">
        <v>0</v>
      </c>
      <c r="BT325" s="16" t="n">
        <v>0</v>
      </c>
      <c r="BU325" s="16" t="n">
        <v>0</v>
      </c>
      <c r="BV325" s="16" t="n">
        <v>0</v>
      </c>
      <c r="BW325" s="16" t="n">
        <v>0</v>
      </c>
      <c r="BX325" s="16" t="n">
        <v>0</v>
      </c>
      <c r="BY325" s="16" t="n">
        <v>0</v>
      </c>
      <c r="BZ325" s="16" t="n">
        <v>0</v>
      </c>
      <c r="CA325" s="16" t="n">
        <v>0</v>
      </c>
      <c r="CB325" s="16" t="n">
        <v>0</v>
      </c>
      <c r="CC325" s="16" t="n">
        <v>0</v>
      </c>
      <c r="CD325" s="16" t="n">
        <v>0</v>
      </c>
      <c r="CE325" s="16" t="n">
        <v>0</v>
      </c>
      <c r="CF325" s="16" t="n">
        <v>0</v>
      </c>
      <c r="CG325" s="16" t="n">
        <v>0</v>
      </c>
      <c r="CH325" s="16" t="n">
        <v>0</v>
      </c>
      <c r="CI325" s="16" t="n">
        <v>0</v>
      </c>
      <c r="CJ325" s="16" t="n">
        <v>0</v>
      </c>
      <c r="CK325" s="16" t="n">
        <v>0</v>
      </c>
      <c r="CL325" s="16" t="n">
        <v>0</v>
      </c>
      <c r="CM325" s="16" t="n">
        <v>0</v>
      </c>
      <c r="CN325" s="16" t="n">
        <v>0</v>
      </c>
      <c r="CO325" s="16" t="n">
        <v>0</v>
      </c>
      <c r="CP325" s="16" t="n">
        <v>0</v>
      </c>
      <c r="CQ325" s="16" t="n">
        <v>0</v>
      </c>
      <c r="CR325" s="16" t="n">
        <v>0</v>
      </c>
      <c r="CS325" s="16" t="n">
        <v>0</v>
      </c>
      <c r="CT325" s="16" t="n">
        <v>0</v>
      </c>
      <c r="CU325" s="16" t="n">
        <v>0</v>
      </c>
      <c r="CV325" s="16" t="n">
        <v>0</v>
      </c>
      <c r="CW325" s="16" t="n">
        <v>0</v>
      </c>
      <c r="CX325" s="16" t="n">
        <v>0</v>
      </c>
      <c r="CY325" s="16" t="n">
        <v>0</v>
      </c>
      <c r="CZ325" s="16" t="n">
        <v>0</v>
      </c>
      <c r="DA325" s="16" t="n">
        <v>0</v>
      </c>
      <c r="DB325" s="16" t="n">
        <v>0</v>
      </c>
      <c r="DC325" s="16" t="n">
        <v>0</v>
      </c>
      <c r="DD325" s="16" t="n">
        <v>0</v>
      </c>
      <c r="DE325" s="16" t="n">
        <v>0</v>
      </c>
      <c r="DF325" s="16" t="n">
        <v>0</v>
      </c>
      <c r="DG325" s="16" t="n">
        <v>0</v>
      </c>
      <c r="DH325" s="16" t="n">
        <v>0</v>
      </c>
      <c r="DI325" s="16" t="n">
        <v>0</v>
      </c>
      <c r="DJ325" s="16" t="n">
        <v>0</v>
      </c>
      <c r="DK325" s="16" t="n">
        <v>0</v>
      </c>
      <c r="DL325" s="16" t="n">
        <v>0</v>
      </c>
      <c r="DM325" s="16" t="n">
        <v>0</v>
      </c>
      <c r="DN325" s="16" t="n">
        <v>0</v>
      </c>
      <c r="DO325" s="16" t="n">
        <v>0</v>
      </c>
      <c r="DP325" s="16" t="n">
        <v>0</v>
      </c>
      <c r="DQ325" s="16" t="n">
        <v>0</v>
      </c>
      <c r="DR325" s="16" t="n">
        <v>0</v>
      </c>
      <c r="DS325" s="16" t="n">
        <v>0</v>
      </c>
      <c r="DT325" s="16" t="n">
        <v>0</v>
      </c>
      <c r="DU325" s="16" t="n">
        <v>0</v>
      </c>
      <c r="DV325" s="16" t="n">
        <v>0</v>
      </c>
      <c r="DW325" s="16" t="n">
        <v>0</v>
      </c>
      <c r="DX325" s="16" t="n">
        <v>0</v>
      </c>
      <c r="DY325" s="16" t="n">
        <v>0</v>
      </c>
      <c r="DZ325" s="16" t="n">
        <v>0</v>
      </c>
      <c r="EA325" s="16" t="n">
        <v>0</v>
      </c>
      <c r="EB325" s="16" t="n">
        <v>0</v>
      </c>
      <c r="EC325" s="16" t="n">
        <v>0</v>
      </c>
      <c r="ED325" s="16" t="n">
        <v>0</v>
      </c>
      <c r="EE325" s="16" t="n">
        <v>0</v>
      </c>
      <c r="EF325" s="16" t="n">
        <v>0</v>
      </c>
    </row>
    <row r="326" customFormat="false" ht="15" hidden="false" customHeight="true" outlineLevel="0" collapsed="false">
      <c r="A326" s="9" t="s">
        <v>12</v>
      </c>
      <c r="B326" s="9" t="s">
        <v>125</v>
      </c>
      <c r="C326" s="9" t="s">
        <v>125</v>
      </c>
      <c r="D326" s="9" t="s">
        <v>336</v>
      </c>
      <c r="E326" s="9" t="s">
        <v>14</v>
      </c>
      <c r="F326" s="9" t="s">
        <v>87</v>
      </c>
      <c r="G326" s="16" t="n">
        <v>10</v>
      </c>
      <c r="H326" s="16" t="n">
        <v>10</v>
      </c>
      <c r="I326" s="16" t="n">
        <v>0</v>
      </c>
      <c r="J326" s="16" t="n">
        <v>10</v>
      </c>
      <c r="K326" s="16" t="n">
        <v>0</v>
      </c>
      <c r="L326" s="16" t="n">
        <v>0</v>
      </c>
      <c r="M326" s="16" t="n">
        <v>0</v>
      </c>
      <c r="N326" s="16" t="n">
        <v>0</v>
      </c>
      <c r="O326" s="16" t="n">
        <v>0</v>
      </c>
      <c r="P326" s="16" t="n">
        <v>0</v>
      </c>
      <c r="Q326" s="16" t="n">
        <v>0</v>
      </c>
      <c r="R326" s="16" t="n">
        <v>0</v>
      </c>
      <c r="S326" s="16" t="n">
        <v>0</v>
      </c>
      <c r="T326" s="16" t="n">
        <v>0</v>
      </c>
      <c r="U326" s="16" t="n">
        <v>0</v>
      </c>
      <c r="V326" s="16" t="n">
        <v>0</v>
      </c>
      <c r="W326" s="16" t="n">
        <v>0</v>
      </c>
      <c r="X326" s="16" t="n">
        <v>0</v>
      </c>
      <c r="Y326" s="16" t="n">
        <v>0</v>
      </c>
      <c r="Z326" s="16" t="n">
        <v>0</v>
      </c>
      <c r="AA326" s="16" t="n">
        <v>0</v>
      </c>
      <c r="AB326" s="16" t="n">
        <v>0</v>
      </c>
      <c r="AC326" s="16" t="n">
        <v>0</v>
      </c>
      <c r="AD326" s="16" t="n">
        <v>0</v>
      </c>
      <c r="AE326" s="16" t="n">
        <v>0</v>
      </c>
      <c r="AF326" s="16" t="n">
        <v>0</v>
      </c>
      <c r="AG326" s="16" t="n">
        <v>0</v>
      </c>
      <c r="AH326" s="16" t="n">
        <v>0</v>
      </c>
      <c r="AI326" s="16" t="n">
        <v>0</v>
      </c>
      <c r="AJ326" s="16" t="n">
        <v>0</v>
      </c>
      <c r="AK326" s="16" t="n">
        <v>0</v>
      </c>
      <c r="AL326" s="16" t="n">
        <v>0</v>
      </c>
      <c r="AM326" s="16" t="n">
        <v>0</v>
      </c>
      <c r="AN326" s="16" t="n">
        <v>0</v>
      </c>
      <c r="AO326" s="16" t="n">
        <v>0</v>
      </c>
      <c r="AP326" s="16" t="n">
        <v>0</v>
      </c>
      <c r="AQ326" s="16" t="n">
        <v>0</v>
      </c>
      <c r="AR326" s="16" t="n">
        <v>0</v>
      </c>
      <c r="AS326" s="16" t="n">
        <v>0</v>
      </c>
      <c r="AT326" s="16" t="n">
        <v>0</v>
      </c>
      <c r="AU326" s="16" t="n">
        <v>0</v>
      </c>
      <c r="AV326" s="16" t="n">
        <v>0</v>
      </c>
      <c r="AW326" s="16" t="n">
        <v>0</v>
      </c>
      <c r="AX326" s="16" t="n">
        <v>0</v>
      </c>
      <c r="AY326" s="16" t="n">
        <v>0</v>
      </c>
      <c r="AZ326" s="16" t="n">
        <v>0</v>
      </c>
      <c r="BA326" s="16" t="n">
        <v>0</v>
      </c>
      <c r="BB326" s="16" t="n">
        <v>0</v>
      </c>
      <c r="BC326" s="16" t="n">
        <v>0</v>
      </c>
      <c r="BD326" s="16" t="n">
        <v>0</v>
      </c>
      <c r="BE326" s="16" t="n">
        <v>0</v>
      </c>
      <c r="BF326" s="16" t="n">
        <v>0</v>
      </c>
      <c r="BG326" s="16" t="n">
        <v>0</v>
      </c>
      <c r="BH326" s="16" t="n">
        <v>0</v>
      </c>
      <c r="BI326" s="16" t="n">
        <v>0</v>
      </c>
      <c r="BJ326" s="16" t="n">
        <v>0</v>
      </c>
      <c r="BK326" s="16" t="n">
        <v>0</v>
      </c>
      <c r="BL326" s="16" t="n">
        <v>0</v>
      </c>
      <c r="BM326" s="16" t="n">
        <v>0</v>
      </c>
      <c r="BN326" s="16" t="n">
        <v>0</v>
      </c>
      <c r="BO326" s="16" t="n">
        <v>0</v>
      </c>
      <c r="BP326" s="16" t="n">
        <v>0</v>
      </c>
      <c r="BQ326" s="16" t="n">
        <v>0</v>
      </c>
      <c r="BR326" s="16" t="n">
        <v>0</v>
      </c>
      <c r="BS326" s="16" t="n">
        <v>0</v>
      </c>
      <c r="BT326" s="16" t="n">
        <v>0</v>
      </c>
      <c r="BU326" s="16" t="n">
        <v>0</v>
      </c>
      <c r="BV326" s="16" t="n">
        <v>0</v>
      </c>
      <c r="BW326" s="16" t="n">
        <v>0</v>
      </c>
      <c r="BX326" s="16" t="n">
        <v>0</v>
      </c>
      <c r="BY326" s="16" t="n">
        <v>0</v>
      </c>
      <c r="BZ326" s="16" t="n">
        <v>0</v>
      </c>
      <c r="CA326" s="16" t="n">
        <v>0</v>
      </c>
      <c r="CB326" s="16" t="n">
        <v>0</v>
      </c>
      <c r="CC326" s="16" t="n">
        <v>0</v>
      </c>
      <c r="CD326" s="16" t="n">
        <v>0</v>
      </c>
      <c r="CE326" s="16" t="n">
        <v>0</v>
      </c>
      <c r="CF326" s="16" t="n">
        <v>0</v>
      </c>
      <c r="CG326" s="16" t="n">
        <v>0</v>
      </c>
      <c r="CH326" s="16" t="n">
        <v>0</v>
      </c>
      <c r="CI326" s="16" t="n">
        <v>0</v>
      </c>
      <c r="CJ326" s="16" t="n">
        <v>0</v>
      </c>
      <c r="CK326" s="16" t="n">
        <v>0</v>
      </c>
      <c r="CL326" s="16" t="n">
        <v>0</v>
      </c>
      <c r="CM326" s="16" t="n">
        <v>0</v>
      </c>
      <c r="CN326" s="16" t="n">
        <v>0</v>
      </c>
      <c r="CO326" s="16" t="n">
        <v>0</v>
      </c>
      <c r="CP326" s="16" t="n">
        <v>0</v>
      </c>
      <c r="CQ326" s="16" t="n">
        <v>0</v>
      </c>
      <c r="CR326" s="16" t="n">
        <v>0</v>
      </c>
      <c r="CS326" s="16" t="n">
        <v>0</v>
      </c>
      <c r="CT326" s="16" t="n">
        <v>0</v>
      </c>
      <c r="CU326" s="16" t="n">
        <v>0</v>
      </c>
      <c r="CV326" s="16" t="n">
        <v>0</v>
      </c>
      <c r="CW326" s="16" t="n">
        <v>0</v>
      </c>
      <c r="CX326" s="16" t="n">
        <v>0</v>
      </c>
      <c r="CY326" s="16" t="n">
        <v>0</v>
      </c>
      <c r="CZ326" s="16" t="n">
        <v>0</v>
      </c>
      <c r="DA326" s="16" t="n">
        <v>0</v>
      </c>
      <c r="DB326" s="16" t="n">
        <v>0</v>
      </c>
      <c r="DC326" s="16" t="n">
        <v>0</v>
      </c>
      <c r="DD326" s="16" t="n">
        <v>0</v>
      </c>
      <c r="DE326" s="16" t="n">
        <v>0</v>
      </c>
      <c r="DF326" s="16" t="n">
        <v>0</v>
      </c>
      <c r="DG326" s="16" t="n">
        <v>0</v>
      </c>
      <c r="DH326" s="16" t="n">
        <v>0</v>
      </c>
      <c r="DI326" s="16" t="n">
        <v>0</v>
      </c>
      <c r="DJ326" s="16" t="n">
        <v>0</v>
      </c>
      <c r="DK326" s="16" t="n">
        <v>0</v>
      </c>
      <c r="DL326" s="16" t="n">
        <v>0</v>
      </c>
      <c r="DM326" s="16" t="n">
        <v>0</v>
      </c>
      <c r="DN326" s="16" t="n">
        <v>0</v>
      </c>
      <c r="DO326" s="16" t="n">
        <v>0</v>
      </c>
      <c r="DP326" s="16" t="n">
        <v>0</v>
      </c>
      <c r="DQ326" s="16" t="n">
        <v>0</v>
      </c>
      <c r="DR326" s="16" t="n">
        <v>0</v>
      </c>
      <c r="DS326" s="16" t="n">
        <v>0</v>
      </c>
      <c r="DT326" s="16" t="n">
        <v>0</v>
      </c>
      <c r="DU326" s="16" t="n">
        <v>0</v>
      </c>
      <c r="DV326" s="16" t="n">
        <v>0</v>
      </c>
      <c r="DW326" s="16" t="n">
        <v>0</v>
      </c>
      <c r="DX326" s="16" t="n">
        <v>0</v>
      </c>
      <c r="DY326" s="16" t="n">
        <v>0</v>
      </c>
      <c r="DZ326" s="16" t="n">
        <v>0</v>
      </c>
      <c r="EA326" s="16" t="n">
        <v>0</v>
      </c>
      <c r="EB326" s="16" t="n">
        <v>0</v>
      </c>
      <c r="EC326" s="16" t="n">
        <v>0</v>
      </c>
      <c r="ED326" s="16" t="n">
        <v>0</v>
      </c>
      <c r="EE326" s="16" t="n">
        <v>0</v>
      </c>
      <c r="EF326" s="16" t="n">
        <v>0</v>
      </c>
    </row>
    <row r="327" customFormat="false" ht="15" hidden="false" customHeight="true" outlineLevel="0" collapsed="false">
      <c r="A327" s="9" t="s">
        <v>12</v>
      </c>
      <c r="B327" s="9" t="s">
        <v>101</v>
      </c>
      <c r="C327" s="9" t="s">
        <v>101</v>
      </c>
      <c r="D327" s="9" t="s">
        <v>341</v>
      </c>
      <c r="E327" s="9" t="s">
        <v>16</v>
      </c>
      <c r="F327" s="9" t="s">
        <v>79</v>
      </c>
      <c r="G327" s="16" t="n">
        <v>0</v>
      </c>
      <c r="H327" s="16" t="n">
        <v>0</v>
      </c>
      <c r="I327" s="16" t="n">
        <v>7</v>
      </c>
      <c r="J327" s="16" t="n">
        <v>-7</v>
      </c>
      <c r="K327" s="16" t="n">
        <v>0</v>
      </c>
      <c r="L327" s="16" t="n">
        <v>0</v>
      </c>
      <c r="M327" s="16" t="n">
        <v>0</v>
      </c>
      <c r="N327" s="16" t="n">
        <v>0</v>
      </c>
      <c r="O327" s="16" t="n">
        <v>0</v>
      </c>
      <c r="P327" s="16" t="n">
        <v>0</v>
      </c>
      <c r="Q327" s="16" t="n">
        <v>0</v>
      </c>
      <c r="R327" s="16" t="n">
        <v>0</v>
      </c>
      <c r="S327" s="16" t="n">
        <v>0</v>
      </c>
      <c r="T327" s="16" t="n">
        <v>0</v>
      </c>
      <c r="U327" s="16" t="n">
        <v>0</v>
      </c>
      <c r="V327" s="16" t="n">
        <v>0</v>
      </c>
      <c r="W327" s="16" t="n">
        <v>0</v>
      </c>
      <c r="X327" s="16" t="n">
        <v>0</v>
      </c>
      <c r="Y327" s="16" t="n">
        <v>0</v>
      </c>
      <c r="Z327" s="16" t="n">
        <v>0</v>
      </c>
      <c r="AA327" s="16" t="n">
        <v>0</v>
      </c>
      <c r="AB327" s="16" t="n">
        <v>0</v>
      </c>
      <c r="AC327" s="16" t="n">
        <v>0</v>
      </c>
      <c r="AD327" s="16" t="n">
        <v>0</v>
      </c>
      <c r="AE327" s="16" t="n">
        <v>0</v>
      </c>
      <c r="AF327" s="16" t="n">
        <v>0</v>
      </c>
      <c r="AG327" s="16" t="n">
        <v>0</v>
      </c>
      <c r="AH327" s="16" t="n">
        <v>0</v>
      </c>
      <c r="AI327" s="16" t="n">
        <v>0</v>
      </c>
      <c r="AJ327" s="16" t="n">
        <v>1.5</v>
      </c>
      <c r="AK327" s="16" t="n">
        <v>0</v>
      </c>
      <c r="AL327" s="16" t="n">
        <v>1</v>
      </c>
      <c r="AM327" s="16" t="n">
        <v>1</v>
      </c>
      <c r="AN327" s="16" t="n">
        <v>0</v>
      </c>
      <c r="AO327" s="16" t="n">
        <v>1</v>
      </c>
      <c r="AP327" s="16" t="n">
        <v>0</v>
      </c>
      <c r="AQ327" s="16" t="n">
        <v>1</v>
      </c>
      <c r="AR327" s="16" t="n">
        <v>0</v>
      </c>
      <c r="AS327" s="16" t="n">
        <v>1.5</v>
      </c>
      <c r="AT327" s="16" t="n">
        <v>0</v>
      </c>
      <c r="AU327" s="16" t="n">
        <v>0</v>
      </c>
      <c r="AV327" s="16" t="n">
        <v>0</v>
      </c>
      <c r="AW327" s="16" t="n">
        <v>0</v>
      </c>
      <c r="AX327" s="16" t="n">
        <v>0</v>
      </c>
      <c r="AY327" s="16" t="n">
        <v>0</v>
      </c>
      <c r="AZ327" s="16" t="n">
        <v>0</v>
      </c>
      <c r="BA327" s="16" t="n">
        <v>0</v>
      </c>
      <c r="BB327" s="16" t="n">
        <v>0</v>
      </c>
      <c r="BC327" s="16" t="n">
        <v>0</v>
      </c>
      <c r="BD327" s="16" t="n">
        <v>0</v>
      </c>
      <c r="BE327" s="16" t="n">
        <v>0</v>
      </c>
      <c r="BF327" s="16" t="n">
        <v>0</v>
      </c>
      <c r="BG327" s="16" t="n">
        <v>0</v>
      </c>
      <c r="BH327" s="16" t="n">
        <v>0</v>
      </c>
      <c r="BI327" s="16" t="n">
        <v>0</v>
      </c>
      <c r="BJ327" s="16" t="n">
        <v>0</v>
      </c>
      <c r="BK327" s="16" t="n">
        <v>0</v>
      </c>
      <c r="BL327" s="16" t="n">
        <v>0</v>
      </c>
      <c r="BM327" s="16" t="n">
        <v>0</v>
      </c>
      <c r="BN327" s="16" t="n">
        <v>0</v>
      </c>
      <c r="BO327" s="16" t="n">
        <v>0</v>
      </c>
      <c r="BP327" s="16" t="n">
        <v>0</v>
      </c>
      <c r="BQ327" s="16" t="n">
        <v>0</v>
      </c>
      <c r="BR327" s="16" t="n">
        <v>0</v>
      </c>
      <c r="BS327" s="16" t="n">
        <v>0</v>
      </c>
      <c r="BT327" s="16" t="n">
        <v>0</v>
      </c>
      <c r="BU327" s="16" t="n">
        <v>0</v>
      </c>
      <c r="BV327" s="16" t="n">
        <v>0</v>
      </c>
      <c r="BW327" s="16" t="n">
        <v>0</v>
      </c>
      <c r="BX327" s="16" t="n">
        <v>0</v>
      </c>
      <c r="BY327" s="16" t="n">
        <v>0</v>
      </c>
      <c r="BZ327" s="16" t="n">
        <v>0</v>
      </c>
      <c r="CA327" s="16" t="n">
        <v>0</v>
      </c>
      <c r="CB327" s="16" t="n">
        <v>0</v>
      </c>
      <c r="CC327" s="16" t="n">
        <v>0</v>
      </c>
      <c r="CD327" s="16" t="n">
        <v>0</v>
      </c>
      <c r="CE327" s="16" t="n">
        <v>0</v>
      </c>
      <c r="CF327" s="16" t="n">
        <v>0</v>
      </c>
      <c r="CG327" s="16" t="n">
        <v>0</v>
      </c>
      <c r="CH327" s="16" t="n">
        <v>0</v>
      </c>
      <c r="CI327" s="16" t="n">
        <v>0</v>
      </c>
      <c r="CJ327" s="16" t="n">
        <v>0</v>
      </c>
      <c r="CK327" s="16" t="n">
        <v>0</v>
      </c>
      <c r="CL327" s="16" t="n">
        <v>0</v>
      </c>
      <c r="CM327" s="16" t="n">
        <v>0</v>
      </c>
      <c r="CN327" s="16" t="n">
        <v>0</v>
      </c>
      <c r="CO327" s="16" t="n">
        <v>0</v>
      </c>
      <c r="CP327" s="16" t="n">
        <v>0</v>
      </c>
      <c r="CQ327" s="16" t="n">
        <v>0</v>
      </c>
      <c r="CR327" s="16" t="n">
        <v>0</v>
      </c>
      <c r="CS327" s="16" t="n">
        <v>1.5</v>
      </c>
      <c r="CT327" s="16" t="n">
        <v>0</v>
      </c>
      <c r="CU327" s="16" t="n">
        <v>0</v>
      </c>
      <c r="CV327" s="16" t="n">
        <v>0</v>
      </c>
      <c r="CW327" s="16" t="n">
        <v>0</v>
      </c>
      <c r="CX327" s="16" t="n">
        <v>0</v>
      </c>
      <c r="CY327" s="16" t="n">
        <v>0</v>
      </c>
      <c r="CZ327" s="16" t="n">
        <v>0</v>
      </c>
      <c r="DA327" s="16" t="n">
        <v>0</v>
      </c>
      <c r="DB327" s="16" t="n">
        <v>0</v>
      </c>
      <c r="DC327" s="16" t="n">
        <v>0</v>
      </c>
      <c r="DD327" s="16" t="n">
        <v>0</v>
      </c>
      <c r="DE327" s="16" t="n">
        <v>0</v>
      </c>
      <c r="DF327" s="16" t="n">
        <v>0</v>
      </c>
      <c r="DG327" s="16" t="n">
        <v>0</v>
      </c>
      <c r="DH327" s="16" t="n">
        <v>0</v>
      </c>
      <c r="DI327" s="16" t="n">
        <v>0</v>
      </c>
      <c r="DJ327" s="16" t="n">
        <v>0</v>
      </c>
      <c r="DK327" s="16" t="n">
        <v>0</v>
      </c>
      <c r="DL327" s="16" t="n">
        <v>0</v>
      </c>
      <c r="DM327" s="16" t="n">
        <v>0</v>
      </c>
      <c r="DN327" s="16" t="n">
        <v>0</v>
      </c>
      <c r="DO327" s="16" t="n">
        <v>0</v>
      </c>
      <c r="DP327" s="16" t="n">
        <v>0</v>
      </c>
      <c r="DQ327" s="16" t="n">
        <v>0</v>
      </c>
      <c r="DR327" s="16" t="n">
        <v>0</v>
      </c>
      <c r="DS327" s="16" t="n">
        <v>0</v>
      </c>
      <c r="DT327" s="16" t="n">
        <v>0</v>
      </c>
      <c r="DU327" s="16" t="n">
        <v>0</v>
      </c>
      <c r="DV327" s="16" t="n">
        <v>0</v>
      </c>
      <c r="DW327" s="16" t="n">
        <v>0</v>
      </c>
      <c r="DX327" s="16" t="n">
        <v>0</v>
      </c>
      <c r="DY327" s="16" t="n">
        <v>0</v>
      </c>
      <c r="DZ327" s="16" t="n">
        <v>0</v>
      </c>
      <c r="EA327" s="16" t="n">
        <v>0</v>
      </c>
      <c r="EB327" s="16" t="n">
        <v>0</v>
      </c>
      <c r="EC327" s="16" t="n">
        <v>0</v>
      </c>
      <c r="ED327" s="16" t="n">
        <v>0</v>
      </c>
      <c r="EE327" s="16" t="n">
        <v>0</v>
      </c>
      <c r="EF327" s="16" t="n">
        <v>0</v>
      </c>
    </row>
    <row r="328" customFormat="false" ht="15" hidden="false" customHeight="true" outlineLevel="0" collapsed="false">
      <c r="A328" s="9" t="s">
        <v>12</v>
      </c>
      <c r="B328" s="9" t="s">
        <v>101</v>
      </c>
      <c r="C328" s="9" t="s">
        <v>101</v>
      </c>
      <c r="D328" s="9" t="s">
        <v>340</v>
      </c>
      <c r="E328" s="9" t="s">
        <v>16</v>
      </c>
      <c r="F328" s="9" t="s">
        <v>79</v>
      </c>
      <c r="G328" s="16" t="n">
        <v>1.5</v>
      </c>
      <c r="H328" s="16" t="n">
        <v>1.5</v>
      </c>
      <c r="I328" s="16" t="n">
        <v>11.5</v>
      </c>
      <c r="J328" s="16" t="n">
        <v>-10</v>
      </c>
      <c r="K328" s="16" t="n">
        <v>0</v>
      </c>
      <c r="L328" s="16" t="n">
        <v>0</v>
      </c>
      <c r="M328" s="16" t="n">
        <v>0</v>
      </c>
      <c r="N328" s="16" t="n">
        <v>0</v>
      </c>
      <c r="O328" s="16" t="n">
        <v>0</v>
      </c>
      <c r="P328" s="16" t="n">
        <v>0</v>
      </c>
      <c r="Q328" s="16" t="n">
        <v>0</v>
      </c>
      <c r="R328" s="16" t="n">
        <v>0</v>
      </c>
      <c r="S328" s="16" t="n">
        <v>0</v>
      </c>
      <c r="T328" s="16" t="n">
        <v>0</v>
      </c>
      <c r="U328" s="16" t="n">
        <v>0</v>
      </c>
      <c r="V328" s="16" t="n">
        <v>0</v>
      </c>
      <c r="W328" s="16" t="n">
        <v>0</v>
      </c>
      <c r="X328" s="16" t="n">
        <v>0</v>
      </c>
      <c r="Y328" s="16" t="n">
        <v>0</v>
      </c>
      <c r="Z328" s="16" t="n">
        <v>0</v>
      </c>
      <c r="AA328" s="16" t="n">
        <v>0</v>
      </c>
      <c r="AB328" s="16" t="n">
        <v>0</v>
      </c>
      <c r="AC328" s="16" t="n">
        <v>0</v>
      </c>
      <c r="AD328" s="16" t="n">
        <v>0</v>
      </c>
      <c r="AE328" s="16" t="n">
        <v>0.5</v>
      </c>
      <c r="AF328" s="16" t="n">
        <v>0.5</v>
      </c>
      <c r="AG328" s="16" t="n">
        <v>0.5</v>
      </c>
      <c r="AH328" s="16" t="n">
        <v>4.5</v>
      </c>
      <c r="AI328" s="16" t="n">
        <v>2</v>
      </c>
      <c r="AJ328" s="16" t="n">
        <v>3.5</v>
      </c>
      <c r="AK328" s="16" t="n">
        <v>0</v>
      </c>
      <c r="AL328" s="16" t="n">
        <v>0</v>
      </c>
      <c r="AM328" s="16" t="n">
        <v>0</v>
      </c>
      <c r="AN328" s="16" t="n">
        <v>0</v>
      </c>
      <c r="AO328" s="16" t="n">
        <v>0</v>
      </c>
      <c r="AP328" s="16" t="n">
        <v>0</v>
      </c>
      <c r="AQ328" s="16" t="n">
        <v>0</v>
      </c>
      <c r="AR328" s="16" t="n">
        <v>0</v>
      </c>
      <c r="AS328" s="16" t="n">
        <v>0</v>
      </c>
      <c r="AT328" s="16" t="n">
        <v>0</v>
      </c>
      <c r="AU328" s="16" t="n">
        <v>0</v>
      </c>
      <c r="AV328" s="16" t="n">
        <v>0</v>
      </c>
      <c r="AW328" s="16" t="n">
        <v>0</v>
      </c>
      <c r="AX328" s="16" t="n">
        <v>0</v>
      </c>
      <c r="AY328" s="16" t="n">
        <v>0</v>
      </c>
      <c r="AZ328" s="16" t="n">
        <v>0</v>
      </c>
      <c r="BA328" s="16" t="n">
        <v>0</v>
      </c>
      <c r="BB328" s="16" t="n">
        <v>0</v>
      </c>
      <c r="BC328" s="16" t="n">
        <v>0</v>
      </c>
      <c r="BD328" s="16" t="n">
        <v>0</v>
      </c>
      <c r="BE328" s="16" t="n">
        <v>0</v>
      </c>
      <c r="BF328" s="16" t="n">
        <v>0</v>
      </c>
      <c r="BG328" s="16" t="n">
        <v>0</v>
      </c>
      <c r="BH328" s="16" t="n">
        <v>0</v>
      </c>
      <c r="BI328" s="16" t="n">
        <v>0</v>
      </c>
      <c r="BJ328" s="16" t="n">
        <v>0</v>
      </c>
      <c r="BK328" s="16" t="n">
        <v>0</v>
      </c>
      <c r="BL328" s="16" t="n">
        <v>0</v>
      </c>
      <c r="BM328" s="16" t="n">
        <v>0</v>
      </c>
      <c r="BN328" s="16" t="n">
        <v>0</v>
      </c>
      <c r="BO328" s="16" t="n">
        <v>0</v>
      </c>
      <c r="BP328" s="16" t="n">
        <v>0</v>
      </c>
      <c r="BQ328" s="16" t="n">
        <v>0</v>
      </c>
      <c r="BR328" s="16" t="n">
        <v>0</v>
      </c>
      <c r="BS328" s="16" t="n">
        <v>0</v>
      </c>
      <c r="BT328" s="16" t="n">
        <v>0</v>
      </c>
      <c r="BU328" s="16" t="n">
        <v>0</v>
      </c>
      <c r="BV328" s="16" t="n">
        <v>0</v>
      </c>
      <c r="BW328" s="16" t="n">
        <v>0</v>
      </c>
      <c r="BX328" s="16" t="n">
        <v>0</v>
      </c>
      <c r="BY328" s="16" t="n">
        <v>0</v>
      </c>
      <c r="BZ328" s="16" t="n">
        <v>0</v>
      </c>
      <c r="CA328" s="16" t="n">
        <v>0</v>
      </c>
      <c r="CB328" s="16" t="n">
        <v>0</v>
      </c>
      <c r="CC328" s="16" t="n">
        <v>0</v>
      </c>
      <c r="CD328" s="16" t="n">
        <v>0</v>
      </c>
      <c r="CE328" s="16" t="n">
        <v>0</v>
      </c>
      <c r="CF328" s="16" t="n">
        <v>0</v>
      </c>
      <c r="CG328" s="16" t="n">
        <v>0</v>
      </c>
      <c r="CH328" s="16" t="n">
        <v>0</v>
      </c>
      <c r="CI328" s="16" t="n">
        <v>0</v>
      </c>
      <c r="CJ328" s="16" t="n">
        <v>0</v>
      </c>
      <c r="CK328" s="16" t="n">
        <v>0</v>
      </c>
      <c r="CL328" s="16" t="n">
        <v>0</v>
      </c>
      <c r="CM328" s="16" t="n">
        <v>0</v>
      </c>
      <c r="CN328" s="16" t="n">
        <v>0</v>
      </c>
      <c r="CO328" s="16" t="n">
        <v>0</v>
      </c>
      <c r="CP328" s="16" t="n">
        <v>0</v>
      </c>
      <c r="CQ328" s="16" t="n">
        <v>0</v>
      </c>
      <c r="CR328" s="16" t="n">
        <v>0</v>
      </c>
      <c r="CS328" s="16" t="n">
        <v>0</v>
      </c>
      <c r="CT328" s="16" t="n">
        <v>0</v>
      </c>
      <c r="CU328" s="16" t="n">
        <v>0</v>
      </c>
      <c r="CV328" s="16" t="n">
        <v>0</v>
      </c>
      <c r="CW328" s="16" t="n">
        <v>0</v>
      </c>
      <c r="CX328" s="16" t="n">
        <v>0</v>
      </c>
      <c r="CY328" s="16" t="n">
        <v>0</v>
      </c>
      <c r="CZ328" s="16" t="n">
        <v>0</v>
      </c>
      <c r="DA328" s="16" t="n">
        <v>0</v>
      </c>
      <c r="DB328" s="16" t="n">
        <v>0</v>
      </c>
      <c r="DC328" s="16" t="n">
        <v>0</v>
      </c>
      <c r="DD328" s="16" t="n">
        <v>0</v>
      </c>
      <c r="DE328" s="16" t="n">
        <v>0</v>
      </c>
      <c r="DF328" s="16" t="n">
        <v>0</v>
      </c>
      <c r="DG328" s="16" t="n">
        <v>0</v>
      </c>
      <c r="DH328" s="16" t="n">
        <v>0</v>
      </c>
      <c r="DI328" s="16" t="n">
        <v>0</v>
      </c>
      <c r="DJ328" s="16" t="n">
        <v>0</v>
      </c>
      <c r="DK328" s="16" t="n">
        <v>0</v>
      </c>
      <c r="DL328" s="16" t="n">
        <v>0</v>
      </c>
      <c r="DM328" s="16" t="n">
        <v>0</v>
      </c>
      <c r="DN328" s="16" t="n">
        <v>0</v>
      </c>
      <c r="DO328" s="16" t="n">
        <v>0</v>
      </c>
      <c r="DP328" s="16" t="n">
        <v>0</v>
      </c>
      <c r="DQ328" s="16" t="n">
        <v>0</v>
      </c>
      <c r="DR328" s="16" t="n">
        <v>0</v>
      </c>
      <c r="DS328" s="16" t="n">
        <v>0</v>
      </c>
      <c r="DT328" s="16" t="n">
        <v>0</v>
      </c>
      <c r="DU328" s="16" t="n">
        <v>0</v>
      </c>
      <c r="DV328" s="16" t="n">
        <v>0</v>
      </c>
      <c r="DW328" s="16" t="n">
        <v>0</v>
      </c>
      <c r="DX328" s="16" t="n">
        <v>0</v>
      </c>
      <c r="DY328" s="16" t="n">
        <v>0</v>
      </c>
      <c r="DZ328" s="16" t="n">
        <v>0</v>
      </c>
      <c r="EA328" s="16" t="n">
        <v>0</v>
      </c>
      <c r="EB328" s="16" t="n">
        <v>0</v>
      </c>
      <c r="EC328" s="16" t="n">
        <v>0</v>
      </c>
      <c r="ED328" s="16" t="n">
        <v>0</v>
      </c>
      <c r="EE328" s="16" t="n">
        <v>0</v>
      </c>
      <c r="EF328" s="16" t="n">
        <v>0</v>
      </c>
    </row>
    <row r="329" customFormat="false" ht="15" hidden="false" customHeight="true" outlineLevel="0" collapsed="false">
      <c r="A329" s="9" t="s">
        <v>12</v>
      </c>
      <c r="B329" s="9" t="s">
        <v>101</v>
      </c>
      <c r="C329" s="9" t="s">
        <v>101</v>
      </c>
      <c r="D329" s="9" t="s">
        <v>341</v>
      </c>
      <c r="E329" s="9" t="s">
        <v>16</v>
      </c>
      <c r="F329" s="9" t="s">
        <v>102</v>
      </c>
      <c r="G329" s="16" t="n">
        <v>0</v>
      </c>
      <c r="H329" s="16" t="n">
        <v>0</v>
      </c>
      <c r="I329" s="16" t="n">
        <v>181</v>
      </c>
      <c r="J329" s="16" t="n">
        <v>-181</v>
      </c>
      <c r="K329" s="16" t="n">
        <v>0</v>
      </c>
      <c r="L329" s="16" t="n">
        <v>0</v>
      </c>
      <c r="M329" s="16" t="n">
        <v>0</v>
      </c>
      <c r="N329" s="16" t="n">
        <v>0</v>
      </c>
      <c r="O329" s="16" t="n">
        <v>0</v>
      </c>
      <c r="P329" s="16" t="n">
        <v>0</v>
      </c>
      <c r="Q329" s="16" t="n">
        <v>0</v>
      </c>
      <c r="R329" s="16" t="n">
        <v>0</v>
      </c>
      <c r="S329" s="16" t="n">
        <v>0</v>
      </c>
      <c r="T329" s="16" t="n">
        <v>0</v>
      </c>
      <c r="U329" s="16" t="n">
        <v>0</v>
      </c>
      <c r="V329" s="16" t="n">
        <v>0</v>
      </c>
      <c r="W329" s="16" t="n">
        <v>0</v>
      </c>
      <c r="X329" s="16" t="n">
        <v>0</v>
      </c>
      <c r="Y329" s="16" t="n">
        <v>0</v>
      </c>
      <c r="Z329" s="16" t="n">
        <v>0</v>
      </c>
      <c r="AA329" s="16" t="n">
        <v>0</v>
      </c>
      <c r="AB329" s="16" t="n">
        <v>0</v>
      </c>
      <c r="AC329" s="16" t="n">
        <v>0</v>
      </c>
      <c r="AD329" s="16" t="n">
        <v>0</v>
      </c>
      <c r="AE329" s="16" t="n">
        <v>0</v>
      </c>
      <c r="AF329" s="16" t="n">
        <v>0</v>
      </c>
      <c r="AG329" s="16" t="n">
        <v>0</v>
      </c>
      <c r="AH329" s="16" t="n">
        <v>0</v>
      </c>
      <c r="AI329" s="16" t="n">
        <v>0</v>
      </c>
      <c r="AJ329" s="16" t="n">
        <v>0</v>
      </c>
      <c r="AK329" s="16" t="n">
        <v>0</v>
      </c>
      <c r="AL329" s="16" t="n">
        <v>0</v>
      </c>
      <c r="AM329" s="16" t="n">
        <v>0</v>
      </c>
      <c r="AN329" s="16" t="n">
        <v>0</v>
      </c>
      <c r="AO329" s="16" t="n">
        <v>0</v>
      </c>
      <c r="AP329" s="16" t="n">
        <v>0</v>
      </c>
      <c r="AQ329" s="16" t="n">
        <v>0</v>
      </c>
      <c r="AR329" s="16" t="n">
        <v>0</v>
      </c>
      <c r="AS329" s="16" t="n">
        <v>0</v>
      </c>
      <c r="AT329" s="16" t="n">
        <v>0</v>
      </c>
      <c r="AU329" s="16" t="n">
        <v>0</v>
      </c>
      <c r="AV329" s="16" t="n">
        <v>0</v>
      </c>
      <c r="AW329" s="16" t="n">
        <v>0</v>
      </c>
      <c r="AX329" s="16" t="n">
        <v>0</v>
      </c>
      <c r="AY329" s="16" t="n">
        <v>0</v>
      </c>
      <c r="AZ329" s="16" t="n">
        <v>0</v>
      </c>
      <c r="BA329" s="16" t="n">
        <v>0</v>
      </c>
      <c r="BB329" s="16" t="n">
        <v>0</v>
      </c>
      <c r="BC329" s="16" t="n">
        <v>0</v>
      </c>
      <c r="BD329" s="16" t="n">
        <v>0</v>
      </c>
      <c r="BE329" s="16" t="n">
        <v>0</v>
      </c>
      <c r="BF329" s="16" t="n">
        <v>0</v>
      </c>
      <c r="BG329" s="16" t="n">
        <v>0</v>
      </c>
      <c r="BH329" s="16" t="n">
        <v>0</v>
      </c>
      <c r="BI329" s="16" t="n">
        <v>0</v>
      </c>
      <c r="BJ329" s="16" t="n">
        <v>0</v>
      </c>
      <c r="BK329" s="16" t="n">
        <v>0</v>
      </c>
      <c r="BL329" s="16" t="n">
        <v>0</v>
      </c>
      <c r="BM329" s="16" t="n">
        <v>0</v>
      </c>
      <c r="BN329" s="16" t="n">
        <v>0</v>
      </c>
      <c r="BO329" s="16" t="n">
        <v>0</v>
      </c>
      <c r="BP329" s="16" t="n">
        <v>0</v>
      </c>
      <c r="BQ329" s="16" t="n">
        <v>0</v>
      </c>
      <c r="BR329" s="16" t="n">
        <v>0</v>
      </c>
      <c r="BS329" s="16" t="n">
        <v>0</v>
      </c>
      <c r="BT329" s="16" t="n">
        <v>0</v>
      </c>
      <c r="BU329" s="16" t="n">
        <v>0</v>
      </c>
      <c r="BV329" s="16" t="n">
        <v>0</v>
      </c>
      <c r="BW329" s="16" t="n">
        <v>0</v>
      </c>
      <c r="BX329" s="16" t="n">
        <v>0</v>
      </c>
      <c r="BY329" s="16" t="n">
        <v>0</v>
      </c>
      <c r="BZ329" s="16" t="n">
        <v>0</v>
      </c>
      <c r="CA329" s="16" t="n">
        <v>0</v>
      </c>
      <c r="CB329" s="16" t="n">
        <v>0</v>
      </c>
      <c r="CC329" s="16" t="n">
        <v>0</v>
      </c>
      <c r="CD329" s="16" t="n">
        <v>0</v>
      </c>
      <c r="CE329" s="16" t="n">
        <v>0</v>
      </c>
      <c r="CF329" s="16" t="n">
        <v>0</v>
      </c>
      <c r="CG329" s="16" t="n">
        <v>0</v>
      </c>
      <c r="CH329" s="16" t="n">
        <v>0</v>
      </c>
      <c r="CI329" s="16" t="n">
        <v>0</v>
      </c>
      <c r="CJ329" s="16" t="n">
        <v>0</v>
      </c>
      <c r="CK329" s="16" t="n">
        <v>0</v>
      </c>
      <c r="CL329" s="16" t="n">
        <v>0</v>
      </c>
      <c r="CM329" s="16" t="n">
        <v>0</v>
      </c>
      <c r="CN329" s="16" t="n">
        <v>0</v>
      </c>
      <c r="CO329" s="16" t="n">
        <v>0</v>
      </c>
      <c r="CP329" s="16" t="n">
        <v>0</v>
      </c>
      <c r="CQ329" s="16" t="n">
        <v>0</v>
      </c>
      <c r="CR329" s="16" t="n">
        <v>0</v>
      </c>
      <c r="CS329" s="16" t="n">
        <v>0</v>
      </c>
      <c r="CT329" s="16" t="n">
        <v>6</v>
      </c>
      <c r="CU329" s="16" t="n">
        <v>8</v>
      </c>
      <c r="CV329" s="16" t="n">
        <v>8</v>
      </c>
      <c r="CW329" s="16" t="n">
        <v>5</v>
      </c>
      <c r="CX329" s="16" t="n">
        <v>2</v>
      </c>
      <c r="CY329" s="16" t="n">
        <v>2</v>
      </c>
      <c r="CZ329" s="16" t="n">
        <v>4</v>
      </c>
      <c r="DA329" s="16" t="n">
        <v>4</v>
      </c>
      <c r="DB329" s="16" t="n">
        <v>4</v>
      </c>
      <c r="DC329" s="16" t="n">
        <v>7</v>
      </c>
      <c r="DD329" s="16" t="n">
        <v>5</v>
      </c>
      <c r="DE329" s="16" t="n">
        <v>4</v>
      </c>
      <c r="DF329" s="16" t="n">
        <v>2</v>
      </c>
      <c r="DG329" s="16" t="n">
        <v>3</v>
      </c>
      <c r="DH329" s="16" t="n">
        <v>5</v>
      </c>
      <c r="DI329" s="16" t="n">
        <v>0</v>
      </c>
      <c r="DJ329" s="16" t="n">
        <v>0</v>
      </c>
      <c r="DK329" s="16" t="n">
        <v>10</v>
      </c>
      <c r="DL329" s="16" t="n">
        <v>10</v>
      </c>
      <c r="DM329" s="16" t="n">
        <v>12</v>
      </c>
      <c r="DN329" s="16" t="n">
        <v>15</v>
      </c>
      <c r="DO329" s="16" t="n">
        <v>20</v>
      </c>
      <c r="DP329" s="16" t="n">
        <v>20</v>
      </c>
      <c r="DQ329" s="16" t="n">
        <v>15</v>
      </c>
      <c r="DR329" s="16" t="n">
        <v>10</v>
      </c>
      <c r="DS329" s="16" t="n">
        <v>0</v>
      </c>
      <c r="DT329" s="16" t="n">
        <v>0</v>
      </c>
      <c r="DU329" s="16" t="n">
        <v>0</v>
      </c>
      <c r="DV329" s="16" t="n">
        <v>0</v>
      </c>
      <c r="DW329" s="16" t="n">
        <v>0</v>
      </c>
      <c r="DX329" s="16" t="n">
        <v>0</v>
      </c>
      <c r="DY329" s="16" t="n">
        <v>0</v>
      </c>
      <c r="DZ329" s="16" t="n">
        <v>0</v>
      </c>
      <c r="EA329" s="16" t="n">
        <v>0</v>
      </c>
      <c r="EB329" s="16" t="n">
        <v>0</v>
      </c>
      <c r="EC329" s="16" t="n">
        <v>0</v>
      </c>
      <c r="ED329" s="16" t="n">
        <v>0</v>
      </c>
      <c r="EE329" s="16" t="n">
        <v>0</v>
      </c>
      <c r="EF329" s="16" t="n">
        <v>0</v>
      </c>
    </row>
    <row r="330" customFormat="false" ht="15" hidden="false" customHeight="true" outlineLevel="0" collapsed="false">
      <c r="A330" s="9" t="s">
        <v>12</v>
      </c>
      <c r="B330" s="9" t="s">
        <v>101</v>
      </c>
      <c r="C330" s="9" t="s">
        <v>101</v>
      </c>
      <c r="D330" s="9" t="s">
        <v>340</v>
      </c>
      <c r="E330" s="9" t="s">
        <v>16</v>
      </c>
      <c r="F330" s="9" t="s">
        <v>102</v>
      </c>
      <c r="G330" s="16" t="n">
        <v>4</v>
      </c>
      <c r="H330" s="16" t="n">
        <v>185</v>
      </c>
      <c r="I330" s="16" t="n">
        <v>0</v>
      </c>
      <c r="J330" s="16" t="n">
        <v>185</v>
      </c>
      <c r="K330" s="16" t="n">
        <v>0</v>
      </c>
      <c r="L330" s="16" t="n">
        <v>0</v>
      </c>
      <c r="M330" s="16" t="n">
        <v>0</v>
      </c>
      <c r="N330" s="16" t="n">
        <v>0</v>
      </c>
      <c r="O330" s="16" t="n">
        <v>0</v>
      </c>
      <c r="P330" s="16" t="n">
        <v>0</v>
      </c>
      <c r="Q330" s="16" t="n">
        <v>0</v>
      </c>
      <c r="R330" s="16" t="n">
        <v>0</v>
      </c>
      <c r="S330" s="16" t="n">
        <v>0</v>
      </c>
      <c r="T330" s="16" t="n">
        <v>0</v>
      </c>
      <c r="U330" s="16" t="n">
        <v>0</v>
      </c>
      <c r="V330" s="16" t="n">
        <v>0</v>
      </c>
      <c r="W330" s="16" t="n">
        <v>0</v>
      </c>
      <c r="X330" s="16" t="n">
        <v>0</v>
      </c>
      <c r="Y330" s="16" t="n">
        <v>0</v>
      </c>
      <c r="Z330" s="16" t="n">
        <v>0</v>
      </c>
      <c r="AA330" s="16" t="n">
        <v>0</v>
      </c>
      <c r="AB330" s="16" t="n">
        <v>0</v>
      </c>
      <c r="AC330" s="16" t="n">
        <v>0</v>
      </c>
      <c r="AD330" s="16" t="n">
        <v>0</v>
      </c>
      <c r="AE330" s="16" t="n">
        <v>0</v>
      </c>
      <c r="AF330" s="16" t="n">
        <v>0</v>
      </c>
      <c r="AG330" s="16" t="n">
        <v>0</v>
      </c>
      <c r="AH330" s="16" t="n">
        <v>0</v>
      </c>
      <c r="AI330" s="16" t="n">
        <v>0</v>
      </c>
      <c r="AJ330" s="16" t="n">
        <v>0</v>
      </c>
      <c r="AK330" s="16" t="n">
        <v>0</v>
      </c>
      <c r="AL330" s="16" t="n">
        <v>0</v>
      </c>
      <c r="AM330" s="16" t="n">
        <v>0</v>
      </c>
      <c r="AN330" s="16" t="n">
        <v>0</v>
      </c>
      <c r="AO330" s="16" t="n">
        <v>0</v>
      </c>
      <c r="AP330" s="16" t="n">
        <v>0</v>
      </c>
      <c r="AQ330" s="16" t="n">
        <v>0</v>
      </c>
      <c r="AR330" s="16" t="n">
        <v>0</v>
      </c>
      <c r="AS330" s="16" t="n">
        <v>0</v>
      </c>
      <c r="AT330" s="16" t="n">
        <v>0</v>
      </c>
      <c r="AU330" s="16" t="n">
        <v>0</v>
      </c>
      <c r="AV330" s="16" t="n">
        <v>0</v>
      </c>
      <c r="AW330" s="16" t="n">
        <v>0</v>
      </c>
      <c r="AX330" s="16" t="n">
        <v>0</v>
      </c>
      <c r="AY330" s="16" t="n">
        <v>0</v>
      </c>
      <c r="AZ330" s="16" t="n">
        <v>0</v>
      </c>
      <c r="BA330" s="16" t="n">
        <v>0</v>
      </c>
      <c r="BB330" s="16" t="n">
        <v>0</v>
      </c>
      <c r="BC330" s="16" t="n">
        <v>0</v>
      </c>
      <c r="BD330" s="16" t="n">
        <v>0</v>
      </c>
      <c r="BE330" s="16" t="n">
        <v>0</v>
      </c>
      <c r="BF330" s="16" t="n">
        <v>0</v>
      </c>
      <c r="BG330" s="16" t="n">
        <v>0</v>
      </c>
      <c r="BH330" s="16" t="n">
        <v>0</v>
      </c>
      <c r="BI330" s="16" t="n">
        <v>0</v>
      </c>
      <c r="BJ330" s="16" t="n">
        <v>0</v>
      </c>
      <c r="BK330" s="16" t="n">
        <v>0</v>
      </c>
      <c r="BL330" s="16" t="n">
        <v>0</v>
      </c>
      <c r="BM330" s="16" t="n">
        <v>0</v>
      </c>
      <c r="BN330" s="16" t="n">
        <v>0</v>
      </c>
      <c r="BO330" s="16" t="n">
        <v>0</v>
      </c>
      <c r="BP330" s="16" t="n">
        <v>0</v>
      </c>
      <c r="BQ330" s="16" t="n">
        <v>0</v>
      </c>
      <c r="BR330" s="16" t="n">
        <v>0</v>
      </c>
      <c r="BS330" s="16" t="n">
        <v>0</v>
      </c>
      <c r="BT330" s="16" t="n">
        <v>0</v>
      </c>
      <c r="BU330" s="16" t="n">
        <v>0</v>
      </c>
      <c r="BV330" s="16" t="n">
        <v>0</v>
      </c>
      <c r="BW330" s="16" t="n">
        <v>0</v>
      </c>
      <c r="BX330" s="16" t="n">
        <v>0</v>
      </c>
      <c r="BY330" s="16" t="n">
        <v>0</v>
      </c>
      <c r="BZ330" s="16" t="n">
        <v>0</v>
      </c>
      <c r="CA330" s="16" t="n">
        <v>0</v>
      </c>
      <c r="CB330" s="16" t="n">
        <v>0</v>
      </c>
      <c r="CC330" s="16" t="n">
        <v>0</v>
      </c>
      <c r="CD330" s="16" t="n">
        <v>0</v>
      </c>
      <c r="CE330" s="16" t="n">
        <v>0</v>
      </c>
      <c r="CF330" s="16" t="n">
        <v>0</v>
      </c>
      <c r="CG330" s="16" t="n">
        <v>0</v>
      </c>
      <c r="CH330" s="16" t="n">
        <v>0</v>
      </c>
      <c r="CI330" s="16" t="n">
        <v>0</v>
      </c>
      <c r="CJ330" s="16" t="n">
        <v>0</v>
      </c>
      <c r="CK330" s="16" t="n">
        <v>0</v>
      </c>
      <c r="CL330" s="16" t="n">
        <v>0</v>
      </c>
      <c r="CM330" s="16" t="n">
        <v>0</v>
      </c>
      <c r="CN330" s="16" t="n">
        <v>0</v>
      </c>
      <c r="CO330" s="16" t="n">
        <v>0</v>
      </c>
      <c r="CP330" s="16" t="n">
        <v>0</v>
      </c>
      <c r="CQ330" s="16" t="n">
        <v>0</v>
      </c>
      <c r="CR330" s="16" t="n">
        <v>0</v>
      </c>
      <c r="CS330" s="16" t="n">
        <v>0</v>
      </c>
      <c r="CT330" s="16" t="n">
        <v>0</v>
      </c>
      <c r="CU330" s="16" t="n">
        <v>0</v>
      </c>
      <c r="CV330" s="16" t="n">
        <v>0</v>
      </c>
      <c r="CW330" s="16" t="n">
        <v>0</v>
      </c>
      <c r="CX330" s="16" t="n">
        <v>0</v>
      </c>
      <c r="CY330" s="16" t="n">
        <v>0</v>
      </c>
      <c r="CZ330" s="16" t="n">
        <v>0</v>
      </c>
      <c r="DA330" s="16" t="n">
        <v>0</v>
      </c>
      <c r="DB330" s="16" t="n">
        <v>0</v>
      </c>
      <c r="DC330" s="16" t="n">
        <v>0</v>
      </c>
      <c r="DD330" s="16" t="n">
        <v>0</v>
      </c>
      <c r="DE330" s="16" t="n">
        <v>0</v>
      </c>
      <c r="DF330" s="16" t="n">
        <v>0</v>
      </c>
      <c r="DG330" s="16" t="n">
        <v>0</v>
      </c>
      <c r="DH330" s="16" t="n">
        <v>0</v>
      </c>
      <c r="DI330" s="16" t="n">
        <v>0</v>
      </c>
      <c r="DJ330" s="16" t="n">
        <v>0</v>
      </c>
      <c r="DK330" s="16" t="n">
        <v>0</v>
      </c>
      <c r="DL330" s="16" t="n">
        <v>0</v>
      </c>
      <c r="DM330" s="16" t="n">
        <v>0</v>
      </c>
      <c r="DN330" s="16" t="n">
        <v>0</v>
      </c>
      <c r="DO330" s="16" t="n">
        <v>0</v>
      </c>
      <c r="DP330" s="16" t="n">
        <v>0</v>
      </c>
      <c r="DQ330" s="16" t="n">
        <v>0</v>
      </c>
      <c r="DR330" s="16" t="n">
        <v>0</v>
      </c>
      <c r="DS330" s="16" t="n">
        <v>0</v>
      </c>
      <c r="DT330" s="16" t="n">
        <v>0</v>
      </c>
      <c r="DU330" s="16" t="n">
        <v>0</v>
      </c>
      <c r="DV330" s="16" t="n">
        <v>0</v>
      </c>
      <c r="DW330" s="16" t="n">
        <v>0</v>
      </c>
      <c r="DX330" s="16" t="n">
        <v>0</v>
      </c>
      <c r="DY330" s="16" t="n">
        <v>0</v>
      </c>
      <c r="DZ330" s="16" t="n">
        <v>0</v>
      </c>
      <c r="EA330" s="16" t="n">
        <v>0</v>
      </c>
      <c r="EB330" s="16" t="n">
        <v>0</v>
      </c>
      <c r="EC330" s="16" t="n">
        <v>0</v>
      </c>
      <c r="ED330" s="16" t="n">
        <v>0</v>
      </c>
      <c r="EE330" s="16" t="n">
        <v>0</v>
      </c>
      <c r="EF330" s="16" t="n">
        <v>0</v>
      </c>
    </row>
    <row r="331" customFormat="false" ht="15" hidden="false" customHeight="true" outlineLevel="0" collapsed="false">
      <c r="A331" s="9" t="s">
        <v>12</v>
      </c>
      <c r="B331" s="9" t="s">
        <v>101</v>
      </c>
      <c r="C331" s="9" t="s">
        <v>101</v>
      </c>
      <c r="D331" s="9" t="s">
        <v>341</v>
      </c>
      <c r="E331" s="9" t="s">
        <v>16</v>
      </c>
      <c r="F331" s="9" t="s">
        <v>83</v>
      </c>
      <c r="G331" s="16" t="n">
        <v>0</v>
      </c>
      <c r="H331" s="16" t="n">
        <v>0</v>
      </c>
      <c r="I331" s="16" t="n">
        <v>0</v>
      </c>
      <c r="J331" s="16" t="n">
        <v>0</v>
      </c>
      <c r="K331" s="16" t="n">
        <v>0</v>
      </c>
      <c r="L331" s="16" t="n">
        <v>0</v>
      </c>
      <c r="M331" s="16" t="n">
        <v>0</v>
      </c>
      <c r="N331" s="16" t="n">
        <v>0</v>
      </c>
      <c r="O331" s="16" t="n">
        <v>0</v>
      </c>
      <c r="P331" s="16" t="n">
        <v>0</v>
      </c>
      <c r="Q331" s="16" t="n">
        <v>0</v>
      </c>
      <c r="R331" s="16" t="n">
        <v>0</v>
      </c>
      <c r="S331" s="16" t="n">
        <v>0</v>
      </c>
      <c r="T331" s="16" t="n">
        <v>0</v>
      </c>
      <c r="U331" s="16" t="n">
        <v>0</v>
      </c>
      <c r="V331" s="16" t="n">
        <v>0</v>
      </c>
      <c r="W331" s="16" t="n">
        <v>0</v>
      </c>
      <c r="X331" s="16" t="n">
        <v>0</v>
      </c>
      <c r="Y331" s="16" t="n">
        <v>0</v>
      </c>
      <c r="Z331" s="16" t="n">
        <v>0</v>
      </c>
      <c r="AA331" s="16" t="n">
        <v>0</v>
      </c>
      <c r="AB331" s="16" t="n">
        <v>0</v>
      </c>
      <c r="AC331" s="16" t="n">
        <v>0</v>
      </c>
      <c r="AD331" s="16" t="n">
        <v>0</v>
      </c>
      <c r="AE331" s="16" t="n">
        <v>0</v>
      </c>
      <c r="AF331" s="16" t="n">
        <v>0</v>
      </c>
      <c r="AG331" s="16" t="n">
        <v>0</v>
      </c>
      <c r="AH331" s="16" t="n">
        <v>0</v>
      </c>
      <c r="AI331" s="16" t="n">
        <v>0</v>
      </c>
      <c r="AJ331" s="16" t="n">
        <v>0</v>
      </c>
      <c r="AK331" s="16" t="n">
        <v>0</v>
      </c>
      <c r="AL331" s="16" t="n">
        <v>0</v>
      </c>
      <c r="AM331" s="16" t="n">
        <v>0</v>
      </c>
      <c r="AN331" s="16" t="n">
        <v>0</v>
      </c>
      <c r="AO331" s="16" t="n">
        <v>0</v>
      </c>
      <c r="AP331" s="16" t="n">
        <v>0</v>
      </c>
      <c r="AQ331" s="16" t="n">
        <v>0</v>
      </c>
      <c r="AR331" s="16" t="n">
        <v>0</v>
      </c>
      <c r="AS331" s="16" t="n">
        <v>0</v>
      </c>
      <c r="AT331" s="16" t="n">
        <v>0</v>
      </c>
      <c r="AU331" s="16" t="n">
        <v>0</v>
      </c>
      <c r="AV331" s="16" t="n">
        <v>0</v>
      </c>
      <c r="AW331" s="16" t="n">
        <v>0</v>
      </c>
      <c r="AX331" s="16" t="n">
        <v>0</v>
      </c>
      <c r="AY331" s="16" t="n">
        <v>0</v>
      </c>
      <c r="AZ331" s="16" t="n">
        <v>0</v>
      </c>
      <c r="BA331" s="16" t="n">
        <v>0</v>
      </c>
      <c r="BB331" s="16" t="n">
        <v>0</v>
      </c>
      <c r="BC331" s="16" t="n">
        <v>0</v>
      </c>
      <c r="BD331" s="16" t="n">
        <v>0</v>
      </c>
      <c r="BE331" s="16" t="n">
        <v>0</v>
      </c>
      <c r="BF331" s="16" t="n">
        <v>0</v>
      </c>
      <c r="BG331" s="16" t="n">
        <v>0</v>
      </c>
      <c r="BH331" s="16" t="n">
        <v>0</v>
      </c>
      <c r="BI331" s="16" t="n">
        <v>0</v>
      </c>
      <c r="BJ331" s="16" t="n">
        <v>0</v>
      </c>
      <c r="BK331" s="16" t="n">
        <v>0</v>
      </c>
      <c r="BL331" s="16" t="n">
        <v>0</v>
      </c>
      <c r="BM331" s="16" t="n">
        <v>0</v>
      </c>
      <c r="BN331" s="16" t="n">
        <v>0</v>
      </c>
      <c r="BO331" s="16" t="n">
        <v>0</v>
      </c>
      <c r="BP331" s="16" t="n">
        <v>0</v>
      </c>
      <c r="BQ331" s="16" t="n">
        <v>0</v>
      </c>
      <c r="BR331" s="16" t="n">
        <v>0</v>
      </c>
      <c r="BS331" s="16" t="n">
        <v>0</v>
      </c>
      <c r="BT331" s="16" t="n">
        <v>0</v>
      </c>
      <c r="BU331" s="16" t="n">
        <v>0</v>
      </c>
      <c r="BV331" s="16" t="n">
        <v>0</v>
      </c>
      <c r="BW331" s="16" t="n">
        <v>0</v>
      </c>
      <c r="BX331" s="16" t="n">
        <v>0</v>
      </c>
      <c r="BY331" s="16" t="n">
        <v>0</v>
      </c>
      <c r="BZ331" s="16" t="n">
        <v>0</v>
      </c>
      <c r="CA331" s="16" t="n">
        <v>0</v>
      </c>
      <c r="CB331" s="16" t="n">
        <v>0</v>
      </c>
      <c r="CC331" s="16" t="n">
        <v>0</v>
      </c>
      <c r="CD331" s="16" t="n">
        <v>0</v>
      </c>
      <c r="CE331" s="16" t="n">
        <v>0</v>
      </c>
      <c r="CF331" s="16" t="n">
        <v>0</v>
      </c>
      <c r="CG331" s="16" t="n">
        <v>0</v>
      </c>
      <c r="CH331" s="16" t="n">
        <v>0</v>
      </c>
      <c r="CI331" s="16" t="n">
        <v>0</v>
      </c>
      <c r="CJ331" s="16" t="n">
        <v>0</v>
      </c>
      <c r="CK331" s="16" t="n">
        <v>0</v>
      </c>
      <c r="CL331" s="16" t="n">
        <v>0</v>
      </c>
      <c r="CM331" s="16" t="n">
        <v>0</v>
      </c>
      <c r="CN331" s="16" t="n">
        <v>0</v>
      </c>
      <c r="CO331" s="16" t="n">
        <v>0</v>
      </c>
      <c r="CP331" s="16" t="n">
        <v>0</v>
      </c>
      <c r="CQ331" s="16" t="n">
        <v>0</v>
      </c>
      <c r="CR331" s="16" t="n">
        <v>0</v>
      </c>
      <c r="CS331" s="16" t="n">
        <v>0</v>
      </c>
      <c r="CT331" s="16" t="n">
        <v>0</v>
      </c>
      <c r="CU331" s="16" t="n">
        <v>0</v>
      </c>
      <c r="CV331" s="16" t="n">
        <v>0</v>
      </c>
      <c r="CW331" s="16" t="n">
        <v>0</v>
      </c>
      <c r="CX331" s="16" t="n">
        <v>0</v>
      </c>
      <c r="CY331" s="16" t="n">
        <v>0</v>
      </c>
      <c r="CZ331" s="16" t="n">
        <v>0</v>
      </c>
      <c r="DA331" s="16" t="n">
        <v>0</v>
      </c>
      <c r="DB331" s="16" t="n">
        <v>0</v>
      </c>
      <c r="DC331" s="16" t="n">
        <v>0</v>
      </c>
      <c r="DD331" s="16" t="n">
        <v>0</v>
      </c>
      <c r="DE331" s="16" t="n">
        <v>0</v>
      </c>
      <c r="DF331" s="16" t="n">
        <v>0</v>
      </c>
      <c r="DG331" s="16" t="n">
        <v>0</v>
      </c>
      <c r="DH331" s="16" t="n">
        <v>0</v>
      </c>
      <c r="DI331" s="16" t="n">
        <v>0</v>
      </c>
      <c r="DJ331" s="16" t="n">
        <v>0</v>
      </c>
      <c r="DK331" s="16" t="n">
        <v>0</v>
      </c>
      <c r="DL331" s="16" t="n">
        <v>0</v>
      </c>
      <c r="DM331" s="16" t="n">
        <v>0</v>
      </c>
      <c r="DN331" s="16" t="n">
        <v>0</v>
      </c>
      <c r="DO331" s="16" t="n">
        <v>0</v>
      </c>
      <c r="DP331" s="16" t="n">
        <v>0</v>
      </c>
      <c r="DQ331" s="16" t="n">
        <v>0</v>
      </c>
      <c r="DR331" s="16" t="n">
        <v>0</v>
      </c>
      <c r="DS331" s="16" t="n">
        <v>0</v>
      </c>
      <c r="DT331" s="16" t="n">
        <v>0</v>
      </c>
      <c r="DU331" s="16" t="n">
        <v>0</v>
      </c>
      <c r="DV331" s="16" t="n">
        <v>0</v>
      </c>
      <c r="DW331" s="16" t="n">
        <v>0</v>
      </c>
      <c r="DX331" s="16" t="n">
        <v>0</v>
      </c>
      <c r="DY331" s="16" t="n">
        <v>0</v>
      </c>
      <c r="DZ331" s="16" t="n">
        <v>0</v>
      </c>
      <c r="EA331" s="16" t="n">
        <v>0</v>
      </c>
      <c r="EB331" s="16" t="n">
        <v>0</v>
      </c>
      <c r="EC331" s="16" t="n">
        <v>0</v>
      </c>
      <c r="ED331" s="16" t="n">
        <v>0</v>
      </c>
      <c r="EE331" s="16" t="n">
        <v>0</v>
      </c>
      <c r="EF331" s="16" t="n">
        <v>0</v>
      </c>
    </row>
    <row r="332" customFormat="false" ht="15" hidden="false" customHeight="true" outlineLevel="0" collapsed="false">
      <c r="A332" s="9" t="s">
        <v>12</v>
      </c>
      <c r="B332" s="9" t="s">
        <v>101</v>
      </c>
      <c r="C332" s="9" t="s">
        <v>101</v>
      </c>
      <c r="D332" s="9" t="s">
        <v>340</v>
      </c>
      <c r="E332" s="9" t="s">
        <v>16</v>
      </c>
      <c r="F332" s="9" t="s">
        <v>83</v>
      </c>
      <c r="G332" s="16" t="n">
        <v>10</v>
      </c>
      <c r="H332" s="16" t="n">
        <v>10</v>
      </c>
      <c r="I332" s="16" t="n">
        <v>0</v>
      </c>
      <c r="J332" s="16" t="n">
        <v>10</v>
      </c>
      <c r="K332" s="16" t="n">
        <v>0</v>
      </c>
      <c r="L332" s="16" t="n">
        <v>0</v>
      </c>
      <c r="M332" s="16" t="n">
        <v>0</v>
      </c>
      <c r="N332" s="16" t="n">
        <v>0</v>
      </c>
      <c r="O332" s="16" t="n">
        <v>0</v>
      </c>
      <c r="P332" s="16" t="n">
        <v>0</v>
      </c>
      <c r="Q332" s="16" t="n">
        <v>0</v>
      </c>
      <c r="R332" s="16" t="n">
        <v>0</v>
      </c>
      <c r="S332" s="16" t="n">
        <v>0</v>
      </c>
      <c r="T332" s="16" t="n">
        <v>0</v>
      </c>
      <c r="U332" s="16" t="n">
        <v>0</v>
      </c>
      <c r="V332" s="16" t="n">
        <v>0</v>
      </c>
      <c r="W332" s="16" t="n">
        <v>0</v>
      </c>
      <c r="X332" s="16" t="n">
        <v>0</v>
      </c>
      <c r="Y332" s="16" t="n">
        <v>0</v>
      </c>
      <c r="Z332" s="16" t="n">
        <v>0</v>
      </c>
      <c r="AA332" s="16" t="n">
        <v>0</v>
      </c>
      <c r="AB332" s="16" t="n">
        <v>0</v>
      </c>
      <c r="AC332" s="16" t="n">
        <v>0</v>
      </c>
      <c r="AD332" s="16" t="n">
        <v>0</v>
      </c>
      <c r="AE332" s="16" t="n">
        <v>0</v>
      </c>
      <c r="AF332" s="16" t="n">
        <v>0</v>
      </c>
      <c r="AG332" s="16" t="n">
        <v>0</v>
      </c>
      <c r="AH332" s="16" t="n">
        <v>0</v>
      </c>
      <c r="AI332" s="16" t="n">
        <v>0</v>
      </c>
      <c r="AJ332" s="16" t="n">
        <v>0</v>
      </c>
      <c r="AK332" s="16" t="n">
        <v>0</v>
      </c>
      <c r="AL332" s="16" t="n">
        <v>0</v>
      </c>
      <c r="AM332" s="16" t="n">
        <v>0</v>
      </c>
      <c r="AN332" s="16" t="n">
        <v>0</v>
      </c>
      <c r="AO332" s="16" t="n">
        <v>0</v>
      </c>
      <c r="AP332" s="16" t="n">
        <v>0</v>
      </c>
      <c r="AQ332" s="16" t="n">
        <v>0</v>
      </c>
      <c r="AR332" s="16" t="n">
        <v>0</v>
      </c>
      <c r="AS332" s="16" t="n">
        <v>0</v>
      </c>
      <c r="AT332" s="16" t="n">
        <v>0</v>
      </c>
      <c r="AU332" s="16" t="n">
        <v>0</v>
      </c>
      <c r="AV332" s="16" t="n">
        <v>0</v>
      </c>
      <c r="AW332" s="16" t="n">
        <v>0</v>
      </c>
      <c r="AX332" s="16" t="n">
        <v>0</v>
      </c>
      <c r="AY332" s="16" t="n">
        <v>0</v>
      </c>
      <c r="AZ332" s="16" t="n">
        <v>0</v>
      </c>
      <c r="BA332" s="16" t="n">
        <v>0</v>
      </c>
      <c r="BB332" s="16" t="n">
        <v>0</v>
      </c>
      <c r="BC332" s="16" t="n">
        <v>0</v>
      </c>
      <c r="BD332" s="16" t="n">
        <v>0</v>
      </c>
      <c r="BE332" s="16" t="n">
        <v>0</v>
      </c>
      <c r="BF332" s="16" t="n">
        <v>0</v>
      </c>
      <c r="BG332" s="16" t="n">
        <v>0</v>
      </c>
      <c r="BH332" s="16" t="n">
        <v>0</v>
      </c>
      <c r="BI332" s="16" t="n">
        <v>0</v>
      </c>
      <c r="BJ332" s="16" t="n">
        <v>0</v>
      </c>
      <c r="BK332" s="16" t="n">
        <v>0</v>
      </c>
      <c r="BL332" s="16" t="n">
        <v>0</v>
      </c>
      <c r="BM332" s="16" t="n">
        <v>0</v>
      </c>
      <c r="BN332" s="16" t="n">
        <v>0</v>
      </c>
      <c r="BO332" s="16" t="n">
        <v>0</v>
      </c>
      <c r="BP332" s="16" t="n">
        <v>0</v>
      </c>
      <c r="BQ332" s="16" t="n">
        <v>0</v>
      </c>
      <c r="BR332" s="16" t="n">
        <v>0</v>
      </c>
      <c r="BS332" s="16" t="n">
        <v>0</v>
      </c>
      <c r="BT332" s="16" t="n">
        <v>0</v>
      </c>
      <c r="BU332" s="16" t="n">
        <v>0</v>
      </c>
      <c r="BV332" s="16" t="n">
        <v>0</v>
      </c>
      <c r="BW332" s="16" t="n">
        <v>0</v>
      </c>
      <c r="BX332" s="16" t="n">
        <v>0</v>
      </c>
      <c r="BY332" s="16" t="n">
        <v>0</v>
      </c>
      <c r="BZ332" s="16" t="n">
        <v>0</v>
      </c>
      <c r="CA332" s="16" t="n">
        <v>0</v>
      </c>
      <c r="CB332" s="16" t="n">
        <v>0</v>
      </c>
      <c r="CC332" s="16" t="n">
        <v>0</v>
      </c>
      <c r="CD332" s="16" t="n">
        <v>0</v>
      </c>
      <c r="CE332" s="16" t="n">
        <v>0</v>
      </c>
      <c r="CF332" s="16" t="n">
        <v>0</v>
      </c>
      <c r="CG332" s="16" t="n">
        <v>0</v>
      </c>
      <c r="CH332" s="16" t="n">
        <v>0</v>
      </c>
      <c r="CI332" s="16" t="n">
        <v>0</v>
      </c>
      <c r="CJ332" s="16" t="n">
        <v>0</v>
      </c>
      <c r="CK332" s="16" t="n">
        <v>0</v>
      </c>
      <c r="CL332" s="16" t="n">
        <v>0</v>
      </c>
      <c r="CM332" s="16" t="n">
        <v>0</v>
      </c>
      <c r="CN332" s="16" t="n">
        <v>0</v>
      </c>
      <c r="CO332" s="16" t="n">
        <v>0</v>
      </c>
      <c r="CP332" s="16" t="n">
        <v>0</v>
      </c>
      <c r="CQ332" s="16" t="n">
        <v>0</v>
      </c>
      <c r="CR332" s="16" t="n">
        <v>0</v>
      </c>
      <c r="CS332" s="16" t="n">
        <v>0</v>
      </c>
      <c r="CT332" s="16" t="n">
        <v>0</v>
      </c>
      <c r="CU332" s="16" t="n">
        <v>0</v>
      </c>
      <c r="CV332" s="16" t="n">
        <v>0</v>
      </c>
      <c r="CW332" s="16" t="n">
        <v>0</v>
      </c>
      <c r="CX332" s="16" t="n">
        <v>0</v>
      </c>
      <c r="CY332" s="16" t="n">
        <v>0</v>
      </c>
      <c r="CZ332" s="16" t="n">
        <v>0</v>
      </c>
      <c r="DA332" s="16" t="n">
        <v>0</v>
      </c>
      <c r="DB332" s="16" t="n">
        <v>0</v>
      </c>
      <c r="DC332" s="16" t="n">
        <v>0</v>
      </c>
      <c r="DD332" s="16" t="n">
        <v>0</v>
      </c>
      <c r="DE332" s="16" t="n">
        <v>0</v>
      </c>
      <c r="DF332" s="16" t="n">
        <v>0</v>
      </c>
      <c r="DG332" s="16" t="n">
        <v>0</v>
      </c>
      <c r="DH332" s="16" t="n">
        <v>0</v>
      </c>
      <c r="DI332" s="16" t="n">
        <v>0</v>
      </c>
      <c r="DJ332" s="16" t="n">
        <v>0</v>
      </c>
      <c r="DK332" s="16" t="n">
        <v>0</v>
      </c>
      <c r="DL332" s="16" t="n">
        <v>0</v>
      </c>
      <c r="DM332" s="16" t="n">
        <v>0</v>
      </c>
      <c r="DN332" s="16" t="n">
        <v>0</v>
      </c>
      <c r="DO332" s="16" t="n">
        <v>0</v>
      </c>
      <c r="DP332" s="16" t="n">
        <v>0</v>
      </c>
      <c r="DQ332" s="16" t="n">
        <v>0</v>
      </c>
      <c r="DR332" s="16" t="n">
        <v>0</v>
      </c>
      <c r="DS332" s="16" t="n">
        <v>0</v>
      </c>
      <c r="DT332" s="16" t="n">
        <v>0</v>
      </c>
      <c r="DU332" s="16" t="n">
        <v>0</v>
      </c>
      <c r="DV332" s="16" t="n">
        <v>0</v>
      </c>
      <c r="DW332" s="16" t="n">
        <v>0</v>
      </c>
      <c r="DX332" s="16" t="n">
        <v>0</v>
      </c>
      <c r="DY332" s="16" t="n">
        <v>0</v>
      </c>
      <c r="DZ332" s="16" t="n">
        <v>0</v>
      </c>
      <c r="EA332" s="16" t="n">
        <v>0</v>
      </c>
      <c r="EB332" s="16" t="n">
        <v>0</v>
      </c>
      <c r="EC332" s="16" t="n">
        <v>0</v>
      </c>
      <c r="ED332" s="16" t="n">
        <v>0</v>
      </c>
      <c r="EE332" s="16" t="n">
        <v>0</v>
      </c>
      <c r="EF332" s="16" t="n">
        <v>0</v>
      </c>
    </row>
    <row r="333" customFormat="false" ht="15" hidden="false" customHeight="true" outlineLevel="0" collapsed="false">
      <c r="A333" s="9" t="s">
        <v>12</v>
      </c>
      <c r="B333" s="9" t="s">
        <v>101</v>
      </c>
      <c r="C333" s="9" t="s">
        <v>101</v>
      </c>
      <c r="D333" s="9" t="s">
        <v>341</v>
      </c>
      <c r="E333" s="9" t="s">
        <v>16</v>
      </c>
      <c r="F333" s="9" t="s">
        <v>103</v>
      </c>
      <c r="G333" s="16" t="n">
        <v>0</v>
      </c>
      <c r="H333" s="16" t="n">
        <v>0</v>
      </c>
      <c r="I333" s="16" t="n">
        <v>50</v>
      </c>
      <c r="J333" s="16" t="n">
        <v>-50</v>
      </c>
      <c r="K333" s="16" t="n">
        <v>0</v>
      </c>
      <c r="L333" s="16" t="n">
        <v>0</v>
      </c>
      <c r="M333" s="16" t="n">
        <v>0</v>
      </c>
      <c r="N333" s="16" t="n">
        <v>0</v>
      </c>
      <c r="O333" s="16" t="n">
        <v>0</v>
      </c>
      <c r="P333" s="16" t="n">
        <v>0</v>
      </c>
      <c r="Q333" s="16" t="n">
        <v>0</v>
      </c>
      <c r="R333" s="16" t="n">
        <v>0</v>
      </c>
      <c r="S333" s="16" t="n">
        <v>0</v>
      </c>
      <c r="T333" s="16" t="n">
        <v>0</v>
      </c>
      <c r="U333" s="16" t="n">
        <v>0</v>
      </c>
      <c r="V333" s="16" t="n">
        <v>0</v>
      </c>
      <c r="W333" s="16" t="n">
        <v>0</v>
      </c>
      <c r="X333" s="16" t="n">
        <v>0</v>
      </c>
      <c r="Y333" s="16" t="n">
        <v>0</v>
      </c>
      <c r="Z333" s="16" t="n">
        <v>0</v>
      </c>
      <c r="AA333" s="16" t="n">
        <v>0</v>
      </c>
      <c r="AB333" s="16" t="n">
        <v>0</v>
      </c>
      <c r="AC333" s="16" t="n">
        <v>0</v>
      </c>
      <c r="AD333" s="16" t="n">
        <v>0</v>
      </c>
      <c r="AE333" s="16" t="n">
        <v>0</v>
      </c>
      <c r="AF333" s="16" t="n">
        <v>0</v>
      </c>
      <c r="AG333" s="16" t="n">
        <v>0</v>
      </c>
      <c r="AH333" s="16" t="n">
        <v>0</v>
      </c>
      <c r="AI333" s="16" t="n">
        <v>0</v>
      </c>
      <c r="AJ333" s="16" t="n">
        <v>0</v>
      </c>
      <c r="AK333" s="16" t="n">
        <v>0</v>
      </c>
      <c r="AL333" s="16" t="n">
        <v>0</v>
      </c>
      <c r="AM333" s="16" t="n">
        <v>0</v>
      </c>
      <c r="AN333" s="16" t="n">
        <v>0</v>
      </c>
      <c r="AO333" s="16" t="n">
        <v>0</v>
      </c>
      <c r="AP333" s="16" t="n">
        <v>0</v>
      </c>
      <c r="AQ333" s="16" t="n">
        <v>0</v>
      </c>
      <c r="AR333" s="16" t="n">
        <v>0</v>
      </c>
      <c r="AS333" s="16" t="n">
        <v>0</v>
      </c>
      <c r="AT333" s="16" t="n">
        <v>0</v>
      </c>
      <c r="AU333" s="16" t="n">
        <v>0</v>
      </c>
      <c r="AV333" s="16" t="n">
        <v>0</v>
      </c>
      <c r="AW333" s="16" t="n">
        <v>0</v>
      </c>
      <c r="AX333" s="16" t="n">
        <v>0</v>
      </c>
      <c r="AY333" s="16" t="n">
        <v>0</v>
      </c>
      <c r="AZ333" s="16" t="n">
        <v>0</v>
      </c>
      <c r="BA333" s="16" t="n">
        <v>0</v>
      </c>
      <c r="BB333" s="16" t="n">
        <v>0</v>
      </c>
      <c r="BC333" s="16" t="n">
        <v>0</v>
      </c>
      <c r="BD333" s="16" t="n">
        <v>0</v>
      </c>
      <c r="BE333" s="16" t="n">
        <v>0</v>
      </c>
      <c r="BF333" s="16" t="n">
        <v>0</v>
      </c>
      <c r="BG333" s="16" t="n">
        <v>0</v>
      </c>
      <c r="BH333" s="16" t="n">
        <v>0</v>
      </c>
      <c r="BI333" s="16" t="n">
        <v>0</v>
      </c>
      <c r="BJ333" s="16" t="n">
        <v>0</v>
      </c>
      <c r="BK333" s="16" t="n">
        <v>0</v>
      </c>
      <c r="BL333" s="16" t="n">
        <v>0</v>
      </c>
      <c r="BM333" s="16" t="n">
        <v>0</v>
      </c>
      <c r="BN333" s="16" t="n">
        <v>0</v>
      </c>
      <c r="BO333" s="16" t="n">
        <v>0</v>
      </c>
      <c r="BP333" s="16" t="n">
        <v>0</v>
      </c>
      <c r="BQ333" s="16" t="n">
        <v>0</v>
      </c>
      <c r="BR333" s="16" t="n">
        <v>0</v>
      </c>
      <c r="BS333" s="16" t="n">
        <v>0</v>
      </c>
      <c r="BT333" s="16" t="n">
        <v>0</v>
      </c>
      <c r="BU333" s="16" t="n">
        <v>0</v>
      </c>
      <c r="BV333" s="16" t="n">
        <v>0</v>
      </c>
      <c r="BW333" s="16" t="n">
        <v>0</v>
      </c>
      <c r="BX333" s="16" t="n">
        <v>0</v>
      </c>
      <c r="BY333" s="16" t="n">
        <v>0</v>
      </c>
      <c r="BZ333" s="16" t="n">
        <v>0</v>
      </c>
      <c r="CA333" s="16" t="n">
        <v>0</v>
      </c>
      <c r="CB333" s="16" t="n">
        <v>0</v>
      </c>
      <c r="CC333" s="16" t="n">
        <v>0</v>
      </c>
      <c r="CD333" s="16" t="n">
        <v>0</v>
      </c>
      <c r="CE333" s="16" t="n">
        <v>0</v>
      </c>
      <c r="CF333" s="16" t="n">
        <v>0</v>
      </c>
      <c r="CG333" s="16" t="n">
        <v>0</v>
      </c>
      <c r="CH333" s="16" t="n">
        <v>0</v>
      </c>
      <c r="CI333" s="16" t="n">
        <v>0</v>
      </c>
      <c r="CJ333" s="16" t="n">
        <v>0</v>
      </c>
      <c r="CK333" s="16" t="n">
        <v>0</v>
      </c>
      <c r="CL333" s="16" t="n">
        <v>0</v>
      </c>
      <c r="CM333" s="16" t="n">
        <v>0</v>
      </c>
      <c r="CN333" s="16" t="n">
        <v>0</v>
      </c>
      <c r="CO333" s="16" t="n">
        <v>0</v>
      </c>
      <c r="CP333" s="16" t="n">
        <v>0</v>
      </c>
      <c r="CQ333" s="16" t="n">
        <v>0</v>
      </c>
      <c r="CR333" s="16" t="n">
        <v>0</v>
      </c>
      <c r="CS333" s="16" t="n">
        <v>0</v>
      </c>
      <c r="CT333" s="16" t="n">
        <v>0</v>
      </c>
      <c r="CU333" s="16" t="n">
        <v>0</v>
      </c>
      <c r="CV333" s="16" t="n">
        <v>0</v>
      </c>
      <c r="CW333" s="16" t="n">
        <v>0</v>
      </c>
      <c r="CX333" s="16" t="n">
        <v>0</v>
      </c>
      <c r="CY333" s="16" t="n">
        <v>0</v>
      </c>
      <c r="CZ333" s="16" t="n">
        <v>0</v>
      </c>
      <c r="DA333" s="16" t="n">
        <v>0</v>
      </c>
      <c r="DB333" s="16" t="n">
        <v>0</v>
      </c>
      <c r="DC333" s="16" t="n">
        <v>0</v>
      </c>
      <c r="DD333" s="16" t="n">
        <v>0</v>
      </c>
      <c r="DE333" s="16" t="n">
        <v>0</v>
      </c>
      <c r="DF333" s="16" t="n">
        <v>0</v>
      </c>
      <c r="DG333" s="16" t="n">
        <v>0</v>
      </c>
      <c r="DH333" s="16" t="n">
        <v>0</v>
      </c>
      <c r="DI333" s="16" t="n">
        <v>0</v>
      </c>
      <c r="DJ333" s="16" t="n">
        <v>0</v>
      </c>
      <c r="DK333" s="16" t="n">
        <v>0</v>
      </c>
      <c r="DL333" s="16" t="n">
        <v>0</v>
      </c>
      <c r="DM333" s="16" t="n">
        <v>5</v>
      </c>
      <c r="DN333" s="16" t="n">
        <v>10</v>
      </c>
      <c r="DO333" s="16" t="n">
        <v>10</v>
      </c>
      <c r="DP333" s="16" t="n">
        <v>10</v>
      </c>
      <c r="DQ333" s="16" t="n">
        <v>15</v>
      </c>
      <c r="DR333" s="16" t="n">
        <v>0</v>
      </c>
      <c r="DS333" s="16" t="n">
        <v>0</v>
      </c>
      <c r="DT333" s="16" t="n">
        <v>0</v>
      </c>
      <c r="DU333" s="16" t="n">
        <v>0</v>
      </c>
      <c r="DV333" s="16" t="n">
        <v>0</v>
      </c>
      <c r="DW333" s="16" t="n">
        <v>0</v>
      </c>
      <c r="DX333" s="16" t="n">
        <v>0</v>
      </c>
      <c r="DY333" s="16" t="n">
        <v>0</v>
      </c>
      <c r="DZ333" s="16" t="n">
        <v>0</v>
      </c>
      <c r="EA333" s="16" t="n">
        <v>0</v>
      </c>
      <c r="EB333" s="16" t="n">
        <v>0</v>
      </c>
      <c r="EC333" s="16" t="n">
        <v>0</v>
      </c>
      <c r="ED333" s="16" t="n">
        <v>0</v>
      </c>
      <c r="EE333" s="16" t="n">
        <v>0</v>
      </c>
      <c r="EF333" s="16" t="n">
        <v>0</v>
      </c>
    </row>
    <row r="334" customFormat="false" ht="15" hidden="false" customHeight="true" outlineLevel="0" collapsed="false">
      <c r="A334" s="9" t="s">
        <v>12</v>
      </c>
      <c r="B334" s="9" t="s">
        <v>116</v>
      </c>
      <c r="C334" s="9" t="s">
        <v>116</v>
      </c>
      <c r="D334" s="9" t="s">
        <v>337</v>
      </c>
      <c r="E334" s="9" t="s">
        <v>10</v>
      </c>
      <c r="F334" s="9" t="s">
        <v>81</v>
      </c>
      <c r="G334" s="16" t="n">
        <v>0</v>
      </c>
      <c r="H334" s="16" t="n">
        <v>0</v>
      </c>
      <c r="I334" s="16" t="n">
        <v>8</v>
      </c>
      <c r="J334" s="16" t="n">
        <v>-8</v>
      </c>
      <c r="K334" s="16" t="n">
        <v>0</v>
      </c>
      <c r="L334" s="16" t="n">
        <v>0</v>
      </c>
      <c r="M334" s="16" t="n">
        <v>0</v>
      </c>
      <c r="N334" s="16" t="n">
        <v>0</v>
      </c>
      <c r="O334" s="16" t="n">
        <v>0</v>
      </c>
      <c r="P334" s="16" t="n">
        <v>0</v>
      </c>
      <c r="Q334" s="16" t="n">
        <v>0</v>
      </c>
      <c r="R334" s="16" t="n">
        <v>0</v>
      </c>
      <c r="S334" s="16" t="n">
        <v>0</v>
      </c>
      <c r="T334" s="16" t="n">
        <v>0</v>
      </c>
      <c r="U334" s="16" t="n">
        <v>0</v>
      </c>
      <c r="V334" s="16" t="n">
        <v>0</v>
      </c>
      <c r="W334" s="16" t="n">
        <v>0</v>
      </c>
      <c r="X334" s="16" t="n">
        <v>0</v>
      </c>
      <c r="Y334" s="16" t="n">
        <v>0</v>
      </c>
      <c r="Z334" s="16" t="n">
        <v>0</v>
      </c>
      <c r="AA334" s="16" t="n">
        <v>0</v>
      </c>
      <c r="AB334" s="16" t="n">
        <v>0</v>
      </c>
      <c r="AC334" s="16" t="n">
        <v>0</v>
      </c>
      <c r="AD334" s="16" t="n">
        <v>0</v>
      </c>
      <c r="AE334" s="16" t="n">
        <v>0</v>
      </c>
      <c r="AF334" s="16" t="n">
        <v>0</v>
      </c>
      <c r="AG334" s="16" t="n">
        <v>0</v>
      </c>
      <c r="AH334" s="16" t="n">
        <v>0</v>
      </c>
      <c r="AI334" s="16" t="n">
        <v>0</v>
      </c>
      <c r="AJ334" s="16" t="n">
        <v>2</v>
      </c>
      <c r="AK334" s="16" t="n">
        <v>0</v>
      </c>
      <c r="AL334" s="16" t="n">
        <v>0</v>
      </c>
      <c r="AM334" s="16" t="n">
        <v>0</v>
      </c>
      <c r="AN334" s="16" t="n">
        <v>0</v>
      </c>
      <c r="AO334" s="16" t="n">
        <v>0</v>
      </c>
      <c r="AP334" s="16" t="n">
        <v>3</v>
      </c>
      <c r="AQ334" s="16" t="n">
        <v>3</v>
      </c>
      <c r="AR334" s="16" t="n">
        <v>0</v>
      </c>
      <c r="AS334" s="16" t="n">
        <v>0</v>
      </c>
      <c r="AT334" s="16" t="n">
        <v>0</v>
      </c>
      <c r="AU334" s="16" t="n">
        <v>0</v>
      </c>
      <c r="AV334" s="16" t="n">
        <v>0</v>
      </c>
      <c r="AW334" s="16" t="n">
        <v>0</v>
      </c>
      <c r="AX334" s="16" t="n">
        <v>0</v>
      </c>
      <c r="AY334" s="16" t="n">
        <v>0</v>
      </c>
      <c r="AZ334" s="16" t="n">
        <v>0</v>
      </c>
      <c r="BA334" s="16" t="n">
        <v>0</v>
      </c>
      <c r="BB334" s="16" t="n">
        <v>0</v>
      </c>
      <c r="BC334" s="16" t="n">
        <v>0</v>
      </c>
      <c r="BD334" s="16" t="n">
        <v>0</v>
      </c>
      <c r="BE334" s="16" t="n">
        <v>0</v>
      </c>
      <c r="BF334" s="16" t="n">
        <v>0</v>
      </c>
      <c r="BG334" s="16" t="n">
        <v>0</v>
      </c>
      <c r="BH334" s="16" t="n">
        <v>0</v>
      </c>
      <c r="BI334" s="16" t="n">
        <v>0</v>
      </c>
      <c r="BJ334" s="16" t="n">
        <v>0</v>
      </c>
      <c r="BK334" s="16" t="n">
        <v>0</v>
      </c>
      <c r="BL334" s="16" t="n">
        <v>0</v>
      </c>
      <c r="BM334" s="16" t="n">
        <v>0</v>
      </c>
      <c r="BN334" s="16" t="n">
        <v>0</v>
      </c>
      <c r="BO334" s="16" t="n">
        <v>0</v>
      </c>
      <c r="BP334" s="16" t="n">
        <v>0</v>
      </c>
      <c r="BQ334" s="16" t="n">
        <v>0</v>
      </c>
      <c r="BR334" s="16" t="n">
        <v>0</v>
      </c>
      <c r="BS334" s="16" t="n">
        <v>0</v>
      </c>
      <c r="BT334" s="16" t="n">
        <v>0</v>
      </c>
      <c r="BU334" s="16" t="n">
        <v>0</v>
      </c>
      <c r="BV334" s="16" t="n">
        <v>0</v>
      </c>
      <c r="BW334" s="16" t="n">
        <v>0</v>
      </c>
      <c r="BX334" s="16" t="n">
        <v>0</v>
      </c>
      <c r="BY334" s="16" t="n">
        <v>0</v>
      </c>
      <c r="BZ334" s="16" t="n">
        <v>0</v>
      </c>
      <c r="CA334" s="16" t="n">
        <v>0</v>
      </c>
      <c r="CB334" s="16" t="n">
        <v>0</v>
      </c>
      <c r="CC334" s="16" t="n">
        <v>0</v>
      </c>
      <c r="CD334" s="16" t="n">
        <v>0</v>
      </c>
      <c r="CE334" s="16" t="n">
        <v>0</v>
      </c>
      <c r="CF334" s="16" t="n">
        <v>0</v>
      </c>
      <c r="CG334" s="16" t="n">
        <v>0</v>
      </c>
      <c r="CH334" s="16" t="n">
        <v>0</v>
      </c>
      <c r="CI334" s="16" t="n">
        <v>0</v>
      </c>
      <c r="CJ334" s="16" t="n">
        <v>0</v>
      </c>
      <c r="CK334" s="16" t="n">
        <v>0</v>
      </c>
      <c r="CL334" s="16" t="n">
        <v>0</v>
      </c>
      <c r="CM334" s="16" t="n">
        <v>0</v>
      </c>
      <c r="CN334" s="16" t="n">
        <v>0</v>
      </c>
      <c r="CO334" s="16" t="n">
        <v>0</v>
      </c>
      <c r="CP334" s="16" t="n">
        <v>0</v>
      </c>
      <c r="CQ334" s="16" t="n">
        <v>0</v>
      </c>
      <c r="CR334" s="16" t="n">
        <v>0</v>
      </c>
      <c r="CS334" s="16" t="n">
        <v>0</v>
      </c>
      <c r="CT334" s="16" t="n">
        <v>0</v>
      </c>
      <c r="CU334" s="16" t="n">
        <v>0</v>
      </c>
      <c r="CV334" s="16" t="n">
        <v>0</v>
      </c>
      <c r="CW334" s="16" t="n">
        <v>0</v>
      </c>
      <c r="CX334" s="16" t="n">
        <v>0</v>
      </c>
      <c r="CY334" s="16" t="n">
        <v>0</v>
      </c>
      <c r="CZ334" s="16" t="n">
        <v>0</v>
      </c>
      <c r="DA334" s="16" t="n">
        <v>0</v>
      </c>
      <c r="DB334" s="16" t="n">
        <v>0</v>
      </c>
      <c r="DC334" s="16" t="n">
        <v>0</v>
      </c>
      <c r="DD334" s="16" t="n">
        <v>0</v>
      </c>
      <c r="DE334" s="16" t="n">
        <v>0</v>
      </c>
      <c r="DF334" s="16" t="n">
        <v>0</v>
      </c>
      <c r="DG334" s="16" t="n">
        <v>0</v>
      </c>
      <c r="DH334" s="16" t="n">
        <v>0</v>
      </c>
      <c r="DI334" s="16" t="n">
        <v>0</v>
      </c>
      <c r="DJ334" s="16" t="n">
        <v>0</v>
      </c>
      <c r="DK334" s="16" t="n">
        <v>0</v>
      </c>
      <c r="DL334" s="16" t="n">
        <v>0</v>
      </c>
      <c r="DM334" s="16" t="n">
        <v>0</v>
      </c>
      <c r="DN334" s="16" t="n">
        <v>0</v>
      </c>
      <c r="DO334" s="16" t="n">
        <v>0</v>
      </c>
      <c r="DP334" s="16" t="n">
        <v>0</v>
      </c>
      <c r="DQ334" s="16" t="n">
        <v>0</v>
      </c>
      <c r="DR334" s="16" t="n">
        <v>0</v>
      </c>
      <c r="DS334" s="16" t="n">
        <v>0</v>
      </c>
      <c r="DT334" s="16" t="n">
        <v>0</v>
      </c>
      <c r="DU334" s="16" t="n">
        <v>0</v>
      </c>
      <c r="DV334" s="16" t="n">
        <v>0</v>
      </c>
      <c r="DW334" s="16" t="n">
        <v>0</v>
      </c>
      <c r="DX334" s="16" t="n">
        <v>0</v>
      </c>
      <c r="DY334" s="16" t="n">
        <v>0</v>
      </c>
      <c r="DZ334" s="16" t="n">
        <v>0</v>
      </c>
      <c r="EA334" s="16" t="n">
        <v>0</v>
      </c>
      <c r="EB334" s="16" t="n">
        <v>0</v>
      </c>
      <c r="EC334" s="16" t="n">
        <v>0</v>
      </c>
      <c r="ED334" s="16" t="n">
        <v>0</v>
      </c>
      <c r="EE334" s="16" t="n">
        <v>0</v>
      </c>
      <c r="EF334" s="16" t="n">
        <v>0</v>
      </c>
    </row>
    <row r="335" customFormat="false" ht="15" hidden="false" customHeight="true" outlineLevel="0" collapsed="false">
      <c r="A335" s="9" t="s">
        <v>12</v>
      </c>
      <c r="B335" s="9" t="s">
        <v>116</v>
      </c>
      <c r="C335" s="9" t="s">
        <v>116</v>
      </c>
      <c r="D335" s="9" t="s">
        <v>338</v>
      </c>
      <c r="E335" s="9" t="s">
        <v>10</v>
      </c>
      <c r="F335" s="9" t="s">
        <v>95</v>
      </c>
      <c r="G335" s="16" t="n">
        <v>0.5</v>
      </c>
      <c r="H335" s="16" t="n">
        <v>0.5</v>
      </c>
      <c r="I335" s="16" t="n">
        <v>0.5</v>
      </c>
      <c r="J335" s="16" t="n">
        <v>0</v>
      </c>
      <c r="K335" s="16" t="n">
        <v>0</v>
      </c>
      <c r="L335" s="16" t="n">
        <v>0</v>
      </c>
      <c r="M335" s="16" t="n">
        <v>0</v>
      </c>
      <c r="N335" s="16" t="n">
        <v>0</v>
      </c>
      <c r="O335" s="16" t="n">
        <v>0</v>
      </c>
      <c r="P335" s="16" t="n">
        <v>0</v>
      </c>
      <c r="Q335" s="16" t="n">
        <v>0</v>
      </c>
      <c r="R335" s="16" t="n">
        <v>0</v>
      </c>
      <c r="S335" s="16" t="n">
        <v>0</v>
      </c>
      <c r="T335" s="16" t="n">
        <v>0</v>
      </c>
      <c r="U335" s="16" t="n">
        <v>0</v>
      </c>
      <c r="V335" s="16" t="n">
        <v>0</v>
      </c>
      <c r="W335" s="16" t="n">
        <v>0</v>
      </c>
      <c r="X335" s="16" t="n">
        <v>0</v>
      </c>
      <c r="Y335" s="16" t="n">
        <v>0</v>
      </c>
      <c r="Z335" s="16" t="n">
        <v>0</v>
      </c>
      <c r="AA335" s="16" t="n">
        <v>0</v>
      </c>
      <c r="AB335" s="16" t="n">
        <v>0.5</v>
      </c>
      <c r="AC335" s="16" t="n">
        <v>0</v>
      </c>
      <c r="AD335" s="16" t="n">
        <v>0</v>
      </c>
      <c r="AE335" s="16" t="n">
        <v>0</v>
      </c>
      <c r="AF335" s="16" t="n">
        <v>0</v>
      </c>
      <c r="AG335" s="16" t="n">
        <v>0</v>
      </c>
      <c r="AH335" s="16" t="n">
        <v>0</v>
      </c>
      <c r="AI335" s="16" t="n">
        <v>0</v>
      </c>
      <c r="AJ335" s="16" t="n">
        <v>0</v>
      </c>
      <c r="AK335" s="16" t="n">
        <v>0</v>
      </c>
      <c r="AL335" s="16" t="n">
        <v>0</v>
      </c>
      <c r="AM335" s="16" t="n">
        <v>0</v>
      </c>
      <c r="AN335" s="16" t="n">
        <v>0</v>
      </c>
      <c r="AO335" s="16" t="n">
        <v>0</v>
      </c>
      <c r="AP335" s="16" t="n">
        <v>0</v>
      </c>
      <c r="AQ335" s="16" t="n">
        <v>0</v>
      </c>
      <c r="AR335" s="16" t="n">
        <v>0</v>
      </c>
      <c r="AS335" s="16" t="n">
        <v>0</v>
      </c>
      <c r="AT335" s="16" t="n">
        <v>0</v>
      </c>
      <c r="AU335" s="16" t="n">
        <v>0</v>
      </c>
      <c r="AV335" s="16" t="n">
        <v>0</v>
      </c>
      <c r="AW335" s="16" t="n">
        <v>0</v>
      </c>
      <c r="AX335" s="16" t="n">
        <v>0</v>
      </c>
      <c r="AY335" s="16" t="n">
        <v>0</v>
      </c>
      <c r="AZ335" s="16" t="n">
        <v>0</v>
      </c>
      <c r="BA335" s="16" t="n">
        <v>0</v>
      </c>
      <c r="BB335" s="16" t="n">
        <v>0</v>
      </c>
      <c r="BC335" s="16" t="n">
        <v>0</v>
      </c>
      <c r="BD335" s="16" t="n">
        <v>0</v>
      </c>
      <c r="BE335" s="16" t="n">
        <v>0</v>
      </c>
      <c r="BF335" s="16" t="n">
        <v>0</v>
      </c>
      <c r="BG335" s="16" t="n">
        <v>0</v>
      </c>
      <c r="BH335" s="16" t="n">
        <v>0</v>
      </c>
      <c r="BI335" s="16" t="n">
        <v>0</v>
      </c>
      <c r="BJ335" s="16" t="n">
        <v>0</v>
      </c>
      <c r="BK335" s="16" t="n">
        <v>0</v>
      </c>
      <c r="BL335" s="16" t="n">
        <v>0</v>
      </c>
      <c r="BM335" s="16" t="n">
        <v>0</v>
      </c>
      <c r="BN335" s="16" t="n">
        <v>0</v>
      </c>
      <c r="BO335" s="16" t="n">
        <v>0</v>
      </c>
      <c r="BP335" s="16" t="n">
        <v>0</v>
      </c>
      <c r="BQ335" s="16" t="n">
        <v>0</v>
      </c>
      <c r="BR335" s="16" t="n">
        <v>0</v>
      </c>
      <c r="BS335" s="16" t="n">
        <v>0</v>
      </c>
      <c r="BT335" s="16" t="n">
        <v>0</v>
      </c>
      <c r="BU335" s="16" t="n">
        <v>0</v>
      </c>
      <c r="BV335" s="16" t="n">
        <v>0</v>
      </c>
      <c r="BW335" s="16" t="n">
        <v>0</v>
      </c>
      <c r="BX335" s="16" t="n">
        <v>0</v>
      </c>
      <c r="BY335" s="16" t="n">
        <v>0</v>
      </c>
      <c r="BZ335" s="16" t="n">
        <v>0</v>
      </c>
      <c r="CA335" s="16" t="n">
        <v>0</v>
      </c>
      <c r="CB335" s="16" t="n">
        <v>0</v>
      </c>
      <c r="CC335" s="16" t="n">
        <v>0</v>
      </c>
      <c r="CD335" s="16" t="n">
        <v>0</v>
      </c>
      <c r="CE335" s="16" t="n">
        <v>0</v>
      </c>
      <c r="CF335" s="16" t="n">
        <v>0</v>
      </c>
      <c r="CG335" s="16" t="n">
        <v>0</v>
      </c>
      <c r="CH335" s="16" t="n">
        <v>0</v>
      </c>
      <c r="CI335" s="16" t="n">
        <v>0</v>
      </c>
      <c r="CJ335" s="16" t="n">
        <v>0</v>
      </c>
      <c r="CK335" s="16" t="n">
        <v>0</v>
      </c>
      <c r="CL335" s="16" t="n">
        <v>0</v>
      </c>
      <c r="CM335" s="16" t="n">
        <v>0</v>
      </c>
      <c r="CN335" s="16" t="n">
        <v>0</v>
      </c>
      <c r="CO335" s="16" t="n">
        <v>0</v>
      </c>
      <c r="CP335" s="16" t="n">
        <v>0</v>
      </c>
      <c r="CQ335" s="16" t="n">
        <v>0</v>
      </c>
      <c r="CR335" s="16" t="n">
        <v>0</v>
      </c>
      <c r="CS335" s="16" t="n">
        <v>0</v>
      </c>
      <c r="CT335" s="16" t="n">
        <v>0</v>
      </c>
      <c r="CU335" s="16" t="n">
        <v>0</v>
      </c>
      <c r="CV335" s="16" t="n">
        <v>0</v>
      </c>
      <c r="CW335" s="16" t="n">
        <v>0</v>
      </c>
      <c r="CX335" s="16" t="n">
        <v>0</v>
      </c>
      <c r="CY335" s="16" t="n">
        <v>0</v>
      </c>
      <c r="CZ335" s="16" t="n">
        <v>0</v>
      </c>
      <c r="DA335" s="16" t="n">
        <v>0</v>
      </c>
      <c r="DB335" s="16" t="n">
        <v>0</v>
      </c>
      <c r="DC335" s="16" t="n">
        <v>0</v>
      </c>
      <c r="DD335" s="16" t="n">
        <v>0</v>
      </c>
      <c r="DE335" s="16" t="n">
        <v>0</v>
      </c>
      <c r="DF335" s="16" t="n">
        <v>0</v>
      </c>
      <c r="DG335" s="16" t="n">
        <v>0</v>
      </c>
      <c r="DH335" s="16" t="n">
        <v>0</v>
      </c>
      <c r="DI335" s="16" t="n">
        <v>0</v>
      </c>
      <c r="DJ335" s="16" t="n">
        <v>0</v>
      </c>
      <c r="DK335" s="16" t="n">
        <v>0</v>
      </c>
      <c r="DL335" s="16" t="n">
        <v>0</v>
      </c>
      <c r="DM335" s="16" t="n">
        <v>0</v>
      </c>
      <c r="DN335" s="16" t="n">
        <v>0</v>
      </c>
      <c r="DO335" s="16" t="n">
        <v>0</v>
      </c>
      <c r="DP335" s="16" t="n">
        <v>0</v>
      </c>
      <c r="DQ335" s="16" t="n">
        <v>0</v>
      </c>
      <c r="DR335" s="16" t="n">
        <v>0</v>
      </c>
      <c r="DS335" s="16" t="n">
        <v>0</v>
      </c>
      <c r="DT335" s="16" t="n">
        <v>0</v>
      </c>
      <c r="DU335" s="16" t="n">
        <v>0</v>
      </c>
      <c r="DV335" s="16" t="n">
        <v>0</v>
      </c>
      <c r="DW335" s="16" t="n">
        <v>0</v>
      </c>
      <c r="DX335" s="16" t="n">
        <v>0</v>
      </c>
      <c r="DY335" s="16" t="n">
        <v>0</v>
      </c>
      <c r="DZ335" s="16" t="n">
        <v>0</v>
      </c>
      <c r="EA335" s="16" t="n">
        <v>0</v>
      </c>
      <c r="EB335" s="16" t="n">
        <v>0</v>
      </c>
      <c r="EC335" s="16" t="n">
        <v>0</v>
      </c>
      <c r="ED335" s="16" t="n">
        <v>0</v>
      </c>
      <c r="EE335" s="16" t="n">
        <v>0</v>
      </c>
      <c r="EF335" s="16" t="n">
        <v>0</v>
      </c>
    </row>
    <row r="336" customFormat="false" ht="15" hidden="false" customHeight="true" outlineLevel="0" collapsed="false">
      <c r="A336" s="9" t="s">
        <v>12</v>
      </c>
      <c r="B336" s="9" t="s">
        <v>116</v>
      </c>
      <c r="C336" s="9" t="s">
        <v>116</v>
      </c>
      <c r="D336" s="9" t="s">
        <v>337</v>
      </c>
      <c r="E336" s="9" t="s">
        <v>10</v>
      </c>
      <c r="F336" s="9" t="s">
        <v>95</v>
      </c>
      <c r="G336" s="16" t="n">
        <v>0</v>
      </c>
      <c r="H336" s="16" t="n">
        <v>0</v>
      </c>
      <c r="I336" s="16" t="n">
        <v>0</v>
      </c>
      <c r="J336" s="16" t="n">
        <v>0</v>
      </c>
      <c r="K336" s="16" t="n">
        <v>0</v>
      </c>
      <c r="L336" s="16" t="n">
        <v>0</v>
      </c>
      <c r="M336" s="16" t="n">
        <v>0</v>
      </c>
      <c r="N336" s="16" t="n">
        <v>0</v>
      </c>
      <c r="O336" s="16" t="n">
        <v>0</v>
      </c>
      <c r="P336" s="16" t="n">
        <v>0</v>
      </c>
      <c r="Q336" s="16" t="n">
        <v>0</v>
      </c>
      <c r="R336" s="16" t="n">
        <v>0</v>
      </c>
      <c r="S336" s="16" t="n">
        <v>0</v>
      </c>
      <c r="T336" s="16" t="n">
        <v>0</v>
      </c>
      <c r="U336" s="16" t="n">
        <v>0</v>
      </c>
      <c r="V336" s="16" t="n">
        <v>0</v>
      </c>
      <c r="W336" s="16" t="n">
        <v>0</v>
      </c>
      <c r="X336" s="16" t="n">
        <v>0</v>
      </c>
      <c r="Y336" s="16" t="n">
        <v>0</v>
      </c>
      <c r="Z336" s="16" t="n">
        <v>0</v>
      </c>
      <c r="AA336" s="16" t="n">
        <v>0</v>
      </c>
      <c r="AB336" s="16" t="n">
        <v>0</v>
      </c>
      <c r="AC336" s="16" t="n">
        <v>0</v>
      </c>
      <c r="AD336" s="16" t="n">
        <v>0</v>
      </c>
      <c r="AE336" s="16" t="n">
        <v>0</v>
      </c>
      <c r="AF336" s="16" t="n">
        <v>0</v>
      </c>
      <c r="AG336" s="16" t="n">
        <v>0</v>
      </c>
      <c r="AH336" s="16" t="n">
        <v>0</v>
      </c>
      <c r="AI336" s="16" t="n">
        <v>0</v>
      </c>
      <c r="AJ336" s="16" t="n">
        <v>0</v>
      </c>
      <c r="AK336" s="16" t="n">
        <v>0</v>
      </c>
      <c r="AL336" s="16" t="n">
        <v>0</v>
      </c>
      <c r="AM336" s="16" t="n">
        <v>0</v>
      </c>
      <c r="AN336" s="16" t="n">
        <v>0</v>
      </c>
      <c r="AO336" s="16" t="n">
        <v>0</v>
      </c>
      <c r="AP336" s="16" t="n">
        <v>0</v>
      </c>
      <c r="AQ336" s="16" t="n">
        <v>0</v>
      </c>
      <c r="AR336" s="16" t="n">
        <v>0</v>
      </c>
      <c r="AS336" s="16" t="n">
        <v>0</v>
      </c>
      <c r="AT336" s="16" t="n">
        <v>0</v>
      </c>
      <c r="AU336" s="16" t="n">
        <v>0</v>
      </c>
      <c r="AV336" s="16" t="n">
        <v>0</v>
      </c>
      <c r="AW336" s="16" t="n">
        <v>0</v>
      </c>
      <c r="AX336" s="16" t="n">
        <v>0</v>
      </c>
      <c r="AY336" s="16" t="n">
        <v>0</v>
      </c>
      <c r="AZ336" s="16" t="n">
        <v>0</v>
      </c>
      <c r="BA336" s="16" t="n">
        <v>0</v>
      </c>
      <c r="BB336" s="16" t="n">
        <v>0</v>
      </c>
      <c r="BC336" s="16" t="n">
        <v>0</v>
      </c>
      <c r="BD336" s="16" t="n">
        <v>0</v>
      </c>
      <c r="BE336" s="16" t="n">
        <v>0</v>
      </c>
      <c r="BF336" s="16" t="n">
        <v>0</v>
      </c>
      <c r="BG336" s="16" t="n">
        <v>0</v>
      </c>
      <c r="BH336" s="16" t="n">
        <v>0</v>
      </c>
      <c r="BI336" s="16" t="n">
        <v>0</v>
      </c>
      <c r="BJ336" s="16" t="n">
        <v>0</v>
      </c>
      <c r="BK336" s="16" t="n">
        <v>0</v>
      </c>
      <c r="BL336" s="16" t="n">
        <v>0</v>
      </c>
      <c r="BM336" s="16" t="n">
        <v>0</v>
      </c>
      <c r="BN336" s="16" t="n">
        <v>0</v>
      </c>
      <c r="BO336" s="16" t="n">
        <v>0</v>
      </c>
      <c r="BP336" s="16" t="n">
        <v>0</v>
      </c>
      <c r="BQ336" s="16" t="n">
        <v>0</v>
      </c>
      <c r="BR336" s="16" t="n">
        <v>0</v>
      </c>
      <c r="BS336" s="16" t="n">
        <v>0</v>
      </c>
      <c r="BT336" s="16" t="n">
        <v>0</v>
      </c>
      <c r="BU336" s="16" t="n">
        <v>0</v>
      </c>
      <c r="BV336" s="16" t="n">
        <v>0</v>
      </c>
      <c r="BW336" s="16" t="n">
        <v>0</v>
      </c>
      <c r="BX336" s="16" t="n">
        <v>0</v>
      </c>
      <c r="BY336" s="16" t="n">
        <v>0</v>
      </c>
      <c r="BZ336" s="16" t="n">
        <v>0</v>
      </c>
      <c r="CA336" s="16" t="n">
        <v>0</v>
      </c>
      <c r="CB336" s="16" t="n">
        <v>0</v>
      </c>
      <c r="CC336" s="16" t="n">
        <v>0</v>
      </c>
      <c r="CD336" s="16" t="n">
        <v>0</v>
      </c>
      <c r="CE336" s="16" t="n">
        <v>0</v>
      </c>
      <c r="CF336" s="16" t="n">
        <v>0</v>
      </c>
      <c r="CG336" s="16" t="n">
        <v>0</v>
      </c>
      <c r="CH336" s="16" t="n">
        <v>0</v>
      </c>
      <c r="CI336" s="16" t="n">
        <v>0</v>
      </c>
      <c r="CJ336" s="16" t="n">
        <v>0</v>
      </c>
      <c r="CK336" s="16" t="n">
        <v>0</v>
      </c>
      <c r="CL336" s="16" t="n">
        <v>0</v>
      </c>
      <c r="CM336" s="16" t="n">
        <v>0</v>
      </c>
      <c r="CN336" s="16" t="n">
        <v>0</v>
      </c>
      <c r="CO336" s="16" t="n">
        <v>0</v>
      </c>
      <c r="CP336" s="16" t="n">
        <v>0</v>
      </c>
      <c r="CQ336" s="16" t="n">
        <v>0</v>
      </c>
      <c r="CR336" s="16" t="n">
        <v>0</v>
      </c>
      <c r="CS336" s="16" t="n">
        <v>0</v>
      </c>
      <c r="CT336" s="16" t="n">
        <v>0</v>
      </c>
      <c r="CU336" s="16" t="n">
        <v>0</v>
      </c>
      <c r="CV336" s="16" t="n">
        <v>0</v>
      </c>
      <c r="CW336" s="16" t="n">
        <v>0</v>
      </c>
      <c r="CX336" s="16" t="n">
        <v>0</v>
      </c>
      <c r="CY336" s="16" t="n">
        <v>0</v>
      </c>
      <c r="CZ336" s="16" t="n">
        <v>0</v>
      </c>
      <c r="DA336" s="16" t="n">
        <v>0</v>
      </c>
      <c r="DB336" s="16" t="n">
        <v>0</v>
      </c>
      <c r="DC336" s="16" t="n">
        <v>0</v>
      </c>
      <c r="DD336" s="16" t="n">
        <v>0</v>
      </c>
      <c r="DE336" s="16" t="n">
        <v>0</v>
      </c>
      <c r="DF336" s="16" t="n">
        <v>0</v>
      </c>
      <c r="DG336" s="16" t="n">
        <v>0</v>
      </c>
      <c r="DH336" s="16" t="n">
        <v>0</v>
      </c>
      <c r="DI336" s="16" t="n">
        <v>0</v>
      </c>
      <c r="DJ336" s="16" t="n">
        <v>0</v>
      </c>
      <c r="DK336" s="16" t="n">
        <v>0</v>
      </c>
      <c r="DL336" s="16" t="n">
        <v>0</v>
      </c>
      <c r="DM336" s="16" t="n">
        <v>0</v>
      </c>
      <c r="DN336" s="16" t="n">
        <v>0</v>
      </c>
      <c r="DO336" s="16" t="n">
        <v>0</v>
      </c>
      <c r="DP336" s="16" t="n">
        <v>0</v>
      </c>
      <c r="DQ336" s="16" t="n">
        <v>0</v>
      </c>
      <c r="DR336" s="16" t="n">
        <v>0</v>
      </c>
      <c r="DS336" s="16" t="n">
        <v>0</v>
      </c>
      <c r="DT336" s="16" t="n">
        <v>0</v>
      </c>
      <c r="DU336" s="16" t="n">
        <v>0</v>
      </c>
      <c r="DV336" s="16" t="n">
        <v>0</v>
      </c>
      <c r="DW336" s="16" t="n">
        <v>0</v>
      </c>
      <c r="DX336" s="16" t="n">
        <v>0</v>
      </c>
      <c r="DY336" s="16" t="n">
        <v>0</v>
      </c>
      <c r="DZ336" s="16" t="n">
        <v>0</v>
      </c>
      <c r="EA336" s="16" t="n">
        <v>0</v>
      </c>
      <c r="EB336" s="16" t="n">
        <v>0</v>
      </c>
      <c r="EC336" s="16" t="n">
        <v>0</v>
      </c>
      <c r="ED336" s="16" t="n">
        <v>0</v>
      </c>
      <c r="EE336" s="16" t="n">
        <v>0</v>
      </c>
      <c r="EF336" s="16" t="n">
        <v>0</v>
      </c>
    </row>
    <row r="337" customFormat="false" ht="15" hidden="false" customHeight="true" outlineLevel="0" collapsed="false">
      <c r="A337" s="9" t="s">
        <v>12</v>
      </c>
      <c r="B337" s="9" t="s">
        <v>116</v>
      </c>
      <c r="C337" s="9" t="s">
        <v>116</v>
      </c>
      <c r="D337" s="9" t="s">
        <v>338</v>
      </c>
      <c r="E337" s="9" t="s">
        <v>10</v>
      </c>
      <c r="F337" s="9" t="s">
        <v>82</v>
      </c>
      <c r="G337" s="16" t="n">
        <v>11.5</v>
      </c>
      <c r="H337" s="16" t="n">
        <v>11.5</v>
      </c>
      <c r="I337" s="16" t="n">
        <v>11.5</v>
      </c>
      <c r="J337" s="16" t="n">
        <v>0</v>
      </c>
      <c r="K337" s="16" t="n">
        <v>0</v>
      </c>
      <c r="L337" s="16" t="n">
        <v>0</v>
      </c>
      <c r="M337" s="16" t="n">
        <v>0</v>
      </c>
      <c r="N337" s="16" t="n">
        <v>0</v>
      </c>
      <c r="O337" s="16" t="n">
        <v>0</v>
      </c>
      <c r="P337" s="16" t="n">
        <v>0</v>
      </c>
      <c r="Q337" s="16" t="n">
        <v>0</v>
      </c>
      <c r="R337" s="16" t="n">
        <v>0</v>
      </c>
      <c r="S337" s="16" t="n">
        <v>0</v>
      </c>
      <c r="T337" s="16" t="n">
        <v>0</v>
      </c>
      <c r="U337" s="16" t="n">
        <v>0</v>
      </c>
      <c r="V337" s="16" t="n">
        <v>0</v>
      </c>
      <c r="W337" s="16" t="n">
        <v>0</v>
      </c>
      <c r="X337" s="16" t="n">
        <v>0</v>
      </c>
      <c r="Y337" s="16" t="n">
        <v>0</v>
      </c>
      <c r="Z337" s="16" t="n">
        <v>0</v>
      </c>
      <c r="AA337" s="16" t="n">
        <v>0</v>
      </c>
      <c r="AB337" s="16" t="n">
        <v>11.5</v>
      </c>
      <c r="AC337" s="16" t="n">
        <v>0</v>
      </c>
      <c r="AD337" s="16" t="n">
        <v>0</v>
      </c>
      <c r="AE337" s="16" t="n">
        <v>0</v>
      </c>
      <c r="AF337" s="16" t="n">
        <v>0</v>
      </c>
      <c r="AG337" s="16" t="n">
        <v>0</v>
      </c>
      <c r="AH337" s="16" t="n">
        <v>0</v>
      </c>
      <c r="AI337" s="16" t="n">
        <v>0</v>
      </c>
      <c r="AJ337" s="16" t="n">
        <v>0</v>
      </c>
      <c r="AK337" s="16" t="n">
        <v>0</v>
      </c>
      <c r="AL337" s="16" t="n">
        <v>0</v>
      </c>
      <c r="AM337" s="16" t="n">
        <v>0</v>
      </c>
      <c r="AN337" s="16" t="n">
        <v>0</v>
      </c>
      <c r="AO337" s="16" t="n">
        <v>0</v>
      </c>
      <c r="AP337" s="16" t="n">
        <v>0</v>
      </c>
      <c r="AQ337" s="16" t="n">
        <v>0</v>
      </c>
      <c r="AR337" s="16" t="n">
        <v>0</v>
      </c>
      <c r="AS337" s="16" t="n">
        <v>0</v>
      </c>
      <c r="AT337" s="16" t="n">
        <v>0</v>
      </c>
      <c r="AU337" s="16" t="n">
        <v>0</v>
      </c>
      <c r="AV337" s="16" t="n">
        <v>0</v>
      </c>
      <c r="AW337" s="16" t="n">
        <v>0</v>
      </c>
      <c r="AX337" s="16" t="n">
        <v>0</v>
      </c>
      <c r="AY337" s="16" t="n">
        <v>0</v>
      </c>
      <c r="AZ337" s="16" t="n">
        <v>0</v>
      </c>
      <c r="BA337" s="16" t="n">
        <v>0</v>
      </c>
      <c r="BB337" s="16" t="n">
        <v>0</v>
      </c>
      <c r="BC337" s="16" t="n">
        <v>0</v>
      </c>
      <c r="BD337" s="16" t="n">
        <v>0</v>
      </c>
      <c r="BE337" s="16" t="n">
        <v>0</v>
      </c>
      <c r="BF337" s="16" t="n">
        <v>0</v>
      </c>
      <c r="BG337" s="16" t="n">
        <v>0</v>
      </c>
      <c r="BH337" s="16" t="n">
        <v>0</v>
      </c>
      <c r="BI337" s="16" t="n">
        <v>0</v>
      </c>
      <c r="BJ337" s="16" t="n">
        <v>0</v>
      </c>
      <c r="BK337" s="16" t="n">
        <v>0</v>
      </c>
      <c r="BL337" s="16" t="n">
        <v>0</v>
      </c>
      <c r="BM337" s="16" t="n">
        <v>0</v>
      </c>
      <c r="BN337" s="16" t="n">
        <v>0</v>
      </c>
      <c r="BO337" s="16" t="n">
        <v>0</v>
      </c>
      <c r="BP337" s="16" t="n">
        <v>0</v>
      </c>
      <c r="BQ337" s="16" t="n">
        <v>0</v>
      </c>
      <c r="BR337" s="16" t="n">
        <v>0</v>
      </c>
      <c r="BS337" s="16" t="n">
        <v>0</v>
      </c>
      <c r="BT337" s="16" t="n">
        <v>0</v>
      </c>
      <c r="BU337" s="16" t="n">
        <v>0</v>
      </c>
      <c r="BV337" s="16" t="n">
        <v>0</v>
      </c>
      <c r="BW337" s="16" t="n">
        <v>0</v>
      </c>
      <c r="BX337" s="16" t="n">
        <v>0</v>
      </c>
      <c r="BY337" s="16" t="n">
        <v>0</v>
      </c>
      <c r="BZ337" s="16" t="n">
        <v>0</v>
      </c>
      <c r="CA337" s="16" t="n">
        <v>0</v>
      </c>
      <c r="CB337" s="16" t="n">
        <v>0</v>
      </c>
      <c r="CC337" s="16" t="n">
        <v>0</v>
      </c>
      <c r="CD337" s="16" t="n">
        <v>0</v>
      </c>
      <c r="CE337" s="16" t="n">
        <v>0</v>
      </c>
      <c r="CF337" s="16" t="n">
        <v>0</v>
      </c>
      <c r="CG337" s="16" t="n">
        <v>0</v>
      </c>
      <c r="CH337" s="16" t="n">
        <v>0</v>
      </c>
      <c r="CI337" s="16" t="n">
        <v>0</v>
      </c>
      <c r="CJ337" s="16" t="n">
        <v>0</v>
      </c>
      <c r="CK337" s="16" t="n">
        <v>0</v>
      </c>
      <c r="CL337" s="16" t="n">
        <v>0</v>
      </c>
      <c r="CM337" s="16" t="n">
        <v>0</v>
      </c>
      <c r="CN337" s="16" t="n">
        <v>0</v>
      </c>
      <c r="CO337" s="16" t="n">
        <v>0</v>
      </c>
      <c r="CP337" s="16" t="n">
        <v>0</v>
      </c>
      <c r="CQ337" s="16" t="n">
        <v>0</v>
      </c>
      <c r="CR337" s="16" t="n">
        <v>0</v>
      </c>
      <c r="CS337" s="16" t="n">
        <v>0</v>
      </c>
      <c r="CT337" s="16" t="n">
        <v>0</v>
      </c>
      <c r="CU337" s="16" t="n">
        <v>0</v>
      </c>
      <c r="CV337" s="16" t="n">
        <v>0</v>
      </c>
      <c r="CW337" s="16" t="n">
        <v>0</v>
      </c>
      <c r="CX337" s="16" t="n">
        <v>0</v>
      </c>
      <c r="CY337" s="16" t="n">
        <v>0</v>
      </c>
      <c r="CZ337" s="16" t="n">
        <v>0</v>
      </c>
      <c r="DA337" s="16" t="n">
        <v>0</v>
      </c>
      <c r="DB337" s="16" t="n">
        <v>0</v>
      </c>
      <c r="DC337" s="16" t="n">
        <v>0</v>
      </c>
      <c r="DD337" s="16" t="n">
        <v>0</v>
      </c>
      <c r="DE337" s="16" t="n">
        <v>0</v>
      </c>
      <c r="DF337" s="16" t="n">
        <v>0</v>
      </c>
      <c r="DG337" s="16" t="n">
        <v>0</v>
      </c>
      <c r="DH337" s="16" t="n">
        <v>0</v>
      </c>
      <c r="DI337" s="16" t="n">
        <v>0</v>
      </c>
      <c r="DJ337" s="16" t="n">
        <v>0</v>
      </c>
      <c r="DK337" s="16" t="n">
        <v>0</v>
      </c>
      <c r="DL337" s="16" t="n">
        <v>0</v>
      </c>
      <c r="DM337" s="16" t="n">
        <v>0</v>
      </c>
      <c r="DN337" s="16" t="n">
        <v>0</v>
      </c>
      <c r="DO337" s="16" t="n">
        <v>0</v>
      </c>
      <c r="DP337" s="16" t="n">
        <v>0</v>
      </c>
      <c r="DQ337" s="16" t="n">
        <v>0</v>
      </c>
      <c r="DR337" s="16" t="n">
        <v>0</v>
      </c>
      <c r="DS337" s="16" t="n">
        <v>0</v>
      </c>
      <c r="DT337" s="16" t="n">
        <v>0</v>
      </c>
      <c r="DU337" s="16" t="n">
        <v>0</v>
      </c>
      <c r="DV337" s="16" t="n">
        <v>0</v>
      </c>
      <c r="DW337" s="16" t="n">
        <v>0</v>
      </c>
      <c r="DX337" s="16" t="n">
        <v>0</v>
      </c>
      <c r="DY337" s="16" t="n">
        <v>0</v>
      </c>
      <c r="DZ337" s="16" t="n">
        <v>0</v>
      </c>
      <c r="EA337" s="16" t="n">
        <v>0</v>
      </c>
      <c r="EB337" s="16" t="n">
        <v>0</v>
      </c>
      <c r="EC337" s="16" t="n">
        <v>0</v>
      </c>
      <c r="ED337" s="16" t="n">
        <v>0</v>
      </c>
      <c r="EE337" s="16" t="n">
        <v>0</v>
      </c>
      <c r="EF337" s="16" t="n">
        <v>0</v>
      </c>
    </row>
    <row r="338" customFormat="false" ht="15" hidden="false" customHeight="true" outlineLevel="0" collapsed="false">
      <c r="A338" s="9" t="s">
        <v>12</v>
      </c>
      <c r="B338" s="9" t="s">
        <v>116</v>
      </c>
      <c r="C338" s="9" t="s">
        <v>116</v>
      </c>
      <c r="D338" s="9" t="s">
        <v>337</v>
      </c>
      <c r="E338" s="9" t="s">
        <v>10</v>
      </c>
      <c r="F338" s="9" t="s">
        <v>82</v>
      </c>
      <c r="G338" s="16" t="n">
        <v>0</v>
      </c>
      <c r="H338" s="16" t="n">
        <v>0</v>
      </c>
      <c r="I338" s="16" t="n">
        <v>0</v>
      </c>
      <c r="J338" s="16" t="n">
        <v>0</v>
      </c>
      <c r="K338" s="16" t="n">
        <v>0</v>
      </c>
      <c r="L338" s="16" t="n">
        <v>0</v>
      </c>
      <c r="M338" s="16" t="n">
        <v>0</v>
      </c>
      <c r="N338" s="16" t="n">
        <v>0</v>
      </c>
      <c r="O338" s="16" t="n">
        <v>0</v>
      </c>
      <c r="P338" s="16" t="n">
        <v>0</v>
      </c>
      <c r="Q338" s="16" t="n">
        <v>0</v>
      </c>
      <c r="R338" s="16" t="n">
        <v>0</v>
      </c>
      <c r="S338" s="16" t="n">
        <v>0</v>
      </c>
      <c r="T338" s="16" t="n">
        <v>0</v>
      </c>
      <c r="U338" s="16" t="n">
        <v>0</v>
      </c>
      <c r="V338" s="16" t="n">
        <v>0</v>
      </c>
      <c r="W338" s="16" t="n">
        <v>0</v>
      </c>
      <c r="X338" s="16" t="n">
        <v>0</v>
      </c>
      <c r="Y338" s="16" t="n">
        <v>0</v>
      </c>
      <c r="Z338" s="16" t="n">
        <v>0</v>
      </c>
      <c r="AA338" s="16" t="n">
        <v>0</v>
      </c>
      <c r="AB338" s="16" t="n">
        <v>0</v>
      </c>
      <c r="AC338" s="16" t="n">
        <v>0</v>
      </c>
      <c r="AD338" s="16" t="n">
        <v>0</v>
      </c>
      <c r="AE338" s="16" t="n">
        <v>0</v>
      </c>
      <c r="AF338" s="16" t="n">
        <v>0</v>
      </c>
      <c r="AG338" s="16" t="n">
        <v>0</v>
      </c>
      <c r="AH338" s="16" t="n">
        <v>0</v>
      </c>
      <c r="AI338" s="16" t="n">
        <v>0</v>
      </c>
      <c r="AJ338" s="16" t="n">
        <v>0</v>
      </c>
      <c r="AK338" s="16" t="n">
        <v>0</v>
      </c>
      <c r="AL338" s="16" t="n">
        <v>0</v>
      </c>
      <c r="AM338" s="16" t="n">
        <v>0</v>
      </c>
      <c r="AN338" s="16" t="n">
        <v>0</v>
      </c>
      <c r="AO338" s="16" t="n">
        <v>0</v>
      </c>
      <c r="AP338" s="16" t="n">
        <v>0</v>
      </c>
      <c r="AQ338" s="16" t="n">
        <v>0</v>
      </c>
      <c r="AR338" s="16" t="n">
        <v>0</v>
      </c>
      <c r="AS338" s="16" t="n">
        <v>0</v>
      </c>
      <c r="AT338" s="16" t="n">
        <v>0</v>
      </c>
      <c r="AU338" s="16" t="n">
        <v>0</v>
      </c>
      <c r="AV338" s="16" t="n">
        <v>0</v>
      </c>
      <c r="AW338" s="16" t="n">
        <v>0</v>
      </c>
      <c r="AX338" s="16" t="n">
        <v>0</v>
      </c>
      <c r="AY338" s="16" t="n">
        <v>0</v>
      </c>
      <c r="AZ338" s="16" t="n">
        <v>0</v>
      </c>
      <c r="BA338" s="16" t="n">
        <v>0</v>
      </c>
      <c r="BB338" s="16" t="n">
        <v>0</v>
      </c>
      <c r="BC338" s="16" t="n">
        <v>0</v>
      </c>
      <c r="BD338" s="16" t="n">
        <v>0</v>
      </c>
      <c r="BE338" s="16" t="n">
        <v>0</v>
      </c>
      <c r="BF338" s="16" t="n">
        <v>0</v>
      </c>
      <c r="BG338" s="16" t="n">
        <v>0</v>
      </c>
      <c r="BH338" s="16" t="n">
        <v>0</v>
      </c>
      <c r="BI338" s="16" t="n">
        <v>0</v>
      </c>
      <c r="BJ338" s="16" t="n">
        <v>0</v>
      </c>
      <c r="BK338" s="16" t="n">
        <v>0</v>
      </c>
      <c r="BL338" s="16" t="n">
        <v>0</v>
      </c>
      <c r="BM338" s="16" t="n">
        <v>0</v>
      </c>
      <c r="BN338" s="16" t="n">
        <v>0</v>
      </c>
      <c r="BO338" s="16" t="n">
        <v>0</v>
      </c>
      <c r="BP338" s="16" t="n">
        <v>0</v>
      </c>
      <c r="BQ338" s="16" t="n">
        <v>0</v>
      </c>
      <c r="BR338" s="16" t="n">
        <v>0</v>
      </c>
      <c r="BS338" s="16" t="n">
        <v>0</v>
      </c>
      <c r="BT338" s="16" t="n">
        <v>0</v>
      </c>
      <c r="BU338" s="16" t="n">
        <v>0</v>
      </c>
      <c r="BV338" s="16" t="n">
        <v>0</v>
      </c>
      <c r="BW338" s="16" t="n">
        <v>0</v>
      </c>
      <c r="BX338" s="16" t="n">
        <v>0</v>
      </c>
      <c r="BY338" s="16" t="n">
        <v>0</v>
      </c>
      <c r="BZ338" s="16" t="n">
        <v>0</v>
      </c>
      <c r="CA338" s="16" t="n">
        <v>0</v>
      </c>
      <c r="CB338" s="16" t="n">
        <v>0</v>
      </c>
      <c r="CC338" s="16" t="n">
        <v>0</v>
      </c>
      <c r="CD338" s="16" t="n">
        <v>0</v>
      </c>
      <c r="CE338" s="16" t="n">
        <v>0</v>
      </c>
      <c r="CF338" s="16" t="n">
        <v>0</v>
      </c>
      <c r="CG338" s="16" t="n">
        <v>0</v>
      </c>
      <c r="CH338" s="16" t="n">
        <v>0</v>
      </c>
      <c r="CI338" s="16" t="n">
        <v>0</v>
      </c>
      <c r="CJ338" s="16" t="n">
        <v>0</v>
      </c>
      <c r="CK338" s="16" t="n">
        <v>0</v>
      </c>
      <c r="CL338" s="16" t="n">
        <v>0</v>
      </c>
      <c r="CM338" s="16" t="n">
        <v>0</v>
      </c>
      <c r="CN338" s="16" t="n">
        <v>0</v>
      </c>
      <c r="CO338" s="16" t="n">
        <v>0</v>
      </c>
      <c r="CP338" s="16" t="n">
        <v>0</v>
      </c>
      <c r="CQ338" s="16" t="n">
        <v>0</v>
      </c>
      <c r="CR338" s="16" t="n">
        <v>0</v>
      </c>
      <c r="CS338" s="16" t="n">
        <v>0</v>
      </c>
      <c r="CT338" s="16" t="n">
        <v>0</v>
      </c>
      <c r="CU338" s="16" t="n">
        <v>0</v>
      </c>
      <c r="CV338" s="16" t="n">
        <v>0</v>
      </c>
      <c r="CW338" s="16" t="n">
        <v>0</v>
      </c>
      <c r="CX338" s="16" t="n">
        <v>0</v>
      </c>
      <c r="CY338" s="16" t="n">
        <v>0</v>
      </c>
      <c r="CZ338" s="16" t="n">
        <v>0</v>
      </c>
      <c r="DA338" s="16" t="n">
        <v>0</v>
      </c>
      <c r="DB338" s="16" t="n">
        <v>0</v>
      </c>
      <c r="DC338" s="16" t="n">
        <v>0</v>
      </c>
      <c r="DD338" s="16" t="n">
        <v>0</v>
      </c>
      <c r="DE338" s="16" t="n">
        <v>0</v>
      </c>
      <c r="DF338" s="16" t="n">
        <v>0</v>
      </c>
      <c r="DG338" s="16" t="n">
        <v>0</v>
      </c>
      <c r="DH338" s="16" t="n">
        <v>0</v>
      </c>
      <c r="DI338" s="16" t="n">
        <v>0</v>
      </c>
      <c r="DJ338" s="16" t="n">
        <v>0</v>
      </c>
      <c r="DK338" s="16" t="n">
        <v>0</v>
      </c>
      <c r="DL338" s="16" t="n">
        <v>0</v>
      </c>
      <c r="DM338" s="16" t="n">
        <v>0</v>
      </c>
      <c r="DN338" s="16" t="n">
        <v>0</v>
      </c>
      <c r="DO338" s="16" t="n">
        <v>0</v>
      </c>
      <c r="DP338" s="16" t="n">
        <v>0</v>
      </c>
      <c r="DQ338" s="16" t="n">
        <v>0</v>
      </c>
      <c r="DR338" s="16" t="n">
        <v>0</v>
      </c>
      <c r="DS338" s="16" t="n">
        <v>0</v>
      </c>
      <c r="DT338" s="16" t="n">
        <v>0</v>
      </c>
      <c r="DU338" s="16" t="n">
        <v>0</v>
      </c>
      <c r="DV338" s="16" t="n">
        <v>0</v>
      </c>
      <c r="DW338" s="16" t="n">
        <v>0</v>
      </c>
      <c r="DX338" s="16" t="n">
        <v>0</v>
      </c>
      <c r="DY338" s="16" t="n">
        <v>0</v>
      </c>
      <c r="DZ338" s="16" t="n">
        <v>0</v>
      </c>
      <c r="EA338" s="16" t="n">
        <v>0</v>
      </c>
      <c r="EB338" s="16" t="n">
        <v>0</v>
      </c>
      <c r="EC338" s="16" t="n">
        <v>0</v>
      </c>
      <c r="ED338" s="16" t="n">
        <v>0</v>
      </c>
      <c r="EE338" s="16" t="n">
        <v>0</v>
      </c>
      <c r="EF338" s="16" t="n">
        <v>0</v>
      </c>
    </row>
    <row r="339" customFormat="false" ht="15" hidden="false" customHeight="true" outlineLevel="0" collapsed="false">
      <c r="A339" s="9" t="s">
        <v>12</v>
      </c>
      <c r="B339" s="9" t="s">
        <v>116</v>
      </c>
      <c r="C339" s="9" t="s">
        <v>116</v>
      </c>
      <c r="D339" s="9" t="s">
        <v>338</v>
      </c>
      <c r="E339" s="9" t="s">
        <v>10</v>
      </c>
      <c r="F339" s="9" t="s">
        <v>83</v>
      </c>
      <c r="G339" s="16" t="n">
        <v>0</v>
      </c>
      <c r="H339" s="16" t="n">
        <v>0</v>
      </c>
      <c r="I339" s="16" t="n">
        <v>0</v>
      </c>
      <c r="J339" s="16" t="n">
        <v>0</v>
      </c>
      <c r="K339" s="16" t="n">
        <v>0</v>
      </c>
      <c r="L339" s="16" t="n">
        <v>0</v>
      </c>
      <c r="M339" s="16" t="n">
        <v>0</v>
      </c>
      <c r="N339" s="16" t="n">
        <v>0</v>
      </c>
      <c r="O339" s="16" t="n">
        <v>0</v>
      </c>
      <c r="P339" s="16" t="n">
        <v>0</v>
      </c>
      <c r="Q339" s="16" t="n">
        <v>0</v>
      </c>
      <c r="R339" s="16" t="n">
        <v>0</v>
      </c>
      <c r="S339" s="16" t="n">
        <v>0</v>
      </c>
      <c r="T339" s="16" t="n">
        <v>0</v>
      </c>
      <c r="U339" s="16" t="n">
        <v>0</v>
      </c>
      <c r="V339" s="16" t="n">
        <v>0</v>
      </c>
      <c r="W339" s="16" t="n">
        <v>0</v>
      </c>
      <c r="X339" s="16" t="n">
        <v>0</v>
      </c>
      <c r="Y339" s="16" t="n">
        <v>0</v>
      </c>
      <c r="Z339" s="16" t="n">
        <v>0</v>
      </c>
      <c r="AA339" s="16" t="n">
        <v>0</v>
      </c>
      <c r="AB339" s="16" t="n">
        <v>0</v>
      </c>
      <c r="AC339" s="16" t="n">
        <v>0</v>
      </c>
      <c r="AD339" s="16" t="n">
        <v>0</v>
      </c>
      <c r="AE339" s="16" t="n">
        <v>0</v>
      </c>
      <c r="AF339" s="16" t="n">
        <v>0</v>
      </c>
      <c r="AG339" s="16" t="n">
        <v>0</v>
      </c>
      <c r="AH339" s="16" t="n">
        <v>0</v>
      </c>
      <c r="AI339" s="16" t="n">
        <v>0</v>
      </c>
      <c r="AJ339" s="16" t="n">
        <v>0</v>
      </c>
      <c r="AK339" s="16" t="n">
        <v>0</v>
      </c>
      <c r="AL339" s="16" t="n">
        <v>0</v>
      </c>
      <c r="AM339" s="16" t="n">
        <v>0</v>
      </c>
      <c r="AN339" s="16" t="n">
        <v>0</v>
      </c>
      <c r="AO339" s="16" t="n">
        <v>0</v>
      </c>
      <c r="AP339" s="16" t="n">
        <v>0</v>
      </c>
      <c r="AQ339" s="16" t="n">
        <v>0</v>
      </c>
      <c r="AR339" s="16" t="n">
        <v>0</v>
      </c>
      <c r="AS339" s="16" t="n">
        <v>0</v>
      </c>
      <c r="AT339" s="16" t="n">
        <v>0</v>
      </c>
      <c r="AU339" s="16" t="n">
        <v>0</v>
      </c>
      <c r="AV339" s="16" t="n">
        <v>0</v>
      </c>
      <c r="AW339" s="16" t="n">
        <v>0</v>
      </c>
      <c r="AX339" s="16" t="n">
        <v>0</v>
      </c>
      <c r="AY339" s="16" t="n">
        <v>0</v>
      </c>
      <c r="AZ339" s="16" t="n">
        <v>0</v>
      </c>
      <c r="BA339" s="16" t="n">
        <v>0</v>
      </c>
      <c r="BB339" s="16" t="n">
        <v>0</v>
      </c>
      <c r="BC339" s="16" t="n">
        <v>0</v>
      </c>
      <c r="BD339" s="16" t="n">
        <v>0</v>
      </c>
      <c r="BE339" s="16" t="n">
        <v>0</v>
      </c>
      <c r="BF339" s="16" t="n">
        <v>0</v>
      </c>
      <c r="BG339" s="16" t="n">
        <v>0</v>
      </c>
      <c r="BH339" s="16" t="n">
        <v>0</v>
      </c>
      <c r="BI339" s="16" t="n">
        <v>0</v>
      </c>
      <c r="BJ339" s="16" t="n">
        <v>0</v>
      </c>
      <c r="BK339" s="16" t="n">
        <v>0</v>
      </c>
      <c r="BL339" s="16" t="n">
        <v>0</v>
      </c>
      <c r="BM339" s="16" t="n">
        <v>0</v>
      </c>
      <c r="BN339" s="16" t="n">
        <v>0</v>
      </c>
      <c r="BO339" s="16" t="n">
        <v>0</v>
      </c>
      <c r="BP339" s="16" t="n">
        <v>0</v>
      </c>
      <c r="BQ339" s="16" t="n">
        <v>0</v>
      </c>
      <c r="BR339" s="16" t="n">
        <v>0</v>
      </c>
      <c r="BS339" s="16" t="n">
        <v>0</v>
      </c>
      <c r="BT339" s="16" t="n">
        <v>0</v>
      </c>
      <c r="BU339" s="16" t="n">
        <v>0</v>
      </c>
      <c r="BV339" s="16" t="n">
        <v>0</v>
      </c>
      <c r="BW339" s="16" t="n">
        <v>0</v>
      </c>
      <c r="BX339" s="16" t="n">
        <v>0</v>
      </c>
      <c r="BY339" s="16" t="n">
        <v>0</v>
      </c>
      <c r="BZ339" s="16" t="n">
        <v>0</v>
      </c>
      <c r="CA339" s="16" t="n">
        <v>0</v>
      </c>
      <c r="CB339" s="16" t="n">
        <v>0</v>
      </c>
      <c r="CC339" s="16" t="n">
        <v>0</v>
      </c>
      <c r="CD339" s="16" t="n">
        <v>0</v>
      </c>
      <c r="CE339" s="16" t="n">
        <v>0</v>
      </c>
      <c r="CF339" s="16" t="n">
        <v>0</v>
      </c>
      <c r="CG339" s="16" t="n">
        <v>0</v>
      </c>
      <c r="CH339" s="16" t="n">
        <v>0</v>
      </c>
      <c r="CI339" s="16" t="n">
        <v>0</v>
      </c>
      <c r="CJ339" s="16" t="n">
        <v>0</v>
      </c>
      <c r="CK339" s="16" t="n">
        <v>0</v>
      </c>
      <c r="CL339" s="16" t="n">
        <v>0</v>
      </c>
      <c r="CM339" s="16" t="n">
        <v>0</v>
      </c>
      <c r="CN339" s="16" t="n">
        <v>0</v>
      </c>
      <c r="CO339" s="16" t="n">
        <v>0</v>
      </c>
      <c r="CP339" s="16" t="n">
        <v>0</v>
      </c>
      <c r="CQ339" s="16" t="n">
        <v>0</v>
      </c>
      <c r="CR339" s="16" t="n">
        <v>0</v>
      </c>
      <c r="CS339" s="16" t="n">
        <v>0</v>
      </c>
      <c r="CT339" s="16" t="n">
        <v>0</v>
      </c>
      <c r="CU339" s="16" t="n">
        <v>0</v>
      </c>
      <c r="CV339" s="16" t="n">
        <v>0</v>
      </c>
      <c r="CW339" s="16" t="n">
        <v>0</v>
      </c>
      <c r="CX339" s="16" t="n">
        <v>0</v>
      </c>
      <c r="CY339" s="16" t="n">
        <v>0</v>
      </c>
      <c r="CZ339" s="16" t="n">
        <v>0</v>
      </c>
      <c r="DA339" s="16" t="n">
        <v>0</v>
      </c>
      <c r="DB339" s="16" t="n">
        <v>0</v>
      </c>
      <c r="DC339" s="16" t="n">
        <v>0</v>
      </c>
      <c r="DD339" s="16" t="n">
        <v>0</v>
      </c>
      <c r="DE339" s="16" t="n">
        <v>0</v>
      </c>
      <c r="DF339" s="16" t="n">
        <v>0</v>
      </c>
      <c r="DG339" s="16" t="n">
        <v>0</v>
      </c>
      <c r="DH339" s="16" t="n">
        <v>0</v>
      </c>
      <c r="DI339" s="16" t="n">
        <v>0</v>
      </c>
      <c r="DJ339" s="16" t="n">
        <v>0</v>
      </c>
      <c r="DK339" s="16" t="n">
        <v>0</v>
      </c>
      <c r="DL339" s="16" t="n">
        <v>0</v>
      </c>
      <c r="DM339" s="16" t="n">
        <v>0</v>
      </c>
      <c r="DN339" s="16" t="n">
        <v>0</v>
      </c>
      <c r="DO339" s="16" t="n">
        <v>0</v>
      </c>
      <c r="DP339" s="16" t="n">
        <v>0</v>
      </c>
      <c r="DQ339" s="16" t="n">
        <v>0</v>
      </c>
      <c r="DR339" s="16" t="n">
        <v>0</v>
      </c>
      <c r="DS339" s="16" t="n">
        <v>0</v>
      </c>
      <c r="DT339" s="16" t="n">
        <v>0</v>
      </c>
      <c r="DU339" s="16" t="n">
        <v>0</v>
      </c>
      <c r="DV339" s="16" t="n">
        <v>0</v>
      </c>
      <c r="DW339" s="16" t="n">
        <v>0</v>
      </c>
      <c r="DX339" s="16" t="n">
        <v>0</v>
      </c>
      <c r="DY339" s="16" t="n">
        <v>0</v>
      </c>
      <c r="DZ339" s="16" t="n">
        <v>0</v>
      </c>
      <c r="EA339" s="16" t="n">
        <v>0</v>
      </c>
      <c r="EB339" s="16" t="n">
        <v>0</v>
      </c>
      <c r="EC339" s="16" t="n">
        <v>0</v>
      </c>
      <c r="ED339" s="16" t="n">
        <v>0</v>
      </c>
      <c r="EE339" s="16" t="n">
        <v>0</v>
      </c>
      <c r="EF339" s="16" t="n">
        <v>0</v>
      </c>
    </row>
    <row r="340" customFormat="false" ht="15" hidden="false" customHeight="true" outlineLevel="0" collapsed="false">
      <c r="A340" s="9" t="s">
        <v>12</v>
      </c>
      <c r="B340" s="9" t="s">
        <v>116</v>
      </c>
      <c r="C340" s="9" t="s">
        <v>116</v>
      </c>
      <c r="D340" s="9" t="s">
        <v>337</v>
      </c>
      <c r="E340" s="9" t="s">
        <v>10</v>
      </c>
      <c r="F340" s="9" t="s">
        <v>83</v>
      </c>
      <c r="G340" s="16" t="n">
        <v>0</v>
      </c>
      <c r="H340" s="16" t="n">
        <v>0</v>
      </c>
      <c r="I340" s="16" t="n">
        <v>16</v>
      </c>
      <c r="J340" s="16" t="n">
        <v>-16</v>
      </c>
      <c r="K340" s="16" t="n">
        <v>0</v>
      </c>
      <c r="L340" s="16" t="n">
        <v>0</v>
      </c>
      <c r="M340" s="16" t="n">
        <v>0</v>
      </c>
      <c r="N340" s="16" t="n">
        <v>0</v>
      </c>
      <c r="O340" s="16" t="n">
        <v>0</v>
      </c>
      <c r="P340" s="16" t="n">
        <v>0</v>
      </c>
      <c r="Q340" s="16" t="n">
        <v>0</v>
      </c>
      <c r="R340" s="16" t="n">
        <v>0</v>
      </c>
      <c r="S340" s="16" t="n">
        <v>0</v>
      </c>
      <c r="T340" s="16" t="n">
        <v>0</v>
      </c>
      <c r="U340" s="16" t="n">
        <v>0</v>
      </c>
      <c r="V340" s="16" t="n">
        <v>0</v>
      </c>
      <c r="W340" s="16" t="n">
        <v>0</v>
      </c>
      <c r="X340" s="16" t="n">
        <v>0</v>
      </c>
      <c r="Y340" s="16" t="n">
        <v>0</v>
      </c>
      <c r="Z340" s="16" t="n">
        <v>0</v>
      </c>
      <c r="AA340" s="16" t="n">
        <v>0</v>
      </c>
      <c r="AB340" s="16" t="n">
        <v>0</v>
      </c>
      <c r="AC340" s="16" t="n">
        <v>0</v>
      </c>
      <c r="AD340" s="16" t="n">
        <v>0</v>
      </c>
      <c r="AE340" s="16" t="n">
        <v>0</v>
      </c>
      <c r="AF340" s="16" t="n">
        <v>0</v>
      </c>
      <c r="AG340" s="16" t="n">
        <v>0</v>
      </c>
      <c r="AH340" s="16" t="n">
        <v>0</v>
      </c>
      <c r="AI340" s="16" t="n">
        <v>0</v>
      </c>
      <c r="AJ340" s="16" t="n">
        <v>0</v>
      </c>
      <c r="AK340" s="16" t="n">
        <v>0</v>
      </c>
      <c r="AL340" s="16" t="n">
        <v>0</v>
      </c>
      <c r="AM340" s="16" t="n">
        <v>10</v>
      </c>
      <c r="AN340" s="16" t="n">
        <v>2</v>
      </c>
      <c r="AO340" s="16" t="n">
        <v>4</v>
      </c>
      <c r="AP340" s="16" t="n">
        <v>0</v>
      </c>
      <c r="AQ340" s="16" t="n">
        <v>0</v>
      </c>
      <c r="AR340" s="16" t="n">
        <v>0</v>
      </c>
      <c r="AS340" s="16" t="n">
        <v>0</v>
      </c>
      <c r="AT340" s="16" t="n">
        <v>0</v>
      </c>
      <c r="AU340" s="16" t="n">
        <v>0</v>
      </c>
      <c r="AV340" s="16" t="n">
        <v>0</v>
      </c>
      <c r="AW340" s="16" t="n">
        <v>0</v>
      </c>
      <c r="AX340" s="16" t="n">
        <v>0</v>
      </c>
      <c r="AY340" s="16" t="n">
        <v>0</v>
      </c>
      <c r="AZ340" s="16" t="n">
        <v>0</v>
      </c>
      <c r="BA340" s="16" t="n">
        <v>0</v>
      </c>
      <c r="BB340" s="16" t="n">
        <v>0</v>
      </c>
      <c r="BC340" s="16" t="n">
        <v>0</v>
      </c>
      <c r="BD340" s="16" t="n">
        <v>0</v>
      </c>
      <c r="BE340" s="16" t="n">
        <v>0</v>
      </c>
      <c r="BF340" s="16" t="n">
        <v>0</v>
      </c>
      <c r="BG340" s="16" t="n">
        <v>0</v>
      </c>
      <c r="BH340" s="16" t="n">
        <v>0</v>
      </c>
      <c r="BI340" s="16" t="n">
        <v>0</v>
      </c>
      <c r="BJ340" s="16" t="n">
        <v>0</v>
      </c>
      <c r="BK340" s="16" t="n">
        <v>0</v>
      </c>
      <c r="BL340" s="16" t="n">
        <v>0</v>
      </c>
      <c r="BM340" s="16" t="n">
        <v>0</v>
      </c>
      <c r="BN340" s="16" t="n">
        <v>0</v>
      </c>
      <c r="BO340" s="16" t="n">
        <v>0</v>
      </c>
      <c r="BP340" s="16" t="n">
        <v>0</v>
      </c>
      <c r="BQ340" s="16" t="n">
        <v>0</v>
      </c>
      <c r="BR340" s="16" t="n">
        <v>0</v>
      </c>
      <c r="BS340" s="16" t="n">
        <v>0</v>
      </c>
      <c r="BT340" s="16" t="n">
        <v>0</v>
      </c>
      <c r="BU340" s="16" t="n">
        <v>0</v>
      </c>
      <c r="BV340" s="16" t="n">
        <v>0</v>
      </c>
      <c r="BW340" s="16" t="n">
        <v>0</v>
      </c>
      <c r="BX340" s="16" t="n">
        <v>0</v>
      </c>
      <c r="BY340" s="16" t="n">
        <v>0</v>
      </c>
      <c r="BZ340" s="16" t="n">
        <v>0</v>
      </c>
      <c r="CA340" s="16" t="n">
        <v>0</v>
      </c>
      <c r="CB340" s="16" t="n">
        <v>0</v>
      </c>
      <c r="CC340" s="16" t="n">
        <v>0</v>
      </c>
      <c r="CD340" s="16" t="n">
        <v>0</v>
      </c>
      <c r="CE340" s="16" t="n">
        <v>0</v>
      </c>
      <c r="CF340" s="16" t="n">
        <v>0</v>
      </c>
      <c r="CG340" s="16" t="n">
        <v>0</v>
      </c>
      <c r="CH340" s="16" t="n">
        <v>0</v>
      </c>
      <c r="CI340" s="16" t="n">
        <v>0</v>
      </c>
      <c r="CJ340" s="16" t="n">
        <v>0</v>
      </c>
      <c r="CK340" s="16" t="n">
        <v>0</v>
      </c>
      <c r="CL340" s="16" t="n">
        <v>0</v>
      </c>
      <c r="CM340" s="16" t="n">
        <v>0</v>
      </c>
      <c r="CN340" s="16" t="n">
        <v>0</v>
      </c>
      <c r="CO340" s="16" t="n">
        <v>0</v>
      </c>
      <c r="CP340" s="16" t="n">
        <v>0</v>
      </c>
      <c r="CQ340" s="16" t="n">
        <v>0</v>
      </c>
      <c r="CR340" s="16" t="n">
        <v>0</v>
      </c>
      <c r="CS340" s="16" t="n">
        <v>0</v>
      </c>
      <c r="CT340" s="16" t="n">
        <v>0</v>
      </c>
      <c r="CU340" s="16" t="n">
        <v>0</v>
      </c>
      <c r="CV340" s="16" t="n">
        <v>0</v>
      </c>
      <c r="CW340" s="16" t="n">
        <v>0</v>
      </c>
      <c r="CX340" s="16" t="n">
        <v>0</v>
      </c>
      <c r="CY340" s="16" t="n">
        <v>0</v>
      </c>
      <c r="CZ340" s="16" t="n">
        <v>0</v>
      </c>
      <c r="DA340" s="16" t="n">
        <v>0</v>
      </c>
      <c r="DB340" s="16" t="n">
        <v>0</v>
      </c>
      <c r="DC340" s="16" t="n">
        <v>0</v>
      </c>
      <c r="DD340" s="16" t="n">
        <v>0</v>
      </c>
      <c r="DE340" s="16" t="n">
        <v>0</v>
      </c>
      <c r="DF340" s="16" t="n">
        <v>0</v>
      </c>
      <c r="DG340" s="16" t="n">
        <v>0</v>
      </c>
      <c r="DH340" s="16" t="n">
        <v>0</v>
      </c>
      <c r="DI340" s="16" t="n">
        <v>0</v>
      </c>
      <c r="DJ340" s="16" t="n">
        <v>0</v>
      </c>
      <c r="DK340" s="16" t="n">
        <v>0</v>
      </c>
      <c r="DL340" s="16" t="n">
        <v>0</v>
      </c>
      <c r="DM340" s="16" t="n">
        <v>0</v>
      </c>
      <c r="DN340" s="16" t="n">
        <v>0</v>
      </c>
      <c r="DO340" s="16" t="n">
        <v>0</v>
      </c>
      <c r="DP340" s="16" t="n">
        <v>0</v>
      </c>
      <c r="DQ340" s="16" t="n">
        <v>0</v>
      </c>
      <c r="DR340" s="16" t="n">
        <v>0</v>
      </c>
      <c r="DS340" s="16" t="n">
        <v>0</v>
      </c>
      <c r="DT340" s="16" t="n">
        <v>0</v>
      </c>
      <c r="DU340" s="16" t="n">
        <v>0</v>
      </c>
      <c r="DV340" s="16" t="n">
        <v>0</v>
      </c>
      <c r="DW340" s="16" t="n">
        <v>0</v>
      </c>
      <c r="DX340" s="16" t="n">
        <v>0</v>
      </c>
      <c r="DY340" s="16" t="n">
        <v>0</v>
      </c>
      <c r="DZ340" s="16" t="n">
        <v>0</v>
      </c>
      <c r="EA340" s="16" t="n">
        <v>0</v>
      </c>
      <c r="EB340" s="16" t="n">
        <v>0</v>
      </c>
      <c r="EC340" s="16" t="n">
        <v>0</v>
      </c>
      <c r="ED340" s="16" t="n">
        <v>0</v>
      </c>
      <c r="EE340" s="16" t="n">
        <v>0</v>
      </c>
      <c r="EF340" s="16" t="n">
        <v>0</v>
      </c>
    </row>
    <row r="341" customFormat="false" ht="15" hidden="false" customHeight="true" outlineLevel="0" collapsed="false">
      <c r="A341" s="9" t="s">
        <v>12</v>
      </c>
      <c r="B341" s="9" t="s">
        <v>116</v>
      </c>
      <c r="C341" s="9" t="s">
        <v>116</v>
      </c>
      <c r="D341" s="9" t="s">
        <v>337</v>
      </c>
      <c r="E341" s="9" t="s">
        <v>10</v>
      </c>
      <c r="F341" s="9" t="s">
        <v>40</v>
      </c>
      <c r="G341" s="16" t="n">
        <v>0</v>
      </c>
      <c r="H341" s="16" t="n">
        <v>0</v>
      </c>
      <c r="I341" s="16" t="n">
        <v>28.5</v>
      </c>
      <c r="J341" s="16" t="n">
        <v>-28.5</v>
      </c>
      <c r="K341" s="16" t="n">
        <v>0</v>
      </c>
      <c r="L341" s="16" t="n">
        <v>0</v>
      </c>
      <c r="M341" s="16" t="n">
        <v>0</v>
      </c>
      <c r="N341" s="16" t="n">
        <v>0</v>
      </c>
      <c r="O341" s="16" t="n">
        <v>0</v>
      </c>
      <c r="P341" s="16" t="n">
        <v>0</v>
      </c>
      <c r="Q341" s="16" t="n">
        <v>0</v>
      </c>
      <c r="R341" s="16" t="n">
        <v>0</v>
      </c>
      <c r="S341" s="16" t="n">
        <v>0</v>
      </c>
      <c r="T341" s="16" t="n">
        <v>0</v>
      </c>
      <c r="U341" s="16" t="n">
        <v>0</v>
      </c>
      <c r="V341" s="16" t="n">
        <v>0</v>
      </c>
      <c r="W341" s="16" t="n">
        <v>0</v>
      </c>
      <c r="X341" s="16" t="n">
        <v>0</v>
      </c>
      <c r="Y341" s="16" t="n">
        <v>0</v>
      </c>
      <c r="Z341" s="16" t="n">
        <v>0</v>
      </c>
      <c r="AA341" s="16" t="n">
        <v>0</v>
      </c>
      <c r="AB341" s="16" t="n">
        <v>0</v>
      </c>
      <c r="AC341" s="16" t="n">
        <v>0</v>
      </c>
      <c r="AD341" s="16" t="n">
        <v>0</v>
      </c>
      <c r="AE341" s="16" t="n">
        <v>0</v>
      </c>
      <c r="AF341" s="16" t="n">
        <v>0</v>
      </c>
      <c r="AG341" s="16" t="n">
        <v>0</v>
      </c>
      <c r="AH341" s="16" t="n">
        <v>0</v>
      </c>
      <c r="AI341" s="16" t="n">
        <v>0</v>
      </c>
      <c r="AJ341" s="16" t="n">
        <v>2</v>
      </c>
      <c r="AK341" s="16" t="n">
        <v>0</v>
      </c>
      <c r="AL341" s="16" t="n">
        <v>0</v>
      </c>
      <c r="AM341" s="16" t="n">
        <v>0</v>
      </c>
      <c r="AN341" s="16" t="n">
        <v>0</v>
      </c>
      <c r="AO341" s="16" t="n">
        <v>0</v>
      </c>
      <c r="AP341" s="16" t="n">
        <v>0</v>
      </c>
      <c r="AQ341" s="16" t="n">
        <v>2</v>
      </c>
      <c r="AR341" s="16" t="n">
        <v>0</v>
      </c>
      <c r="AS341" s="16" t="n">
        <v>0</v>
      </c>
      <c r="AT341" s="16" t="n">
        <v>0</v>
      </c>
      <c r="AU341" s="16" t="n">
        <v>0</v>
      </c>
      <c r="AV341" s="16" t="n">
        <v>0</v>
      </c>
      <c r="AW341" s="16" t="n">
        <v>0</v>
      </c>
      <c r="AX341" s="16" t="n">
        <v>0</v>
      </c>
      <c r="AY341" s="16" t="n">
        <v>0</v>
      </c>
      <c r="AZ341" s="16" t="n">
        <v>0</v>
      </c>
      <c r="BA341" s="16" t="n">
        <v>0</v>
      </c>
      <c r="BB341" s="16" t="n">
        <v>0</v>
      </c>
      <c r="BC341" s="16" t="n">
        <v>0</v>
      </c>
      <c r="BD341" s="16" t="n">
        <v>0</v>
      </c>
      <c r="BE341" s="16" t="n">
        <v>0</v>
      </c>
      <c r="BF341" s="16" t="n">
        <v>0</v>
      </c>
      <c r="BG341" s="16" t="n">
        <v>0</v>
      </c>
      <c r="BH341" s="16" t="n">
        <v>0</v>
      </c>
      <c r="BI341" s="16" t="n">
        <v>0</v>
      </c>
      <c r="BJ341" s="16" t="n">
        <v>0</v>
      </c>
      <c r="BK341" s="16" t="n">
        <v>0</v>
      </c>
      <c r="BL341" s="16" t="n">
        <v>0</v>
      </c>
      <c r="BM341" s="16" t="n">
        <v>0</v>
      </c>
      <c r="BN341" s="16" t="n">
        <v>0</v>
      </c>
      <c r="BO341" s="16" t="n">
        <v>0</v>
      </c>
      <c r="BP341" s="16" t="n">
        <v>0</v>
      </c>
      <c r="BQ341" s="16" t="n">
        <v>0</v>
      </c>
      <c r="BR341" s="16" t="n">
        <v>0</v>
      </c>
      <c r="BS341" s="16" t="n">
        <v>0</v>
      </c>
      <c r="BT341" s="16" t="n">
        <v>0</v>
      </c>
      <c r="BU341" s="16" t="n">
        <v>0</v>
      </c>
      <c r="BV341" s="16" t="n">
        <v>0</v>
      </c>
      <c r="BW341" s="16" t="n">
        <v>0</v>
      </c>
      <c r="BX341" s="16" t="n">
        <v>0</v>
      </c>
      <c r="BY341" s="16" t="n">
        <v>0</v>
      </c>
      <c r="BZ341" s="16" t="n">
        <v>0</v>
      </c>
      <c r="CA341" s="16" t="n">
        <v>0</v>
      </c>
      <c r="CB341" s="16" t="n">
        <v>0</v>
      </c>
      <c r="CC341" s="16" t="n">
        <v>0</v>
      </c>
      <c r="CD341" s="16" t="n">
        <v>0</v>
      </c>
      <c r="CE341" s="16" t="n">
        <v>0</v>
      </c>
      <c r="CF341" s="16" t="n">
        <v>0</v>
      </c>
      <c r="CG341" s="16" t="n">
        <v>0</v>
      </c>
      <c r="CH341" s="16" t="n">
        <v>0</v>
      </c>
      <c r="CI341" s="16" t="n">
        <v>0</v>
      </c>
      <c r="CJ341" s="16" t="n">
        <v>0</v>
      </c>
      <c r="CK341" s="16" t="n">
        <v>0</v>
      </c>
      <c r="CL341" s="16" t="n">
        <v>0</v>
      </c>
      <c r="CM341" s="16" t="n">
        <v>0</v>
      </c>
      <c r="CN341" s="16" t="n">
        <v>0</v>
      </c>
      <c r="CO341" s="16" t="n">
        <v>0</v>
      </c>
      <c r="CP341" s="16" t="n">
        <v>0</v>
      </c>
      <c r="CQ341" s="16" t="n">
        <v>0</v>
      </c>
      <c r="CR341" s="16" t="n">
        <v>0</v>
      </c>
      <c r="CS341" s="16" t="n">
        <v>0</v>
      </c>
      <c r="CT341" s="16" t="n">
        <v>0</v>
      </c>
      <c r="CU341" s="16" t="n">
        <v>0</v>
      </c>
      <c r="CV341" s="16" t="n">
        <v>0</v>
      </c>
      <c r="CW341" s="16" t="n">
        <v>0</v>
      </c>
      <c r="CX341" s="16" t="n">
        <v>0</v>
      </c>
      <c r="CY341" s="16" t="n">
        <v>0</v>
      </c>
      <c r="CZ341" s="16" t="n">
        <v>0</v>
      </c>
      <c r="DA341" s="16" t="n">
        <v>0</v>
      </c>
      <c r="DB341" s="16" t="n">
        <v>0</v>
      </c>
      <c r="DC341" s="16" t="n">
        <v>0</v>
      </c>
      <c r="DD341" s="16" t="n">
        <v>0</v>
      </c>
      <c r="DE341" s="16" t="n">
        <v>0</v>
      </c>
      <c r="DF341" s="16" t="n">
        <v>0</v>
      </c>
      <c r="DG341" s="16" t="n">
        <v>0</v>
      </c>
      <c r="DH341" s="16" t="n">
        <v>0</v>
      </c>
      <c r="DI341" s="16" t="n">
        <v>0</v>
      </c>
      <c r="DJ341" s="16" t="n">
        <v>0</v>
      </c>
      <c r="DK341" s="16" t="n">
        <v>0</v>
      </c>
      <c r="DL341" s="16" t="n">
        <v>0</v>
      </c>
      <c r="DM341" s="16" t="n">
        <v>0</v>
      </c>
      <c r="DN341" s="16" t="n">
        <v>0</v>
      </c>
      <c r="DO341" s="16" t="n">
        <v>3</v>
      </c>
      <c r="DP341" s="16" t="n">
        <v>7.5</v>
      </c>
      <c r="DQ341" s="16" t="n">
        <v>14</v>
      </c>
      <c r="DR341" s="16" t="n">
        <v>0</v>
      </c>
      <c r="DS341" s="16" t="n">
        <v>0</v>
      </c>
      <c r="DT341" s="16" t="n">
        <v>0</v>
      </c>
      <c r="DU341" s="16" t="n">
        <v>0</v>
      </c>
      <c r="DV341" s="16" t="n">
        <v>0</v>
      </c>
      <c r="DW341" s="16" t="n">
        <v>0</v>
      </c>
      <c r="DX341" s="16" t="n">
        <v>0</v>
      </c>
      <c r="DY341" s="16" t="n">
        <v>0</v>
      </c>
      <c r="DZ341" s="16" t="n">
        <v>0</v>
      </c>
      <c r="EA341" s="16" t="n">
        <v>0</v>
      </c>
      <c r="EB341" s="16" t="n">
        <v>0</v>
      </c>
      <c r="EC341" s="16" t="n">
        <v>0</v>
      </c>
      <c r="ED341" s="16" t="n">
        <v>0</v>
      </c>
      <c r="EE341" s="16" t="n">
        <v>0</v>
      </c>
      <c r="EF341" s="16" t="n">
        <v>0</v>
      </c>
    </row>
    <row r="342" customFormat="false" ht="15" hidden="false" customHeight="true" outlineLevel="0" collapsed="false">
      <c r="A342" s="9" t="s">
        <v>12</v>
      </c>
      <c r="B342" s="9" t="s">
        <v>116</v>
      </c>
      <c r="C342" s="9" t="s">
        <v>116</v>
      </c>
      <c r="D342" s="9" t="s">
        <v>338</v>
      </c>
      <c r="E342" s="9" t="s">
        <v>10</v>
      </c>
      <c r="F342" s="9" t="s">
        <v>96</v>
      </c>
      <c r="G342" s="16" t="n">
        <v>23</v>
      </c>
      <c r="H342" s="16" t="n">
        <v>23</v>
      </c>
      <c r="I342" s="16" t="n">
        <v>23</v>
      </c>
      <c r="J342" s="16" t="n">
        <v>0</v>
      </c>
      <c r="K342" s="16" t="n">
        <v>0</v>
      </c>
      <c r="L342" s="16" t="n">
        <v>0</v>
      </c>
      <c r="M342" s="16" t="n">
        <v>0</v>
      </c>
      <c r="N342" s="16" t="n">
        <v>0</v>
      </c>
      <c r="O342" s="16" t="n">
        <v>0</v>
      </c>
      <c r="P342" s="16" t="n">
        <v>0</v>
      </c>
      <c r="Q342" s="16" t="n">
        <v>0</v>
      </c>
      <c r="R342" s="16" t="n">
        <v>0</v>
      </c>
      <c r="S342" s="16" t="n">
        <v>0</v>
      </c>
      <c r="T342" s="16" t="n">
        <v>0</v>
      </c>
      <c r="U342" s="16" t="n">
        <v>0</v>
      </c>
      <c r="V342" s="16" t="n">
        <v>0</v>
      </c>
      <c r="W342" s="16" t="n">
        <v>0</v>
      </c>
      <c r="X342" s="16" t="n">
        <v>0</v>
      </c>
      <c r="Y342" s="16" t="n">
        <v>0</v>
      </c>
      <c r="Z342" s="16" t="n">
        <v>0</v>
      </c>
      <c r="AA342" s="16" t="n">
        <v>0</v>
      </c>
      <c r="AB342" s="16" t="n">
        <v>3</v>
      </c>
      <c r="AC342" s="16" t="n">
        <v>13</v>
      </c>
      <c r="AD342" s="16" t="n">
        <v>6</v>
      </c>
      <c r="AE342" s="16" t="n">
        <v>0</v>
      </c>
      <c r="AF342" s="16" t="n">
        <v>1</v>
      </c>
      <c r="AG342" s="16" t="n">
        <v>0</v>
      </c>
      <c r="AH342" s="16" t="n">
        <v>0</v>
      </c>
      <c r="AI342" s="16" t="n">
        <v>0</v>
      </c>
      <c r="AJ342" s="16" t="n">
        <v>0</v>
      </c>
      <c r="AK342" s="16" t="n">
        <v>0</v>
      </c>
      <c r="AL342" s="16" t="n">
        <v>0</v>
      </c>
      <c r="AM342" s="16" t="n">
        <v>0</v>
      </c>
      <c r="AN342" s="16" t="n">
        <v>0</v>
      </c>
      <c r="AO342" s="16" t="n">
        <v>0</v>
      </c>
      <c r="AP342" s="16" t="n">
        <v>0</v>
      </c>
      <c r="AQ342" s="16" t="n">
        <v>0</v>
      </c>
      <c r="AR342" s="16" t="n">
        <v>0</v>
      </c>
      <c r="AS342" s="16" t="n">
        <v>0</v>
      </c>
      <c r="AT342" s="16" t="n">
        <v>0</v>
      </c>
      <c r="AU342" s="16" t="n">
        <v>0</v>
      </c>
      <c r="AV342" s="16" t="n">
        <v>0</v>
      </c>
      <c r="AW342" s="16" t="n">
        <v>0</v>
      </c>
      <c r="AX342" s="16" t="n">
        <v>0</v>
      </c>
      <c r="AY342" s="16" t="n">
        <v>0</v>
      </c>
      <c r="AZ342" s="16" t="n">
        <v>0</v>
      </c>
      <c r="BA342" s="16" t="n">
        <v>0</v>
      </c>
      <c r="BB342" s="16" t="n">
        <v>0</v>
      </c>
      <c r="BC342" s="16" t="n">
        <v>0</v>
      </c>
      <c r="BD342" s="16" t="n">
        <v>0</v>
      </c>
      <c r="BE342" s="16" t="n">
        <v>0</v>
      </c>
      <c r="BF342" s="16" t="n">
        <v>0</v>
      </c>
      <c r="BG342" s="16" t="n">
        <v>0</v>
      </c>
      <c r="BH342" s="16" t="n">
        <v>0</v>
      </c>
      <c r="BI342" s="16" t="n">
        <v>0</v>
      </c>
      <c r="BJ342" s="16" t="n">
        <v>0</v>
      </c>
      <c r="BK342" s="16" t="n">
        <v>0</v>
      </c>
      <c r="BL342" s="16" t="n">
        <v>0</v>
      </c>
      <c r="BM342" s="16" t="n">
        <v>0</v>
      </c>
      <c r="BN342" s="16" t="n">
        <v>0</v>
      </c>
      <c r="BO342" s="16" t="n">
        <v>0</v>
      </c>
      <c r="BP342" s="16" t="n">
        <v>0</v>
      </c>
      <c r="BQ342" s="16" t="n">
        <v>0</v>
      </c>
      <c r="BR342" s="16" t="n">
        <v>0</v>
      </c>
      <c r="BS342" s="16" t="n">
        <v>0</v>
      </c>
      <c r="BT342" s="16" t="n">
        <v>0</v>
      </c>
      <c r="BU342" s="16" t="n">
        <v>0</v>
      </c>
      <c r="BV342" s="16" t="n">
        <v>0</v>
      </c>
      <c r="BW342" s="16" t="n">
        <v>0</v>
      </c>
      <c r="BX342" s="16" t="n">
        <v>0</v>
      </c>
      <c r="BY342" s="16" t="n">
        <v>0</v>
      </c>
      <c r="BZ342" s="16" t="n">
        <v>0</v>
      </c>
      <c r="CA342" s="16" t="n">
        <v>0</v>
      </c>
      <c r="CB342" s="16" t="n">
        <v>0</v>
      </c>
      <c r="CC342" s="16" t="n">
        <v>0</v>
      </c>
      <c r="CD342" s="16" t="n">
        <v>0</v>
      </c>
      <c r="CE342" s="16" t="n">
        <v>0</v>
      </c>
      <c r="CF342" s="16" t="n">
        <v>0</v>
      </c>
      <c r="CG342" s="16" t="n">
        <v>0</v>
      </c>
      <c r="CH342" s="16" t="n">
        <v>0</v>
      </c>
      <c r="CI342" s="16" t="n">
        <v>0</v>
      </c>
      <c r="CJ342" s="16" t="n">
        <v>0</v>
      </c>
      <c r="CK342" s="16" t="n">
        <v>0</v>
      </c>
      <c r="CL342" s="16" t="n">
        <v>0</v>
      </c>
      <c r="CM342" s="16" t="n">
        <v>0</v>
      </c>
      <c r="CN342" s="16" t="n">
        <v>0</v>
      </c>
      <c r="CO342" s="16" t="n">
        <v>0</v>
      </c>
      <c r="CP342" s="16" t="n">
        <v>0</v>
      </c>
      <c r="CQ342" s="16" t="n">
        <v>0</v>
      </c>
      <c r="CR342" s="16" t="n">
        <v>0</v>
      </c>
      <c r="CS342" s="16" t="n">
        <v>0</v>
      </c>
      <c r="CT342" s="16" t="n">
        <v>0</v>
      </c>
      <c r="CU342" s="16" t="n">
        <v>0</v>
      </c>
      <c r="CV342" s="16" t="n">
        <v>0</v>
      </c>
      <c r="CW342" s="16" t="n">
        <v>0</v>
      </c>
      <c r="CX342" s="16" t="n">
        <v>0</v>
      </c>
      <c r="CY342" s="16" t="n">
        <v>0</v>
      </c>
      <c r="CZ342" s="16" t="n">
        <v>0</v>
      </c>
      <c r="DA342" s="16" t="n">
        <v>0</v>
      </c>
      <c r="DB342" s="16" t="n">
        <v>0</v>
      </c>
      <c r="DC342" s="16" t="n">
        <v>0</v>
      </c>
      <c r="DD342" s="16" t="n">
        <v>0</v>
      </c>
      <c r="DE342" s="16" t="n">
        <v>0</v>
      </c>
      <c r="DF342" s="16" t="n">
        <v>0</v>
      </c>
      <c r="DG342" s="16" t="n">
        <v>0</v>
      </c>
      <c r="DH342" s="16" t="n">
        <v>0</v>
      </c>
      <c r="DI342" s="16" t="n">
        <v>0</v>
      </c>
      <c r="DJ342" s="16" t="n">
        <v>0</v>
      </c>
      <c r="DK342" s="16" t="n">
        <v>0</v>
      </c>
      <c r="DL342" s="16" t="n">
        <v>0</v>
      </c>
      <c r="DM342" s="16" t="n">
        <v>0</v>
      </c>
      <c r="DN342" s="16" t="n">
        <v>0</v>
      </c>
      <c r="DO342" s="16" t="n">
        <v>0</v>
      </c>
      <c r="DP342" s="16" t="n">
        <v>0</v>
      </c>
      <c r="DQ342" s="16" t="n">
        <v>0</v>
      </c>
      <c r="DR342" s="16" t="n">
        <v>0</v>
      </c>
      <c r="DS342" s="16" t="n">
        <v>0</v>
      </c>
      <c r="DT342" s="16" t="n">
        <v>0</v>
      </c>
      <c r="DU342" s="16" t="n">
        <v>0</v>
      </c>
      <c r="DV342" s="16" t="n">
        <v>0</v>
      </c>
      <c r="DW342" s="16" t="n">
        <v>0</v>
      </c>
      <c r="DX342" s="16" t="n">
        <v>0</v>
      </c>
      <c r="DY342" s="16" t="n">
        <v>0</v>
      </c>
      <c r="DZ342" s="16" t="n">
        <v>0</v>
      </c>
      <c r="EA342" s="16" t="n">
        <v>0</v>
      </c>
      <c r="EB342" s="16" t="n">
        <v>0</v>
      </c>
      <c r="EC342" s="16" t="n">
        <v>0</v>
      </c>
      <c r="ED342" s="16" t="n">
        <v>0</v>
      </c>
      <c r="EE342" s="16" t="n">
        <v>0</v>
      </c>
      <c r="EF342" s="16" t="n">
        <v>0</v>
      </c>
    </row>
    <row r="343" customFormat="false" ht="15" hidden="false" customHeight="true" outlineLevel="0" collapsed="false">
      <c r="A343" s="9" t="s">
        <v>12</v>
      </c>
      <c r="B343" s="9" t="s">
        <v>116</v>
      </c>
      <c r="C343" s="9" t="s">
        <v>116</v>
      </c>
      <c r="D343" s="9" t="s">
        <v>337</v>
      </c>
      <c r="E343" s="9" t="s">
        <v>10</v>
      </c>
      <c r="F343" s="9" t="s">
        <v>96</v>
      </c>
      <c r="G343" s="16" t="n">
        <v>0</v>
      </c>
      <c r="H343" s="16" t="n">
        <v>0</v>
      </c>
      <c r="I343" s="16" t="n">
        <v>197.5</v>
      </c>
      <c r="J343" s="16" t="n">
        <v>-197.5</v>
      </c>
      <c r="K343" s="16" t="n">
        <v>0</v>
      </c>
      <c r="L343" s="16" t="n">
        <v>0</v>
      </c>
      <c r="M343" s="16" t="n">
        <v>0</v>
      </c>
      <c r="N343" s="16" t="n">
        <v>0</v>
      </c>
      <c r="O343" s="16" t="n">
        <v>0</v>
      </c>
      <c r="P343" s="16" t="n">
        <v>0</v>
      </c>
      <c r="Q343" s="16" t="n">
        <v>0</v>
      </c>
      <c r="R343" s="16" t="n">
        <v>0</v>
      </c>
      <c r="S343" s="16" t="n">
        <v>0</v>
      </c>
      <c r="T343" s="16" t="n">
        <v>0</v>
      </c>
      <c r="U343" s="16" t="n">
        <v>0</v>
      </c>
      <c r="V343" s="16" t="n">
        <v>0</v>
      </c>
      <c r="W343" s="16" t="n">
        <v>0</v>
      </c>
      <c r="X343" s="16" t="n">
        <v>0</v>
      </c>
      <c r="Y343" s="16" t="n">
        <v>0</v>
      </c>
      <c r="Z343" s="16" t="n">
        <v>0</v>
      </c>
      <c r="AA343" s="16" t="n">
        <v>0</v>
      </c>
      <c r="AB343" s="16" t="n">
        <v>0</v>
      </c>
      <c r="AC343" s="16" t="n">
        <v>0</v>
      </c>
      <c r="AD343" s="16" t="n">
        <v>0</v>
      </c>
      <c r="AE343" s="16" t="n">
        <v>0</v>
      </c>
      <c r="AF343" s="16" t="n">
        <v>0</v>
      </c>
      <c r="AG343" s="16" t="n">
        <v>0</v>
      </c>
      <c r="AH343" s="16" t="n">
        <v>0</v>
      </c>
      <c r="AI343" s="16" t="n">
        <v>0</v>
      </c>
      <c r="AJ343" s="16" t="n">
        <v>4.5</v>
      </c>
      <c r="AK343" s="16" t="n">
        <v>0</v>
      </c>
      <c r="AL343" s="16" t="n">
        <v>4</v>
      </c>
      <c r="AM343" s="16" t="n">
        <v>0</v>
      </c>
      <c r="AN343" s="16" t="n">
        <v>0</v>
      </c>
      <c r="AO343" s="16" t="n">
        <v>6.5</v>
      </c>
      <c r="AP343" s="16" t="n">
        <v>11.5</v>
      </c>
      <c r="AQ343" s="16" t="n">
        <v>20</v>
      </c>
      <c r="AR343" s="16" t="n">
        <v>3</v>
      </c>
      <c r="AS343" s="16" t="n">
        <v>0</v>
      </c>
      <c r="AT343" s="16" t="n">
        <v>0</v>
      </c>
      <c r="AU343" s="16" t="n">
        <v>0</v>
      </c>
      <c r="AV343" s="16" t="n">
        <v>0</v>
      </c>
      <c r="AW343" s="16" t="n">
        <v>0</v>
      </c>
      <c r="AX343" s="16" t="n">
        <v>0</v>
      </c>
      <c r="AY343" s="16" t="n">
        <v>0</v>
      </c>
      <c r="AZ343" s="16" t="n">
        <v>0</v>
      </c>
      <c r="BA343" s="16" t="n">
        <v>0</v>
      </c>
      <c r="BB343" s="16" t="n">
        <v>0</v>
      </c>
      <c r="BC343" s="16" t="n">
        <v>0</v>
      </c>
      <c r="BD343" s="16" t="n">
        <v>0</v>
      </c>
      <c r="BE343" s="16" t="n">
        <v>0</v>
      </c>
      <c r="BF343" s="16" t="n">
        <v>0</v>
      </c>
      <c r="BG343" s="16" t="n">
        <v>0</v>
      </c>
      <c r="BH343" s="16" t="n">
        <v>0</v>
      </c>
      <c r="BI343" s="16" t="n">
        <v>0</v>
      </c>
      <c r="BJ343" s="16" t="n">
        <v>0</v>
      </c>
      <c r="BK343" s="16" t="n">
        <v>0</v>
      </c>
      <c r="BL343" s="16" t="n">
        <v>0</v>
      </c>
      <c r="BM343" s="16" t="n">
        <v>0</v>
      </c>
      <c r="BN343" s="16" t="n">
        <v>0</v>
      </c>
      <c r="BO343" s="16" t="n">
        <v>0</v>
      </c>
      <c r="BP343" s="16" t="n">
        <v>0</v>
      </c>
      <c r="BQ343" s="16" t="n">
        <v>0</v>
      </c>
      <c r="BR343" s="16" t="n">
        <v>0</v>
      </c>
      <c r="BS343" s="16" t="n">
        <v>0</v>
      </c>
      <c r="BT343" s="16" t="n">
        <v>0</v>
      </c>
      <c r="BU343" s="16" t="n">
        <v>0</v>
      </c>
      <c r="BV343" s="16" t="n">
        <v>0</v>
      </c>
      <c r="BW343" s="16" t="n">
        <v>0</v>
      </c>
      <c r="BX343" s="16" t="n">
        <v>0</v>
      </c>
      <c r="BY343" s="16" t="n">
        <v>0</v>
      </c>
      <c r="BZ343" s="16" t="n">
        <v>0</v>
      </c>
      <c r="CA343" s="16" t="n">
        <v>0</v>
      </c>
      <c r="CB343" s="16" t="n">
        <v>0</v>
      </c>
      <c r="CC343" s="16" t="n">
        <v>0</v>
      </c>
      <c r="CD343" s="16" t="n">
        <v>0</v>
      </c>
      <c r="CE343" s="16" t="n">
        <v>0</v>
      </c>
      <c r="CF343" s="16" t="n">
        <v>0</v>
      </c>
      <c r="CG343" s="16" t="n">
        <v>0</v>
      </c>
      <c r="CH343" s="16" t="n">
        <v>0</v>
      </c>
      <c r="CI343" s="16" t="n">
        <v>0</v>
      </c>
      <c r="CJ343" s="16" t="n">
        <v>0</v>
      </c>
      <c r="CK343" s="16" t="n">
        <v>0</v>
      </c>
      <c r="CL343" s="16" t="n">
        <v>0</v>
      </c>
      <c r="CM343" s="16" t="n">
        <v>0</v>
      </c>
      <c r="CN343" s="16" t="n">
        <v>0</v>
      </c>
      <c r="CO343" s="16" t="n">
        <v>0</v>
      </c>
      <c r="CP343" s="16" t="n">
        <v>0</v>
      </c>
      <c r="CQ343" s="16" t="n">
        <v>0</v>
      </c>
      <c r="CR343" s="16" t="n">
        <v>0</v>
      </c>
      <c r="CS343" s="16" t="n">
        <v>6</v>
      </c>
      <c r="CT343" s="16" t="n">
        <v>0</v>
      </c>
      <c r="CU343" s="16" t="n">
        <v>0</v>
      </c>
      <c r="CV343" s="16" t="n">
        <v>6</v>
      </c>
      <c r="CW343" s="16" t="n">
        <v>6</v>
      </c>
      <c r="CX343" s="16" t="n">
        <v>0</v>
      </c>
      <c r="CY343" s="16" t="n">
        <v>0</v>
      </c>
      <c r="CZ343" s="16" t="n">
        <v>6</v>
      </c>
      <c r="DA343" s="16" t="n">
        <v>6</v>
      </c>
      <c r="DB343" s="16" t="n">
        <v>6</v>
      </c>
      <c r="DC343" s="16" t="n">
        <v>6</v>
      </c>
      <c r="DD343" s="16" t="n">
        <v>8</v>
      </c>
      <c r="DE343" s="16" t="n">
        <v>0</v>
      </c>
      <c r="DF343" s="16" t="n">
        <v>8</v>
      </c>
      <c r="DG343" s="16" t="n">
        <v>8</v>
      </c>
      <c r="DH343" s="16" t="n">
        <v>8</v>
      </c>
      <c r="DI343" s="16" t="n">
        <v>0</v>
      </c>
      <c r="DJ343" s="16" t="n">
        <v>0</v>
      </c>
      <c r="DK343" s="16" t="n">
        <v>12</v>
      </c>
      <c r="DL343" s="16" t="n">
        <v>12</v>
      </c>
      <c r="DM343" s="16" t="n">
        <v>12</v>
      </c>
      <c r="DN343" s="16" t="n">
        <v>12</v>
      </c>
      <c r="DO343" s="16" t="n">
        <v>10</v>
      </c>
      <c r="DP343" s="16" t="n">
        <v>8</v>
      </c>
      <c r="DQ343" s="16" t="n">
        <v>8</v>
      </c>
      <c r="DR343" s="16" t="n">
        <v>0</v>
      </c>
      <c r="DS343" s="16" t="n">
        <v>0</v>
      </c>
      <c r="DT343" s="16" t="n">
        <v>0</v>
      </c>
      <c r="DU343" s="16" t="n">
        <v>0</v>
      </c>
      <c r="DV343" s="16" t="n">
        <v>0</v>
      </c>
      <c r="DW343" s="16" t="n">
        <v>0</v>
      </c>
      <c r="DX343" s="16" t="n">
        <v>0</v>
      </c>
      <c r="DY343" s="16" t="n">
        <v>0</v>
      </c>
      <c r="DZ343" s="16" t="n">
        <v>0</v>
      </c>
      <c r="EA343" s="16" t="n">
        <v>0</v>
      </c>
      <c r="EB343" s="16" t="n">
        <v>0</v>
      </c>
      <c r="EC343" s="16" t="n">
        <v>0</v>
      </c>
      <c r="ED343" s="16" t="n">
        <v>0</v>
      </c>
      <c r="EE343" s="16" t="n">
        <v>0</v>
      </c>
      <c r="EF343" s="16" t="n">
        <v>0</v>
      </c>
    </row>
    <row r="344" customFormat="false" ht="15" hidden="false" customHeight="true" outlineLevel="0" collapsed="false">
      <c r="A344" s="9" t="s">
        <v>12</v>
      </c>
      <c r="B344" s="9" t="s">
        <v>116</v>
      </c>
      <c r="C344" s="9" t="s">
        <v>116</v>
      </c>
      <c r="D344" s="9" t="s">
        <v>337</v>
      </c>
      <c r="E344" s="9" t="s">
        <v>10</v>
      </c>
      <c r="F344" s="9" t="s">
        <v>85</v>
      </c>
      <c r="G344" s="16" t="n">
        <v>64</v>
      </c>
      <c r="H344" s="16" t="n">
        <v>312</v>
      </c>
      <c r="I344" s="16" t="n">
        <v>288</v>
      </c>
      <c r="J344" s="16" t="n">
        <v>24</v>
      </c>
      <c r="K344" s="16" t="n">
        <v>0</v>
      </c>
      <c r="L344" s="16" t="n">
        <v>0</v>
      </c>
      <c r="M344" s="16" t="n">
        <v>0</v>
      </c>
      <c r="N344" s="16" t="n">
        <v>0</v>
      </c>
      <c r="O344" s="16" t="n">
        <v>0</v>
      </c>
      <c r="P344" s="16" t="n">
        <v>0</v>
      </c>
      <c r="Q344" s="16" t="n">
        <v>0</v>
      </c>
      <c r="R344" s="16" t="n">
        <v>0</v>
      </c>
      <c r="S344" s="16" t="n">
        <v>0</v>
      </c>
      <c r="T344" s="16" t="n">
        <v>0</v>
      </c>
      <c r="U344" s="16" t="n">
        <v>0</v>
      </c>
      <c r="V344" s="16" t="n">
        <v>0</v>
      </c>
      <c r="W344" s="16" t="n">
        <v>0</v>
      </c>
      <c r="X344" s="16" t="n">
        <v>0</v>
      </c>
      <c r="Y344" s="16" t="n">
        <v>0</v>
      </c>
      <c r="Z344" s="16" t="n">
        <v>0</v>
      </c>
      <c r="AA344" s="16" t="n">
        <v>0</v>
      </c>
      <c r="AB344" s="16" t="n">
        <v>0</v>
      </c>
      <c r="AC344" s="16" t="n">
        <v>0</v>
      </c>
      <c r="AD344" s="16" t="n">
        <v>0</v>
      </c>
      <c r="AE344" s="16" t="n">
        <v>0</v>
      </c>
      <c r="AF344" s="16" t="n">
        <v>0</v>
      </c>
      <c r="AG344" s="16" t="n">
        <v>0</v>
      </c>
      <c r="AH344" s="16" t="n">
        <v>0</v>
      </c>
      <c r="AI344" s="16" t="n">
        <v>0</v>
      </c>
      <c r="AJ344" s="16" t="n">
        <v>0</v>
      </c>
      <c r="AK344" s="16" t="n">
        <v>0</v>
      </c>
      <c r="AL344" s="16" t="n">
        <v>0</v>
      </c>
      <c r="AM344" s="16" t="n">
        <v>0</v>
      </c>
      <c r="AN344" s="16" t="n">
        <v>0</v>
      </c>
      <c r="AO344" s="16" t="n">
        <v>0</v>
      </c>
      <c r="AP344" s="16" t="n">
        <v>0</v>
      </c>
      <c r="AQ344" s="16" t="n">
        <v>0</v>
      </c>
      <c r="AR344" s="16" t="n">
        <v>3</v>
      </c>
      <c r="AS344" s="16" t="n">
        <v>0</v>
      </c>
      <c r="AT344" s="16" t="n">
        <v>0</v>
      </c>
      <c r="AU344" s="16" t="n">
        <v>0</v>
      </c>
      <c r="AV344" s="16" t="n">
        <v>0</v>
      </c>
      <c r="AW344" s="16" t="n">
        <v>0</v>
      </c>
      <c r="AX344" s="16" t="n">
        <v>0</v>
      </c>
      <c r="AY344" s="16" t="n">
        <v>0</v>
      </c>
      <c r="AZ344" s="16" t="n">
        <v>0</v>
      </c>
      <c r="BA344" s="16" t="n">
        <v>0</v>
      </c>
      <c r="BB344" s="16" t="n">
        <v>0</v>
      </c>
      <c r="BC344" s="16" t="n">
        <v>0</v>
      </c>
      <c r="BD344" s="16" t="n">
        <v>0</v>
      </c>
      <c r="BE344" s="16" t="n">
        <v>0</v>
      </c>
      <c r="BF344" s="16" t="n">
        <v>0</v>
      </c>
      <c r="BG344" s="16" t="n">
        <v>0</v>
      </c>
      <c r="BH344" s="16" t="n">
        <v>0</v>
      </c>
      <c r="BI344" s="16" t="n">
        <v>0</v>
      </c>
      <c r="BJ344" s="16" t="n">
        <v>0</v>
      </c>
      <c r="BK344" s="16" t="n">
        <v>0</v>
      </c>
      <c r="BL344" s="16" t="n">
        <v>0</v>
      </c>
      <c r="BM344" s="16" t="n">
        <v>0</v>
      </c>
      <c r="BN344" s="16" t="n">
        <v>0</v>
      </c>
      <c r="BO344" s="16" t="n">
        <v>0</v>
      </c>
      <c r="BP344" s="16" t="n">
        <v>0</v>
      </c>
      <c r="BQ344" s="16" t="n">
        <v>0</v>
      </c>
      <c r="BR344" s="16" t="n">
        <v>0</v>
      </c>
      <c r="BS344" s="16" t="n">
        <v>0</v>
      </c>
      <c r="BT344" s="16" t="n">
        <v>0</v>
      </c>
      <c r="BU344" s="16" t="n">
        <v>0</v>
      </c>
      <c r="BV344" s="16" t="n">
        <v>0</v>
      </c>
      <c r="BW344" s="16" t="n">
        <v>0</v>
      </c>
      <c r="BX344" s="16" t="n">
        <v>0</v>
      </c>
      <c r="BY344" s="16" t="n">
        <v>0</v>
      </c>
      <c r="BZ344" s="16" t="n">
        <v>0</v>
      </c>
      <c r="CA344" s="16" t="n">
        <v>0</v>
      </c>
      <c r="CB344" s="16" t="n">
        <v>0</v>
      </c>
      <c r="CC344" s="16" t="n">
        <v>0</v>
      </c>
      <c r="CD344" s="16" t="n">
        <v>0</v>
      </c>
      <c r="CE344" s="16" t="n">
        <v>0</v>
      </c>
      <c r="CF344" s="16" t="n">
        <v>0</v>
      </c>
      <c r="CG344" s="16" t="n">
        <v>0</v>
      </c>
      <c r="CH344" s="16" t="n">
        <v>0</v>
      </c>
      <c r="CI344" s="16" t="n">
        <v>0</v>
      </c>
      <c r="CJ344" s="16" t="n">
        <v>0</v>
      </c>
      <c r="CK344" s="16" t="n">
        <v>0</v>
      </c>
      <c r="CL344" s="16" t="n">
        <v>0</v>
      </c>
      <c r="CM344" s="16" t="n">
        <v>0</v>
      </c>
      <c r="CN344" s="16" t="n">
        <v>0</v>
      </c>
      <c r="CO344" s="16" t="n">
        <v>0</v>
      </c>
      <c r="CP344" s="16" t="n">
        <v>0</v>
      </c>
      <c r="CQ344" s="16" t="n">
        <v>0</v>
      </c>
      <c r="CR344" s="16" t="n">
        <v>0</v>
      </c>
      <c r="CS344" s="16" t="n">
        <v>10</v>
      </c>
      <c r="CT344" s="16" t="n">
        <v>20</v>
      </c>
      <c r="CU344" s="16" t="n">
        <v>20</v>
      </c>
      <c r="CV344" s="16" t="n">
        <v>10</v>
      </c>
      <c r="CW344" s="16" t="n">
        <v>5</v>
      </c>
      <c r="CX344" s="16" t="n">
        <v>5</v>
      </c>
      <c r="CY344" s="16" t="n">
        <v>5</v>
      </c>
      <c r="CZ344" s="16" t="n">
        <v>5</v>
      </c>
      <c r="DA344" s="16" t="n">
        <v>20</v>
      </c>
      <c r="DB344" s="16" t="n">
        <v>20</v>
      </c>
      <c r="DC344" s="16" t="n">
        <v>20</v>
      </c>
      <c r="DD344" s="16" t="n">
        <v>20</v>
      </c>
      <c r="DE344" s="16" t="n">
        <v>10</v>
      </c>
      <c r="DF344" s="16" t="n">
        <v>10</v>
      </c>
      <c r="DG344" s="16" t="n">
        <v>10</v>
      </c>
      <c r="DH344" s="16" t="n">
        <v>10</v>
      </c>
      <c r="DI344" s="16" t="n">
        <v>0</v>
      </c>
      <c r="DJ344" s="16" t="n">
        <v>0</v>
      </c>
      <c r="DK344" s="16" t="n">
        <v>20</v>
      </c>
      <c r="DL344" s="16" t="n">
        <v>20</v>
      </c>
      <c r="DM344" s="16" t="n">
        <v>15</v>
      </c>
      <c r="DN344" s="16" t="n">
        <v>15</v>
      </c>
      <c r="DO344" s="16" t="n">
        <v>15</v>
      </c>
      <c r="DP344" s="16" t="n">
        <v>0</v>
      </c>
      <c r="DQ344" s="16" t="n">
        <v>0</v>
      </c>
      <c r="DR344" s="16" t="n">
        <v>0</v>
      </c>
      <c r="DS344" s="16" t="n">
        <v>0</v>
      </c>
      <c r="DT344" s="16" t="n">
        <v>0</v>
      </c>
      <c r="DU344" s="16" t="n">
        <v>0</v>
      </c>
      <c r="DV344" s="16" t="n">
        <v>0</v>
      </c>
      <c r="DW344" s="16" t="n">
        <v>0</v>
      </c>
      <c r="DX344" s="16" t="n">
        <v>0</v>
      </c>
      <c r="DY344" s="16" t="n">
        <v>0</v>
      </c>
      <c r="DZ344" s="16" t="n">
        <v>0</v>
      </c>
      <c r="EA344" s="16" t="n">
        <v>0</v>
      </c>
      <c r="EB344" s="16" t="n">
        <v>0</v>
      </c>
      <c r="EC344" s="16" t="n">
        <v>0</v>
      </c>
      <c r="ED344" s="16" t="n">
        <v>0</v>
      </c>
      <c r="EE344" s="16" t="n">
        <v>0</v>
      </c>
      <c r="EF344" s="16" t="n">
        <v>0</v>
      </c>
    </row>
    <row r="345" customFormat="false" ht="15" hidden="false" customHeight="true" outlineLevel="0" collapsed="false">
      <c r="A345" s="9" t="s">
        <v>12</v>
      </c>
      <c r="B345" s="9" t="s">
        <v>116</v>
      </c>
      <c r="C345" s="9" t="s">
        <v>116</v>
      </c>
      <c r="D345" s="9" t="s">
        <v>338</v>
      </c>
      <c r="E345" s="9" t="s">
        <v>10</v>
      </c>
      <c r="F345" s="9" t="s">
        <v>99</v>
      </c>
      <c r="G345" s="16" t="n">
        <v>13</v>
      </c>
      <c r="H345" s="16" t="n">
        <v>26</v>
      </c>
      <c r="I345" s="16" t="n">
        <v>0</v>
      </c>
      <c r="J345" s="16" t="n">
        <v>26</v>
      </c>
      <c r="K345" s="16" t="n">
        <v>0</v>
      </c>
      <c r="L345" s="16" t="n">
        <v>0</v>
      </c>
      <c r="M345" s="16" t="n">
        <v>0</v>
      </c>
      <c r="N345" s="16" t="n">
        <v>0</v>
      </c>
      <c r="O345" s="16" t="n">
        <v>0</v>
      </c>
      <c r="P345" s="16" t="n">
        <v>0</v>
      </c>
      <c r="Q345" s="16" t="n">
        <v>0</v>
      </c>
      <c r="R345" s="16" t="n">
        <v>0</v>
      </c>
      <c r="S345" s="16" t="n">
        <v>0</v>
      </c>
      <c r="T345" s="16" t="n">
        <v>0</v>
      </c>
      <c r="U345" s="16" t="n">
        <v>0</v>
      </c>
      <c r="V345" s="16" t="n">
        <v>0</v>
      </c>
      <c r="W345" s="16" t="n">
        <v>0</v>
      </c>
      <c r="X345" s="16" t="n">
        <v>0</v>
      </c>
      <c r="Y345" s="16" t="n">
        <v>0</v>
      </c>
      <c r="Z345" s="16" t="n">
        <v>0</v>
      </c>
      <c r="AA345" s="16" t="n">
        <v>0</v>
      </c>
      <c r="AB345" s="16" t="n">
        <v>0</v>
      </c>
      <c r="AC345" s="16" t="n">
        <v>0</v>
      </c>
      <c r="AD345" s="16" t="n">
        <v>0</v>
      </c>
      <c r="AE345" s="16" t="n">
        <v>0</v>
      </c>
      <c r="AF345" s="16" t="n">
        <v>0</v>
      </c>
      <c r="AG345" s="16" t="n">
        <v>0</v>
      </c>
      <c r="AH345" s="16" t="n">
        <v>0</v>
      </c>
      <c r="AI345" s="16" t="n">
        <v>0</v>
      </c>
      <c r="AJ345" s="16" t="n">
        <v>0</v>
      </c>
      <c r="AK345" s="16" t="n">
        <v>0</v>
      </c>
      <c r="AL345" s="16" t="n">
        <v>0</v>
      </c>
      <c r="AM345" s="16" t="n">
        <v>0</v>
      </c>
      <c r="AN345" s="16" t="n">
        <v>0</v>
      </c>
      <c r="AO345" s="16" t="n">
        <v>0</v>
      </c>
      <c r="AP345" s="16" t="n">
        <v>0</v>
      </c>
      <c r="AQ345" s="16" t="n">
        <v>0</v>
      </c>
      <c r="AR345" s="16" t="n">
        <v>0</v>
      </c>
      <c r="AS345" s="16" t="n">
        <v>0</v>
      </c>
      <c r="AT345" s="16" t="n">
        <v>0</v>
      </c>
      <c r="AU345" s="16" t="n">
        <v>0</v>
      </c>
      <c r="AV345" s="16" t="n">
        <v>0</v>
      </c>
      <c r="AW345" s="16" t="n">
        <v>0</v>
      </c>
      <c r="AX345" s="16" t="n">
        <v>0</v>
      </c>
      <c r="AY345" s="16" t="n">
        <v>0</v>
      </c>
      <c r="AZ345" s="16" t="n">
        <v>0</v>
      </c>
      <c r="BA345" s="16" t="n">
        <v>0</v>
      </c>
      <c r="BB345" s="16" t="n">
        <v>0</v>
      </c>
      <c r="BC345" s="16" t="n">
        <v>0</v>
      </c>
      <c r="BD345" s="16" t="n">
        <v>0</v>
      </c>
      <c r="BE345" s="16" t="n">
        <v>0</v>
      </c>
      <c r="BF345" s="16" t="n">
        <v>0</v>
      </c>
      <c r="BG345" s="16" t="n">
        <v>0</v>
      </c>
      <c r="BH345" s="16" t="n">
        <v>0</v>
      </c>
      <c r="BI345" s="16" t="n">
        <v>0</v>
      </c>
      <c r="BJ345" s="16" t="n">
        <v>0</v>
      </c>
      <c r="BK345" s="16" t="n">
        <v>0</v>
      </c>
      <c r="BL345" s="16" t="n">
        <v>0</v>
      </c>
      <c r="BM345" s="16" t="n">
        <v>0</v>
      </c>
      <c r="BN345" s="16" t="n">
        <v>0</v>
      </c>
      <c r="BO345" s="16" t="n">
        <v>0</v>
      </c>
      <c r="BP345" s="16" t="n">
        <v>0</v>
      </c>
      <c r="BQ345" s="16" t="n">
        <v>0</v>
      </c>
      <c r="BR345" s="16" t="n">
        <v>0</v>
      </c>
      <c r="BS345" s="16" t="n">
        <v>0</v>
      </c>
      <c r="BT345" s="16" t="n">
        <v>0</v>
      </c>
      <c r="BU345" s="16" t="n">
        <v>0</v>
      </c>
      <c r="BV345" s="16" t="n">
        <v>0</v>
      </c>
      <c r="BW345" s="16" t="n">
        <v>0</v>
      </c>
      <c r="BX345" s="16" t="n">
        <v>0</v>
      </c>
      <c r="BY345" s="16" t="n">
        <v>0</v>
      </c>
      <c r="BZ345" s="16" t="n">
        <v>0</v>
      </c>
      <c r="CA345" s="16" t="n">
        <v>0</v>
      </c>
      <c r="CB345" s="16" t="n">
        <v>0</v>
      </c>
      <c r="CC345" s="16" t="n">
        <v>0</v>
      </c>
      <c r="CD345" s="16" t="n">
        <v>0</v>
      </c>
      <c r="CE345" s="16" t="n">
        <v>0</v>
      </c>
      <c r="CF345" s="16" t="n">
        <v>0</v>
      </c>
      <c r="CG345" s="16" t="n">
        <v>0</v>
      </c>
      <c r="CH345" s="16" t="n">
        <v>0</v>
      </c>
      <c r="CI345" s="16" t="n">
        <v>0</v>
      </c>
      <c r="CJ345" s="16" t="n">
        <v>0</v>
      </c>
      <c r="CK345" s="16" t="n">
        <v>0</v>
      </c>
      <c r="CL345" s="16" t="n">
        <v>0</v>
      </c>
      <c r="CM345" s="16" t="n">
        <v>0</v>
      </c>
      <c r="CN345" s="16" t="n">
        <v>0</v>
      </c>
      <c r="CO345" s="16" t="n">
        <v>0</v>
      </c>
      <c r="CP345" s="16" t="n">
        <v>0</v>
      </c>
      <c r="CQ345" s="16" t="n">
        <v>0</v>
      </c>
      <c r="CR345" s="16" t="n">
        <v>0</v>
      </c>
      <c r="CS345" s="16" t="n">
        <v>0</v>
      </c>
      <c r="CT345" s="16" t="n">
        <v>0</v>
      </c>
      <c r="CU345" s="16" t="n">
        <v>0</v>
      </c>
      <c r="CV345" s="16" t="n">
        <v>0</v>
      </c>
      <c r="CW345" s="16" t="n">
        <v>0</v>
      </c>
      <c r="CX345" s="16" t="n">
        <v>0</v>
      </c>
      <c r="CY345" s="16" t="n">
        <v>0</v>
      </c>
      <c r="CZ345" s="16" t="n">
        <v>0</v>
      </c>
      <c r="DA345" s="16" t="n">
        <v>0</v>
      </c>
      <c r="DB345" s="16" t="n">
        <v>0</v>
      </c>
      <c r="DC345" s="16" t="n">
        <v>0</v>
      </c>
      <c r="DD345" s="16" t="n">
        <v>0</v>
      </c>
      <c r="DE345" s="16" t="n">
        <v>0</v>
      </c>
      <c r="DF345" s="16" t="n">
        <v>0</v>
      </c>
      <c r="DG345" s="16" t="n">
        <v>0</v>
      </c>
      <c r="DH345" s="16" t="n">
        <v>0</v>
      </c>
      <c r="DI345" s="16" t="n">
        <v>0</v>
      </c>
      <c r="DJ345" s="16" t="n">
        <v>0</v>
      </c>
      <c r="DK345" s="16" t="n">
        <v>0</v>
      </c>
      <c r="DL345" s="16" t="n">
        <v>0</v>
      </c>
      <c r="DM345" s="16" t="n">
        <v>0</v>
      </c>
      <c r="DN345" s="16" t="n">
        <v>0</v>
      </c>
      <c r="DO345" s="16" t="n">
        <v>0</v>
      </c>
      <c r="DP345" s="16" t="n">
        <v>0</v>
      </c>
      <c r="DQ345" s="16" t="n">
        <v>0</v>
      </c>
      <c r="DR345" s="16" t="n">
        <v>0</v>
      </c>
      <c r="DS345" s="16" t="n">
        <v>0</v>
      </c>
      <c r="DT345" s="16" t="n">
        <v>0</v>
      </c>
      <c r="DU345" s="16" t="n">
        <v>0</v>
      </c>
      <c r="DV345" s="16" t="n">
        <v>0</v>
      </c>
      <c r="DW345" s="16" t="n">
        <v>0</v>
      </c>
      <c r="DX345" s="16" t="n">
        <v>0</v>
      </c>
      <c r="DY345" s="16" t="n">
        <v>0</v>
      </c>
      <c r="DZ345" s="16" t="n">
        <v>0</v>
      </c>
      <c r="EA345" s="16" t="n">
        <v>0</v>
      </c>
      <c r="EB345" s="16" t="n">
        <v>0</v>
      </c>
      <c r="EC345" s="16" t="n">
        <v>0</v>
      </c>
      <c r="ED345" s="16" t="n">
        <v>0</v>
      </c>
      <c r="EE345" s="16" t="n">
        <v>0</v>
      </c>
      <c r="EF345" s="16" t="n">
        <v>0</v>
      </c>
    </row>
    <row r="346" customFormat="false" ht="15" hidden="false" customHeight="true" outlineLevel="0" collapsed="false">
      <c r="A346" s="9" t="s">
        <v>12</v>
      </c>
      <c r="B346" s="9" t="s">
        <v>116</v>
      </c>
      <c r="C346" s="9" t="s">
        <v>116</v>
      </c>
      <c r="D346" s="9" t="s">
        <v>337</v>
      </c>
      <c r="E346" s="9" t="s">
        <v>10</v>
      </c>
      <c r="F346" s="9" t="s">
        <v>99</v>
      </c>
      <c r="G346" s="16" t="n">
        <v>0</v>
      </c>
      <c r="H346" s="16" t="n">
        <v>0</v>
      </c>
      <c r="I346" s="16" t="n">
        <v>13</v>
      </c>
      <c r="J346" s="16" t="n">
        <v>-13</v>
      </c>
      <c r="K346" s="16" t="n">
        <v>0</v>
      </c>
      <c r="L346" s="16" t="n">
        <v>0</v>
      </c>
      <c r="M346" s="16" t="n">
        <v>0</v>
      </c>
      <c r="N346" s="16" t="n">
        <v>0</v>
      </c>
      <c r="O346" s="16" t="n">
        <v>0</v>
      </c>
      <c r="P346" s="16" t="n">
        <v>0</v>
      </c>
      <c r="Q346" s="16" t="n">
        <v>0</v>
      </c>
      <c r="R346" s="16" t="n">
        <v>0</v>
      </c>
      <c r="S346" s="16" t="n">
        <v>0</v>
      </c>
      <c r="T346" s="16" t="n">
        <v>0</v>
      </c>
      <c r="U346" s="16" t="n">
        <v>0</v>
      </c>
      <c r="V346" s="16" t="n">
        <v>0</v>
      </c>
      <c r="W346" s="16" t="n">
        <v>0</v>
      </c>
      <c r="X346" s="16" t="n">
        <v>0</v>
      </c>
      <c r="Y346" s="16" t="n">
        <v>0</v>
      </c>
      <c r="Z346" s="16" t="n">
        <v>0</v>
      </c>
      <c r="AA346" s="16" t="n">
        <v>0</v>
      </c>
      <c r="AB346" s="16" t="n">
        <v>0</v>
      </c>
      <c r="AC346" s="16" t="n">
        <v>0</v>
      </c>
      <c r="AD346" s="16" t="n">
        <v>0</v>
      </c>
      <c r="AE346" s="16" t="n">
        <v>0</v>
      </c>
      <c r="AF346" s="16" t="n">
        <v>0</v>
      </c>
      <c r="AG346" s="16" t="n">
        <v>0</v>
      </c>
      <c r="AH346" s="16" t="n">
        <v>0</v>
      </c>
      <c r="AI346" s="16" t="n">
        <v>0</v>
      </c>
      <c r="AJ346" s="16" t="n">
        <v>0</v>
      </c>
      <c r="AK346" s="16" t="n">
        <v>0</v>
      </c>
      <c r="AL346" s="16" t="n">
        <v>0</v>
      </c>
      <c r="AM346" s="16" t="n">
        <v>0</v>
      </c>
      <c r="AN346" s="16" t="n">
        <v>0</v>
      </c>
      <c r="AO346" s="16" t="n">
        <v>0</v>
      </c>
      <c r="AP346" s="16" t="n">
        <v>0</v>
      </c>
      <c r="AQ346" s="16" t="n">
        <v>0</v>
      </c>
      <c r="AR346" s="16" t="n">
        <v>0</v>
      </c>
      <c r="AS346" s="16" t="n">
        <v>0</v>
      </c>
      <c r="AT346" s="16" t="n">
        <v>0</v>
      </c>
      <c r="AU346" s="16" t="n">
        <v>0</v>
      </c>
      <c r="AV346" s="16" t="n">
        <v>0</v>
      </c>
      <c r="AW346" s="16" t="n">
        <v>0</v>
      </c>
      <c r="AX346" s="16" t="n">
        <v>0</v>
      </c>
      <c r="AY346" s="16" t="n">
        <v>0</v>
      </c>
      <c r="AZ346" s="16" t="n">
        <v>0</v>
      </c>
      <c r="BA346" s="16" t="n">
        <v>0</v>
      </c>
      <c r="BB346" s="16" t="n">
        <v>0</v>
      </c>
      <c r="BC346" s="16" t="n">
        <v>0</v>
      </c>
      <c r="BD346" s="16" t="n">
        <v>0</v>
      </c>
      <c r="BE346" s="16" t="n">
        <v>0</v>
      </c>
      <c r="BF346" s="16" t="n">
        <v>0</v>
      </c>
      <c r="BG346" s="16" t="n">
        <v>0</v>
      </c>
      <c r="BH346" s="16" t="n">
        <v>0</v>
      </c>
      <c r="BI346" s="16" t="n">
        <v>0</v>
      </c>
      <c r="BJ346" s="16" t="n">
        <v>0</v>
      </c>
      <c r="BK346" s="16" t="n">
        <v>0</v>
      </c>
      <c r="BL346" s="16" t="n">
        <v>0</v>
      </c>
      <c r="BM346" s="16" t="n">
        <v>0</v>
      </c>
      <c r="BN346" s="16" t="n">
        <v>0</v>
      </c>
      <c r="BO346" s="16" t="n">
        <v>0</v>
      </c>
      <c r="BP346" s="16" t="n">
        <v>0</v>
      </c>
      <c r="BQ346" s="16" t="n">
        <v>0</v>
      </c>
      <c r="BR346" s="16" t="n">
        <v>0</v>
      </c>
      <c r="BS346" s="16" t="n">
        <v>0</v>
      </c>
      <c r="BT346" s="16" t="n">
        <v>0</v>
      </c>
      <c r="BU346" s="16" t="n">
        <v>0</v>
      </c>
      <c r="BV346" s="16" t="n">
        <v>0</v>
      </c>
      <c r="BW346" s="16" t="n">
        <v>0</v>
      </c>
      <c r="BX346" s="16" t="n">
        <v>0</v>
      </c>
      <c r="BY346" s="16" t="n">
        <v>0</v>
      </c>
      <c r="BZ346" s="16" t="n">
        <v>0</v>
      </c>
      <c r="CA346" s="16" t="n">
        <v>0</v>
      </c>
      <c r="CB346" s="16" t="n">
        <v>0</v>
      </c>
      <c r="CC346" s="16" t="n">
        <v>0</v>
      </c>
      <c r="CD346" s="16" t="n">
        <v>0</v>
      </c>
      <c r="CE346" s="16" t="n">
        <v>0</v>
      </c>
      <c r="CF346" s="16" t="n">
        <v>0</v>
      </c>
      <c r="CG346" s="16" t="n">
        <v>0</v>
      </c>
      <c r="CH346" s="16" t="n">
        <v>0</v>
      </c>
      <c r="CI346" s="16" t="n">
        <v>0</v>
      </c>
      <c r="CJ346" s="16" t="n">
        <v>0</v>
      </c>
      <c r="CK346" s="16" t="n">
        <v>0</v>
      </c>
      <c r="CL346" s="16" t="n">
        <v>0</v>
      </c>
      <c r="CM346" s="16" t="n">
        <v>0</v>
      </c>
      <c r="CN346" s="16" t="n">
        <v>0</v>
      </c>
      <c r="CO346" s="16" t="n">
        <v>0</v>
      </c>
      <c r="CP346" s="16" t="n">
        <v>0</v>
      </c>
      <c r="CQ346" s="16" t="n">
        <v>0</v>
      </c>
      <c r="CR346" s="16" t="n">
        <v>0</v>
      </c>
      <c r="CS346" s="16" t="n">
        <v>0</v>
      </c>
      <c r="CT346" s="16" t="n">
        <v>0</v>
      </c>
      <c r="CU346" s="16" t="n">
        <v>0</v>
      </c>
      <c r="CV346" s="16" t="n">
        <v>0</v>
      </c>
      <c r="CW346" s="16" t="n">
        <v>0</v>
      </c>
      <c r="CX346" s="16" t="n">
        <v>0</v>
      </c>
      <c r="CY346" s="16" t="n">
        <v>0</v>
      </c>
      <c r="CZ346" s="16" t="n">
        <v>0</v>
      </c>
      <c r="DA346" s="16" t="n">
        <v>0</v>
      </c>
      <c r="DB346" s="16" t="n">
        <v>1.5</v>
      </c>
      <c r="DC346" s="16" t="n">
        <v>1.5</v>
      </c>
      <c r="DD346" s="16" t="n">
        <v>3</v>
      </c>
      <c r="DE346" s="16" t="n">
        <v>0</v>
      </c>
      <c r="DF346" s="16" t="n">
        <v>0</v>
      </c>
      <c r="DG346" s="16" t="n">
        <v>0</v>
      </c>
      <c r="DH346" s="16" t="n">
        <v>0</v>
      </c>
      <c r="DI346" s="16" t="n">
        <v>0</v>
      </c>
      <c r="DJ346" s="16" t="n">
        <v>0</v>
      </c>
      <c r="DK346" s="16" t="n">
        <v>0</v>
      </c>
      <c r="DL346" s="16" t="n">
        <v>0</v>
      </c>
      <c r="DM346" s="16" t="n">
        <v>0</v>
      </c>
      <c r="DN346" s="16" t="n">
        <v>0</v>
      </c>
      <c r="DO346" s="16" t="n">
        <v>1.5</v>
      </c>
      <c r="DP346" s="16" t="n">
        <v>1.5</v>
      </c>
      <c r="DQ346" s="16" t="n">
        <v>4</v>
      </c>
      <c r="DR346" s="16" t="n">
        <v>0</v>
      </c>
      <c r="DS346" s="16" t="n">
        <v>0</v>
      </c>
      <c r="DT346" s="16" t="n">
        <v>0</v>
      </c>
      <c r="DU346" s="16" t="n">
        <v>0</v>
      </c>
      <c r="DV346" s="16" t="n">
        <v>0</v>
      </c>
      <c r="DW346" s="16" t="n">
        <v>0</v>
      </c>
      <c r="DX346" s="16" t="n">
        <v>0</v>
      </c>
      <c r="DY346" s="16" t="n">
        <v>0</v>
      </c>
      <c r="DZ346" s="16" t="n">
        <v>0</v>
      </c>
      <c r="EA346" s="16" t="n">
        <v>0</v>
      </c>
      <c r="EB346" s="16" t="n">
        <v>0</v>
      </c>
      <c r="EC346" s="16" t="n">
        <v>0</v>
      </c>
      <c r="ED346" s="16" t="n">
        <v>0</v>
      </c>
      <c r="EE346" s="16" t="n">
        <v>0</v>
      </c>
      <c r="EF346" s="16" t="n">
        <v>0</v>
      </c>
    </row>
    <row r="347" customFormat="false" ht="15" hidden="false" customHeight="true" outlineLevel="0" collapsed="false">
      <c r="A347" s="9" t="s">
        <v>12</v>
      </c>
      <c r="B347" s="9" t="s">
        <v>116</v>
      </c>
      <c r="C347" s="9" t="s">
        <v>116</v>
      </c>
      <c r="D347" s="9" t="s">
        <v>337</v>
      </c>
      <c r="E347" s="9" t="s">
        <v>10</v>
      </c>
      <c r="F347" s="9" t="s">
        <v>43</v>
      </c>
      <c r="G347" s="16" t="n">
        <v>0</v>
      </c>
      <c r="H347" s="16" t="n">
        <v>0</v>
      </c>
      <c r="I347" s="16" t="n">
        <v>23</v>
      </c>
      <c r="J347" s="16" t="n">
        <v>-23</v>
      </c>
      <c r="K347" s="16" t="n">
        <v>0</v>
      </c>
      <c r="L347" s="16" t="n">
        <v>0</v>
      </c>
      <c r="M347" s="16" t="n">
        <v>0</v>
      </c>
      <c r="N347" s="16" t="n">
        <v>0</v>
      </c>
      <c r="O347" s="16" t="n">
        <v>0</v>
      </c>
      <c r="P347" s="16" t="n">
        <v>0</v>
      </c>
      <c r="Q347" s="16" t="n">
        <v>0</v>
      </c>
      <c r="R347" s="16" t="n">
        <v>0</v>
      </c>
      <c r="S347" s="16" t="n">
        <v>0</v>
      </c>
      <c r="T347" s="16" t="n">
        <v>0</v>
      </c>
      <c r="U347" s="16" t="n">
        <v>0</v>
      </c>
      <c r="V347" s="16" t="n">
        <v>0</v>
      </c>
      <c r="W347" s="16" t="n">
        <v>0</v>
      </c>
      <c r="X347" s="16" t="n">
        <v>0</v>
      </c>
      <c r="Y347" s="16" t="n">
        <v>0</v>
      </c>
      <c r="Z347" s="16" t="n">
        <v>0</v>
      </c>
      <c r="AA347" s="16" t="n">
        <v>0</v>
      </c>
      <c r="AB347" s="16" t="n">
        <v>0</v>
      </c>
      <c r="AC347" s="16" t="n">
        <v>0</v>
      </c>
      <c r="AD347" s="16" t="n">
        <v>0</v>
      </c>
      <c r="AE347" s="16" t="n">
        <v>0</v>
      </c>
      <c r="AF347" s="16" t="n">
        <v>0</v>
      </c>
      <c r="AG347" s="16" t="n">
        <v>0</v>
      </c>
      <c r="AH347" s="16" t="n">
        <v>0</v>
      </c>
      <c r="AI347" s="16" t="n">
        <v>0</v>
      </c>
      <c r="AJ347" s="16" t="n">
        <v>2</v>
      </c>
      <c r="AK347" s="16" t="n">
        <v>0</v>
      </c>
      <c r="AL347" s="16" t="n">
        <v>0</v>
      </c>
      <c r="AM347" s="16" t="n">
        <v>0</v>
      </c>
      <c r="AN347" s="16" t="n">
        <v>0</v>
      </c>
      <c r="AO347" s="16" t="n">
        <v>0</v>
      </c>
      <c r="AP347" s="16" t="n">
        <v>0</v>
      </c>
      <c r="AQ347" s="16" t="n">
        <v>0</v>
      </c>
      <c r="AR347" s="16" t="n">
        <v>0</v>
      </c>
      <c r="AS347" s="16" t="n">
        <v>0</v>
      </c>
      <c r="AT347" s="16" t="n">
        <v>0</v>
      </c>
      <c r="AU347" s="16" t="n">
        <v>0</v>
      </c>
      <c r="AV347" s="16" t="n">
        <v>0</v>
      </c>
      <c r="AW347" s="16" t="n">
        <v>0</v>
      </c>
      <c r="AX347" s="16" t="n">
        <v>0</v>
      </c>
      <c r="AY347" s="16" t="n">
        <v>0</v>
      </c>
      <c r="AZ347" s="16" t="n">
        <v>0</v>
      </c>
      <c r="BA347" s="16" t="n">
        <v>0</v>
      </c>
      <c r="BB347" s="16" t="n">
        <v>0</v>
      </c>
      <c r="BC347" s="16" t="n">
        <v>0</v>
      </c>
      <c r="BD347" s="16" t="n">
        <v>0</v>
      </c>
      <c r="BE347" s="16" t="n">
        <v>0</v>
      </c>
      <c r="BF347" s="16" t="n">
        <v>0</v>
      </c>
      <c r="BG347" s="16" t="n">
        <v>0</v>
      </c>
      <c r="BH347" s="16" t="n">
        <v>0</v>
      </c>
      <c r="BI347" s="16" t="n">
        <v>0</v>
      </c>
      <c r="BJ347" s="16" t="n">
        <v>0</v>
      </c>
      <c r="BK347" s="16" t="n">
        <v>0</v>
      </c>
      <c r="BL347" s="16" t="n">
        <v>0</v>
      </c>
      <c r="BM347" s="16" t="n">
        <v>0</v>
      </c>
      <c r="BN347" s="16" t="n">
        <v>0</v>
      </c>
      <c r="BO347" s="16" t="n">
        <v>0</v>
      </c>
      <c r="BP347" s="16" t="n">
        <v>0</v>
      </c>
      <c r="BQ347" s="16" t="n">
        <v>0</v>
      </c>
      <c r="BR347" s="16" t="n">
        <v>0</v>
      </c>
      <c r="BS347" s="16" t="n">
        <v>0</v>
      </c>
      <c r="BT347" s="16" t="n">
        <v>0</v>
      </c>
      <c r="BU347" s="16" t="n">
        <v>0</v>
      </c>
      <c r="BV347" s="16" t="n">
        <v>0</v>
      </c>
      <c r="BW347" s="16" t="n">
        <v>0</v>
      </c>
      <c r="BX347" s="16" t="n">
        <v>0</v>
      </c>
      <c r="BY347" s="16" t="n">
        <v>0</v>
      </c>
      <c r="BZ347" s="16" t="n">
        <v>0</v>
      </c>
      <c r="CA347" s="16" t="n">
        <v>0</v>
      </c>
      <c r="CB347" s="16" t="n">
        <v>0</v>
      </c>
      <c r="CC347" s="16" t="n">
        <v>0</v>
      </c>
      <c r="CD347" s="16" t="n">
        <v>0</v>
      </c>
      <c r="CE347" s="16" t="n">
        <v>0</v>
      </c>
      <c r="CF347" s="16" t="n">
        <v>0</v>
      </c>
      <c r="CG347" s="16" t="n">
        <v>0</v>
      </c>
      <c r="CH347" s="16" t="n">
        <v>0</v>
      </c>
      <c r="CI347" s="16" t="n">
        <v>0</v>
      </c>
      <c r="CJ347" s="16" t="n">
        <v>0</v>
      </c>
      <c r="CK347" s="16" t="n">
        <v>0</v>
      </c>
      <c r="CL347" s="16" t="n">
        <v>0</v>
      </c>
      <c r="CM347" s="16" t="n">
        <v>0</v>
      </c>
      <c r="CN347" s="16" t="n">
        <v>0</v>
      </c>
      <c r="CO347" s="16" t="n">
        <v>0</v>
      </c>
      <c r="CP347" s="16" t="n">
        <v>0</v>
      </c>
      <c r="CQ347" s="16" t="n">
        <v>0</v>
      </c>
      <c r="CR347" s="16" t="n">
        <v>0</v>
      </c>
      <c r="CS347" s="16" t="n">
        <v>4</v>
      </c>
      <c r="CT347" s="16" t="n">
        <v>1</v>
      </c>
      <c r="CU347" s="16" t="n">
        <v>0</v>
      </c>
      <c r="CV347" s="16" t="n">
        <v>0</v>
      </c>
      <c r="CW347" s="16" t="n">
        <v>0</v>
      </c>
      <c r="CX347" s="16" t="n">
        <v>0</v>
      </c>
      <c r="CY347" s="16" t="n">
        <v>0</v>
      </c>
      <c r="CZ347" s="16" t="n">
        <v>0</v>
      </c>
      <c r="DA347" s="16" t="n">
        <v>0</v>
      </c>
      <c r="DB347" s="16" t="n">
        <v>0</v>
      </c>
      <c r="DC347" s="16" t="n">
        <v>1.5</v>
      </c>
      <c r="DD347" s="16" t="n">
        <v>1.5</v>
      </c>
      <c r="DE347" s="16" t="n">
        <v>3</v>
      </c>
      <c r="DF347" s="16" t="n">
        <v>1</v>
      </c>
      <c r="DG347" s="16" t="n">
        <v>0</v>
      </c>
      <c r="DH347" s="16" t="n">
        <v>0</v>
      </c>
      <c r="DI347" s="16" t="n">
        <v>0</v>
      </c>
      <c r="DJ347" s="16" t="n">
        <v>0</v>
      </c>
      <c r="DK347" s="16" t="n">
        <v>0</v>
      </c>
      <c r="DL347" s="16" t="n">
        <v>0</v>
      </c>
      <c r="DM347" s="16" t="n">
        <v>0</v>
      </c>
      <c r="DN347" s="16" t="n">
        <v>0</v>
      </c>
      <c r="DO347" s="16" t="n">
        <v>0</v>
      </c>
      <c r="DP347" s="16" t="n">
        <v>1.5</v>
      </c>
      <c r="DQ347" s="16" t="n">
        <v>1.5</v>
      </c>
      <c r="DR347" s="16" t="n">
        <v>6</v>
      </c>
      <c r="DS347" s="16" t="n">
        <v>0</v>
      </c>
      <c r="DT347" s="16" t="n">
        <v>0</v>
      </c>
      <c r="DU347" s="16" t="n">
        <v>0</v>
      </c>
      <c r="DV347" s="16" t="n">
        <v>0</v>
      </c>
      <c r="DW347" s="16" t="n">
        <v>0</v>
      </c>
      <c r="DX347" s="16" t="n">
        <v>0</v>
      </c>
      <c r="DY347" s="16" t="n">
        <v>0</v>
      </c>
      <c r="DZ347" s="16" t="n">
        <v>0</v>
      </c>
      <c r="EA347" s="16" t="n">
        <v>0</v>
      </c>
      <c r="EB347" s="16" t="n">
        <v>0</v>
      </c>
      <c r="EC347" s="16" t="n">
        <v>0</v>
      </c>
      <c r="ED347" s="16" t="n">
        <v>0</v>
      </c>
      <c r="EE347" s="16" t="n">
        <v>0</v>
      </c>
      <c r="EF347" s="16" t="n">
        <v>0</v>
      </c>
    </row>
    <row r="348" customFormat="false" ht="15" hidden="false" customHeight="true" outlineLevel="0" collapsed="false">
      <c r="A348" s="9" t="s">
        <v>12</v>
      </c>
      <c r="B348" s="9" t="s">
        <v>116</v>
      </c>
      <c r="C348" s="9" t="s">
        <v>116</v>
      </c>
      <c r="D348" s="9" t="s">
        <v>337</v>
      </c>
      <c r="E348" s="9" t="s">
        <v>10</v>
      </c>
      <c r="F348" s="9" t="s">
        <v>100</v>
      </c>
      <c r="G348" s="16" t="n">
        <v>0</v>
      </c>
      <c r="H348" s="16" t="n">
        <v>0</v>
      </c>
      <c r="I348" s="16" t="n">
        <v>2</v>
      </c>
      <c r="J348" s="16" t="n">
        <v>-2</v>
      </c>
      <c r="K348" s="16" t="n">
        <v>0</v>
      </c>
      <c r="L348" s="16" t="n">
        <v>0</v>
      </c>
      <c r="M348" s="16" t="n">
        <v>0</v>
      </c>
      <c r="N348" s="16" t="n">
        <v>0</v>
      </c>
      <c r="O348" s="16" t="n">
        <v>0</v>
      </c>
      <c r="P348" s="16" t="n">
        <v>0</v>
      </c>
      <c r="Q348" s="16" t="n">
        <v>0</v>
      </c>
      <c r="R348" s="16" t="n">
        <v>0</v>
      </c>
      <c r="S348" s="16" t="n">
        <v>0</v>
      </c>
      <c r="T348" s="16" t="n">
        <v>0</v>
      </c>
      <c r="U348" s="16" t="n">
        <v>0</v>
      </c>
      <c r="V348" s="16" t="n">
        <v>0</v>
      </c>
      <c r="W348" s="16" t="n">
        <v>0</v>
      </c>
      <c r="X348" s="16" t="n">
        <v>0</v>
      </c>
      <c r="Y348" s="16" t="n">
        <v>0</v>
      </c>
      <c r="Z348" s="16" t="n">
        <v>0</v>
      </c>
      <c r="AA348" s="16" t="n">
        <v>0</v>
      </c>
      <c r="AB348" s="16" t="n">
        <v>0</v>
      </c>
      <c r="AC348" s="16" t="n">
        <v>0</v>
      </c>
      <c r="AD348" s="16" t="n">
        <v>0</v>
      </c>
      <c r="AE348" s="16" t="n">
        <v>0</v>
      </c>
      <c r="AF348" s="16" t="n">
        <v>0</v>
      </c>
      <c r="AG348" s="16" t="n">
        <v>0</v>
      </c>
      <c r="AH348" s="16" t="n">
        <v>0</v>
      </c>
      <c r="AI348" s="16" t="n">
        <v>0</v>
      </c>
      <c r="AJ348" s="16" t="n">
        <v>0</v>
      </c>
      <c r="AK348" s="16" t="n">
        <v>0</v>
      </c>
      <c r="AL348" s="16" t="n">
        <v>0</v>
      </c>
      <c r="AM348" s="16" t="n">
        <v>0</v>
      </c>
      <c r="AN348" s="16" t="n">
        <v>0</v>
      </c>
      <c r="AO348" s="16" t="n">
        <v>0</v>
      </c>
      <c r="AP348" s="16" t="n">
        <v>1</v>
      </c>
      <c r="AQ348" s="16" t="n">
        <v>1</v>
      </c>
      <c r="AR348" s="16" t="n">
        <v>0</v>
      </c>
      <c r="AS348" s="16" t="n">
        <v>0</v>
      </c>
      <c r="AT348" s="16" t="n">
        <v>0</v>
      </c>
      <c r="AU348" s="16" t="n">
        <v>0</v>
      </c>
      <c r="AV348" s="16" t="n">
        <v>0</v>
      </c>
      <c r="AW348" s="16" t="n">
        <v>0</v>
      </c>
      <c r="AX348" s="16" t="n">
        <v>0</v>
      </c>
      <c r="AY348" s="16" t="n">
        <v>0</v>
      </c>
      <c r="AZ348" s="16" t="n">
        <v>0</v>
      </c>
      <c r="BA348" s="16" t="n">
        <v>0</v>
      </c>
      <c r="BB348" s="16" t="n">
        <v>0</v>
      </c>
      <c r="BC348" s="16" t="n">
        <v>0</v>
      </c>
      <c r="BD348" s="16" t="n">
        <v>0</v>
      </c>
      <c r="BE348" s="16" t="n">
        <v>0</v>
      </c>
      <c r="BF348" s="16" t="n">
        <v>0</v>
      </c>
      <c r="BG348" s="16" t="n">
        <v>0</v>
      </c>
      <c r="BH348" s="16" t="n">
        <v>0</v>
      </c>
      <c r="BI348" s="16" t="n">
        <v>0</v>
      </c>
      <c r="BJ348" s="16" t="n">
        <v>0</v>
      </c>
      <c r="BK348" s="16" t="n">
        <v>0</v>
      </c>
      <c r="BL348" s="16" t="n">
        <v>0</v>
      </c>
      <c r="BM348" s="16" t="n">
        <v>0</v>
      </c>
      <c r="BN348" s="16" t="n">
        <v>0</v>
      </c>
      <c r="BO348" s="16" t="n">
        <v>0</v>
      </c>
      <c r="BP348" s="16" t="n">
        <v>0</v>
      </c>
      <c r="BQ348" s="16" t="n">
        <v>0</v>
      </c>
      <c r="BR348" s="16" t="n">
        <v>0</v>
      </c>
      <c r="BS348" s="16" t="n">
        <v>0</v>
      </c>
      <c r="BT348" s="16" t="n">
        <v>0</v>
      </c>
      <c r="BU348" s="16" t="n">
        <v>0</v>
      </c>
      <c r="BV348" s="16" t="n">
        <v>0</v>
      </c>
      <c r="BW348" s="16" t="n">
        <v>0</v>
      </c>
      <c r="BX348" s="16" t="n">
        <v>0</v>
      </c>
      <c r="BY348" s="16" t="n">
        <v>0</v>
      </c>
      <c r="BZ348" s="16" t="n">
        <v>0</v>
      </c>
      <c r="CA348" s="16" t="n">
        <v>0</v>
      </c>
      <c r="CB348" s="16" t="n">
        <v>0</v>
      </c>
      <c r="CC348" s="16" t="n">
        <v>0</v>
      </c>
      <c r="CD348" s="16" t="n">
        <v>0</v>
      </c>
      <c r="CE348" s="16" t="n">
        <v>0</v>
      </c>
      <c r="CF348" s="16" t="n">
        <v>0</v>
      </c>
      <c r="CG348" s="16" t="n">
        <v>0</v>
      </c>
      <c r="CH348" s="16" t="n">
        <v>0</v>
      </c>
      <c r="CI348" s="16" t="n">
        <v>0</v>
      </c>
      <c r="CJ348" s="16" t="n">
        <v>0</v>
      </c>
      <c r="CK348" s="16" t="n">
        <v>0</v>
      </c>
      <c r="CL348" s="16" t="n">
        <v>0</v>
      </c>
      <c r="CM348" s="16" t="n">
        <v>0</v>
      </c>
      <c r="CN348" s="16" t="n">
        <v>0</v>
      </c>
      <c r="CO348" s="16" t="n">
        <v>0</v>
      </c>
      <c r="CP348" s="16" t="n">
        <v>0</v>
      </c>
      <c r="CQ348" s="16" t="n">
        <v>0</v>
      </c>
      <c r="CR348" s="16" t="n">
        <v>0</v>
      </c>
      <c r="CS348" s="16" t="n">
        <v>0</v>
      </c>
      <c r="CT348" s="16" t="n">
        <v>0</v>
      </c>
      <c r="CU348" s="16" t="n">
        <v>0</v>
      </c>
      <c r="CV348" s="16" t="n">
        <v>0</v>
      </c>
      <c r="CW348" s="16" t="n">
        <v>0</v>
      </c>
      <c r="CX348" s="16" t="n">
        <v>0</v>
      </c>
      <c r="CY348" s="16" t="n">
        <v>0</v>
      </c>
      <c r="CZ348" s="16" t="n">
        <v>0</v>
      </c>
      <c r="DA348" s="16" t="n">
        <v>0</v>
      </c>
      <c r="DB348" s="16" t="n">
        <v>0</v>
      </c>
      <c r="DC348" s="16" t="n">
        <v>0</v>
      </c>
      <c r="DD348" s="16" t="n">
        <v>0</v>
      </c>
      <c r="DE348" s="16" t="n">
        <v>0</v>
      </c>
      <c r="DF348" s="16" t="n">
        <v>0</v>
      </c>
      <c r="DG348" s="16" t="n">
        <v>0</v>
      </c>
      <c r="DH348" s="16" t="n">
        <v>0</v>
      </c>
      <c r="DI348" s="16" t="n">
        <v>0</v>
      </c>
      <c r="DJ348" s="16" t="n">
        <v>0</v>
      </c>
      <c r="DK348" s="16" t="n">
        <v>0</v>
      </c>
      <c r="DL348" s="16" t="n">
        <v>0</v>
      </c>
      <c r="DM348" s="16" t="n">
        <v>0</v>
      </c>
      <c r="DN348" s="16" t="n">
        <v>0</v>
      </c>
      <c r="DO348" s="16" t="n">
        <v>0</v>
      </c>
      <c r="DP348" s="16" t="n">
        <v>0</v>
      </c>
      <c r="DQ348" s="16" t="n">
        <v>0</v>
      </c>
      <c r="DR348" s="16" t="n">
        <v>0</v>
      </c>
      <c r="DS348" s="16" t="n">
        <v>0</v>
      </c>
      <c r="DT348" s="16" t="n">
        <v>0</v>
      </c>
      <c r="DU348" s="16" t="n">
        <v>0</v>
      </c>
      <c r="DV348" s="16" t="n">
        <v>0</v>
      </c>
      <c r="DW348" s="16" t="n">
        <v>0</v>
      </c>
      <c r="DX348" s="16" t="n">
        <v>0</v>
      </c>
      <c r="DY348" s="16" t="n">
        <v>0</v>
      </c>
      <c r="DZ348" s="16" t="n">
        <v>0</v>
      </c>
      <c r="EA348" s="16" t="n">
        <v>0</v>
      </c>
      <c r="EB348" s="16" t="n">
        <v>0</v>
      </c>
      <c r="EC348" s="16" t="n">
        <v>0</v>
      </c>
      <c r="ED348" s="16" t="n">
        <v>0</v>
      </c>
      <c r="EE348" s="16" t="n">
        <v>0</v>
      </c>
      <c r="EF348" s="16" t="n">
        <v>0</v>
      </c>
    </row>
    <row r="349" customFormat="false" ht="15" hidden="false" customHeight="true" outlineLevel="0" collapsed="false">
      <c r="A349" s="9" t="s">
        <v>12</v>
      </c>
      <c r="B349" s="9" t="s">
        <v>116</v>
      </c>
      <c r="C349" s="9" t="s">
        <v>116</v>
      </c>
      <c r="D349" s="9" t="s">
        <v>338</v>
      </c>
      <c r="E349" s="9" t="s">
        <v>10</v>
      </c>
      <c r="F349" s="9" t="s">
        <v>87</v>
      </c>
      <c r="G349" s="16" t="n">
        <v>0</v>
      </c>
      <c r="H349" s="16" t="n">
        <v>0</v>
      </c>
      <c r="I349" s="16" t="n">
        <v>0</v>
      </c>
      <c r="J349" s="16" t="n">
        <v>0</v>
      </c>
      <c r="K349" s="16" t="n">
        <v>0</v>
      </c>
      <c r="L349" s="16" t="n">
        <v>0</v>
      </c>
      <c r="M349" s="16" t="n">
        <v>0</v>
      </c>
      <c r="N349" s="16" t="n">
        <v>0</v>
      </c>
      <c r="O349" s="16" t="n">
        <v>0</v>
      </c>
      <c r="P349" s="16" t="n">
        <v>0</v>
      </c>
      <c r="Q349" s="16" t="n">
        <v>0</v>
      </c>
      <c r="R349" s="16" t="n">
        <v>0</v>
      </c>
      <c r="S349" s="16" t="n">
        <v>0</v>
      </c>
      <c r="T349" s="16" t="n">
        <v>0</v>
      </c>
      <c r="U349" s="16" t="n">
        <v>0</v>
      </c>
      <c r="V349" s="16" t="n">
        <v>0</v>
      </c>
      <c r="W349" s="16" t="n">
        <v>0</v>
      </c>
      <c r="X349" s="16" t="n">
        <v>0</v>
      </c>
      <c r="Y349" s="16" t="n">
        <v>0</v>
      </c>
      <c r="Z349" s="16" t="n">
        <v>0</v>
      </c>
      <c r="AA349" s="16" t="n">
        <v>0</v>
      </c>
      <c r="AB349" s="16" t="n">
        <v>0</v>
      </c>
      <c r="AC349" s="16" t="n">
        <v>0</v>
      </c>
      <c r="AD349" s="16" t="n">
        <v>0</v>
      </c>
      <c r="AE349" s="16" t="n">
        <v>0</v>
      </c>
      <c r="AF349" s="16" t="n">
        <v>0</v>
      </c>
      <c r="AG349" s="16" t="n">
        <v>0</v>
      </c>
      <c r="AH349" s="16" t="n">
        <v>0</v>
      </c>
      <c r="AI349" s="16" t="n">
        <v>0</v>
      </c>
      <c r="AJ349" s="16" t="n">
        <v>0</v>
      </c>
      <c r="AK349" s="16" t="n">
        <v>0</v>
      </c>
      <c r="AL349" s="16" t="n">
        <v>0</v>
      </c>
      <c r="AM349" s="16" t="n">
        <v>0</v>
      </c>
      <c r="AN349" s="16" t="n">
        <v>0</v>
      </c>
      <c r="AO349" s="16" t="n">
        <v>0</v>
      </c>
      <c r="AP349" s="16" t="n">
        <v>0</v>
      </c>
      <c r="AQ349" s="16" t="n">
        <v>0</v>
      </c>
      <c r="AR349" s="16" t="n">
        <v>0</v>
      </c>
      <c r="AS349" s="16" t="n">
        <v>0</v>
      </c>
      <c r="AT349" s="16" t="n">
        <v>0</v>
      </c>
      <c r="AU349" s="16" t="n">
        <v>0</v>
      </c>
      <c r="AV349" s="16" t="n">
        <v>0</v>
      </c>
      <c r="AW349" s="16" t="n">
        <v>0</v>
      </c>
      <c r="AX349" s="16" t="n">
        <v>0</v>
      </c>
      <c r="AY349" s="16" t="n">
        <v>0</v>
      </c>
      <c r="AZ349" s="16" t="n">
        <v>0</v>
      </c>
      <c r="BA349" s="16" t="n">
        <v>0</v>
      </c>
      <c r="BB349" s="16" t="n">
        <v>0</v>
      </c>
      <c r="BC349" s="16" t="n">
        <v>0</v>
      </c>
      <c r="BD349" s="16" t="n">
        <v>0</v>
      </c>
      <c r="BE349" s="16" t="n">
        <v>0</v>
      </c>
      <c r="BF349" s="16" t="n">
        <v>0</v>
      </c>
      <c r="BG349" s="16" t="n">
        <v>0</v>
      </c>
      <c r="BH349" s="16" t="n">
        <v>0</v>
      </c>
      <c r="BI349" s="16" t="n">
        <v>0</v>
      </c>
      <c r="BJ349" s="16" t="n">
        <v>0</v>
      </c>
      <c r="BK349" s="16" t="n">
        <v>0</v>
      </c>
      <c r="BL349" s="16" t="n">
        <v>0</v>
      </c>
      <c r="BM349" s="16" t="n">
        <v>0</v>
      </c>
      <c r="BN349" s="16" t="n">
        <v>0</v>
      </c>
      <c r="BO349" s="16" t="n">
        <v>0</v>
      </c>
      <c r="BP349" s="16" t="n">
        <v>0</v>
      </c>
      <c r="BQ349" s="16" t="n">
        <v>0</v>
      </c>
      <c r="BR349" s="16" t="n">
        <v>0</v>
      </c>
      <c r="BS349" s="16" t="n">
        <v>0</v>
      </c>
      <c r="BT349" s="16" t="n">
        <v>0</v>
      </c>
      <c r="BU349" s="16" t="n">
        <v>0</v>
      </c>
      <c r="BV349" s="16" t="n">
        <v>0</v>
      </c>
      <c r="BW349" s="16" t="n">
        <v>0</v>
      </c>
      <c r="BX349" s="16" t="n">
        <v>0</v>
      </c>
      <c r="BY349" s="16" t="n">
        <v>0</v>
      </c>
      <c r="BZ349" s="16" t="n">
        <v>0</v>
      </c>
      <c r="CA349" s="16" t="n">
        <v>0</v>
      </c>
      <c r="CB349" s="16" t="n">
        <v>0</v>
      </c>
      <c r="CC349" s="16" t="n">
        <v>0</v>
      </c>
      <c r="CD349" s="16" t="n">
        <v>0</v>
      </c>
      <c r="CE349" s="16" t="n">
        <v>0</v>
      </c>
      <c r="CF349" s="16" t="n">
        <v>0</v>
      </c>
      <c r="CG349" s="16" t="n">
        <v>0</v>
      </c>
      <c r="CH349" s="16" t="n">
        <v>0</v>
      </c>
      <c r="CI349" s="16" t="n">
        <v>0</v>
      </c>
      <c r="CJ349" s="16" t="n">
        <v>0</v>
      </c>
      <c r="CK349" s="16" t="n">
        <v>0</v>
      </c>
      <c r="CL349" s="16" t="n">
        <v>0</v>
      </c>
      <c r="CM349" s="16" t="n">
        <v>0</v>
      </c>
      <c r="CN349" s="16" t="n">
        <v>0</v>
      </c>
      <c r="CO349" s="16" t="n">
        <v>0</v>
      </c>
      <c r="CP349" s="16" t="n">
        <v>0</v>
      </c>
      <c r="CQ349" s="16" t="n">
        <v>0</v>
      </c>
      <c r="CR349" s="16" t="n">
        <v>0</v>
      </c>
      <c r="CS349" s="16" t="n">
        <v>0</v>
      </c>
      <c r="CT349" s="16" t="n">
        <v>0</v>
      </c>
      <c r="CU349" s="16" t="n">
        <v>0</v>
      </c>
      <c r="CV349" s="16" t="n">
        <v>0</v>
      </c>
      <c r="CW349" s="16" t="n">
        <v>0</v>
      </c>
      <c r="CX349" s="16" t="n">
        <v>0</v>
      </c>
      <c r="CY349" s="16" t="n">
        <v>0</v>
      </c>
      <c r="CZ349" s="16" t="n">
        <v>0</v>
      </c>
      <c r="DA349" s="16" t="n">
        <v>0</v>
      </c>
      <c r="DB349" s="16" t="n">
        <v>0</v>
      </c>
      <c r="DC349" s="16" t="n">
        <v>0</v>
      </c>
      <c r="DD349" s="16" t="n">
        <v>0</v>
      </c>
      <c r="DE349" s="16" t="n">
        <v>0</v>
      </c>
      <c r="DF349" s="16" t="n">
        <v>0</v>
      </c>
      <c r="DG349" s="16" t="n">
        <v>0</v>
      </c>
      <c r="DH349" s="16" t="n">
        <v>0</v>
      </c>
      <c r="DI349" s="16" t="n">
        <v>0</v>
      </c>
      <c r="DJ349" s="16" t="n">
        <v>0</v>
      </c>
      <c r="DK349" s="16" t="n">
        <v>0</v>
      </c>
      <c r="DL349" s="16" t="n">
        <v>0</v>
      </c>
      <c r="DM349" s="16" t="n">
        <v>0</v>
      </c>
      <c r="DN349" s="16" t="n">
        <v>0</v>
      </c>
      <c r="DO349" s="16" t="n">
        <v>0</v>
      </c>
      <c r="DP349" s="16" t="n">
        <v>0</v>
      </c>
      <c r="DQ349" s="16" t="n">
        <v>0</v>
      </c>
      <c r="DR349" s="16" t="n">
        <v>0</v>
      </c>
      <c r="DS349" s="16" t="n">
        <v>0</v>
      </c>
      <c r="DT349" s="16" t="n">
        <v>0</v>
      </c>
      <c r="DU349" s="16" t="n">
        <v>0</v>
      </c>
      <c r="DV349" s="16" t="n">
        <v>0</v>
      </c>
      <c r="DW349" s="16" t="n">
        <v>0</v>
      </c>
      <c r="DX349" s="16" t="n">
        <v>0</v>
      </c>
      <c r="DY349" s="16" t="n">
        <v>0</v>
      </c>
      <c r="DZ349" s="16" t="n">
        <v>0</v>
      </c>
      <c r="EA349" s="16" t="n">
        <v>0</v>
      </c>
      <c r="EB349" s="16" t="n">
        <v>0</v>
      </c>
      <c r="EC349" s="16" t="n">
        <v>0</v>
      </c>
      <c r="ED349" s="16" t="n">
        <v>0</v>
      </c>
      <c r="EE349" s="16" t="n">
        <v>0</v>
      </c>
      <c r="EF349" s="16" t="n">
        <v>0</v>
      </c>
    </row>
    <row r="350" customFormat="false" ht="15" hidden="false" customHeight="true" outlineLevel="0" collapsed="false">
      <c r="A350" s="9" t="s">
        <v>12</v>
      </c>
      <c r="B350" s="9" t="s">
        <v>116</v>
      </c>
      <c r="C350" s="9" t="s">
        <v>116</v>
      </c>
      <c r="D350" s="9" t="s">
        <v>337</v>
      </c>
      <c r="E350" s="9" t="s">
        <v>10</v>
      </c>
      <c r="F350" s="9" t="s">
        <v>87</v>
      </c>
      <c r="G350" s="16" t="n">
        <v>0</v>
      </c>
      <c r="H350" s="16" t="n">
        <v>0</v>
      </c>
      <c r="I350" s="16" t="n">
        <v>23</v>
      </c>
      <c r="J350" s="16" t="n">
        <v>-23</v>
      </c>
      <c r="K350" s="16" t="n">
        <v>0</v>
      </c>
      <c r="L350" s="16" t="n">
        <v>0</v>
      </c>
      <c r="M350" s="16" t="n">
        <v>0</v>
      </c>
      <c r="N350" s="16" t="n">
        <v>0</v>
      </c>
      <c r="O350" s="16" t="n">
        <v>0</v>
      </c>
      <c r="P350" s="16" t="n">
        <v>0</v>
      </c>
      <c r="Q350" s="16" t="n">
        <v>0</v>
      </c>
      <c r="R350" s="16" t="n">
        <v>0</v>
      </c>
      <c r="S350" s="16" t="n">
        <v>0</v>
      </c>
      <c r="T350" s="16" t="n">
        <v>0</v>
      </c>
      <c r="U350" s="16" t="n">
        <v>0</v>
      </c>
      <c r="V350" s="16" t="n">
        <v>0</v>
      </c>
      <c r="W350" s="16" t="n">
        <v>0</v>
      </c>
      <c r="X350" s="16" t="n">
        <v>0</v>
      </c>
      <c r="Y350" s="16" t="n">
        <v>0</v>
      </c>
      <c r="Z350" s="16" t="n">
        <v>0</v>
      </c>
      <c r="AA350" s="16" t="n">
        <v>0</v>
      </c>
      <c r="AB350" s="16" t="n">
        <v>0</v>
      </c>
      <c r="AC350" s="16" t="n">
        <v>0</v>
      </c>
      <c r="AD350" s="16" t="n">
        <v>0</v>
      </c>
      <c r="AE350" s="16" t="n">
        <v>0</v>
      </c>
      <c r="AF350" s="16" t="n">
        <v>0</v>
      </c>
      <c r="AG350" s="16" t="n">
        <v>0</v>
      </c>
      <c r="AH350" s="16" t="n">
        <v>0</v>
      </c>
      <c r="AI350" s="16" t="n">
        <v>0</v>
      </c>
      <c r="AJ350" s="16" t="n">
        <v>0</v>
      </c>
      <c r="AK350" s="16" t="n">
        <v>0</v>
      </c>
      <c r="AL350" s="16" t="n">
        <v>0</v>
      </c>
      <c r="AM350" s="16" t="n">
        <v>14</v>
      </c>
      <c r="AN350" s="16" t="n">
        <v>9</v>
      </c>
      <c r="AO350" s="16" t="n">
        <v>0</v>
      </c>
      <c r="AP350" s="16" t="n">
        <v>0</v>
      </c>
      <c r="AQ350" s="16" t="n">
        <v>0</v>
      </c>
      <c r="AR350" s="16" t="n">
        <v>0</v>
      </c>
      <c r="AS350" s="16" t="n">
        <v>0</v>
      </c>
      <c r="AT350" s="16" t="n">
        <v>0</v>
      </c>
      <c r="AU350" s="16" t="n">
        <v>0</v>
      </c>
      <c r="AV350" s="16" t="n">
        <v>0</v>
      </c>
      <c r="AW350" s="16" t="n">
        <v>0</v>
      </c>
      <c r="AX350" s="16" t="n">
        <v>0</v>
      </c>
      <c r="AY350" s="16" t="n">
        <v>0</v>
      </c>
      <c r="AZ350" s="16" t="n">
        <v>0</v>
      </c>
      <c r="BA350" s="16" t="n">
        <v>0</v>
      </c>
      <c r="BB350" s="16" t="n">
        <v>0</v>
      </c>
      <c r="BC350" s="16" t="n">
        <v>0</v>
      </c>
      <c r="BD350" s="16" t="n">
        <v>0</v>
      </c>
      <c r="BE350" s="16" t="n">
        <v>0</v>
      </c>
      <c r="BF350" s="16" t="n">
        <v>0</v>
      </c>
      <c r="BG350" s="16" t="n">
        <v>0</v>
      </c>
      <c r="BH350" s="16" t="n">
        <v>0</v>
      </c>
      <c r="BI350" s="16" t="n">
        <v>0</v>
      </c>
      <c r="BJ350" s="16" t="n">
        <v>0</v>
      </c>
      <c r="BK350" s="16" t="n">
        <v>0</v>
      </c>
      <c r="BL350" s="16" t="n">
        <v>0</v>
      </c>
      <c r="BM350" s="16" t="n">
        <v>0</v>
      </c>
      <c r="BN350" s="16" t="n">
        <v>0</v>
      </c>
      <c r="BO350" s="16" t="n">
        <v>0</v>
      </c>
      <c r="BP350" s="16" t="n">
        <v>0</v>
      </c>
      <c r="BQ350" s="16" t="n">
        <v>0</v>
      </c>
      <c r="BR350" s="16" t="n">
        <v>0</v>
      </c>
      <c r="BS350" s="16" t="n">
        <v>0</v>
      </c>
      <c r="BT350" s="16" t="n">
        <v>0</v>
      </c>
      <c r="BU350" s="16" t="n">
        <v>0</v>
      </c>
      <c r="BV350" s="16" t="n">
        <v>0</v>
      </c>
      <c r="BW350" s="16" t="n">
        <v>0</v>
      </c>
      <c r="BX350" s="16" t="n">
        <v>0</v>
      </c>
      <c r="BY350" s="16" t="n">
        <v>0</v>
      </c>
      <c r="BZ350" s="16" t="n">
        <v>0</v>
      </c>
      <c r="CA350" s="16" t="n">
        <v>0</v>
      </c>
      <c r="CB350" s="16" t="n">
        <v>0</v>
      </c>
      <c r="CC350" s="16" t="n">
        <v>0</v>
      </c>
      <c r="CD350" s="16" t="n">
        <v>0</v>
      </c>
      <c r="CE350" s="16" t="n">
        <v>0</v>
      </c>
      <c r="CF350" s="16" t="n">
        <v>0</v>
      </c>
      <c r="CG350" s="16" t="n">
        <v>0</v>
      </c>
      <c r="CH350" s="16" t="n">
        <v>0</v>
      </c>
      <c r="CI350" s="16" t="n">
        <v>0</v>
      </c>
      <c r="CJ350" s="16" t="n">
        <v>0</v>
      </c>
      <c r="CK350" s="16" t="n">
        <v>0</v>
      </c>
      <c r="CL350" s="16" t="n">
        <v>0</v>
      </c>
      <c r="CM350" s="16" t="n">
        <v>0</v>
      </c>
      <c r="CN350" s="16" t="n">
        <v>0</v>
      </c>
      <c r="CO350" s="16" t="n">
        <v>0</v>
      </c>
      <c r="CP350" s="16" t="n">
        <v>0</v>
      </c>
      <c r="CQ350" s="16" t="n">
        <v>0</v>
      </c>
      <c r="CR350" s="16" t="n">
        <v>0</v>
      </c>
      <c r="CS350" s="16" t="n">
        <v>0</v>
      </c>
      <c r="CT350" s="16" t="n">
        <v>0</v>
      </c>
      <c r="CU350" s="16" t="n">
        <v>0</v>
      </c>
      <c r="CV350" s="16" t="n">
        <v>0</v>
      </c>
      <c r="CW350" s="16" t="n">
        <v>0</v>
      </c>
      <c r="CX350" s="16" t="n">
        <v>0</v>
      </c>
      <c r="CY350" s="16" t="n">
        <v>0</v>
      </c>
      <c r="CZ350" s="16" t="n">
        <v>0</v>
      </c>
      <c r="DA350" s="16" t="n">
        <v>0</v>
      </c>
      <c r="DB350" s="16" t="n">
        <v>0</v>
      </c>
      <c r="DC350" s="16" t="n">
        <v>0</v>
      </c>
      <c r="DD350" s="16" t="n">
        <v>0</v>
      </c>
      <c r="DE350" s="16" t="n">
        <v>0</v>
      </c>
      <c r="DF350" s="16" t="n">
        <v>0</v>
      </c>
      <c r="DG350" s="16" t="n">
        <v>0</v>
      </c>
      <c r="DH350" s="16" t="n">
        <v>0</v>
      </c>
      <c r="DI350" s="16" t="n">
        <v>0</v>
      </c>
      <c r="DJ350" s="16" t="n">
        <v>0</v>
      </c>
      <c r="DK350" s="16" t="n">
        <v>0</v>
      </c>
      <c r="DL350" s="16" t="n">
        <v>0</v>
      </c>
      <c r="DM350" s="16" t="n">
        <v>0</v>
      </c>
      <c r="DN350" s="16" t="n">
        <v>0</v>
      </c>
      <c r="DO350" s="16" t="n">
        <v>0</v>
      </c>
      <c r="DP350" s="16" t="n">
        <v>0</v>
      </c>
      <c r="DQ350" s="16" t="n">
        <v>0</v>
      </c>
      <c r="DR350" s="16" t="n">
        <v>0</v>
      </c>
      <c r="DS350" s="16" t="n">
        <v>0</v>
      </c>
      <c r="DT350" s="16" t="n">
        <v>0</v>
      </c>
      <c r="DU350" s="16" t="n">
        <v>0</v>
      </c>
      <c r="DV350" s="16" t="n">
        <v>0</v>
      </c>
      <c r="DW350" s="16" t="n">
        <v>0</v>
      </c>
      <c r="DX350" s="16" t="n">
        <v>0</v>
      </c>
      <c r="DY350" s="16" t="n">
        <v>0</v>
      </c>
      <c r="DZ350" s="16" t="n">
        <v>0</v>
      </c>
      <c r="EA350" s="16" t="n">
        <v>0</v>
      </c>
      <c r="EB350" s="16" t="n">
        <v>0</v>
      </c>
      <c r="EC350" s="16" t="n">
        <v>0</v>
      </c>
      <c r="ED350" s="16" t="n">
        <v>0</v>
      </c>
      <c r="EE350" s="16" t="n">
        <v>0</v>
      </c>
      <c r="EF350" s="16" t="n">
        <v>0</v>
      </c>
    </row>
    <row r="351" customFormat="false" ht="15" hidden="false" customHeight="true" outlineLevel="0" collapsed="false">
      <c r="A351" s="9" t="s">
        <v>12</v>
      </c>
      <c r="B351" s="9" t="s">
        <v>117</v>
      </c>
      <c r="C351" s="9" t="s">
        <v>117</v>
      </c>
      <c r="D351" s="9" t="s">
        <v>338</v>
      </c>
      <c r="E351" s="9" t="s">
        <v>10</v>
      </c>
      <c r="F351" s="9" t="s">
        <v>82</v>
      </c>
      <c r="G351" s="16" t="n">
        <v>0</v>
      </c>
      <c r="H351" s="16" t="n">
        <v>0</v>
      </c>
      <c r="I351" s="16" t="n">
        <v>18</v>
      </c>
      <c r="J351" s="16" t="n">
        <v>-18</v>
      </c>
      <c r="K351" s="16" t="n">
        <v>0</v>
      </c>
      <c r="L351" s="16" t="n">
        <v>0</v>
      </c>
      <c r="M351" s="16" t="n">
        <v>0</v>
      </c>
      <c r="N351" s="16" t="n">
        <v>0</v>
      </c>
      <c r="O351" s="16" t="n">
        <v>0</v>
      </c>
      <c r="P351" s="16" t="n">
        <v>0</v>
      </c>
      <c r="Q351" s="16" t="n">
        <v>0</v>
      </c>
      <c r="R351" s="16" t="n">
        <v>0</v>
      </c>
      <c r="S351" s="16" t="n">
        <v>0</v>
      </c>
      <c r="T351" s="16" t="n">
        <v>0</v>
      </c>
      <c r="U351" s="16" t="n">
        <v>0</v>
      </c>
      <c r="V351" s="16" t="n">
        <v>0</v>
      </c>
      <c r="W351" s="16" t="n">
        <v>0</v>
      </c>
      <c r="X351" s="16" t="n">
        <v>0</v>
      </c>
      <c r="Y351" s="16" t="n">
        <v>0</v>
      </c>
      <c r="Z351" s="16" t="n">
        <v>9</v>
      </c>
      <c r="AA351" s="16" t="n">
        <v>9</v>
      </c>
      <c r="AB351" s="16" t="n">
        <v>0</v>
      </c>
      <c r="AC351" s="16" t="n">
        <v>0</v>
      </c>
      <c r="AD351" s="16" t="n">
        <v>0</v>
      </c>
      <c r="AE351" s="16" t="n">
        <v>0</v>
      </c>
      <c r="AF351" s="16" t="n">
        <v>0</v>
      </c>
      <c r="AG351" s="16" t="n">
        <v>0</v>
      </c>
      <c r="AH351" s="16" t="n">
        <v>0</v>
      </c>
      <c r="AI351" s="16" t="n">
        <v>0</v>
      </c>
      <c r="AJ351" s="16" t="n">
        <v>0</v>
      </c>
      <c r="AK351" s="16" t="n">
        <v>0</v>
      </c>
      <c r="AL351" s="16" t="n">
        <v>0</v>
      </c>
      <c r="AM351" s="16" t="n">
        <v>0</v>
      </c>
      <c r="AN351" s="16" t="n">
        <v>0</v>
      </c>
      <c r="AO351" s="16" t="n">
        <v>0</v>
      </c>
      <c r="AP351" s="16" t="n">
        <v>0</v>
      </c>
      <c r="AQ351" s="16" t="n">
        <v>0</v>
      </c>
      <c r="AR351" s="16" t="n">
        <v>0</v>
      </c>
      <c r="AS351" s="16" t="n">
        <v>0</v>
      </c>
      <c r="AT351" s="16" t="n">
        <v>0</v>
      </c>
      <c r="AU351" s="16" t="n">
        <v>0</v>
      </c>
      <c r="AV351" s="16" t="n">
        <v>0</v>
      </c>
      <c r="AW351" s="16" t="n">
        <v>0</v>
      </c>
      <c r="AX351" s="16" t="n">
        <v>0</v>
      </c>
      <c r="AY351" s="16" t="n">
        <v>0</v>
      </c>
      <c r="AZ351" s="16" t="n">
        <v>0</v>
      </c>
      <c r="BA351" s="16" t="n">
        <v>0</v>
      </c>
      <c r="BB351" s="16" t="n">
        <v>0</v>
      </c>
      <c r="BC351" s="16" t="n">
        <v>0</v>
      </c>
      <c r="BD351" s="16" t="n">
        <v>0</v>
      </c>
      <c r="BE351" s="16" t="n">
        <v>0</v>
      </c>
      <c r="BF351" s="16" t="n">
        <v>0</v>
      </c>
      <c r="BG351" s="16" t="n">
        <v>0</v>
      </c>
      <c r="BH351" s="16" t="n">
        <v>0</v>
      </c>
      <c r="BI351" s="16" t="n">
        <v>0</v>
      </c>
      <c r="BJ351" s="16" t="n">
        <v>0</v>
      </c>
      <c r="BK351" s="16" t="n">
        <v>0</v>
      </c>
      <c r="BL351" s="16" t="n">
        <v>0</v>
      </c>
      <c r="BM351" s="16" t="n">
        <v>0</v>
      </c>
      <c r="BN351" s="16" t="n">
        <v>0</v>
      </c>
      <c r="BO351" s="16" t="n">
        <v>0</v>
      </c>
      <c r="BP351" s="16" t="n">
        <v>0</v>
      </c>
      <c r="BQ351" s="16" t="n">
        <v>0</v>
      </c>
      <c r="BR351" s="16" t="n">
        <v>0</v>
      </c>
      <c r="BS351" s="16" t="n">
        <v>0</v>
      </c>
      <c r="BT351" s="16" t="n">
        <v>0</v>
      </c>
      <c r="BU351" s="16" t="n">
        <v>0</v>
      </c>
      <c r="BV351" s="16" t="n">
        <v>0</v>
      </c>
      <c r="BW351" s="16" t="n">
        <v>0</v>
      </c>
      <c r="BX351" s="16" t="n">
        <v>0</v>
      </c>
      <c r="BY351" s="16" t="n">
        <v>0</v>
      </c>
      <c r="BZ351" s="16" t="n">
        <v>0</v>
      </c>
      <c r="CA351" s="16" t="n">
        <v>0</v>
      </c>
      <c r="CB351" s="16" t="n">
        <v>0</v>
      </c>
      <c r="CC351" s="16" t="n">
        <v>0</v>
      </c>
      <c r="CD351" s="16" t="n">
        <v>0</v>
      </c>
      <c r="CE351" s="16" t="n">
        <v>0</v>
      </c>
      <c r="CF351" s="16" t="n">
        <v>0</v>
      </c>
      <c r="CG351" s="16" t="n">
        <v>0</v>
      </c>
      <c r="CH351" s="16" t="n">
        <v>0</v>
      </c>
      <c r="CI351" s="16" t="n">
        <v>0</v>
      </c>
      <c r="CJ351" s="16" t="n">
        <v>0</v>
      </c>
      <c r="CK351" s="16" t="n">
        <v>0</v>
      </c>
      <c r="CL351" s="16" t="n">
        <v>0</v>
      </c>
      <c r="CM351" s="16" t="n">
        <v>0</v>
      </c>
      <c r="CN351" s="16" t="n">
        <v>0</v>
      </c>
      <c r="CO351" s="16" t="n">
        <v>0</v>
      </c>
      <c r="CP351" s="16" t="n">
        <v>0</v>
      </c>
      <c r="CQ351" s="16" t="n">
        <v>0</v>
      </c>
      <c r="CR351" s="16" t="n">
        <v>0</v>
      </c>
      <c r="CS351" s="16" t="n">
        <v>0</v>
      </c>
      <c r="CT351" s="16" t="n">
        <v>0</v>
      </c>
      <c r="CU351" s="16" t="n">
        <v>0</v>
      </c>
      <c r="CV351" s="16" t="n">
        <v>0</v>
      </c>
      <c r="CW351" s="16" t="n">
        <v>0</v>
      </c>
      <c r="CX351" s="16" t="n">
        <v>0</v>
      </c>
      <c r="CY351" s="16" t="n">
        <v>0</v>
      </c>
      <c r="CZ351" s="16" t="n">
        <v>0</v>
      </c>
      <c r="DA351" s="16" t="n">
        <v>0</v>
      </c>
      <c r="DB351" s="16" t="n">
        <v>0</v>
      </c>
      <c r="DC351" s="16" t="n">
        <v>0</v>
      </c>
      <c r="DD351" s="16" t="n">
        <v>0</v>
      </c>
      <c r="DE351" s="16" t="n">
        <v>0</v>
      </c>
      <c r="DF351" s="16" t="n">
        <v>0</v>
      </c>
      <c r="DG351" s="16" t="n">
        <v>0</v>
      </c>
      <c r="DH351" s="16" t="n">
        <v>0</v>
      </c>
      <c r="DI351" s="16" t="n">
        <v>0</v>
      </c>
      <c r="DJ351" s="16" t="n">
        <v>0</v>
      </c>
      <c r="DK351" s="16" t="n">
        <v>0</v>
      </c>
      <c r="DL351" s="16" t="n">
        <v>0</v>
      </c>
      <c r="DM351" s="16" t="n">
        <v>0</v>
      </c>
      <c r="DN351" s="16" t="n">
        <v>0</v>
      </c>
      <c r="DO351" s="16" t="n">
        <v>0</v>
      </c>
      <c r="DP351" s="16" t="n">
        <v>0</v>
      </c>
      <c r="DQ351" s="16" t="n">
        <v>0</v>
      </c>
      <c r="DR351" s="16" t="n">
        <v>0</v>
      </c>
      <c r="DS351" s="16" t="n">
        <v>0</v>
      </c>
      <c r="DT351" s="16" t="n">
        <v>0</v>
      </c>
      <c r="DU351" s="16" t="n">
        <v>0</v>
      </c>
      <c r="DV351" s="16" t="n">
        <v>0</v>
      </c>
      <c r="DW351" s="16" t="n">
        <v>0</v>
      </c>
      <c r="DX351" s="16" t="n">
        <v>0</v>
      </c>
      <c r="DY351" s="16" t="n">
        <v>0</v>
      </c>
      <c r="DZ351" s="16" t="n">
        <v>0</v>
      </c>
      <c r="EA351" s="16" t="n">
        <v>0</v>
      </c>
      <c r="EB351" s="16" t="n">
        <v>0</v>
      </c>
      <c r="EC351" s="16" t="n">
        <v>0</v>
      </c>
      <c r="ED351" s="16" t="n">
        <v>0</v>
      </c>
      <c r="EE351" s="16" t="n">
        <v>0</v>
      </c>
      <c r="EF351" s="16" t="n">
        <v>0</v>
      </c>
    </row>
    <row r="352" customFormat="false" ht="15" hidden="false" customHeight="true" outlineLevel="0" collapsed="false">
      <c r="A352" s="9" t="s">
        <v>12</v>
      </c>
      <c r="B352" s="9" t="s">
        <v>117</v>
      </c>
      <c r="C352" s="9" t="s">
        <v>117</v>
      </c>
      <c r="D352" s="9" t="s">
        <v>338</v>
      </c>
      <c r="E352" s="9" t="s">
        <v>10</v>
      </c>
      <c r="F352" s="9" t="s">
        <v>86</v>
      </c>
      <c r="G352" s="16" t="n">
        <v>0</v>
      </c>
      <c r="H352" s="16" t="n">
        <v>0</v>
      </c>
      <c r="I352" s="16" t="n">
        <v>18</v>
      </c>
      <c r="J352" s="16" t="n">
        <v>-18</v>
      </c>
      <c r="K352" s="16" t="n">
        <v>0</v>
      </c>
      <c r="L352" s="16" t="n">
        <v>0</v>
      </c>
      <c r="M352" s="16" t="n">
        <v>0</v>
      </c>
      <c r="N352" s="16" t="n">
        <v>0</v>
      </c>
      <c r="O352" s="16" t="n">
        <v>0</v>
      </c>
      <c r="P352" s="16" t="n">
        <v>0</v>
      </c>
      <c r="Q352" s="16" t="n">
        <v>0</v>
      </c>
      <c r="R352" s="16" t="n">
        <v>0</v>
      </c>
      <c r="S352" s="16" t="n">
        <v>0</v>
      </c>
      <c r="T352" s="16" t="n">
        <v>0</v>
      </c>
      <c r="U352" s="16" t="n">
        <v>0</v>
      </c>
      <c r="V352" s="16" t="n">
        <v>0</v>
      </c>
      <c r="W352" s="16" t="n">
        <v>0</v>
      </c>
      <c r="X352" s="16" t="n">
        <v>0</v>
      </c>
      <c r="Y352" s="16" t="n">
        <v>3</v>
      </c>
      <c r="Z352" s="16" t="n">
        <v>10</v>
      </c>
      <c r="AA352" s="16" t="n">
        <v>5</v>
      </c>
      <c r="AB352" s="16" t="n">
        <v>0</v>
      </c>
      <c r="AC352" s="16" t="n">
        <v>0</v>
      </c>
      <c r="AD352" s="16" t="n">
        <v>0</v>
      </c>
      <c r="AE352" s="16" t="n">
        <v>0</v>
      </c>
      <c r="AF352" s="16" t="n">
        <v>0</v>
      </c>
      <c r="AG352" s="16" t="n">
        <v>0</v>
      </c>
      <c r="AH352" s="16" t="n">
        <v>0</v>
      </c>
      <c r="AI352" s="16" t="n">
        <v>0</v>
      </c>
      <c r="AJ352" s="16" t="n">
        <v>0</v>
      </c>
      <c r="AK352" s="16" t="n">
        <v>0</v>
      </c>
      <c r="AL352" s="16" t="n">
        <v>0</v>
      </c>
      <c r="AM352" s="16" t="n">
        <v>0</v>
      </c>
      <c r="AN352" s="16" t="n">
        <v>0</v>
      </c>
      <c r="AO352" s="16" t="n">
        <v>0</v>
      </c>
      <c r="AP352" s="16" t="n">
        <v>0</v>
      </c>
      <c r="AQ352" s="16" t="n">
        <v>0</v>
      </c>
      <c r="AR352" s="16" t="n">
        <v>0</v>
      </c>
      <c r="AS352" s="16" t="n">
        <v>0</v>
      </c>
      <c r="AT352" s="16" t="n">
        <v>0</v>
      </c>
      <c r="AU352" s="16" t="n">
        <v>0</v>
      </c>
      <c r="AV352" s="16" t="n">
        <v>0</v>
      </c>
      <c r="AW352" s="16" t="n">
        <v>0</v>
      </c>
      <c r="AX352" s="16" t="n">
        <v>0</v>
      </c>
      <c r="AY352" s="16" t="n">
        <v>0</v>
      </c>
      <c r="AZ352" s="16" t="n">
        <v>0</v>
      </c>
      <c r="BA352" s="16" t="n">
        <v>0</v>
      </c>
      <c r="BB352" s="16" t="n">
        <v>0</v>
      </c>
      <c r="BC352" s="16" t="n">
        <v>0</v>
      </c>
      <c r="BD352" s="16" t="n">
        <v>0</v>
      </c>
      <c r="BE352" s="16" t="n">
        <v>0</v>
      </c>
      <c r="BF352" s="16" t="n">
        <v>0</v>
      </c>
      <c r="BG352" s="16" t="n">
        <v>0</v>
      </c>
      <c r="BH352" s="16" t="n">
        <v>0</v>
      </c>
      <c r="BI352" s="16" t="n">
        <v>0</v>
      </c>
      <c r="BJ352" s="16" t="n">
        <v>0</v>
      </c>
      <c r="BK352" s="16" t="n">
        <v>0</v>
      </c>
      <c r="BL352" s="16" t="n">
        <v>0</v>
      </c>
      <c r="BM352" s="16" t="n">
        <v>0</v>
      </c>
      <c r="BN352" s="16" t="n">
        <v>0</v>
      </c>
      <c r="BO352" s="16" t="n">
        <v>0</v>
      </c>
      <c r="BP352" s="16" t="n">
        <v>0</v>
      </c>
      <c r="BQ352" s="16" t="n">
        <v>0</v>
      </c>
      <c r="BR352" s="16" t="n">
        <v>0</v>
      </c>
      <c r="BS352" s="16" t="n">
        <v>0</v>
      </c>
      <c r="BT352" s="16" t="n">
        <v>0</v>
      </c>
      <c r="BU352" s="16" t="n">
        <v>0</v>
      </c>
      <c r="BV352" s="16" t="n">
        <v>0</v>
      </c>
      <c r="BW352" s="16" t="n">
        <v>0</v>
      </c>
      <c r="BX352" s="16" t="n">
        <v>0</v>
      </c>
      <c r="BY352" s="16" t="n">
        <v>0</v>
      </c>
      <c r="BZ352" s="16" t="n">
        <v>0</v>
      </c>
      <c r="CA352" s="16" t="n">
        <v>0</v>
      </c>
      <c r="CB352" s="16" t="n">
        <v>0</v>
      </c>
      <c r="CC352" s="16" t="n">
        <v>0</v>
      </c>
      <c r="CD352" s="16" t="n">
        <v>0</v>
      </c>
      <c r="CE352" s="16" t="n">
        <v>0</v>
      </c>
      <c r="CF352" s="16" t="n">
        <v>0</v>
      </c>
      <c r="CG352" s="16" t="n">
        <v>0</v>
      </c>
      <c r="CH352" s="16" t="n">
        <v>0</v>
      </c>
      <c r="CI352" s="16" t="n">
        <v>0</v>
      </c>
      <c r="CJ352" s="16" t="n">
        <v>0</v>
      </c>
      <c r="CK352" s="16" t="n">
        <v>0</v>
      </c>
      <c r="CL352" s="16" t="n">
        <v>0</v>
      </c>
      <c r="CM352" s="16" t="n">
        <v>0</v>
      </c>
      <c r="CN352" s="16" t="n">
        <v>0</v>
      </c>
      <c r="CO352" s="16" t="n">
        <v>0</v>
      </c>
      <c r="CP352" s="16" t="n">
        <v>0</v>
      </c>
      <c r="CQ352" s="16" t="n">
        <v>0</v>
      </c>
      <c r="CR352" s="16" t="n">
        <v>0</v>
      </c>
      <c r="CS352" s="16" t="n">
        <v>0</v>
      </c>
      <c r="CT352" s="16" t="n">
        <v>0</v>
      </c>
      <c r="CU352" s="16" t="n">
        <v>0</v>
      </c>
      <c r="CV352" s="16" t="n">
        <v>0</v>
      </c>
      <c r="CW352" s="16" t="n">
        <v>0</v>
      </c>
      <c r="CX352" s="16" t="n">
        <v>0</v>
      </c>
      <c r="CY352" s="16" t="n">
        <v>0</v>
      </c>
      <c r="CZ352" s="16" t="n">
        <v>0</v>
      </c>
      <c r="DA352" s="16" t="n">
        <v>0</v>
      </c>
      <c r="DB352" s="16" t="n">
        <v>0</v>
      </c>
      <c r="DC352" s="16" t="n">
        <v>0</v>
      </c>
      <c r="DD352" s="16" t="n">
        <v>0</v>
      </c>
      <c r="DE352" s="16" t="n">
        <v>0</v>
      </c>
      <c r="DF352" s="16" t="n">
        <v>0</v>
      </c>
      <c r="DG352" s="16" t="n">
        <v>0</v>
      </c>
      <c r="DH352" s="16" t="n">
        <v>0</v>
      </c>
      <c r="DI352" s="16" t="n">
        <v>0</v>
      </c>
      <c r="DJ352" s="16" t="n">
        <v>0</v>
      </c>
      <c r="DK352" s="16" t="n">
        <v>0</v>
      </c>
      <c r="DL352" s="16" t="n">
        <v>0</v>
      </c>
      <c r="DM352" s="16" t="n">
        <v>0</v>
      </c>
      <c r="DN352" s="16" t="n">
        <v>0</v>
      </c>
      <c r="DO352" s="16" t="n">
        <v>0</v>
      </c>
      <c r="DP352" s="16" t="n">
        <v>0</v>
      </c>
      <c r="DQ352" s="16" t="n">
        <v>0</v>
      </c>
      <c r="DR352" s="16" t="n">
        <v>0</v>
      </c>
      <c r="DS352" s="16" t="n">
        <v>0</v>
      </c>
      <c r="DT352" s="16" t="n">
        <v>0</v>
      </c>
      <c r="DU352" s="16" t="n">
        <v>0</v>
      </c>
      <c r="DV352" s="16" t="n">
        <v>0</v>
      </c>
      <c r="DW352" s="16" t="n">
        <v>0</v>
      </c>
      <c r="DX352" s="16" t="n">
        <v>0</v>
      </c>
      <c r="DY352" s="16" t="n">
        <v>0</v>
      </c>
      <c r="DZ352" s="16" t="n">
        <v>0</v>
      </c>
      <c r="EA352" s="16" t="n">
        <v>0</v>
      </c>
      <c r="EB352" s="16" t="n">
        <v>0</v>
      </c>
      <c r="EC352" s="16" t="n">
        <v>0</v>
      </c>
      <c r="ED352" s="16" t="n">
        <v>0</v>
      </c>
      <c r="EE352" s="16" t="n">
        <v>0</v>
      </c>
      <c r="EF352" s="16" t="n">
        <v>0</v>
      </c>
    </row>
    <row r="353" customFormat="false" ht="15" hidden="false" customHeight="true" outlineLevel="0" collapsed="false">
      <c r="A353" s="9" t="s">
        <v>12</v>
      </c>
      <c r="B353" s="9" t="s">
        <v>27</v>
      </c>
      <c r="C353" s="9" t="s">
        <v>27</v>
      </c>
      <c r="D353" s="9" t="s">
        <v>335</v>
      </c>
      <c r="E353" s="9" t="s">
        <v>14</v>
      </c>
      <c r="F353" s="9" t="s">
        <v>81</v>
      </c>
      <c r="G353" s="16" t="n">
        <v>0</v>
      </c>
      <c r="H353" s="16" t="n">
        <v>0</v>
      </c>
      <c r="I353" s="16" t="n">
        <v>8</v>
      </c>
      <c r="J353" s="16" t="n">
        <v>-8</v>
      </c>
      <c r="K353" s="16" t="n">
        <v>0</v>
      </c>
      <c r="L353" s="16" t="n">
        <v>0</v>
      </c>
      <c r="M353" s="16" t="n">
        <v>0</v>
      </c>
      <c r="N353" s="16" t="n">
        <v>0</v>
      </c>
      <c r="O353" s="16" t="n">
        <v>0</v>
      </c>
      <c r="P353" s="16" t="n">
        <v>0</v>
      </c>
      <c r="Q353" s="16" t="n">
        <v>0</v>
      </c>
      <c r="R353" s="16" t="n">
        <v>0</v>
      </c>
      <c r="S353" s="16" t="n">
        <v>0</v>
      </c>
      <c r="T353" s="16" t="n">
        <v>0</v>
      </c>
      <c r="U353" s="16" t="n">
        <v>0</v>
      </c>
      <c r="V353" s="16" t="n">
        <v>0</v>
      </c>
      <c r="W353" s="16" t="n">
        <v>0</v>
      </c>
      <c r="X353" s="16" t="n">
        <v>0</v>
      </c>
      <c r="Y353" s="16" t="n">
        <v>0</v>
      </c>
      <c r="Z353" s="16" t="n">
        <v>0</v>
      </c>
      <c r="AA353" s="16" t="n">
        <v>0</v>
      </c>
      <c r="AB353" s="16" t="n">
        <v>0</v>
      </c>
      <c r="AC353" s="16" t="n">
        <v>0</v>
      </c>
      <c r="AD353" s="16" t="n">
        <v>0</v>
      </c>
      <c r="AE353" s="16" t="n">
        <v>0</v>
      </c>
      <c r="AF353" s="16" t="n">
        <v>0</v>
      </c>
      <c r="AG353" s="16" t="n">
        <v>0</v>
      </c>
      <c r="AH353" s="16" t="n">
        <v>0</v>
      </c>
      <c r="AI353" s="16" t="n">
        <v>0</v>
      </c>
      <c r="AJ353" s="16" t="n">
        <v>0</v>
      </c>
      <c r="AK353" s="16" t="n">
        <v>0</v>
      </c>
      <c r="AL353" s="16" t="n">
        <v>0</v>
      </c>
      <c r="AM353" s="16" t="n">
        <v>0</v>
      </c>
      <c r="AN353" s="16" t="n">
        <v>0</v>
      </c>
      <c r="AO353" s="16" t="n">
        <v>0</v>
      </c>
      <c r="AP353" s="16" t="n">
        <v>7</v>
      </c>
      <c r="AQ353" s="16" t="n">
        <v>0</v>
      </c>
      <c r="AR353" s="16" t="n">
        <v>0</v>
      </c>
      <c r="AS353" s="16" t="n">
        <v>0</v>
      </c>
      <c r="AT353" s="16" t="n">
        <v>0</v>
      </c>
      <c r="AU353" s="16" t="n">
        <v>0</v>
      </c>
      <c r="AV353" s="16" t="n">
        <v>0</v>
      </c>
      <c r="AW353" s="16" t="n">
        <v>0</v>
      </c>
      <c r="AX353" s="16" t="n">
        <v>0</v>
      </c>
      <c r="AY353" s="16" t="n">
        <v>0</v>
      </c>
      <c r="AZ353" s="16" t="n">
        <v>0</v>
      </c>
      <c r="BA353" s="16" t="n">
        <v>0</v>
      </c>
      <c r="BB353" s="16" t="n">
        <v>0</v>
      </c>
      <c r="BC353" s="16" t="n">
        <v>0</v>
      </c>
      <c r="BD353" s="16" t="n">
        <v>0</v>
      </c>
      <c r="BE353" s="16" t="n">
        <v>0</v>
      </c>
      <c r="BF353" s="16" t="n">
        <v>0</v>
      </c>
      <c r="BG353" s="16" t="n">
        <v>0</v>
      </c>
      <c r="BH353" s="16" t="n">
        <v>0</v>
      </c>
      <c r="BI353" s="16" t="n">
        <v>0</v>
      </c>
      <c r="BJ353" s="16" t="n">
        <v>0</v>
      </c>
      <c r="BK353" s="16" t="n">
        <v>0</v>
      </c>
      <c r="BL353" s="16" t="n">
        <v>0</v>
      </c>
      <c r="BM353" s="16" t="n">
        <v>0</v>
      </c>
      <c r="BN353" s="16" t="n">
        <v>0</v>
      </c>
      <c r="BO353" s="16" t="n">
        <v>0</v>
      </c>
      <c r="BP353" s="16" t="n">
        <v>0</v>
      </c>
      <c r="BQ353" s="16" t="n">
        <v>0</v>
      </c>
      <c r="BR353" s="16" t="n">
        <v>0</v>
      </c>
      <c r="BS353" s="16" t="n">
        <v>0</v>
      </c>
      <c r="BT353" s="16" t="n">
        <v>0</v>
      </c>
      <c r="BU353" s="16" t="n">
        <v>0</v>
      </c>
      <c r="BV353" s="16" t="n">
        <v>0</v>
      </c>
      <c r="BW353" s="16" t="n">
        <v>0</v>
      </c>
      <c r="BX353" s="16" t="n">
        <v>0</v>
      </c>
      <c r="BY353" s="16" t="n">
        <v>0</v>
      </c>
      <c r="BZ353" s="16" t="n">
        <v>0</v>
      </c>
      <c r="CA353" s="16" t="n">
        <v>0</v>
      </c>
      <c r="CB353" s="16" t="n">
        <v>0</v>
      </c>
      <c r="CC353" s="16" t="n">
        <v>0</v>
      </c>
      <c r="CD353" s="16" t="n">
        <v>0</v>
      </c>
      <c r="CE353" s="16" t="n">
        <v>0</v>
      </c>
      <c r="CF353" s="16" t="n">
        <v>0</v>
      </c>
      <c r="CG353" s="16" t="n">
        <v>0</v>
      </c>
      <c r="CH353" s="16" t="n">
        <v>0</v>
      </c>
      <c r="CI353" s="16" t="n">
        <v>0</v>
      </c>
      <c r="CJ353" s="16" t="n">
        <v>0</v>
      </c>
      <c r="CK353" s="16" t="n">
        <v>0</v>
      </c>
      <c r="CL353" s="16" t="n">
        <v>0</v>
      </c>
      <c r="CM353" s="16" t="n">
        <v>0</v>
      </c>
      <c r="CN353" s="16" t="n">
        <v>0</v>
      </c>
      <c r="CO353" s="16" t="n">
        <v>0</v>
      </c>
      <c r="CP353" s="16" t="n">
        <v>0</v>
      </c>
      <c r="CQ353" s="16" t="n">
        <v>0</v>
      </c>
      <c r="CR353" s="16" t="n">
        <v>0</v>
      </c>
      <c r="CS353" s="16" t="n">
        <v>0</v>
      </c>
      <c r="CT353" s="16" t="n">
        <v>1</v>
      </c>
      <c r="CU353" s="16" t="n">
        <v>0</v>
      </c>
      <c r="CV353" s="16" t="n">
        <v>0</v>
      </c>
      <c r="CW353" s="16" t="n">
        <v>0</v>
      </c>
      <c r="CX353" s="16" t="n">
        <v>0</v>
      </c>
      <c r="CY353" s="16" t="n">
        <v>0</v>
      </c>
      <c r="CZ353" s="16" t="n">
        <v>0</v>
      </c>
      <c r="DA353" s="16" t="n">
        <v>0</v>
      </c>
      <c r="DB353" s="16" t="n">
        <v>0</v>
      </c>
      <c r="DC353" s="16" t="n">
        <v>0</v>
      </c>
      <c r="DD353" s="16" t="n">
        <v>0</v>
      </c>
      <c r="DE353" s="16" t="n">
        <v>0</v>
      </c>
      <c r="DF353" s="16" t="n">
        <v>0</v>
      </c>
      <c r="DG353" s="16" t="n">
        <v>0</v>
      </c>
      <c r="DH353" s="16" t="n">
        <v>0</v>
      </c>
      <c r="DI353" s="16" t="n">
        <v>0</v>
      </c>
      <c r="DJ353" s="16" t="n">
        <v>0</v>
      </c>
      <c r="DK353" s="16" t="n">
        <v>0</v>
      </c>
      <c r="DL353" s="16" t="n">
        <v>0</v>
      </c>
      <c r="DM353" s="16" t="n">
        <v>0</v>
      </c>
      <c r="DN353" s="16" t="n">
        <v>0</v>
      </c>
      <c r="DO353" s="16" t="n">
        <v>0</v>
      </c>
      <c r="DP353" s="16" t="n">
        <v>0</v>
      </c>
      <c r="DQ353" s="16" t="n">
        <v>0</v>
      </c>
      <c r="DR353" s="16" t="n">
        <v>0</v>
      </c>
      <c r="DS353" s="16" t="n">
        <v>0</v>
      </c>
      <c r="DT353" s="16" t="n">
        <v>0</v>
      </c>
      <c r="DU353" s="16" t="n">
        <v>0</v>
      </c>
      <c r="DV353" s="16" t="n">
        <v>0</v>
      </c>
      <c r="DW353" s="16" t="n">
        <v>0</v>
      </c>
      <c r="DX353" s="16" t="n">
        <v>0</v>
      </c>
      <c r="DY353" s="16" t="n">
        <v>0</v>
      </c>
      <c r="DZ353" s="16" t="n">
        <v>0</v>
      </c>
      <c r="EA353" s="16" t="n">
        <v>0</v>
      </c>
      <c r="EB353" s="16" t="n">
        <v>0</v>
      </c>
      <c r="EC353" s="16" t="n">
        <v>0</v>
      </c>
      <c r="ED353" s="16" t="n">
        <v>0</v>
      </c>
      <c r="EE353" s="16" t="n">
        <v>0</v>
      </c>
      <c r="EF353" s="16" t="n">
        <v>0</v>
      </c>
    </row>
    <row r="354" customFormat="false" ht="15" hidden="false" customHeight="true" outlineLevel="0" collapsed="false">
      <c r="A354" s="9" t="s">
        <v>12</v>
      </c>
      <c r="B354" s="9" t="s">
        <v>27</v>
      </c>
      <c r="C354" s="9" t="s">
        <v>27</v>
      </c>
      <c r="D354" s="9" t="s">
        <v>336</v>
      </c>
      <c r="E354" s="9" t="s">
        <v>14</v>
      </c>
      <c r="F354" s="9" t="s">
        <v>81</v>
      </c>
      <c r="G354" s="16" t="n">
        <v>18.5</v>
      </c>
      <c r="H354" s="16" t="n">
        <v>19.5</v>
      </c>
      <c r="I354" s="16" t="n">
        <v>0</v>
      </c>
      <c r="J354" s="16" t="n">
        <v>19.5</v>
      </c>
      <c r="K354" s="16" t="n">
        <v>0</v>
      </c>
      <c r="L354" s="16" t="n">
        <v>0</v>
      </c>
      <c r="M354" s="16" t="n">
        <v>0</v>
      </c>
      <c r="N354" s="16" t="n">
        <v>0</v>
      </c>
      <c r="O354" s="16" t="n">
        <v>0</v>
      </c>
      <c r="P354" s="16" t="n">
        <v>0</v>
      </c>
      <c r="Q354" s="16" t="n">
        <v>0</v>
      </c>
      <c r="R354" s="16" t="n">
        <v>0</v>
      </c>
      <c r="S354" s="16" t="n">
        <v>0</v>
      </c>
      <c r="T354" s="16" t="n">
        <v>0</v>
      </c>
      <c r="U354" s="16" t="n">
        <v>0</v>
      </c>
      <c r="V354" s="16" t="n">
        <v>0</v>
      </c>
      <c r="W354" s="16" t="n">
        <v>0</v>
      </c>
      <c r="X354" s="16" t="n">
        <v>0</v>
      </c>
      <c r="Y354" s="16" t="n">
        <v>0</v>
      </c>
      <c r="Z354" s="16" t="n">
        <v>0</v>
      </c>
      <c r="AA354" s="16" t="n">
        <v>0</v>
      </c>
      <c r="AB354" s="16" t="n">
        <v>0</v>
      </c>
      <c r="AC354" s="16" t="n">
        <v>0</v>
      </c>
      <c r="AD354" s="16" t="n">
        <v>0</v>
      </c>
      <c r="AE354" s="16" t="n">
        <v>0</v>
      </c>
      <c r="AF354" s="16" t="n">
        <v>0</v>
      </c>
      <c r="AG354" s="16" t="n">
        <v>0</v>
      </c>
      <c r="AH354" s="16" t="n">
        <v>0</v>
      </c>
      <c r="AI354" s="16" t="n">
        <v>0</v>
      </c>
      <c r="AJ354" s="16" t="n">
        <v>0</v>
      </c>
      <c r="AK354" s="16" t="n">
        <v>0</v>
      </c>
      <c r="AL354" s="16" t="n">
        <v>0</v>
      </c>
      <c r="AM354" s="16" t="n">
        <v>0</v>
      </c>
      <c r="AN354" s="16" t="n">
        <v>0</v>
      </c>
      <c r="AO354" s="16" t="n">
        <v>0</v>
      </c>
      <c r="AP354" s="16" t="n">
        <v>0</v>
      </c>
      <c r="AQ354" s="16" t="n">
        <v>0</v>
      </c>
      <c r="AR354" s="16" t="n">
        <v>0</v>
      </c>
      <c r="AS354" s="16" t="n">
        <v>0</v>
      </c>
      <c r="AT354" s="16" t="n">
        <v>0</v>
      </c>
      <c r="AU354" s="16" t="n">
        <v>0</v>
      </c>
      <c r="AV354" s="16" t="n">
        <v>0</v>
      </c>
      <c r="AW354" s="16" t="n">
        <v>0</v>
      </c>
      <c r="AX354" s="16" t="n">
        <v>0</v>
      </c>
      <c r="AY354" s="16" t="n">
        <v>0</v>
      </c>
      <c r="AZ354" s="16" t="n">
        <v>0</v>
      </c>
      <c r="BA354" s="16" t="n">
        <v>0</v>
      </c>
      <c r="BB354" s="16" t="n">
        <v>0</v>
      </c>
      <c r="BC354" s="16" t="n">
        <v>0</v>
      </c>
      <c r="BD354" s="16" t="n">
        <v>0</v>
      </c>
      <c r="BE354" s="16" t="n">
        <v>0</v>
      </c>
      <c r="BF354" s="16" t="n">
        <v>0</v>
      </c>
      <c r="BG354" s="16" t="n">
        <v>0</v>
      </c>
      <c r="BH354" s="16" t="n">
        <v>0</v>
      </c>
      <c r="BI354" s="16" t="n">
        <v>0</v>
      </c>
      <c r="BJ354" s="16" t="n">
        <v>0</v>
      </c>
      <c r="BK354" s="16" t="n">
        <v>0</v>
      </c>
      <c r="BL354" s="16" t="n">
        <v>0</v>
      </c>
      <c r="BM354" s="16" t="n">
        <v>0</v>
      </c>
      <c r="BN354" s="16" t="n">
        <v>0</v>
      </c>
      <c r="BO354" s="16" t="n">
        <v>0</v>
      </c>
      <c r="BP354" s="16" t="n">
        <v>0</v>
      </c>
      <c r="BQ354" s="16" t="n">
        <v>0</v>
      </c>
      <c r="BR354" s="16" t="n">
        <v>0</v>
      </c>
      <c r="BS354" s="16" t="n">
        <v>0</v>
      </c>
      <c r="BT354" s="16" t="n">
        <v>0</v>
      </c>
      <c r="BU354" s="16" t="n">
        <v>0</v>
      </c>
      <c r="BV354" s="16" t="n">
        <v>0</v>
      </c>
      <c r="BW354" s="16" t="n">
        <v>0</v>
      </c>
      <c r="BX354" s="16" t="n">
        <v>0</v>
      </c>
      <c r="BY354" s="16" t="n">
        <v>0</v>
      </c>
      <c r="BZ354" s="16" t="n">
        <v>0</v>
      </c>
      <c r="CA354" s="16" t="n">
        <v>0</v>
      </c>
      <c r="CB354" s="16" t="n">
        <v>0</v>
      </c>
      <c r="CC354" s="16" t="n">
        <v>0</v>
      </c>
      <c r="CD354" s="16" t="n">
        <v>0</v>
      </c>
      <c r="CE354" s="16" t="n">
        <v>0</v>
      </c>
      <c r="CF354" s="16" t="n">
        <v>0</v>
      </c>
      <c r="CG354" s="16" t="n">
        <v>0</v>
      </c>
      <c r="CH354" s="16" t="n">
        <v>0</v>
      </c>
      <c r="CI354" s="16" t="n">
        <v>0</v>
      </c>
      <c r="CJ354" s="16" t="n">
        <v>0</v>
      </c>
      <c r="CK354" s="16" t="n">
        <v>0</v>
      </c>
      <c r="CL354" s="16" t="n">
        <v>0</v>
      </c>
      <c r="CM354" s="16" t="n">
        <v>0</v>
      </c>
      <c r="CN354" s="16" t="n">
        <v>0</v>
      </c>
      <c r="CO354" s="16" t="n">
        <v>0</v>
      </c>
      <c r="CP354" s="16" t="n">
        <v>0</v>
      </c>
      <c r="CQ354" s="16" t="n">
        <v>0</v>
      </c>
      <c r="CR354" s="16" t="n">
        <v>0</v>
      </c>
      <c r="CS354" s="16" t="n">
        <v>0</v>
      </c>
      <c r="CT354" s="16" t="n">
        <v>0</v>
      </c>
      <c r="CU354" s="16" t="n">
        <v>0</v>
      </c>
      <c r="CV354" s="16" t="n">
        <v>0</v>
      </c>
      <c r="CW354" s="16" t="n">
        <v>0</v>
      </c>
      <c r="CX354" s="16" t="n">
        <v>0</v>
      </c>
      <c r="CY354" s="16" t="n">
        <v>0</v>
      </c>
      <c r="CZ354" s="16" t="n">
        <v>0</v>
      </c>
      <c r="DA354" s="16" t="n">
        <v>0</v>
      </c>
      <c r="DB354" s="16" t="n">
        <v>0</v>
      </c>
      <c r="DC354" s="16" t="n">
        <v>0</v>
      </c>
      <c r="DD354" s="16" t="n">
        <v>0</v>
      </c>
      <c r="DE354" s="16" t="n">
        <v>0</v>
      </c>
      <c r="DF354" s="16" t="n">
        <v>0</v>
      </c>
      <c r="DG354" s="16" t="n">
        <v>0</v>
      </c>
      <c r="DH354" s="16" t="n">
        <v>0</v>
      </c>
      <c r="DI354" s="16" t="n">
        <v>0</v>
      </c>
      <c r="DJ354" s="16" t="n">
        <v>0</v>
      </c>
      <c r="DK354" s="16" t="n">
        <v>0</v>
      </c>
      <c r="DL354" s="16" t="n">
        <v>0</v>
      </c>
      <c r="DM354" s="16" t="n">
        <v>0</v>
      </c>
      <c r="DN354" s="16" t="n">
        <v>0</v>
      </c>
      <c r="DO354" s="16" t="n">
        <v>0</v>
      </c>
      <c r="DP354" s="16" t="n">
        <v>0</v>
      </c>
      <c r="DQ354" s="16" t="n">
        <v>0</v>
      </c>
      <c r="DR354" s="16" t="n">
        <v>0</v>
      </c>
      <c r="DS354" s="16" t="n">
        <v>0</v>
      </c>
      <c r="DT354" s="16" t="n">
        <v>0</v>
      </c>
      <c r="DU354" s="16" t="n">
        <v>0</v>
      </c>
      <c r="DV354" s="16" t="n">
        <v>0</v>
      </c>
      <c r="DW354" s="16" t="n">
        <v>0</v>
      </c>
      <c r="DX354" s="16" t="n">
        <v>0</v>
      </c>
      <c r="DY354" s="16" t="n">
        <v>0</v>
      </c>
      <c r="DZ354" s="16" t="n">
        <v>0</v>
      </c>
      <c r="EA354" s="16" t="n">
        <v>0</v>
      </c>
      <c r="EB354" s="16" t="n">
        <v>0</v>
      </c>
      <c r="EC354" s="16" t="n">
        <v>0</v>
      </c>
      <c r="ED354" s="16" t="n">
        <v>0</v>
      </c>
      <c r="EE354" s="16" t="n">
        <v>0</v>
      </c>
      <c r="EF354" s="16" t="n">
        <v>0</v>
      </c>
    </row>
    <row r="355" customFormat="false" ht="15" hidden="false" customHeight="true" outlineLevel="0" collapsed="false">
      <c r="A355" s="9" t="s">
        <v>12</v>
      </c>
      <c r="B355" s="9" t="s">
        <v>27</v>
      </c>
      <c r="C355" s="9" t="s">
        <v>27</v>
      </c>
      <c r="D355" s="9" t="s">
        <v>335</v>
      </c>
      <c r="E355" s="9" t="s">
        <v>14</v>
      </c>
      <c r="F355" s="9" t="s">
        <v>94</v>
      </c>
      <c r="G355" s="16" t="n">
        <v>0</v>
      </c>
      <c r="H355" s="16" t="n">
        <v>0</v>
      </c>
      <c r="I355" s="16" t="n">
        <v>209.1</v>
      </c>
      <c r="J355" s="16" t="n">
        <v>-209.1</v>
      </c>
      <c r="K355" s="16" t="n">
        <v>0</v>
      </c>
      <c r="L355" s="16" t="n">
        <v>0</v>
      </c>
      <c r="M355" s="16" t="n">
        <v>0</v>
      </c>
      <c r="N355" s="16" t="n">
        <v>0</v>
      </c>
      <c r="O355" s="16" t="n">
        <v>0</v>
      </c>
      <c r="P355" s="16" t="n">
        <v>0</v>
      </c>
      <c r="Q355" s="16" t="n">
        <v>0</v>
      </c>
      <c r="R355" s="16" t="n">
        <v>0</v>
      </c>
      <c r="S355" s="16" t="n">
        <v>0</v>
      </c>
      <c r="T355" s="16" t="n">
        <v>0</v>
      </c>
      <c r="U355" s="16" t="n">
        <v>0</v>
      </c>
      <c r="V355" s="16" t="n">
        <v>0</v>
      </c>
      <c r="W355" s="16" t="n">
        <v>0</v>
      </c>
      <c r="X355" s="16" t="n">
        <v>0</v>
      </c>
      <c r="Y355" s="16" t="n">
        <v>0</v>
      </c>
      <c r="Z355" s="16" t="n">
        <v>0</v>
      </c>
      <c r="AA355" s="16" t="n">
        <v>0</v>
      </c>
      <c r="AB355" s="16" t="n">
        <v>0</v>
      </c>
      <c r="AC355" s="16" t="n">
        <v>0</v>
      </c>
      <c r="AD355" s="16" t="n">
        <v>0</v>
      </c>
      <c r="AE355" s="16" t="n">
        <v>0</v>
      </c>
      <c r="AF355" s="16" t="n">
        <v>0</v>
      </c>
      <c r="AG355" s="16" t="n">
        <v>0</v>
      </c>
      <c r="AH355" s="16" t="n">
        <v>0</v>
      </c>
      <c r="AI355" s="16" t="n">
        <v>0</v>
      </c>
      <c r="AJ355" s="16" t="n">
        <v>0</v>
      </c>
      <c r="AK355" s="16" t="n">
        <v>0</v>
      </c>
      <c r="AL355" s="16" t="n">
        <v>0</v>
      </c>
      <c r="AM355" s="16" t="n">
        <v>14</v>
      </c>
      <c r="AN355" s="16" t="n">
        <v>0</v>
      </c>
      <c r="AO355" s="16" t="n">
        <v>24</v>
      </c>
      <c r="AP355" s="16" t="n">
        <v>5</v>
      </c>
      <c r="AQ355" s="16" t="n">
        <v>0</v>
      </c>
      <c r="AR355" s="16" t="n">
        <v>0</v>
      </c>
      <c r="AS355" s="16" t="n">
        <v>0</v>
      </c>
      <c r="AT355" s="16" t="n">
        <v>0</v>
      </c>
      <c r="AU355" s="16" t="n">
        <v>0</v>
      </c>
      <c r="AV355" s="16" t="n">
        <v>0</v>
      </c>
      <c r="AW355" s="16" t="n">
        <v>0</v>
      </c>
      <c r="AX355" s="16" t="n">
        <v>0</v>
      </c>
      <c r="AY355" s="16" t="n">
        <v>0</v>
      </c>
      <c r="AZ355" s="16" t="n">
        <v>0</v>
      </c>
      <c r="BA355" s="16" t="n">
        <v>0</v>
      </c>
      <c r="BB355" s="16" t="n">
        <v>0</v>
      </c>
      <c r="BC355" s="16" t="n">
        <v>0</v>
      </c>
      <c r="BD355" s="16" t="n">
        <v>0</v>
      </c>
      <c r="BE355" s="16" t="n">
        <v>0</v>
      </c>
      <c r="BF355" s="16" t="n">
        <v>0</v>
      </c>
      <c r="BG355" s="16" t="n">
        <v>0</v>
      </c>
      <c r="BH355" s="16" t="n">
        <v>0</v>
      </c>
      <c r="BI355" s="16" t="n">
        <v>0</v>
      </c>
      <c r="BJ355" s="16" t="n">
        <v>0</v>
      </c>
      <c r="BK355" s="16" t="n">
        <v>0</v>
      </c>
      <c r="BL355" s="16" t="n">
        <v>0</v>
      </c>
      <c r="BM355" s="16" t="n">
        <v>0</v>
      </c>
      <c r="BN355" s="16" t="n">
        <v>0</v>
      </c>
      <c r="BO355" s="16" t="n">
        <v>0</v>
      </c>
      <c r="BP355" s="16" t="n">
        <v>0</v>
      </c>
      <c r="BQ355" s="16" t="n">
        <v>0</v>
      </c>
      <c r="BR355" s="16" t="n">
        <v>0</v>
      </c>
      <c r="BS355" s="16" t="n">
        <v>0</v>
      </c>
      <c r="BT355" s="16" t="n">
        <v>0</v>
      </c>
      <c r="BU355" s="16" t="n">
        <v>0</v>
      </c>
      <c r="BV355" s="16" t="n">
        <v>0</v>
      </c>
      <c r="BW355" s="16" t="n">
        <v>0</v>
      </c>
      <c r="BX355" s="16" t="n">
        <v>0</v>
      </c>
      <c r="BY355" s="16" t="n">
        <v>0</v>
      </c>
      <c r="BZ355" s="16" t="n">
        <v>0</v>
      </c>
      <c r="CA355" s="16" t="n">
        <v>0</v>
      </c>
      <c r="CB355" s="16" t="n">
        <v>0</v>
      </c>
      <c r="CC355" s="16" t="n">
        <v>0</v>
      </c>
      <c r="CD355" s="16" t="n">
        <v>0</v>
      </c>
      <c r="CE355" s="16" t="n">
        <v>0</v>
      </c>
      <c r="CF355" s="16" t="n">
        <v>0</v>
      </c>
      <c r="CG355" s="16" t="n">
        <v>0</v>
      </c>
      <c r="CH355" s="16" t="n">
        <v>0</v>
      </c>
      <c r="CI355" s="16" t="n">
        <v>0</v>
      </c>
      <c r="CJ355" s="16" t="n">
        <v>0</v>
      </c>
      <c r="CK355" s="16" t="n">
        <v>0</v>
      </c>
      <c r="CL355" s="16" t="n">
        <v>0</v>
      </c>
      <c r="CM355" s="16" t="n">
        <v>0</v>
      </c>
      <c r="CN355" s="16" t="n">
        <v>0</v>
      </c>
      <c r="CO355" s="16" t="n">
        <v>0</v>
      </c>
      <c r="CP355" s="16" t="n">
        <v>0</v>
      </c>
      <c r="CQ355" s="16" t="n">
        <v>0</v>
      </c>
      <c r="CR355" s="16" t="n">
        <v>0</v>
      </c>
      <c r="CS355" s="16" t="n">
        <v>4.821429</v>
      </c>
      <c r="CT355" s="16" t="n">
        <v>4.821429</v>
      </c>
      <c r="CU355" s="16" t="n">
        <v>4.821429</v>
      </c>
      <c r="CV355" s="16" t="n">
        <v>6</v>
      </c>
      <c r="CW355" s="16" t="n">
        <v>6</v>
      </c>
      <c r="CX355" s="16" t="n">
        <v>6</v>
      </c>
      <c r="CY355" s="16" t="n">
        <v>6</v>
      </c>
      <c r="CZ355" s="16" t="n">
        <v>6</v>
      </c>
      <c r="DA355" s="16" t="n">
        <v>6</v>
      </c>
      <c r="DB355" s="16" t="n">
        <v>6</v>
      </c>
      <c r="DC355" s="16" t="n">
        <v>6</v>
      </c>
      <c r="DD355" s="16" t="n">
        <v>6</v>
      </c>
      <c r="DE355" s="16" t="n">
        <v>6</v>
      </c>
      <c r="DF355" s="16" t="n">
        <v>6</v>
      </c>
      <c r="DG355" s="16" t="n">
        <v>6</v>
      </c>
      <c r="DH355" s="16" t="n">
        <v>6</v>
      </c>
      <c r="DI355" s="16" t="n">
        <v>4.821429</v>
      </c>
      <c r="DJ355" s="16" t="n">
        <v>4.821429</v>
      </c>
      <c r="DK355" s="16" t="n">
        <v>8</v>
      </c>
      <c r="DL355" s="16" t="n">
        <v>8</v>
      </c>
      <c r="DM355" s="16" t="n">
        <v>8</v>
      </c>
      <c r="DN355" s="16" t="n">
        <v>8</v>
      </c>
      <c r="DO355" s="16" t="n">
        <v>8</v>
      </c>
      <c r="DP355" s="16" t="n">
        <v>8</v>
      </c>
      <c r="DQ355" s="16" t="n">
        <v>8</v>
      </c>
      <c r="DR355" s="16" t="n">
        <v>8</v>
      </c>
      <c r="DS355" s="16" t="n">
        <v>0</v>
      </c>
      <c r="DT355" s="16" t="n">
        <v>0</v>
      </c>
      <c r="DU355" s="16" t="n">
        <v>0</v>
      </c>
      <c r="DV355" s="16" t="n">
        <v>0</v>
      </c>
      <c r="DW355" s="16" t="n">
        <v>0</v>
      </c>
      <c r="DX355" s="16" t="n">
        <v>0</v>
      </c>
      <c r="DY355" s="16" t="n">
        <v>0</v>
      </c>
      <c r="DZ355" s="16" t="n">
        <v>0</v>
      </c>
      <c r="EA355" s="16" t="n">
        <v>0</v>
      </c>
      <c r="EB355" s="16" t="n">
        <v>0</v>
      </c>
      <c r="EC355" s="16" t="n">
        <v>0</v>
      </c>
      <c r="ED355" s="16" t="n">
        <v>0</v>
      </c>
      <c r="EE355" s="16" t="n">
        <v>0</v>
      </c>
      <c r="EF355" s="16" t="n">
        <v>0</v>
      </c>
    </row>
    <row r="356" customFormat="false" ht="15" hidden="false" customHeight="true" outlineLevel="0" collapsed="false">
      <c r="A356" s="9" t="s">
        <v>12</v>
      </c>
      <c r="B356" s="9" t="s">
        <v>27</v>
      </c>
      <c r="C356" s="9" t="s">
        <v>27</v>
      </c>
      <c r="D356" s="9" t="s">
        <v>336</v>
      </c>
      <c r="E356" s="9" t="s">
        <v>14</v>
      </c>
      <c r="F356" s="9" t="s">
        <v>94</v>
      </c>
      <c r="G356" s="16" t="n">
        <v>85.3</v>
      </c>
      <c r="H356" s="16" t="n">
        <v>251.4</v>
      </c>
      <c r="I356" s="16" t="n">
        <v>20</v>
      </c>
      <c r="J356" s="16" t="n">
        <v>231.4</v>
      </c>
      <c r="K356" s="16" t="n">
        <v>0</v>
      </c>
      <c r="L356" s="16" t="n">
        <v>0</v>
      </c>
      <c r="M356" s="16" t="n">
        <v>0</v>
      </c>
      <c r="N356" s="16" t="n">
        <v>0</v>
      </c>
      <c r="O356" s="16" t="n">
        <v>0</v>
      </c>
      <c r="P356" s="16" t="n">
        <v>0</v>
      </c>
      <c r="Q356" s="16" t="n">
        <v>0</v>
      </c>
      <c r="R356" s="16" t="n">
        <v>0</v>
      </c>
      <c r="S356" s="16" t="n">
        <v>0</v>
      </c>
      <c r="T356" s="16" t="n">
        <v>0</v>
      </c>
      <c r="U356" s="16" t="n">
        <v>0</v>
      </c>
      <c r="V356" s="16" t="n">
        <v>0</v>
      </c>
      <c r="W356" s="16" t="n">
        <v>0</v>
      </c>
      <c r="X356" s="16" t="n">
        <v>0</v>
      </c>
      <c r="Y356" s="16" t="n">
        <v>0</v>
      </c>
      <c r="Z356" s="16" t="n">
        <v>0</v>
      </c>
      <c r="AA356" s="16" t="n">
        <v>0</v>
      </c>
      <c r="AB356" s="16" t="n">
        <v>0</v>
      </c>
      <c r="AC356" s="16" t="n">
        <v>0</v>
      </c>
      <c r="AD356" s="16" t="n">
        <v>0</v>
      </c>
      <c r="AE356" s="16" t="n">
        <v>5</v>
      </c>
      <c r="AF356" s="16" t="n">
        <v>15</v>
      </c>
      <c r="AG356" s="16" t="n">
        <v>0</v>
      </c>
      <c r="AH356" s="16" t="n">
        <v>0</v>
      </c>
      <c r="AI356" s="16" t="n">
        <v>0</v>
      </c>
      <c r="AJ356" s="16" t="n">
        <v>0</v>
      </c>
      <c r="AK356" s="16" t="n">
        <v>0</v>
      </c>
      <c r="AL356" s="16" t="n">
        <v>0</v>
      </c>
      <c r="AM356" s="16" t="n">
        <v>0</v>
      </c>
      <c r="AN356" s="16" t="n">
        <v>0</v>
      </c>
      <c r="AO356" s="16" t="n">
        <v>0</v>
      </c>
      <c r="AP356" s="16" t="n">
        <v>0</v>
      </c>
      <c r="AQ356" s="16" t="n">
        <v>0</v>
      </c>
      <c r="AR356" s="16" t="n">
        <v>0</v>
      </c>
      <c r="AS356" s="16" t="n">
        <v>0</v>
      </c>
      <c r="AT356" s="16" t="n">
        <v>0</v>
      </c>
      <c r="AU356" s="16" t="n">
        <v>0</v>
      </c>
      <c r="AV356" s="16" t="n">
        <v>0</v>
      </c>
      <c r="AW356" s="16" t="n">
        <v>0</v>
      </c>
      <c r="AX356" s="16" t="n">
        <v>0</v>
      </c>
      <c r="AY356" s="16" t="n">
        <v>0</v>
      </c>
      <c r="AZ356" s="16" t="n">
        <v>0</v>
      </c>
      <c r="BA356" s="16" t="n">
        <v>0</v>
      </c>
      <c r="BB356" s="16" t="n">
        <v>0</v>
      </c>
      <c r="BC356" s="16" t="n">
        <v>0</v>
      </c>
      <c r="BD356" s="16" t="n">
        <v>0</v>
      </c>
      <c r="BE356" s="16" t="n">
        <v>0</v>
      </c>
      <c r="BF356" s="16" t="n">
        <v>0</v>
      </c>
      <c r="BG356" s="16" t="n">
        <v>0</v>
      </c>
      <c r="BH356" s="16" t="n">
        <v>0</v>
      </c>
      <c r="BI356" s="16" t="n">
        <v>0</v>
      </c>
      <c r="BJ356" s="16" t="n">
        <v>0</v>
      </c>
      <c r="BK356" s="16" t="n">
        <v>0</v>
      </c>
      <c r="BL356" s="16" t="n">
        <v>0</v>
      </c>
      <c r="BM356" s="16" t="n">
        <v>0</v>
      </c>
      <c r="BN356" s="16" t="n">
        <v>0</v>
      </c>
      <c r="BO356" s="16" t="n">
        <v>0</v>
      </c>
      <c r="BP356" s="16" t="n">
        <v>0</v>
      </c>
      <c r="BQ356" s="16" t="n">
        <v>0</v>
      </c>
      <c r="BR356" s="16" t="n">
        <v>0</v>
      </c>
      <c r="BS356" s="16" t="n">
        <v>0</v>
      </c>
      <c r="BT356" s="16" t="n">
        <v>0</v>
      </c>
      <c r="BU356" s="16" t="n">
        <v>0</v>
      </c>
      <c r="BV356" s="16" t="n">
        <v>0</v>
      </c>
      <c r="BW356" s="16" t="n">
        <v>0</v>
      </c>
      <c r="BX356" s="16" t="n">
        <v>0</v>
      </c>
      <c r="BY356" s="16" t="n">
        <v>0</v>
      </c>
      <c r="BZ356" s="16" t="n">
        <v>0</v>
      </c>
      <c r="CA356" s="16" t="n">
        <v>0</v>
      </c>
      <c r="CB356" s="16" t="n">
        <v>0</v>
      </c>
      <c r="CC356" s="16" t="n">
        <v>0</v>
      </c>
      <c r="CD356" s="16" t="n">
        <v>0</v>
      </c>
      <c r="CE356" s="16" t="n">
        <v>0</v>
      </c>
      <c r="CF356" s="16" t="n">
        <v>0</v>
      </c>
      <c r="CG356" s="16" t="n">
        <v>0</v>
      </c>
      <c r="CH356" s="16" t="n">
        <v>0</v>
      </c>
      <c r="CI356" s="16" t="n">
        <v>0</v>
      </c>
      <c r="CJ356" s="16" t="n">
        <v>0</v>
      </c>
      <c r="CK356" s="16" t="n">
        <v>0</v>
      </c>
      <c r="CL356" s="16" t="n">
        <v>0</v>
      </c>
      <c r="CM356" s="16" t="n">
        <v>0</v>
      </c>
      <c r="CN356" s="16" t="n">
        <v>0</v>
      </c>
      <c r="CO356" s="16" t="n">
        <v>0</v>
      </c>
      <c r="CP356" s="16" t="n">
        <v>0</v>
      </c>
      <c r="CQ356" s="16" t="n">
        <v>0</v>
      </c>
      <c r="CR356" s="16" t="n">
        <v>0</v>
      </c>
      <c r="CS356" s="16" t="n">
        <v>0</v>
      </c>
      <c r="CT356" s="16" t="n">
        <v>0</v>
      </c>
      <c r="CU356" s="16" t="n">
        <v>0</v>
      </c>
      <c r="CV356" s="16" t="n">
        <v>0</v>
      </c>
      <c r="CW356" s="16" t="n">
        <v>0</v>
      </c>
      <c r="CX356" s="16" t="n">
        <v>0</v>
      </c>
      <c r="CY356" s="16" t="n">
        <v>0</v>
      </c>
      <c r="CZ356" s="16" t="n">
        <v>0</v>
      </c>
      <c r="DA356" s="16" t="n">
        <v>0</v>
      </c>
      <c r="DB356" s="16" t="n">
        <v>0</v>
      </c>
      <c r="DC356" s="16" t="n">
        <v>0</v>
      </c>
      <c r="DD356" s="16" t="n">
        <v>0</v>
      </c>
      <c r="DE356" s="16" t="n">
        <v>0</v>
      </c>
      <c r="DF356" s="16" t="n">
        <v>0</v>
      </c>
      <c r="DG356" s="16" t="n">
        <v>0</v>
      </c>
      <c r="DH356" s="16" t="n">
        <v>0</v>
      </c>
      <c r="DI356" s="16" t="n">
        <v>0</v>
      </c>
      <c r="DJ356" s="16" t="n">
        <v>0</v>
      </c>
      <c r="DK356" s="16" t="n">
        <v>0</v>
      </c>
      <c r="DL356" s="16" t="n">
        <v>0</v>
      </c>
      <c r="DM356" s="16" t="n">
        <v>0</v>
      </c>
      <c r="DN356" s="16" t="n">
        <v>0</v>
      </c>
      <c r="DO356" s="16" t="n">
        <v>0</v>
      </c>
      <c r="DP356" s="16" t="n">
        <v>0</v>
      </c>
      <c r="DQ356" s="16" t="n">
        <v>0</v>
      </c>
      <c r="DR356" s="16" t="n">
        <v>0</v>
      </c>
      <c r="DS356" s="16" t="n">
        <v>0</v>
      </c>
      <c r="DT356" s="16" t="n">
        <v>0</v>
      </c>
      <c r="DU356" s="16" t="n">
        <v>0</v>
      </c>
      <c r="DV356" s="16" t="n">
        <v>0</v>
      </c>
      <c r="DW356" s="16" t="n">
        <v>0</v>
      </c>
      <c r="DX356" s="16" t="n">
        <v>0</v>
      </c>
      <c r="DY356" s="16" t="n">
        <v>0</v>
      </c>
      <c r="DZ356" s="16" t="n">
        <v>0</v>
      </c>
      <c r="EA356" s="16" t="n">
        <v>0</v>
      </c>
      <c r="EB356" s="16" t="n">
        <v>0</v>
      </c>
      <c r="EC356" s="16" t="n">
        <v>0</v>
      </c>
      <c r="ED356" s="16" t="n">
        <v>0</v>
      </c>
      <c r="EE356" s="16" t="n">
        <v>0</v>
      </c>
      <c r="EF356" s="16" t="n">
        <v>0</v>
      </c>
    </row>
    <row r="357" customFormat="false" ht="15" hidden="false" customHeight="true" outlineLevel="0" collapsed="false">
      <c r="A357" s="9" t="s">
        <v>12</v>
      </c>
      <c r="B357" s="9" t="s">
        <v>27</v>
      </c>
      <c r="C357" s="9" t="s">
        <v>27</v>
      </c>
      <c r="D357" s="9" t="s">
        <v>335</v>
      </c>
      <c r="E357" s="9" t="s">
        <v>14</v>
      </c>
      <c r="F357" s="9" t="s">
        <v>95</v>
      </c>
      <c r="G357" s="16" t="n">
        <v>0</v>
      </c>
      <c r="H357" s="16" t="n">
        <v>0</v>
      </c>
      <c r="I357" s="16" t="n">
        <v>534</v>
      </c>
      <c r="J357" s="16" t="n">
        <v>-534</v>
      </c>
      <c r="K357" s="16" t="n">
        <v>0</v>
      </c>
      <c r="L357" s="16" t="n">
        <v>0</v>
      </c>
      <c r="M357" s="16" t="n">
        <v>0</v>
      </c>
      <c r="N357" s="16" t="n">
        <v>0</v>
      </c>
      <c r="O357" s="16" t="n">
        <v>0</v>
      </c>
      <c r="P357" s="16" t="n">
        <v>0</v>
      </c>
      <c r="Q357" s="16" t="n">
        <v>0</v>
      </c>
      <c r="R357" s="16" t="n">
        <v>0</v>
      </c>
      <c r="S357" s="16" t="n">
        <v>0</v>
      </c>
      <c r="T357" s="16" t="n">
        <v>0</v>
      </c>
      <c r="U357" s="16" t="n">
        <v>0</v>
      </c>
      <c r="V357" s="16" t="n">
        <v>0</v>
      </c>
      <c r="W357" s="16" t="n">
        <v>0</v>
      </c>
      <c r="X357" s="16" t="n">
        <v>0</v>
      </c>
      <c r="Y357" s="16" t="n">
        <v>0</v>
      </c>
      <c r="Z357" s="16" t="n">
        <v>0</v>
      </c>
      <c r="AA357" s="16" t="n">
        <v>0</v>
      </c>
      <c r="AB357" s="16" t="n">
        <v>0</v>
      </c>
      <c r="AC357" s="16" t="n">
        <v>0</v>
      </c>
      <c r="AD357" s="16" t="n">
        <v>0</v>
      </c>
      <c r="AE357" s="16" t="n">
        <v>0</v>
      </c>
      <c r="AF357" s="16" t="n">
        <v>0</v>
      </c>
      <c r="AG357" s="16" t="n">
        <v>0</v>
      </c>
      <c r="AH357" s="16" t="n">
        <v>0</v>
      </c>
      <c r="AI357" s="16" t="n">
        <v>0</v>
      </c>
      <c r="AJ357" s="16" t="n">
        <v>20</v>
      </c>
      <c r="AK357" s="16" t="n">
        <v>21</v>
      </c>
      <c r="AL357" s="16" t="n">
        <v>37</v>
      </c>
      <c r="AM357" s="16" t="n">
        <v>15</v>
      </c>
      <c r="AN357" s="16" t="n">
        <v>0</v>
      </c>
      <c r="AO357" s="16" t="n">
        <v>0</v>
      </c>
      <c r="AP357" s="16" t="n">
        <v>0</v>
      </c>
      <c r="AQ357" s="16" t="n">
        <v>0</v>
      </c>
      <c r="AR357" s="16" t="n">
        <v>0</v>
      </c>
      <c r="AS357" s="16" t="n">
        <v>0</v>
      </c>
      <c r="AT357" s="16" t="n">
        <v>0</v>
      </c>
      <c r="AU357" s="16" t="n">
        <v>0</v>
      </c>
      <c r="AV357" s="16" t="n">
        <v>0</v>
      </c>
      <c r="AW357" s="16" t="n">
        <v>0</v>
      </c>
      <c r="AX357" s="16" t="n">
        <v>0</v>
      </c>
      <c r="AY357" s="16" t="n">
        <v>0</v>
      </c>
      <c r="AZ357" s="16" t="n">
        <v>0</v>
      </c>
      <c r="BA357" s="16" t="n">
        <v>0</v>
      </c>
      <c r="BB357" s="16" t="n">
        <v>0</v>
      </c>
      <c r="BC357" s="16" t="n">
        <v>0</v>
      </c>
      <c r="BD357" s="16" t="n">
        <v>0</v>
      </c>
      <c r="BE357" s="16" t="n">
        <v>0</v>
      </c>
      <c r="BF357" s="16" t="n">
        <v>0</v>
      </c>
      <c r="BG357" s="16" t="n">
        <v>0</v>
      </c>
      <c r="BH357" s="16" t="n">
        <v>0</v>
      </c>
      <c r="BI357" s="16" t="n">
        <v>0</v>
      </c>
      <c r="BJ357" s="16" t="n">
        <v>0</v>
      </c>
      <c r="BK357" s="16" t="n">
        <v>0</v>
      </c>
      <c r="BL357" s="16" t="n">
        <v>0</v>
      </c>
      <c r="BM357" s="16" t="n">
        <v>0</v>
      </c>
      <c r="BN357" s="16" t="n">
        <v>0</v>
      </c>
      <c r="BO357" s="16" t="n">
        <v>0</v>
      </c>
      <c r="BP357" s="16" t="n">
        <v>0</v>
      </c>
      <c r="BQ357" s="16" t="n">
        <v>0</v>
      </c>
      <c r="BR357" s="16" t="n">
        <v>0</v>
      </c>
      <c r="BS357" s="16" t="n">
        <v>0</v>
      </c>
      <c r="BT357" s="16" t="n">
        <v>0</v>
      </c>
      <c r="BU357" s="16" t="n">
        <v>0</v>
      </c>
      <c r="BV357" s="16" t="n">
        <v>0</v>
      </c>
      <c r="BW357" s="16" t="n">
        <v>0</v>
      </c>
      <c r="BX357" s="16" t="n">
        <v>0</v>
      </c>
      <c r="BY357" s="16" t="n">
        <v>0</v>
      </c>
      <c r="BZ357" s="16" t="n">
        <v>0</v>
      </c>
      <c r="CA357" s="16" t="n">
        <v>0</v>
      </c>
      <c r="CB357" s="16" t="n">
        <v>0</v>
      </c>
      <c r="CC357" s="16" t="n">
        <v>0</v>
      </c>
      <c r="CD357" s="16" t="n">
        <v>0</v>
      </c>
      <c r="CE357" s="16" t="n">
        <v>0</v>
      </c>
      <c r="CF357" s="16" t="n">
        <v>0</v>
      </c>
      <c r="CG357" s="16" t="n">
        <v>0</v>
      </c>
      <c r="CH357" s="16" t="n">
        <v>0</v>
      </c>
      <c r="CI357" s="16" t="n">
        <v>0</v>
      </c>
      <c r="CJ357" s="16" t="n">
        <v>0</v>
      </c>
      <c r="CK357" s="16" t="n">
        <v>0</v>
      </c>
      <c r="CL357" s="16" t="n">
        <v>0</v>
      </c>
      <c r="CM357" s="16" t="n">
        <v>0</v>
      </c>
      <c r="CN357" s="16" t="n">
        <v>0</v>
      </c>
      <c r="CO357" s="16" t="n">
        <v>0</v>
      </c>
      <c r="CP357" s="16" t="n">
        <v>0</v>
      </c>
      <c r="CQ357" s="16" t="n">
        <v>0</v>
      </c>
      <c r="CR357" s="16" t="n">
        <v>0</v>
      </c>
      <c r="CS357" s="16" t="n">
        <v>0</v>
      </c>
      <c r="CT357" s="16" t="n">
        <v>0</v>
      </c>
      <c r="CU357" s="16" t="n">
        <v>0</v>
      </c>
      <c r="CV357" s="16" t="n">
        <v>5</v>
      </c>
      <c r="CW357" s="16" t="n">
        <v>7</v>
      </c>
      <c r="CX357" s="16" t="n">
        <v>14</v>
      </c>
      <c r="CY357" s="16" t="n">
        <v>5</v>
      </c>
      <c r="CZ357" s="16" t="n">
        <v>0</v>
      </c>
      <c r="DA357" s="16" t="n">
        <v>0</v>
      </c>
      <c r="DB357" s="16" t="n">
        <v>4</v>
      </c>
      <c r="DC357" s="16" t="n">
        <v>29</v>
      </c>
      <c r="DD357" s="16" t="n">
        <v>40</v>
      </c>
      <c r="DE357" s="16" t="n">
        <v>40</v>
      </c>
      <c r="DF357" s="16" t="n">
        <v>24</v>
      </c>
      <c r="DG357" s="16" t="n">
        <v>25</v>
      </c>
      <c r="DH357" s="16" t="n">
        <v>5</v>
      </c>
      <c r="DI357" s="16" t="n">
        <v>5</v>
      </c>
      <c r="DJ357" s="16" t="n">
        <v>0</v>
      </c>
      <c r="DK357" s="16" t="n">
        <v>22</v>
      </c>
      <c r="DL357" s="16" t="n">
        <v>30</v>
      </c>
      <c r="DM357" s="16" t="n">
        <v>43</v>
      </c>
      <c r="DN357" s="16" t="n">
        <v>52</v>
      </c>
      <c r="DO357" s="16" t="n">
        <v>45</v>
      </c>
      <c r="DP357" s="16" t="n">
        <v>27</v>
      </c>
      <c r="DQ357" s="16" t="n">
        <v>19</v>
      </c>
      <c r="DR357" s="16" t="n">
        <v>0</v>
      </c>
      <c r="DS357" s="16" t="n">
        <v>0</v>
      </c>
      <c r="DT357" s="16" t="n">
        <v>0</v>
      </c>
      <c r="DU357" s="16" t="n">
        <v>0</v>
      </c>
      <c r="DV357" s="16" t="n">
        <v>0</v>
      </c>
      <c r="DW357" s="16" t="n">
        <v>0</v>
      </c>
      <c r="DX357" s="16" t="n">
        <v>0</v>
      </c>
      <c r="DY357" s="16" t="n">
        <v>0</v>
      </c>
      <c r="DZ357" s="16" t="n">
        <v>0</v>
      </c>
      <c r="EA357" s="16" t="n">
        <v>0</v>
      </c>
      <c r="EB357" s="16" t="n">
        <v>0</v>
      </c>
      <c r="EC357" s="16" t="n">
        <v>0</v>
      </c>
      <c r="ED357" s="16" t="n">
        <v>0</v>
      </c>
      <c r="EE357" s="16" t="n">
        <v>0</v>
      </c>
      <c r="EF357" s="16" t="n">
        <v>0</v>
      </c>
    </row>
    <row r="358" customFormat="false" ht="15" hidden="false" customHeight="true" outlineLevel="0" collapsed="false">
      <c r="A358" s="9" t="s">
        <v>12</v>
      </c>
      <c r="B358" s="9" t="s">
        <v>27</v>
      </c>
      <c r="C358" s="9" t="s">
        <v>27</v>
      </c>
      <c r="D358" s="9" t="s">
        <v>336</v>
      </c>
      <c r="E358" s="9" t="s">
        <v>14</v>
      </c>
      <c r="F358" s="9" t="s">
        <v>95</v>
      </c>
      <c r="G358" s="16" t="n">
        <v>230</v>
      </c>
      <c r="H358" s="16" t="n">
        <v>671</v>
      </c>
      <c r="I358" s="16" t="n">
        <v>171</v>
      </c>
      <c r="J358" s="16" t="n">
        <v>500</v>
      </c>
      <c r="K358" s="16" t="n">
        <v>0</v>
      </c>
      <c r="L358" s="16" t="n">
        <v>0</v>
      </c>
      <c r="M358" s="16" t="n">
        <v>0</v>
      </c>
      <c r="N358" s="16" t="n">
        <v>0</v>
      </c>
      <c r="O358" s="16" t="n">
        <v>0</v>
      </c>
      <c r="P358" s="16" t="n">
        <v>0</v>
      </c>
      <c r="Q358" s="16" t="n">
        <v>0</v>
      </c>
      <c r="R358" s="16" t="n">
        <v>0</v>
      </c>
      <c r="S358" s="16" t="n">
        <v>0</v>
      </c>
      <c r="T358" s="16" t="n">
        <v>0</v>
      </c>
      <c r="U358" s="16" t="n">
        <v>0</v>
      </c>
      <c r="V358" s="16" t="n">
        <v>0</v>
      </c>
      <c r="W358" s="16" t="n">
        <v>0</v>
      </c>
      <c r="X358" s="16" t="n">
        <v>0</v>
      </c>
      <c r="Y358" s="16" t="n">
        <v>0</v>
      </c>
      <c r="Z358" s="16" t="n">
        <v>0</v>
      </c>
      <c r="AA358" s="16" t="n">
        <v>0</v>
      </c>
      <c r="AB358" s="16" t="n">
        <v>11</v>
      </c>
      <c r="AC358" s="16" t="n">
        <v>11</v>
      </c>
      <c r="AD358" s="16" t="n">
        <v>27</v>
      </c>
      <c r="AE358" s="16" t="n">
        <v>20.5</v>
      </c>
      <c r="AF358" s="16" t="n">
        <v>17</v>
      </c>
      <c r="AG358" s="16" t="n">
        <v>29</v>
      </c>
      <c r="AH358" s="16" t="n">
        <v>18.5</v>
      </c>
      <c r="AI358" s="16" t="n">
        <v>26</v>
      </c>
      <c r="AJ358" s="16" t="n">
        <v>11</v>
      </c>
      <c r="AK358" s="16" t="n">
        <v>0</v>
      </c>
      <c r="AL358" s="16" t="n">
        <v>0</v>
      </c>
      <c r="AM358" s="16" t="n">
        <v>0</v>
      </c>
      <c r="AN358" s="16" t="n">
        <v>0</v>
      </c>
      <c r="AO358" s="16" t="n">
        <v>0</v>
      </c>
      <c r="AP358" s="16" t="n">
        <v>0</v>
      </c>
      <c r="AQ358" s="16" t="n">
        <v>0</v>
      </c>
      <c r="AR358" s="16" t="n">
        <v>0</v>
      </c>
      <c r="AS358" s="16" t="n">
        <v>0</v>
      </c>
      <c r="AT358" s="16" t="n">
        <v>0</v>
      </c>
      <c r="AU358" s="16" t="n">
        <v>0</v>
      </c>
      <c r="AV358" s="16" t="n">
        <v>0</v>
      </c>
      <c r="AW358" s="16" t="n">
        <v>0</v>
      </c>
      <c r="AX358" s="16" t="n">
        <v>0</v>
      </c>
      <c r="AY358" s="16" t="n">
        <v>0</v>
      </c>
      <c r="AZ358" s="16" t="n">
        <v>0</v>
      </c>
      <c r="BA358" s="16" t="n">
        <v>0</v>
      </c>
      <c r="BB358" s="16" t="n">
        <v>0</v>
      </c>
      <c r="BC358" s="16" t="n">
        <v>0</v>
      </c>
      <c r="BD358" s="16" t="n">
        <v>0</v>
      </c>
      <c r="BE358" s="16" t="n">
        <v>0</v>
      </c>
      <c r="BF358" s="16" t="n">
        <v>0</v>
      </c>
      <c r="BG358" s="16" t="n">
        <v>0</v>
      </c>
      <c r="BH358" s="16" t="n">
        <v>0</v>
      </c>
      <c r="BI358" s="16" t="n">
        <v>0</v>
      </c>
      <c r="BJ358" s="16" t="n">
        <v>0</v>
      </c>
      <c r="BK358" s="16" t="n">
        <v>0</v>
      </c>
      <c r="BL358" s="16" t="n">
        <v>0</v>
      </c>
      <c r="BM358" s="16" t="n">
        <v>0</v>
      </c>
      <c r="BN358" s="16" t="n">
        <v>0</v>
      </c>
      <c r="BO358" s="16" t="n">
        <v>0</v>
      </c>
      <c r="BP358" s="16" t="n">
        <v>0</v>
      </c>
      <c r="BQ358" s="16" t="n">
        <v>0</v>
      </c>
      <c r="BR358" s="16" t="n">
        <v>0</v>
      </c>
      <c r="BS358" s="16" t="n">
        <v>0</v>
      </c>
      <c r="BT358" s="16" t="n">
        <v>0</v>
      </c>
      <c r="BU358" s="16" t="n">
        <v>0</v>
      </c>
      <c r="BV358" s="16" t="n">
        <v>0</v>
      </c>
      <c r="BW358" s="16" t="n">
        <v>0</v>
      </c>
      <c r="BX358" s="16" t="n">
        <v>0</v>
      </c>
      <c r="BY358" s="16" t="n">
        <v>0</v>
      </c>
      <c r="BZ358" s="16" t="n">
        <v>0</v>
      </c>
      <c r="CA358" s="16" t="n">
        <v>0</v>
      </c>
      <c r="CB358" s="16" t="n">
        <v>0</v>
      </c>
      <c r="CC358" s="16" t="n">
        <v>0</v>
      </c>
      <c r="CD358" s="16" t="n">
        <v>0</v>
      </c>
      <c r="CE358" s="16" t="n">
        <v>0</v>
      </c>
      <c r="CF358" s="16" t="n">
        <v>0</v>
      </c>
      <c r="CG358" s="16" t="n">
        <v>0</v>
      </c>
      <c r="CH358" s="16" t="n">
        <v>0</v>
      </c>
      <c r="CI358" s="16" t="n">
        <v>0</v>
      </c>
      <c r="CJ358" s="16" t="n">
        <v>0</v>
      </c>
      <c r="CK358" s="16" t="n">
        <v>0</v>
      </c>
      <c r="CL358" s="16" t="n">
        <v>0</v>
      </c>
      <c r="CM358" s="16" t="n">
        <v>0</v>
      </c>
      <c r="CN358" s="16" t="n">
        <v>0</v>
      </c>
      <c r="CO358" s="16" t="n">
        <v>0</v>
      </c>
      <c r="CP358" s="16" t="n">
        <v>0</v>
      </c>
      <c r="CQ358" s="16" t="n">
        <v>0</v>
      </c>
      <c r="CR358" s="16" t="n">
        <v>0</v>
      </c>
      <c r="CS358" s="16" t="n">
        <v>0</v>
      </c>
      <c r="CT358" s="16" t="n">
        <v>0</v>
      </c>
      <c r="CU358" s="16" t="n">
        <v>0</v>
      </c>
      <c r="CV358" s="16" t="n">
        <v>0</v>
      </c>
      <c r="CW358" s="16" t="n">
        <v>0</v>
      </c>
      <c r="CX358" s="16" t="n">
        <v>0</v>
      </c>
      <c r="CY358" s="16" t="n">
        <v>0</v>
      </c>
      <c r="CZ358" s="16" t="n">
        <v>0</v>
      </c>
      <c r="DA358" s="16" t="n">
        <v>0</v>
      </c>
      <c r="DB358" s="16" t="n">
        <v>0</v>
      </c>
      <c r="DC358" s="16" t="n">
        <v>0</v>
      </c>
      <c r="DD358" s="16" t="n">
        <v>0</v>
      </c>
      <c r="DE358" s="16" t="n">
        <v>0</v>
      </c>
      <c r="DF358" s="16" t="n">
        <v>0</v>
      </c>
      <c r="DG358" s="16" t="n">
        <v>0</v>
      </c>
      <c r="DH358" s="16" t="n">
        <v>0</v>
      </c>
      <c r="DI358" s="16" t="n">
        <v>0</v>
      </c>
      <c r="DJ358" s="16" t="n">
        <v>0</v>
      </c>
      <c r="DK358" s="16" t="n">
        <v>0</v>
      </c>
      <c r="DL358" s="16" t="n">
        <v>0</v>
      </c>
      <c r="DM358" s="16" t="n">
        <v>0</v>
      </c>
      <c r="DN358" s="16" t="n">
        <v>0</v>
      </c>
      <c r="DO358" s="16" t="n">
        <v>0</v>
      </c>
      <c r="DP358" s="16" t="n">
        <v>0</v>
      </c>
      <c r="DQ358" s="16" t="n">
        <v>0</v>
      </c>
      <c r="DR358" s="16" t="n">
        <v>0</v>
      </c>
      <c r="DS358" s="16" t="n">
        <v>0</v>
      </c>
      <c r="DT358" s="16" t="n">
        <v>0</v>
      </c>
      <c r="DU358" s="16" t="n">
        <v>0</v>
      </c>
      <c r="DV358" s="16" t="n">
        <v>0</v>
      </c>
      <c r="DW358" s="16" t="n">
        <v>0</v>
      </c>
      <c r="DX358" s="16" t="n">
        <v>0</v>
      </c>
      <c r="DY358" s="16" t="n">
        <v>0</v>
      </c>
      <c r="DZ358" s="16" t="n">
        <v>0</v>
      </c>
      <c r="EA358" s="16" t="n">
        <v>0</v>
      </c>
      <c r="EB358" s="16" t="n">
        <v>0</v>
      </c>
      <c r="EC358" s="16" t="n">
        <v>0</v>
      </c>
      <c r="ED358" s="16" t="n">
        <v>0</v>
      </c>
      <c r="EE358" s="16" t="n">
        <v>0</v>
      </c>
      <c r="EF358" s="16" t="n">
        <v>0</v>
      </c>
    </row>
    <row r="359" customFormat="false" ht="15" hidden="false" customHeight="true" outlineLevel="0" collapsed="false">
      <c r="A359" s="9" t="s">
        <v>12</v>
      </c>
      <c r="B359" s="9" t="s">
        <v>27</v>
      </c>
      <c r="C359" s="9" t="s">
        <v>27</v>
      </c>
      <c r="D359" s="9" t="s">
        <v>336</v>
      </c>
      <c r="E359" s="9" t="s">
        <v>14</v>
      </c>
      <c r="F359" s="9" t="s">
        <v>82</v>
      </c>
      <c r="G359" s="16" t="n">
        <v>0</v>
      </c>
      <c r="H359" s="16" t="n">
        <v>0</v>
      </c>
      <c r="I359" s="16" t="n">
        <v>8</v>
      </c>
      <c r="J359" s="16" t="n">
        <v>-8</v>
      </c>
      <c r="K359" s="16" t="n">
        <v>0</v>
      </c>
      <c r="L359" s="16" t="n">
        <v>0</v>
      </c>
      <c r="M359" s="16" t="n">
        <v>0</v>
      </c>
      <c r="N359" s="16" t="n">
        <v>0</v>
      </c>
      <c r="O359" s="16" t="n">
        <v>0</v>
      </c>
      <c r="P359" s="16" t="n">
        <v>0</v>
      </c>
      <c r="Q359" s="16" t="n">
        <v>0</v>
      </c>
      <c r="R359" s="16" t="n">
        <v>0</v>
      </c>
      <c r="S359" s="16" t="n">
        <v>0</v>
      </c>
      <c r="T359" s="16" t="n">
        <v>0</v>
      </c>
      <c r="U359" s="16" t="n">
        <v>0</v>
      </c>
      <c r="V359" s="16" t="n">
        <v>0</v>
      </c>
      <c r="W359" s="16" t="n">
        <v>0</v>
      </c>
      <c r="X359" s="16" t="n">
        <v>0</v>
      </c>
      <c r="Y359" s="16" t="n">
        <v>0</v>
      </c>
      <c r="Z359" s="16" t="n">
        <v>0</v>
      </c>
      <c r="AA359" s="16" t="n">
        <v>8</v>
      </c>
      <c r="AB359" s="16" t="n">
        <v>0</v>
      </c>
      <c r="AC359" s="16" t="n">
        <v>0</v>
      </c>
      <c r="AD359" s="16" t="n">
        <v>0</v>
      </c>
      <c r="AE359" s="16" t="n">
        <v>0</v>
      </c>
      <c r="AF359" s="16" t="n">
        <v>0</v>
      </c>
      <c r="AG359" s="16" t="n">
        <v>0</v>
      </c>
      <c r="AH359" s="16" t="n">
        <v>0</v>
      </c>
      <c r="AI359" s="16" t="n">
        <v>0</v>
      </c>
      <c r="AJ359" s="16" t="n">
        <v>0</v>
      </c>
      <c r="AK359" s="16" t="n">
        <v>0</v>
      </c>
      <c r="AL359" s="16" t="n">
        <v>0</v>
      </c>
      <c r="AM359" s="16" t="n">
        <v>0</v>
      </c>
      <c r="AN359" s="16" t="n">
        <v>0</v>
      </c>
      <c r="AO359" s="16" t="n">
        <v>0</v>
      </c>
      <c r="AP359" s="16" t="n">
        <v>0</v>
      </c>
      <c r="AQ359" s="16" t="n">
        <v>0</v>
      </c>
      <c r="AR359" s="16" t="n">
        <v>0</v>
      </c>
      <c r="AS359" s="16" t="n">
        <v>0</v>
      </c>
      <c r="AT359" s="16" t="n">
        <v>0</v>
      </c>
      <c r="AU359" s="16" t="n">
        <v>0</v>
      </c>
      <c r="AV359" s="16" t="n">
        <v>0</v>
      </c>
      <c r="AW359" s="16" t="n">
        <v>0</v>
      </c>
      <c r="AX359" s="16" t="n">
        <v>0</v>
      </c>
      <c r="AY359" s="16" t="n">
        <v>0</v>
      </c>
      <c r="AZ359" s="16" t="n">
        <v>0</v>
      </c>
      <c r="BA359" s="16" t="n">
        <v>0</v>
      </c>
      <c r="BB359" s="16" t="n">
        <v>0</v>
      </c>
      <c r="BC359" s="16" t="n">
        <v>0</v>
      </c>
      <c r="BD359" s="16" t="n">
        <v>0</v>
      </c>
      <c r="BE359" s="16" t="n">
        <v>0</v>
      </c>
      <c r="BF359" s="16" t="n">
        <v>0</v>
      </c>
      <c r="BG359" s="16" t="n">
        <v>0</v>
      </c>
      <c r="BH359" s="16" t="n">
        <v>0</v>
      </c>
      <c r="BI359" s="16" t="n">
        <v>0</v>
      </c>
      <c r="BJ359" s="16" t="n">
        <v>0</v>
      </c>
      <c r="BK359" s="16" t="n">
        <v>0</v>
      </c>
      <c r="BL359" s="16" t="n">
        <v>0</v>
      </c>
      <c r="BM359" s="16" t="n">
        <v>0</v>
      </c>
      <c r="BN359" s="16" t="n">
        <v>0</v>
      </c>
      <c r="BO359" s="16" t="n">
        <v>0</v>
      </c>
      <c r="BP359" s="16" t="n">
        <v>0</v>
      </c>
      <c r="BQ359" s="16" t="n">
        <v>0</v>
      </c>
      <c r="BR359" s="16" t="n">
        <v>0</v>
      </c>
      <c r="BS359" s="16" t="n">
        <v>0</v>
      </c>
      <c r="BT359" s="16" t="n">
        <v>0</v>
      </c>
      <c r="BU359" s="16" t="n">
        <v>0</v>
      </c>
      <c r="BV359" s="16" t="n">
        <v>0</v>
      </c>
      <c r="BW359" s="16" t="n">
        <v>0</v>
      </c>
      <c r="BX359" s="16" t="n">
        <v>0</v>
      </c>
      <c r="BY359" s="16" t="n">
        <v>0</v>
      </c>
      <c r="BZ359" s="16" t="n">
        <v>0</v>
      </c>
      <c r="CA359" s="16" t="n">
        <v>0</v>
      </c>
      <c r="CB359" s="16" t="n">
        <v>0</v>
      </c>
      <c r="CC359" s="16" t="n">
        <v>0</v>
      </c>
      <c r="CD359" s="16" t="n">
        <v>0</v>
      </c>
      <c r="CE359" s="16" t="n">
        <v>0</v>
      </c>
      <c r="CF359" s="16" t="n">
        <v>0</v>
      </c>
      <c r="CG359" s="16" t="n">
        <v>0</v>
      </c>
      <c r="CH359" s="16" t="n">
        <v>0</v>
      </c>
      <c r="CI359" s="16" t="n">
        <v>0</v>
      </c>
      <c r="CJ359" s="16" t="n">
        <v>0</v>
      </c>
      <c r="CK359" s="16" t="n">
        <v>0</v>
      </c>
      <c r="CL359" s="16" t="n">
        <v>0</v>
      </c>
      <c r="CM359" s="16" t="n">
        <v>0</v>
      </c>
      <c r="CN359" s="16" t="n">
        <v>0</v>
      </c>
      <c r="CO359" s="16" t="n">
        <v>0</v>
      </c>
      <c r="CP359" s="16" t="n">
        <v>0</v>
      </c>
      <c r="CQ359" s="16" t="n">
        <v>0</v>
      </c>
      <c r="CR359" s="16" t="n">
        <v>0</v>
      </c>
      <c r="CS359" s="16" t="n">
        <v>0</v>
      </c>
      <c r="CT359" s="16" t="n">
        <v>0</v>
      </c>
      <c r="CU359" s="16" t="n">
        <v>0</v>
      </c>
      <c r="CV359" s="16" t="n">
        <v>0</v>
      </c>
      <c r="CW359" s="16" t="n">
        <v>0</v>
      </c>
      <c r="CX359" s="16" t="n">
        <v>0</v>
      </c>
      <c r="CY359" s="16" t="n">
        <v>0</v>
      </c>
      <c r="CZ359" s="16" t="n">
        <v>0</v>
      </c>
      <c r="DA359" s="16" t="n">
        <v>0</v>
      </c>
      <c r="DB359" s="16" t="n">
        <v>0</v>
      </c>
      <c r="DC359" s="16" t="n">
        <v>0</v>
      </c>
      <c r="DD359" s="16" t="n">
        <v>0</v>
      </c>
      <c r="DE359" s="16" t="n">
        <v>0</v>
      </c>
      <c r="DF359" s="16" t="n">
        <v>0</v>
      </c>
      <c r="DG359" s="16" t="n">
        <v>0</v>
      </c>
      <c r="DH359" s="16" t="n">
        <v>0</v>
      </c>
      <c r="DI359" s="16" t="n">
        <v>0</v>
      </c>
      <c r="DJ359" s="16" t="n">
        <v>0</v>
      </c>
      <c r="DK359" s="16" t="n">
        <v>0</v>
      </c>
      <c r="DL359" s="16" t="n">
        <v>0</v>
      </c>
      <c r="DM359" s="16" t="n">
        <v>0</v>
      </c>
      <c r="DN359" s="16" t="n">
        <v>0</v>
      </c>
      <c r="DO359" s="16" t="n">
        <v>0</v>
      </c>
      <c r="DP359" s="16" t="n">
        <v>0</v>
      </c>
      <c r="DQ359" s="16" t="n">
        <v>0</v>
      </c>
      <c r="DR359" s="16" t="n">
        <v>0</v>
      </c>
      <c r="DS359" s="16" t="n">
        <v>0</v>
      </c>
      <c r="DT359" s="16" t="n">
        <v>0</v>
      </c>
      <c r="DU359" s="16" t="n">
        <v>0</v>
      </c>
      <c r="DV359" s="16" t="n">
        <v>0</v>
      </c>
      <c r="DW359" s="16" t="n">
        <v>0</v>
      </c>
      <c r="DX359" s="16" t="n">
        <v>0</v>
      </c>
      <c r="DY359" s="16" t="n">
        <v>0</v>
      </c>
      <c r="DZ359" s="16" t="n">
        <v>0</v>
      </c>
      <c r="EA359" s="16" t="n">
        <v>0</v>
      </c>
      <c r="EB359" s="16" t="n">
        <v>0</v>
      </c>
      <c r="EC359" s="16" t="n">
        <v>0</v>
      </c>
      <c r="ED359" s="16" t="n">
        <v>0</v>
      </c>
      <c r="EE359" s="16" t="n">
        <v>0</v>
      </c>
      <c r="EF359" s="16" t="n">
        <v>0</v>
      </c>
    </row>
    <row r="360" customFormat="false" ht="15" hidden="false" customHeight="true" outlineLevel="0" collapsed="false">
      <c r="A360" s="9" t="s">
        <v>12</v>
      </c>
      <c r="B360" s="9" t="s">
        <v>27</v>
      </c>
      <c r="C360" s="9" t="s">
        <v>27</v>
      </c>
      <c r="D360" s="9" t="s">
        <v>335</v>
      </c>
      <c r="E360" s="9" t="s">
        <v>14</v>
      </c>
      <c r="F360" s="9" t="s">
        <v>83</v>
      </c>
      <c r="G360" s="16" t="n">
        <v>0</v>
      </c>
      <c r="H360" s="16" t="n">
        <v>0</v>
      </c>
      <c r="I360" s="16" t="n">
        <v>22</v>
      </c>
      <c r="J360" s="16" t="n">
        <v>-22</v>
      </c>
      <c r="K360" s="16" t="n">
        <v>0</v>
      </c>
      <c r="L360" s="16" t="n">
        <v>0</v>
      </c>
      <c r="M360" s="16" t="n">
        <v>0</v>
      </c>
      <c r="N360" s="16" t="n">
        <v>0</v>
      </c>
      <c r="O360" s="16" t="n">
        <v>0</v>
      </c>
      <c r="P360" s="16" t="n">
        <v>0</v>
      </c>
      <c r="Q360" s="16" t="n">
        <v>0</v>
      </c>
      <c r="R360" s="16" t="n">
        <v>0</v>
      </c>
      <c r="S360" s="16" t="n">
        <v>0</v>
      </c>
      <c r="T360" s="16" t="n">
        <v>0</v>
      </c>
      <c r="U360" s="16" t="n">
        <v>0</v>
      </c>
      <c r="V360" s="16" t="n">
        <v>0</v>
      </c>
      <c r="W360" s="16" t="n">
        <v>0</v>
      </c>
      <c r="X360" s="16" t="n">
        <v>0</v>
      </c>
      <c r="Y360" s="16" t="n">
        <v>0</v>
      </c>
      <c r="Z360" s="16" t="n">
        <v>0</v>
      </c>
      <c r="AA360" s="16" t="n">
        <v>0</v>
      </c>
      <c r="AB360" s="16" t="n">
        <v>0</v>
      </c>
      <c r="AC360" s="16" t="n">
        <v>0</v>
      </c>
      <c r="AD360" s="16" t="n">
        <v>0</v>
      </c>
      <c r="AE360" s="16" t="n">
        <v>0</v>
      </c>
      <c r="AF360" s="16" t="n">
        <v>0</v>
      </c>
      <c r="AG360" s="16" t="n">
        <v>0</v>
      </c>
      <c r="AH360" s="16" t="n">
        <v>0</v>
      </c>
      <c r="AI360" s="16" t="n">
        <v>0</v>
      </c>
      <c r="AJ360" s="16" t="n">
        <v>0</v>
      </c>
      <c r="AK360" s="16" t="n">
        <v>0</v>
      </c>
      <c r="AL360" s="16" t="n">
        <v>0</v>
      </c>
      <c r="AM360" s="16" t="n">
        <v>0</v>
      </c>
      <c r="AN360" s="16" t="n">
        <v>15</v>
      </c>
      <c r="AO360" s="16" t="n">
        <v>7</v>
      </c>
      <c r="AP360" s="16" t="n">
        <v>0</v>
      </c>
      <c r="AQ360" s="16" t="n">
        <v>0</v>
      </c>
      <c r="AR360" s="16" t="n">
        <v>0</v>
      </c>
      <c r="AS360" s="16" t="n">
        <v>0</v>
      </c>
      <c r="AT360" s="16" t="n">
        <v>0</v>
      </c>
      <c r="AU360" s="16" t="n">
        <v>0</v>
      </c>
      <c r="AV360" s="16" t="n">
        <v>0</v>
      </c>
      <c r="AW360" s="16" t="n">
        <v>0</v>
      </c>
      <c r="AX360" s="16" t="n">
        <v>0</v>
      </c>
      <c r="AY360" s="16" t="n">
        <v>0</v>
      </c>
      <c r="AZ360" s="16" t="n">
        <v>0</v>
      </c>
      <c r="BA360" s="16" t="n">
        <v>0</v>
      </c>
      <c r="BB360" s="16" t="n">
        <v>0</v>
      </c>
      <c r="BC360" s="16" t="n">
        <v>0</v>
      </c>
      <c r="BD360" s="16" t="n">
        <v>0</v>
      </c>
      <c r="BE360" s="16" t="n">
        <v>0</v>
      </c>
      <c r="BF360" s="16" t="n">
        <v>0</v>
      </c>
      <c r="BG360" s="16" t="n">
        <v>0</v>
      </c>
      <c r="BH360" s="16" t="n">
        <v>0</v>
      </c>
      <c r="BI360" s="16" t="n">
        <v>0</v>
      </c>
      <c r="BJ360" s="16" t="n">
        <v>0</v>
      </c>
      <c r="BK360" s="16" t="n">
        <v>0</v>
      </c>
      <c r="BL360" s="16" t="n">
        <v>0</v>
      </c>
      <c r="BM360" s="16" t="n">
        <v>0</v>
      </c>
      <c r="BN360" s="16" t="n">
        <v>0</v>
      </c>
      <c r="BO360" s="16" t="n">
        <v>0</v>
      </c>
      <c r="BP360" s="16" t="n">
        <v>0</v>
      </c>
      <c r="BQ360" s="16" t="n">
        <v>0</v>
      </c>
      <c r="BR360" s="16" t="n">
        <v>0</v>
      </c>
      <c r="BS360" s="16" t="n">
        <v>0</v>
      </c>
      <c r="BT360" s="16" t="n">
        <v>0</v>
      </c>
      <c r="BU360" s="16" t="n">
        <v>0</v>
      </c>
      <c r="BV360" s="16" t="n">
        <v>0</v>
      </c>
      <c r="BW360" s="16" t="n">
        <v>0</v>
      </c>
      <c r="BX360" s="16" t="n">
        <v>0</v>
      </c>
      <c r="BY360" s="16" t="n">
        <v>0</v>
      </c>
      <c r="BZ360" s="16" t="n">
        <v>0</v>
      </c>
      <c r="CA360" s="16" t="n">
        <v>0</v>
      </c>
      <c r="CB360" s="16" t="n">
        <v>0</v>
      </c>
      <c r="CC360" s="16" t="n">
        <v>0</v>
      </c>
      <c r="CD360" s="16" t="n">
        <v>0</v>
      </c>
      <c r="CE360" s="16" t="n">
        <v>0</v>
      </c>
      <c r="CF360" s="16" t="n">
        <v>0</v>
      </c>
      <c r="CG360" s="16" t="n">
        <v>0</v>
      </c>
      <c r="CH360" s="16" t="n">
        <v>0</v>
      </c>
      <c r="CI360" s="16" t="n">
        <v>0</v>
      </c>
      <c r="CJ360" s="16" t="n">
        <v>0</v>
      </c>
      <c r="CK360" s="16" t="n">
        <v>0</v>
      </c>
      <c r="CL360" s="16" t="n">
        <v>0</v>
      </c>
      <c r="CM360" s="16" t="n">
        <v>0</v>
      </c>
      <c r="CN360" s="16" t="n">
        <v>0</v>
      </c>
      <c r="CO360" s="16" t="n">
        <v>0</v>
      </c>
      <c r="CP360" s="16" t="n">
        <v>0</v>
      </c>
      <c r="CQ360" s="16" t="n">
        <v>0</v>
      </c>
      <c r="CR360" s="16" t="n">
        <v>0</v>
      </c>
      <c r="CS360" s="16" t="n">
        <v>0</v>
      </c>
      <c r="CT360" s="16" t="n">
        <v>0</v>
      </c>
      <c r="CU360" s="16" t="n">
        <v>0</v>
      </c>
      <c r="CV360" s="16" t="n">
        <v>0</v>
      </c>
      <c r="CW360" s="16" t="n">
        <v>0</v>
      </c>
      <c r="CX360" s="16" t="n">
        <v>0</v>
      </c>
      <c r="CY360" s="16" t="n">
        <v>0</v>
      </c>
      <c r="CZ360" s="16" t="n">
        <v>0</v>
      </c>
      <c r="DA360" s="16" t="n">
        <v>0</v>
      </c>
      <c r="DB360" s="16" t="n">
        <v>0</v>
      </c>
      <c r="DC360" s="16" t="n">
        <v>0</v>
      </c>
      <c r="DD360" s="16" t="n">
        <v>0</v>
      </c>
      <c r="DE360" s="16" t="n">
        <v>0</v>
      </c>
      <c r="DF360" s="16" t="n">
        <v>0</v>
      </c>
      <c r="DG360" s="16" t="n">
        <v>0</v>
      </c>
      <c r="DH360" s="16" t="n">
        <v>0</v>
      </c>
      <c r="DI360" s="16" t="n">
        <v>0</v>
      </c>
      <c r="DJ360" s="16" t="n">
        <v>0</v>
      </c>
      <c r="DK360" s="16" t="n">
        <v>0</v>
      </c>
      <c r="DL360" s="16" t="n">
        <v>0</v>
      </c>
      <c r="DM360" s="16" t="n">
        <v>0</v>
      </c>
      <c r="DN360" s="16" t="n">
        <v>0</v>
      </c>
      <c r="DO360" s="16" t="n">
        <v>0</v>
      </c>
      <c r="DP360" s="16" t="n">
        <v>0</v>
      </c>
      <c r="DQ360" s="16" t="n">
        <v>0</v>
      </c>
      <c r="DR360" s="16" t="n">
        <v>0</v>
      </c>
      <c r="DS360" s="16" t="n">
        <v>0</v>
      </c>
      <c r="DT360" s="16" t="n">
        <v>0</v>
      </c>
      <c r="DU360" s="16" t="n">
        <v>0</v>
      </c>
      <c r="DV360" s="16" t="n">
        <v>0</v>
      </c>
      <c r="DW360" s="16" t="n">
        <v>0</v>
      </c>
      <c r="DX360" s="16" t="n">
        <v>0</v>
      </c>
      <c r="DY360" s="16" t="n">
        <v>0</v>
      </c>
      <c r="DZ360" s="16" t="n">
        <v>0</v>
      </c>
      <c r="EA360" s="16" t="n">
        <v>0</v>
      </c>
      <c r="EB360" s="16" t="n">
        <v>0</v>
      </c>
      <c r="EC360" s="16" t="n">
        <v>0</v>
      </c>
      <c r="ED360" s="16" t="n">
        <v>0</v>
      </c>
      <c r="EE360" s="16" t="n">
        <v>0</v>
      </c>
      <c r="EF360" s="16" t="n">
        <v>0</v>
      </c>
    </row>
    <row r="361" customFormat="false" ht="15" hidden="false" customHeight="true" outlineLevel="0" collapsed="false">
      <c r="A361" s="9" t="s">
        <v>12</v>
      </c>
      <c r="B361" s="9" t="s">
        <v>27</v>
      </c>
      <c r="C361" s="9" t="s">
        <v>27</v>
      </c>
      <c r="D361" s="9" t="s">
        <v>336</v>
      </c>
      <c r="E361" s="9" t="s">
        <v>14</v>
      </c>
      <c r="F361" s="9" t="s">
        <v>83</v>
      </c>
      <c r="G361" s="16" t="n">
        <v>5</v>
      </c>
      <c r="H361" s="16" t="n">
        <v>5</v>
      </c>
      <c r="I361" s="16" t="n">
        <v>0</v>
      </c>
      <c r="J361" s="16" t="n">
        <v>5</v>
      </c>
      <c r="K361" s="16" t="n">
        <v>0</v>
      </c>
      <c r="L361" s="16" t="n">
        <v>0</v>
      </c>
      <c r="M361" s="16" t="n">
        <v>0</v>
      </c>
      <c r="N361" s="16" t="n">
        <v>0</v>
      </c>
      <c r="O361" s="16" t="n">
        <v>0</v>
      </c>
      <c r="P361" s="16" t="n">
        <v>0</v>
      </c>
      <c r="Q361" s="16" t="n">
        <v>0</v>
      </c>
      <c r="R361" s="16" t="n">
        <v>0</v>
      </c>
      <c r="S361" s="16" t="n">
        <v>0</v>
      </c>
      <c r="T361" s="16" t="n">
        <v>0</v>
      </c>
      <c r="U361" s="16" t="n">
        <v>0</v>
      </c>
      <c r="V361" s="16" t="n">
        <v>0</v>
      </c>
      <c r="W361" s="16" t="n">
        <v>0</v>
      </c>
      <c r="X361" s="16" t="n">
        <v>0</v>
      </c>
      <c r="Y361" s="16" t="n">
        <v>0</v>
      </c>
      <c r="Z361" s="16" t="n">
        <v>0</v>
      </c>
      <c r="AA361" s="16" t="n">
        <v>0</v>
      </c>
      <c r="AB361" s="16" t="n">
        <v>0</v>
      </c>
      <c r="AC361" s="16" t="n">
        <v>0</v>
      </c>
      <c r="AD361" s="16" t="n">
        <v>0</v>
      </c>
      <c r="AE361" s="16" t="n">
        <v>0</v>
      </c>
      <c r="AF361" s="16" t="n">
        <v>0</v>
      </c>
      <c r="AG361" s="16" t="n">
        <v>0</v>
      </c>
      <c r="AH361" s="16" t="n">
        <v>0</v>
      </c>
      <c r="AI361" s="16" t="n">
        <v>0</v>
      </c>
      <c r="AJ361" s="16" t="n">
        <v>0</v>
      </c>
      <c r="AK361" s="16" t="n">
        <v>0</v>
      </c>
      <c r="AL361" s="16" t="n">
        <v>0</v>
      </c>
      <c r="AM361" s="16" t="n">
        <v>0</v>
      </c>
      <c r="AN361" s="16" t="n">
        <v>0</v>
      </c>
      <c r="AO361" s="16" t="n">
        <v>0</v>
      </c>
      <c r="AP361" s="16" t="n">
        <v>0</v>
      </c>
      <c r="AQ361" s="16" t="n">
        <v>0</v>
      </c>
      <c r="AR361" s="16" t="n">
        <v>0</v>
      </c>
      <c r="AS361" s="16" t="n">
        <v>0</v>
      </c>
      <c r="AT361" s="16" t="n">
        <v>0</v>
      </c>
      <c r="AU361" s="16" t="n">
        <v>0</v>
      </c>
      <c r="AV361" s="16" t="n">
        <v>0</v>
      </c>
      <c r="AW361" s="16" t="n">
        <v>0</v>
      </c>
      <c r="AX361" s="16" t="n">
        <v>0</v>
      </c>
      <c r="AY361" s="16" t="n">
        <v>0</v>
      </c>
      <c r="AZ361" s="16" t="n">
        <v>0</v>
      </c>
      <c r="BA361" s="16" t="n">
        <v>0</v>
      </c>
      <c r="BB361" s="16" t="n">
        <v>0</v>
      </c>
      <c r="BC361" s="16" t="n">
        <v>0</v>
      </c>
      <c r="BD361" s="16" t="n">
        <v>0</v>
      </c>
      <c r="BE361" s="16" t="n">
        <v>0</v>
      </c>
      <c r="BF361" s="16" t="n">
        <v>0</v>
      </c>
      <c r="BG361" s="16" t="n">
        <v>0</v>
      </c>
      <c r="BH361" s="16" t="n">
        <v>0</v>
      </c>
      <c r="BI361" s="16" t="n">
        <v>0</v>
      </c>
      <c r="BJ361" s="16" t="n">
        <v>0</v>
      </c>
      <c r="BK361" s="16" t="n">
        <v>0</v>
      </c>
      <c r="BL361" s="16" t="n">
        <v>0</v>
      </c>
      <c r="BM361" s="16" t="n">
        <v>0</v>
      </c>
      <c r="BN361" s="16" t="n">
        <v>0</v>
      </c>
      <c r="BO361" s="16" t="n">
        <v>0</v>
      </c>
      <c r="BP361" s="16" t="n">
        <v>0</v>
      </c>
      <c r="BQ361" s="16" t="n">
        <v>0</v>
      </c>
      <c r="BR361" s="16" t="n">
        <v>0</v>
      </c>
      <c r="BS361" s="16" t="n">
        <v>0</v>
      </c>
      <c r="BT361" s="16" t="n">
        <v>0</v>
      </c>
      <c r="BU361" s="16" t="n">
        <v>0</v>
      </c>
      <c r="BV361" s="16" t="n">
        <v>0</v>
      </c>
      <c r="BW361" s="16" t="n">
        <v>0</v>
      </c>
      <c r="BX361" s="16" t="n">
        <v>0</v>
      </c>
      <c r="BY361" s="16" t="n">
        <v>0</v>
      </c>
      <c r="BZ361" s="16" t="n">
        <v>0</v>
      </c>
      <c r="CA361" s="16" t="n">
        <v>0</v>
      </c>
      <c r="CB361" s="16" t="n">
        <v>0</v>
      </c>
      <c r="CC361" s="16" t="n">
        <v>0</v>
      </c>
      <c r="CD361" s="16" t="n">
        <v>0</v>
      </c>
      <c r="CE361" s="16" t="n">
        <v>0</v>
      </c>
      <c r="CF361" s="16" t="n">
        <v>0</v>
      </c>
      <c r="CG361" s="16" t="n">
        <v>0</v>
      </c>
      <c r="CH361" s="16" t="n">
        <v>0</v>
      </c>
      <c r="CI361" s="16" t="n">
        <v>0</v>
      </c>
      <c r="CJ361" s="16" t="n">
        <v>0</v>
      </c>
      <c r="CK361" s="16" t="n">
        <v>0</v>
      </c>
      <c r="CL361" s="16" t="n">
        <v>0</v>
      </c>
      <c r="CM361" s="16" t="n">
        <v>0</v>
      </c>
      <c r="CN361" s="16" t="n">
        <v>0</v>
      </c>
      <c r="CO361" s="16" t="n">
        <v>0</v>
      </c>
      <c r="CP361" s="16" t="n">
        <v>0</v>
      </c>
      <c r="CQ361" s="16" t="n">
        <v>0</v>
      </c>
      <c r="CR361" s="16" t="n">
        <v>0</v>
      </c>
      <c r="CS361" s="16" t="n">
        <v>0</v>
      </c>
      <c r="CT361" s="16" t="n">
        <v>0</v>
      </c>
      <c r="CU361" s="16" t="n">
        <v>0</v>
      </c>
      <c r="CV361" s="16" t="n">
        <v>0</v>
      </c>
      <c r="CW361" s="16" t="n">
        <v>0</v>
      </c>
      <c r="CX361" s="16" t="n">
        <v>0</v>
      </c>
      <c r="CY361" s="16" t="n">
        <v>0</v>
      </c>
      <c r="CZ361" s="16" t="n">
        <v>0</v>
      </c>
      <c r="DA361" s="16" t="n">
        <v>0</v>
      </c>
      <c r="DB361" s="16" t="n">
        <v>0</v>
      </c>
      <c r="DC361" s="16" t="n">
        <v>0</v>
      </c>
      <c r="DD361" s="16" t="n">
        <v>0</v>
      </c>
      <c r="DE361" s="16" t="n">
        <v>0</v>
      </c>
      <c r="DF361" s="16" t="n">
        <v>0</v>
      </c>
      <c r="DG361" s="16" t="n">
        <v>0</v>
      </c>
      <c r="DH361" s="16" t="n">
        <v>0</v>
      </c>
      <c r="DI361" s="16" t="n">
        <v>0</v>
      </c>
      <c r="DJ361" s="16" t="n">
        <v>0</v>
      </c>
      <c r="DK361" s="16" t="n">
        <v>0</v>
      </c>
      <c r="DL361" s="16" t="n">
        <v>0</v>
      </c>
      <c r="DM361" s="16" t="n">
        <v>0</v>
      </c>
      <c r="DN361" s="16" t="n">
        <v>0</v>
      </c>
      <c r="DO361" s="16" t="n">
        <v>0</v>
      </c>
      <c r="DP361" s="16" t="n">
        <v>0</v>
      </c>
      <c r="DQ361" s="16" t="n">
        <v>0</v>
      </c>
      <c r="DR361" s="16" t="n">
        <v>0</v>
      </c>
      <c r="DS361" s="16" t="n">
        <v>0</v>
      </c>
      <c r="DT361" s="16" t="n">
        <v>0</v>
      </c>
      <c r="DU361" s="16" t="n">
        <v>0</v>
      </c>
      <c r="DV361" s="16" t="n">
        <v>0</v>
      </c>
      <c r="DW361" s="16" t="n">
        <v>0</v>
      </c>
      <c r="DX361" s="16" t="n">
        <v>0</v>
      </c>
      <c r="DY361" s="16" t="n">
        <v>0</v>
      </c>
      <c r="DZ361" s="16" t="n">
        <v>0</v>
      </c>
      <c r="EA361" s="16" t="n">
        <v>0</v>
      </c>
      <c r="EB361" s="16" t="n">
        <v>0</v>
      </c>
      <c r="EC361" s="16" t="n">
        <v>0</v>
      </c>
      <c r="ED361" s="16" t="n">
        <v>0</v>
      </c>
      <c r="EE361" s="16" t="n">
        <v>0</v>
      </c>
      <c r="EF361" s="16" t="n">
        <v>0</v>
      </c>
    </row>
    <row r="362" customFormat="false" ht="15" hidden="false" customHeight="true" outlineLevel="0" collapsed="false">
      <c r="A362" s="9" t="s">
        <v>12</v>
      </c>
      <c r="B362" s="9" t="s">
        <v>27</v>
      </c>
      <c r="C362" s="9" t="s">
        <v>27</v>
      </c>
      <c r="D362" s="9" t="s">
        <v>335</v>
      </c>
      <c r="E362" s="9" t="s">
        <v>14</v>
      </c>
      <c r="F362" s="9" t="s">
        <v>84</v>
      </c>
      <c r="G362" s="16" t="n">
        <v>0</v>
      </c>
      <c r="H362" s="16" t="n">
        <v>0</v>
      </c>
      <c r="I362" s="16" t="n">
        <v>15</v>
      </c>
      <c r="J362" s="16" t="n">
        <v>-15</v>
      </c>
      <c r="K362" s="16" t="n">
        <v>0</v>
      </c>
      <c r="L362" s="16" t="n">
        <v>0</v>
      </c>
      <c r="M362" s="16" t="n">
        <v>0</v>
      </c>
      <c r="N362" s="16" t="n">
        <v>0</v>
      </c>
      <c r="O362" s="16" t="n">
        <v>0</v>
      </c>
      <c r="P362" s="16" t="n">
        <v>0</v>
      </c>
      <c r="Q362" s="16" t="n">
        <v>0</v>
      </c>
      <c r="R362" s="16" t="n">
        <v>0</v>
      </c>
      <c r="S362" s="16" t="n">
        <v>0</v>
      </c>
      <c r="T362" s="16" t="n">
        <v>0</v>
      </c>
      <c r="U362" s="16" t="n">
        <v>0</v>
      </c>
      <c r="V362" s="16" t="n">
        <v>0</v>
      </c>
      <c r="W362" s="16" t="n">
        <v>0</v>
      </c>
      <c r="X362" s="16" t="n">
        <v>0</v>
      </c>
      <c r="Y362" s="16" t="n">
        <v>0</v>
      </c>
      <c r="Z362" s="16" t="n">
        <v>0</v>
      </c>
      <c r="AA362" s="16" t="n">
        <v>0</v>
      </c>
      <c r="AB362" s="16" t="n">
        <v>0</v>
      </c>
      <c r="AC362" s="16" t="n">
        <v>0</v>
      </c>
      <c r="AD362" s="16" t="n">
        <v>0</v>
      </c>
      <c r="AE362" s="16" t="n">
        <v>0</v>
      </c>
      <c r="AF362" s="16" t="n">
        <v>0</v>
      </c>
      <c r="AG362" s="16" t="n">
        <v>0</v>
      </c>
      <c r="AH362" s="16" t="n">
        <v>0</v>
      </c>
      <c r="AI362" s="16" t="n">
        <v>0</v>
      </c>
      <c r="AJ362" s="16" t="n">
        <v>0</v>
      </c>
      <c r="AK362" s="16" t="n">
        <v>0</v>
      </c>
      <c r="AL362" s="16" t="n">
        <v>0</v>
      </c>
      <c r="AM362" s="16" t="n">
        <v>0</v>
      </c>
      <c r="AN362" s="16" t="n">
        <v>0</v>
      </c>
      <c r="AO362" s="16" t="n">
        <v>0</v>
      </c>
      <c r="AP362" s="16" t="n">
        <v>0</v>
      </c>
      <c r="AQ362" s="16" t="n">
        <v>0</v>
      </c>
      <c r="AR362" s="16" t="n">
        <v>0</v>
      </c>
      <c r="AS362" s="16" t="n">
        <v>0</v>
      </c>
      <c r="AT362" s="16" t="n">
        <v>0</v>
      </c>
      <c r="AU362" s="16" t="n">
        <v>0</v>
      </c>
      <c r="AV362" s="16" t="n">
        <v>0</v>
      </c>
      <c r="AW362" s="16" t="n">
        <v>0</v>
      </c>
      <c r="AX362" s="16" t="n">
        <v>0</v>
      </c>
      <c r="AY362" s="16" t="n">
        <v>0</v>
      </c>
      <c r="AZ362" s="16" t="n">
        <v>0</v>
      </c>
      <c r="BA362" s="16" t="n">
        <v>0</v>
      </c>
      <c r="BB362" s="16" t="n">
        <v>0</v>
      </c>
      <c r="BC362" s="16" t="n">
        <v>0</v>
      </c>
      <c r="BD362" s="16" t="n">
        <v>0</v>
      </c>
      <c r="BE362" s="16" t="n">
        <v>0</v>
      </c>
      <c r="BF362" s="16" t="n">
        <v>0</v>
      </c>
      <c r="BG362" s="16" t="n">
        <v>0</v>
      </c>
      <c r="BH362" s="16" t="n">
        <v>0</v>
      </c>
      <c r="BI362" s="16" t="n">
        <v>0</v>
      </c>
      <c r="BJ362" s="16" t="n">
        <v>0</v>
      </c>
      <c r="BK362" s="16" t="n">
        <v>0</v>
      </c>
      <c r="BL362" s="16" t="n">
        <v>0</v>
      </c>
      <c r="BM362" s="16" t="n">
        <v>0</v>
      </c>
      <c r="BN362" s="16" t="n">
        <v>0</v>
      </c>
      <c r="BO362" s="16" t="n">
        <v>0</v>
      </c>
      <c r="BP362" s="16" t="n">
        <v>0</v>
      </c>
      <c r="BQ362" s="16" t="n">
        <v>0</v>
      </c>
      <c r="BR362" s="16" t="n">
        <v>0</v>
      </c>
      <c r="BS362" s="16" t="n">
        <v>0</v>
      </c>
      <c r="BT362" s="16" t="n">
        <v>0</v>
      </c>
      <c r="BU362" s="16" t="n">
        <v>0</v>
      </c>
      <c r="BV362" s="16" t="n">
        <v>0</v>
      </c>
      <c r="BW362" s="16" t="n">
        <v>0</v>
      </c>
      <c r="BX362" s="16" t="n">
        <v>0</v>
      </c>
      <c r="BY362" s="16" t="n">
        <v>0</v>
      </c>
      <c r="BZ362" s="16" t="n">
        <v>0</v>
      </c>
      <c r="CA362" s="16" t="n">
        <v>0</v>
      </c>
      <c r="CB362" s="16" t="n">
        <v>0</v>
      </c>
      <c r="CC362" s="16" t="n">
        <v>0</v>
      </c>
      <c r="CD362" s="16" t="n">
        <v>0</v>
      </c>
      <c r="CE362" s="16" t="n">
        <v>0</v>
      </c>
      <c r="CF362" s="16" t="n">
        <v>0</v>
      </c>
      <c r="CG362" s="16" t="n">
        <v>0</v>
      </c>
      <c r="CH362" s="16" t="n">
        <v>0</v>
      </c>
      <c r="CI362" s="16" t="n">
        <v>0</v>
      </c>
      <c r="CJ362" s="16" t="n">
        <v>0</v>
      </c>
      <c r="CK362" s="16" t="n">
        <v>0</v>
      </c>
      <c r="CL362" s="16" t="n">
        <v>0</v>
      </c>
      <c r="CM362" s="16" t="n">
        <v>0</v>
      </c>
      <c r="CN362" s="16" t="n">
        <v>0</v>
      </c>
      <c r="CO362" s="16" t="n">
        <v>0</v>
      </c>
      <c r="CP362" s="16" t="n">
        <v>0</v>
      </c>
      <c r="CQ362" s="16" t="n">
        <v>0</v>
      </c>
      <c r="CR362" s="16" t="n">
        <v>0</v>
      </c>
      <c r="CS362" s="16" t="n">
        <v>0</v>
      </c>
      <c r="CT362" s="16" t="n">
        <v>0</v>
      </c>
      <c r="CU362" s="16" t="n">
        <v>0</v>
      </c>
      <c r="CV362" s="16" t="n">
        <v>0</v>
      </c>
      <c r="CW362" s="16" t="n">
        <v>0</v>
      </c>
      <c r="CX362" s="16" t="n">
        <v>0</v>
      </c>
      <c r="CY362" s="16" t="n">
        <v>0</v>
      </c>
      <c r="CZ362" s="16" t="n">
        <v>10</v>
      </c>
      <c r="DA362" s="16" t="n">
        <v>5</v>
      </c>
      <c r="DB362" s="16" t="n">
        <v>0</v>
      </c>
      <c r="DC362" s="16" t="n">
        <v>0</v>
      </c>
      <c r="DD362" s="16" t="n">
        <v>0</v>
      </c>
      <c r="DE362" s="16" t="n">
        <v>0</v>
      </c>
      <c r="DF362" s="16" t="n">
        <v>0</v>
      </c>
      <c r="DG362" s="16" t="n">
        <v>0</v>
      </c>
      <c r="DH362" s="16" t="n">
        <v>0</v>
      </c>
      <c r="DI362" s="16" t="n">
        <v>0</v>
      </c>
      <c r="DJ362" s="16" t="n">
        <v>0</v>
      </c>
      <c r="DK362" s="16" t="n">
        <v>0</v>
      </c>
      <c r="DL362" s="16" t="n">
        <v>0</v>
      </c>
      <c r="DM362" s="16" t="n">
        <v>0</v>
      </c>
      <c r="DN362" s="16" t="n">
        <v>0</v>
      </c>
      <c r="DO362" s="16" t="n">
        <v>0</v>
      </c>
      <c r="DP362" s="16" t="n">
        <v>0</v>
      </c>
      <c r="DQ362" s="16" t="n">
        <v>0</v>
      </c>
      <c r="DR362" s="16" t="n">
        <v>0</v>
      </c>
      <c r="DS362" s="16" t="n">
        <v>0</v>
      </c>
      <c r="DT362" s="16" t="n">
        <v>0</v>
      </c>
      <c r="DU362" s="16" t="n">
        <v>0</v>
      </c>
      <c r="DV362" s="16" t="n">
        <v>0</v>
      </c>
      <c r="DW362" s="16" t="n">
        <v>0</v>
      </c>
      <c r="DX362" s="16" t="n">
        <v>0</v>
      </c>
      <c r="DY362" s="16" t="n">
        <v>0</v>
      </c>
      <c r="DZ362" s="16" t="n">
        <v>0</v>
      </c>
      <c r="EA362" s="16" t="n">
        <v>0</v>
      </c>
      <c r="EB362" s="16" t="n">
        <v>0</v>
      </c>
      <c r="EC362" s="16" t="n">
        <v>0</v>
      </c>
      <c r="ED362" s="16" t="n">
        <v>0</v>
      </c>
      <c r="EE362" s="16" t="n">
        <v>0</v>
      </c>
      <c r="EF362" s="16" t="n">
        <v>0</v>
      </c>
    </row>
    <row r="363" customFormat="false" ht="15" hidden="false" customHeight="true" outlineLevel="0" collapsed="false">
      <c r="A363" s="9" t="s">
        <v>12</v>
      </c>
      <c r="B363" s="9" t="s">
        <v>27</v>
      </c>
      <c r="C363" s="9" t="s">
        <v>27</v>
      </c>
      <c r="D363" s="9" t="s">
        <v>336</v>
      </c>
      <c r="E363" s="9" t="s">
        <v>14</v>
      </c>
      <c r="F363" s="9" t="s">
        <v>84</v>
      </c>
      <c r="G363" s="16" t="n">
        <v>0</v>
      </c>
      <c r="H363" s="16" t="n">
        <v>5</v>
      </c>
      <c r="I363" s="16" t="n">
        <v>0</v>
      </c>
      <c r="J363" s="16" t="n">
        <v>5</v>
      </c>
      <c r="K363" s="16" t="n">
        <v>0</v>
      </c>
      <c r="L363" s="16" t="n">
        <v>0</v>
      </c>
      <c r="M363" s="16" t="n">
        <v>0</v>
      </c>
      <c r="N363" s="16" t="n">
        <v>0</v>
      </c>
      <c r="O363" s="16" t="n">
        <v>0</v>
      </c>
      <c r="P363" s="16" t="n">
        <v>0</v>
      </c>
      <c r="Q363" s="16" t="n">
        <v>0</v>
      </c>
      <c r="R363" s="16" t="n">
        <v>0</v>
      </c>
      <c r="S363" s="16" t="n">
        <v>0</v>
      </c>
      <c r="T363" s="16" t="n">
        <v>0</v>
      </c>
      <c r="U363" s="16" t="n">
        <v>0</v>
      </c>
      <c r="V363" s="16" t="n">
        <v>0</v>
      </c>
      <c r="W363" s="16" t="n">
        <v>0</v>
      </c>
      <c r="X363" s="16" t="n">
        <v>0</v>
      </c>
      <c r="Y363" s="16" t="n">
        <v>0</v>
      </c>
      <c r="Z363" s="16" t="n">
        <v>0</v>
      </c>
      <c r="AA363" s="16" t="n">
        <v>0</v>
      </c>
      <c r="AB363" s="16" t="n">
        <v>0</v>
      </c>
      <c r="AC363" s="16" t="n">
        <v>0</v>
      </c>
      <c r="AD363" s="16" t="n">
        <v>0</v>
      </c>
      <c r="AE363" s="16" t="n">
        <v>0</v>
      </c>
      <c r="AF363" s="16" t="n">
        <v>0</v>
      </c>
      <c r="AG363" s="16" t="n">
        <v>0</v>
      </c>
      <c r="AH363" s="16" t="n">
        <v>0</v>
      </c>
      <c r="AI363" s="16" t="n">
        <v>0</v>
      </c>
      <c r="AJ363" s="16" t="n">
        <v>0</v>
      </c>
      <c r="AK363" s="16" t="n">
        <v>0</v>
      </c>
      <c r="AL363" s="16" t="n">
        <v>0</v>
      </c>
      <c r="AM363" s="16" t="n">
        <v>0</v>
      </c>
      <c r="AN363" s="16" t="n">
        <v>0</v>
      </c>
      <c r="AO363" s="16" t="n">
        <v>0</v>
      </c>
      <c r="AP363" s="16" t="n">
        <v>0</v>
      </c>
      <c r="AQ363" s="16" t="n">
        <v>0</v>
      </c>
      <c r="AR363" s="16" t="n">
        <v>0</v>
      </c>
      <c r="AS363" s="16" t="n">
        <v>0</v>
      </c>
      <c r="AT363" s="16" t="n">
        <v>0</v>
      </c>
      <c r="AU363" s="16" t="n">
        <v>0</v>
      </c>
      <c r="AV363" s="16" t="n">
        <v>0</v>
      </c>
      <c r="AW363" s="16" t="n">
        <v>0</v>
      </c>
      <c r="AX363" s="16" t="n">
        <v>0</v>
      </c>
      <c r="AY363" s="16" t="n">
        <v>0</v>
      </c>
      <c r="AZ363" s="16" t="n">
        <v>0</v>
      </c>
      <c r="BA363" s="16" t="n">
        <v>0</v>
      </c>
      <c r="BB363" s="16" t="n">
        <v>0</v>
      </c>
      <c r="BC363" s="16" t="n">
        <v>0</v>
      </c>
      <c r="BD363" s="16" t="n">
        <v>0</v>
      </c>
      <c r="BE363" s="16" t="n">
        <v>0</v>
      </c>
      <c r="BF363" s="16" t="n">
        <v>0</v>
      </c>
      <c r="BG363" s="16" t="n">
        <v>0</v>
      </c>
      <c r="BH363" s="16" t="n">
        <v>0</v>
      </c>
      <c r="BI363" s="16" t="n">
        <v>0</v>
      </c>
      <c r="BJ363" s="16" t="n">
        <v>0</v>
      </c>
      <c r="BK363" s="16" t="n">
        <v>0</v>
      </c>
      <c r="BL363" s="16" t="n">
        <v>0</v>
      </c>
      <c r="BM363" s="16" t="n">
        <v>0</v>
      </c>
      <c r="BN363" s="16" t="n">
        <v>0</v>
      </c>
      <c r="BO363" s="16" t="n">
        <v>0</v>
      </c>
      <c r="BP363" s="16" t="n">
        <v>0</v>
      </c>
      <c r="BQ363" s="16" t="n">
        <v>0</v>
      </c>
      <c r="BR363" s="16" t="n">
        <v>0</v>
      </c>
      <c r="BS363" s="16" t="n">
        <v>0</v>
      </c>
      <c r="BT363" s="16" t="n">
        <v>0</v>
      </c>
      <c r="BU363" s="16" t="n">
        <v>0</v>
      </c>
      <c r="BV363" s="16" t="n">
        <v>0</v>
      </c>
      <c r="BW363" s="16" t="n">
        <v>0</v>
      </c>
      <c r="BX363" s="16" t="n">
        <v>0</v>
      </c>
      <c r="BY363" s="16" t="n">
        <v>0</v>
      </c>
      <c r="BZ363" s="16" t="n">
        <v>0</v>
      </c>
      <c r="CA363" s="16" t="n">
        <v>0</v>
      </c>
      <c r="CB363" s="16" t="n">
        <v>0</v>
      </c>
      <c r="CC363" s="16" t="n">
        <v>0</v>
      </c>
      <c r="CD363" s="16" t="n">
        <v>0</v>
      </c>
      <c r="CE363" s="16" t="n">
        <v>0</v>
      </c>
      <c r="CF363" s="16" t="n">
        <v>0</v>
      </c>
      <c r="CG363" s="16" t="n">
        <v>0</v>
      </c>
      <c r="CH363" s="16" t="n">
        <v>0</v>
      </c>
      <c r="CI363" s="16" t="n">
        <v>0</v>
      </c>
      <c r="CJ363" s="16" t="n">
        <v>0</v>
      </c>
      <c r="CK363" s="16" t="n">
        <v>0</v>
      </c>
      <c r="CL363" s="16" t="n">
        <v>0</v>
      </c>
      <c r="CM363" s="16" t="n">
        <v>0</v>
      </c>
      <c r="CN363" s="16" t="n">
        <v>0</v>
      </c>
      <c r="CO363" s="16" t="n">
        <v>0</v>
      </c>
      <c r="CP363" s="16" t="n">
        <v>0</v>
      </c>
      <c r="CQ363" s="16" t="n">
        <v>0</v>
      </c>
      <c r="CR363" s="16" t="n">
        <v>0</v>
      </c>
      <c r="CS363" s="16" t="n">
        <v>0</v>
      </c>
      <c r="CT363" s="16" t="n">
        <v>0</v>
      </c>
      <c r="CU363" s="16" t="n">
        <v>0</v>
      </c>
      <c r="CV363" s="16" t="n">
        <v>0</v>
      </c>
      <c r="CW363" s="16" t="n">
        <v>0</v>
      </c>
      <c r="CX363" s="16" t="n">
        <v>0</v>
      </c>
      <c r="CY363" s="16" t="n">
        <v>0</v>
      </c>
      <c r="CZ363" s="16" t="n">
        <v>0</v>
      </c>
      <c r="DA363" s="16" t="n">
        <v>0</v>
      </c>
      <c r="DB363" s="16" t="n">
        <v>0</v>
      </c>
      <c r="DC363" s="16" t="n">
        <v>0</v>
      </c>
      <c r="DD363" s="16" t="n">
        <v>0</v>
      </c>
      <c r="DE363" s="16" t="n">
        <v>0</v>
      </c>
      <c r="DF363" s="16" t="n">
        <v>0</v>
      </c>
      <c r="DG363" s="16" t="n">
        <v>0</v>
      </c>
      <c r="DH363" s="16" t="n">
        <v>0</v>
      </c>
      <c r="DI363" s="16" t="n">
        <v>0</v>
      </c>
      <c r="DJ363" s="16" t="n">
        <v>0</v>
      </c>
      <c r="DK363" s="16" t="n">
        <v>0</v>
      </c>
      <c r="DL363" s="16" t="n">
        <v>0</v>
      </c>
      <c r="DM363" s="16" t="n">
        <v>0</v>
      </c>
      <c r="DN363" s="16" t="n">
        <v>0</v>
      </c>
      <c r="DO363" s="16" t="n">
        <v>0</v>
      </c>
      <c r="DP363" s="16" t="n">
        <v>0</v>
      </c>
      <c r="DQ363" s="16" t="n">
        <v>0</v>
      </c>
      <c r="DR363" s="16" t="n">
        <v>0</v>
      </c>
      <c r="DS363" s="16" t="n">
        <v>0</v>
      </c>
      <c r="DT363" s="16" t="n">
        <v>0</v>
      </c>
      <c r="DU363" s="16" t="n">
        <v>0</v>
      </c>
      <c r="DV363" s="16" t="n">
        <v>0</v>
      </c>
      <c r="DW363" s="16" t="n">
        <v>0</v>
      </c>
      <c r="DX363" s="16" t="n">
        <v>0</v>
      </c>
      <c r="DY363" s="16" t="n">
        <v>0</v>
      </c>
      <c r="DZ363" s="16" t="n">
        <v>0</v>
      </c>
      <c r="EA363" s="16" t="n">
        <v>0</v>
      </c>
      <c r="EB363" s="16" t="n">
        <v>0</v>
      </c>
      <c r="EC363" s="16" t="n">
        <v>0</v>
      </c>
      <c r="ED363" s="16" t="n">
        <v>0</v>
      </c>
      <c r="EE363" s="16" t="n">
        <v>0</v>
      </c>
      <c r="EF363" s="16" t="n">
        <v>0</v>
      </c>
    </row>
    <row r="364" customFormat="false" ht="15" hidden="false" customHeight="true" outlineLevel="0" collapsed="false">
      <c r="A364" s="9" t="s">
        <v>12</v>
      </c>
      <c r="B364" s="9" t="s">
        <v>27</v>
      </c>
      <c r="C364" s="9" t="s">
        <v>27</v>
      </c>
      <c r="D364" s="9" t="s">
        <v>335</v>
      </c>
      <c r="E364" s="9" t="s">
        <v>14</v>
      </c>
      <c r="F364" s="9" t="s">
        <v>40</v>
      </c>
      <c r="G364" s="16" t="n">
        <v>0</v>
      </c>
      <c r="H364" s="16" t="n">
        <v>0</v>
      </c>
      <c r="I364" s="16" t="n">
        <v>35</v>
      </c>
      <c r="J364" s="16" t="n">
        <v>-35</v>
      </c>
      <c r="K364" s="16" t="n">
        <v>0</v>
      </c>
      <c r="L364" s="16" t="n">
        <v>0</v>
      </c>
      <c r="M364" s="16" t="n">
        <v>0</v>
      </c>
      <c r="N364" s="16" t="n">
        <v>0</v>
      </c>
      <c r="O364" s="16" t="n">
        <v>0</v>
      </c>
      <c r="P364" s="16" t="n">
        <v>0</v>
      </c>
      <c r="Q364" s="16" t="n">
        <v>0</v>
      </c>
      <c r="R364" s="16" t="n">
        <v>0</v>
      </c>
      <c r="S364" s="16" t="n">
        <v>0</v>
      </c>
      <c r="T364" s="16" t="n">
        <v>0</v>
      </c>
      <c r="U364" s="16" t="n">
        <v>0</v>
      </c>
      <c r="V364" s="16" t="n">
        <v>0</v>
      </c>
      <c r="W364" s="16" t="n">
        <v>0</v>
      </c>
      <c r="X364" s="16" t="n">
        <v>0</v>
      </c>
      <c r="Y364" s="16" t="n">
        <v>0</v>
      </c>
      <c r="Z364" s="16" t="n">
        <v>0</v>
      </c>
      <c r="AA364" s="16" t="n">
        <v>0</v>
      </c>
      <c r="AB364" s="16" t="n">
        <v>0</v>
      </c>
      <c r="AC364" s="16" t="n">
        <v>0</v>
      </c>
      <c r="AD364" s="16" t="n">
        <v>0</v>
      </c>
      <c r="AE364" s="16" t="n">
        <v>0</v>
      </c>
      <c r="AF364" s="16" t="n">
        <v>0</v>
      </c>
      <c r="AG364" s="16" t="n">
        <v>0</v>
      </c>
      <c r="AH364" s="16" t="n">
        <v>0</v>
      </c>
      <c r="AI364" s="16" t="n">
        <v>0</v>
      </c>
      <c r="AJ364" s="16" t="n">
        <v>0</v>
      </c>
      <c r="AK364" s="16" t="n">
        <v>0</v>
      </c>
      <c r="AL364" s="16" t="n">
        <v>0</v>
      </c>
      <c r="AM364" s="16" t="n">
        <v>0</v>
      </c>
      <c r="AN364" s="16" t="n">
        <v>0</v>
      </c>
      <c r="AO364" s="16" t="n">
        <v>0</v>
      </c>
      <c r="AP364" s="16" t="n">
        <v>0</v>
      </c>
      <c r="AQ364" s="16" t="n">
        <v>0</v>
      </c>
      <c r="AR364" s="16" t="n">
        <v>0</v>
      </c>
      <c r="AS364" s="16" t="n">
        <v>0</v>
      </c>
      <c r="AT364" s="16" t="n">
        <v>0</v>
      </c>
      <c r="AU364" s="16" t="n">
        <v>0</v>
      </c>
      <c r="AV364" s="16" t="n">
        <v>0</v>
      </c>
      <c r="AW364" s="16" t="n">
        <v>0</v>
      </c>
      <c r="AX364" s="16" t="n">
        <v>0</v>
      </c>
      <c r="AY364" s="16" t="n">
        <v>0</v>
      </c>
      <c r="AZ364" s="16" t="n">
        <v>0</v>
      </c>
      <c r="BA364" s="16" t="n">
        <v>0</v>
      </c>
      <c r="BB364" s="16" t="n">
        <v>0</v>
      </c>
      <c r="BC364" s="16" t="n">
        <v>0</v>
      </c>
      <c r="BD364" s="16" t="n">
        <v>0</v>
      </c>
      <c r="BE364" s="16" t="n">
        <v>0</v>
      </c>
      <c r="BF364" s="16" t="n">
        <v>0</v>
      </c>
      <c r="BG364" s="16" t="n">
        <v>0</v>
      </c>
      <c r="BH364" s="16" t="n">
        <v>0</v>
      </c>
      <c r="BI364" s="16" t="n">
        <v>0</v>
      </c>
      <c r="BJ364" s="16" t="n">
        <v>0</v>
      </c>
      <c r="BK364" s="16" t="n">
        <v>0</v>
      </c>
      <c r="BL364" s="16" t="n">
        <v>0</v>
      </c>
      <c r="BM364" s="16" t="n">
        <v>0</v>
      </c>
      <c r="BN364" s="16" t="n">
        <v>0</v>
      </c>
      <c r="BO364" s="16" t="n">
        <v>0</v>
      </c>
      <c r="BP364" s="16" t="n">
        <v>0</v>
      </c>
      <c r="BQ364" s="16" t="n">
        <v>0</v>
      </c>
      <c r="BR364" s="16" t="n">
        <v>0</v>
      </c>
      <c r="BS364" s="16" t="n">
        <v>0</v>
      </c>
      <c r="BT364" s="16" t="n">
        <v>0</v>
      </c>
      <c r="BU364" s="16" t="n">
        <v>0</v>
      </c>
      <c r="BV364" s="16" t="n">
        <v>0</v>
      </c>
      <c r="BW364" s="16" t="n">
        <v>0</v>
      </c>
      <c r="BX364" s="16" t="n">
        <v>0</v>
      </c>
      <c r="BY364" s="16" t="n">
        <v>0</v>
      </c>
      <c r="BZ364" s="16" t="n">
        <v>0</v>
      </c>
      <c r="CA364" s="16" t="n">
        <v>0</v>
      </c>
      <c r="CB364" s="16" t="n">
        <v>0</v>
      </c>
      <c r="CC364" s="16" t="n">
        <v>0</v>
      </c>
      <c r="CD364" s="16" t="n">
        <v>0</v>
      </c>
      <c r="CE364" s="16" t="n">
        <v>0</v>
      </c>
      <c r="CF364" s="16" t="n">
        <v>0</v>
      </c>
      <c r="CG364" s="16" t="n">
        <v>0</v>
      </c>
      <c r="CH364" s="16" t="n">
        <v>0</v>
      </c>
      <c r="CI364" s="16" t="n">
        <v>0</v>
      </c>
      <c r="CJ364" s="16" t="n">
        <v>0</v>
      </c>
      <c r="CK364" s="16" t="n">
        <v>0</v>
      </c>
      <c r="CL364" s="16" t="n">
        <v>0</v>
      </c>
      <c r="CM364" s="16" t="n">
        <v>0</v>
      </c>
      <c r="CN364" s="16" t="n">
        <v>0</v>
      </c>
      <c r="CO364" s="16" t="n">
        <v>0</v>
      </c>
      <c r="CP364" s="16" t="n">
        <v>0</v>
      </c>
      <c r="CQ364" s="16" t="n">
        <v>0</v>
      </c>
      <c r="CR364" s="16" t="n">
        <v>0</v>
      </c>
      <c r="CS364" s="16" t="n">
        <v>0</v>
      </c>
      <c r="CT364" s="16" t="n">
        <v>0</v>
      </c>
      <c r="CU364" s="16" t="n">
        <v>0</v>
      </c>
      <c r="CV364" s="16" t="n">
        <v>0</v>
      </c>
      <c r="CW364" s="16" t="n">
        <v>0</v>
      </c>
      <c r="CX364" s="16" t="n">
        <v>0</v>
      </c>
      <c r="CY364" s="16" t="n">
        <v>0</v>
      </c>
      <c r="CZ364" s="16" t="n">
        <v>0</v>
      </c>
      <c r="DA364" s="16" t="n">
        <v>0</v>
      </c>
      <c r="DB364" s="16" t="n">
        <v>0</v>
      </c>
      <c r="DC364" s="16" t="n">
        <v>0</v>
      </c>
      <c r="DD364" s="16" t="n">
        <v>0</v>
      </c>
      <c r="DE364" s="16" t="n">
        <v>0</v>
      </c>
      <c r="DF364" s="16" t="n">
        <v>15</v>
      </c>
      <c r="DG364" s="16" t="n">
        <v>0</v>
      </c>
      <c r="DH364" s="16" t="n">
        <v>0</v>
      </c>
      <c r="DI364" s="16" t="n">
        <v>0</v>
      </c>
      <c r="DJ364" s="16" t="n">
        <v>0</v>
      </c>
      <c r="DK364" s="16" t="n">
        <v>0</v>
      </c>
      <c r="DL364" s="16" t="n">
        <v>0</v>
      </c>
      <c r="DM364" s="16" t="n">
        <v>0</v>
      </c>
      <c r="DN364" s="16" t="n">
        <v>0</v>
      </c>
      <c r="DO364" s="16" t="n">
        <v>7</v>
      </c>
      <c r="DP364" s="16" t="n">
        <v>13</v>
      </c>
      <c r="DQ364" s="16" t="n">
        <v>0</v>
      </c>
      <c r="DR364" s="16" t="n">
        <v>0</v>
      </c>
      <c r="DS364" s="16" t="n">
        <v>0</v>
      </c>
      <c r="DT364" s="16" t="n">
        <v>0</v>
      </c>
      <c r="DU364" s="16" t="n">
        <v>0</v>
      </c>
      <c r="DV364" s="16" t="n">
        <v>0</v>
      </c>
      <c r="DW364" s="16" t="n">
        <v>0</v>
      </c>
      <c r="DX364" s="16" t="n">
        <v>0</v>
      </c>
      <c r="DY364" s="16" t="n">
        <v>0</v>
      </c>
      <c r="DZ364" s="16" t="n">
        <v>0</v>
      </c>
      <c r="EA364" s="16" t="n">
        <v>0</v>
      </c>
      <c r="EB364" s="16" t="n">
        <v>0</v>
      </c>
      <c r="EC364" s="16" t="n">
        <v>0</v>
      </c>
      <c r="ED364" s="16" t="n">
        <v>0</v>
      </c>
      <c r="EE364" s="16" t="n">
        <v>0</v>
      </c>
      <c r="EF364" s="16" t="n">
        <v>0</v>
      </c>
    </row>
    <row r="365" customFormat="false" ht="15" hidden="false" customHeight="true" outlineLevel="0" collapsed="false">
      <c r="A365" s="9" t="s">
        <v>12</v>
      </c>
      <c r="B365" s="9" t="s">
        <v>27</v>
      </c>
      <c r="C365" s="9" t="s">
        <v>27</v>
      </c>
      <c r="D365" s="9" t="s">
        <v>336</v>
      </c>
      <c r="E365" s="9" t="s">
        <v>14</v>
      </c>
      <c r="F365" s="9" t="s">
        <v>40</v>
      </c>
      <c r="G365" s="16" t="n">
        <v>0</v>
      </c>
      <c r="H365" s="16" t="n">
        <v>35</v>
      </c>
      <c r="I365" s="16" t="n">
        <v>0</v>
      </c>
      <c r="J365" s="16" t="n">
        <v>35</v>
      </c>
      <c r="K365" s="16" t="n">
        <v>0</v>
      </c>
      <c r="L365" s="16" t="n">
        <v>0</v>
      </c>
      <c r="M365" s="16" t="n">
        <v>0</v>
      </c>
      <c r="N365" s="16" t="n">
        <v>0</v>
      </c>
      <c r="O365" s="16" t="n">
        <v>0</v>
      </c>
      <c r="P365" s="16" t="n">
        <v>0</v>
      </c>
      <c r="Q365" s="16" t="n">
        <v>0</v>
      </c>
      <c r="R365" s="16" t="n">
        <v>0</v>
      </c>
      <c r="S365" s="16" t="n">
        <v>0</v>
      </c>
      <c r="T365" s="16" t="n">
        <v>0</v>
      </c>
      <c r="U365" s="16" t="n">
        <v>0</v>
      </c>
      <c r="V365" s="16" t="n">
        <v>0</v>
      </c>
      <c r="W365" s="16" t="n">
        <v>0</v>
      </c>
      <c r="X365" s="16" t="n">
        <v>0</v>
      </c>
      <c r="Y365" s="16" t="n">
        <v>0</v>
      </c>
      <c r="Z365" s="16" t="n">
        <v>0</v>
      </c>
      <c r="AA365" s="16" t="n">
        <v>0</v>
      </c>
      <c r="AB365" s="16" t="n">
        <v>0</v>
      </c>
      <c r="AC365" s="16" t="n">
        <v>0</v>
      </c>
      <c r="AD365" s="16" t="n">
        <v>0</v>
      </c>
      <c r="AE365" s="16" t="n">
        <v>0</v>
      </c>
      <c r="AF365" s="16" t="n">
        <v>0</v>
      </c>
      <c r="AG365" s="16" t="n">
        <v>0</v>
      </c>
      <c r="AH365" s="16" t="n">
        <v>0</v>
      </c>
      <c r="AI365" s="16" t="n">
        <v>0</v>
      </c>
      <c r="AJ365" s="16" t="n">
        <v>0</v>
      </c>
      <c r="AK365" s="16" t="n">
        <v>0</v>
      </c>
      <c r="AL365" s="16" t="n">
        <v>0</v>
      </c>
      <c r="AM365" s="16" t="n">
        <v>0</v>
      </c>
      <c r="AN365" s="16" t="n">
        <v>0</v>
      </c>
      <c r="AO365" s="16" t="n">
        <v>0</v>
      </c>
      <c r="AP365" s="16" t="n">
        <v>0</v>
      </c>
      <c r="AQ365" s="16" t="n">
        <v>0</v>
      </c>
      <c r="AR365" s="16" t="n">
        <v>0</v>
      </c>
      <c r="AS365" s="16" t="n">
        <v>0</v>
      </c>
      <c r="AT365" s="16" t="n">
        <v>0</v>
      </c>
      <c r="AU365" s="16" t="n">
        <v>0</v>
      </c>
      <c r="AV365" s="16" t="n">
        <v>0</v>
      </c>
      <c r="AW365" s="16" t="n">
        <v>0</v>
      </c>
      <c r="AX365" s="16" t="n">
        <v>0</v>
      </c>
      <c r="AY365" s="16" t="n">
        <v>0</v>
      </c>
      <c r="AZ365" s="16" t="n">
        <v>0</v>
      </c>
      <c r="BA365" s="16" t="n">
        <v>0</v>
      </c>
      <c r="BB365" s="16" t="n">
        <v>0</v>
      </c>
      <c r="BC365" s="16" t="n">
        <v>0</v>
      </c>
      <c r="BD365" s="16" t="n">
        <v>0</v>
      </c>
      <c r="BE365" s="16" t="n">
        <v>0</v>
      </c>
      <c r="BF365" s="16" t="n">
        <v>0</v>
      </c>
      <c r="BG365" s="16" t="n">
        <v>0</v>
      </c>
      <c r="BH365" s="16" t="n">
        <v>0</v>
      </c>
      <c r="BI365" s="16" t="n">
        <v>0</v>
      </c>
      <c r="BJ365" s="16" t="n">
        <v>0</v>
      </c>
      <c r="BK365" s="16" t="n">
        <v>0</v>
      </c>
      <c r="BL365" s="16" t="n">
        <v>0</v>
      </c>
      <c r="BM365" s="16" t="n">
        <v>0</v>
      </c>
      <c r="BN365" s="16" t="n">
        <v>0</v>
      </c>
      <c r="BO365" s="16" t="n">
        <v>0</v>
      </c>
      <c r="BP365" s="16" t="n">
        <v>0</v>
      </c>
      <c r="BQ365" s="16" t="n">
        <v>0</v>
      </c>
      <c r="BR365" s="16" t="n">
        <v>0</v>
      </c>
      <c r="BS365" s="16" t="n">
        <v>0</v>
      </c>
      <c r="BT365" s="16" t="n">
        <v>0</v>
      </c>
      <c r="BU365" s="16" t="n">
        <v>0</v>
      </c>
      <c r="BV365" s="16" t="n">
        <v>0</v>
      </c>
      <c r="BW365" s="16" t="n">
        <v>0</v>
      </c>
      <c r="BX365" s="16" t="n">
        <v>0</v>
      </c>
      <c r="BY365" s="16" t="n">
        <v>0</v>
      </c>
      <c r="BZ365" s="16" t="n">
        <v>0</v>
      </c>
      <c r="CA365" s="16" t="n">
        <v>0</v>
      </c>
      <c r="CB365" s="16" t="n">
        <v>0</v>
      </c>
      <c r="CC365" s="16" t="n">
        <v>0</v>
      </c>
      <c r="CD365" s="16" t="n">
        <v>0</v>
      </c>
      <c r="CE365" s="16" t="n">
        <v>0</v>
      </c>
      <c r="CF365" s="16" t="n">
        <v>0</v>
      </c>
      <c r="CG365" s="16" t="n">
        <v>0</v>
      </c>
      <c r="CH365" s="16" t="n">
        <v>0</v>
      </c>
      <c r="CI365" s="16" t="n">
        <v>0</v>
      </c>
      <c r="CJ365" s="16" t="n">
        <v>0</v>
      </c>
      <c r="CK365" s="16" t="n">
        <v>0</v>
      </c>
      <c r="CL365" s="16" t="n">
        <v>0</v>
      </c>
      <c r="CM365" s="16" t="n">
        <v>0</v>
      </c>
      <c r="CN365" s="16" t="n">
        <v>0</v>
      </c>
      <c r="CO365" s="16" t="n">
        <v>0</v>
      </c>
      <c r="CP365" s="16" t="n">
        <v>0</v>
      </c>
      <c r="CQ365" s="16" t="n">
        <v>0</v>
      </c>
      <c r="CR365" s="16" t="n">
        <v>0</v>
      </c>
      <c r="CS365" s="16" t="n">
        <v>0</v>
      </c>
      <c r="CT365" s="16" t="n">
        <v>0</v>
      </c>
      <c r="CU365" s="16" t="n">
        <v>0</v>
      </c>
      <c r="CV365" s="16" t="n">
        <v>0</v>
      </c>
      <c r="CW365" s="16" t="n">
        <v>0</v>
      </c>
      <c r="CX365" s="16" t="n">
        <v>0</v>
      </c>
      <c r="CY365" s="16" t="n">
        <v>0</v>
      </c>
      <c r="CZ365" s="16" t="n">
        <v>0</v>
      </c>
      <c r="DA365" s="16" t="n">
        <v>0</v>
      </c>
      <c r="DB365" s="16" t="n">
        <v>0</v>
      </c>
      <c r="DC365" s="16" t="n">
        <v>0</v>
      </c>
      <c r="DD365" s="16" t="n">
        <v>0</v>
      </c>
      <c r="DE365" s="16" t="n">
        <v>0</v>
      </c>
      <c r="DF365" s="16" t="n">
        <v>0</v>
      </c>
      <c r="DG365" s="16" t="n">
        <v>0</v>
      </c>
      <c r="DH365" s="16" t="n">
        <v>0</v>
      </c>
      <c r="DI365" s="16" t="n">
        <v>0</v>
      </c>
      <c r="DJ365" s="16" t="n">
        <v>0</v>
      </c>
      <c r="DK365" s="16" t="n">
        <v>0</v>
      </c>
      <c r="DL365" s="16" t="n">
        <v>0</v>
      </c>
      <c r="DM365" s="16" t="n">
        <v>0</v>
      </c>
      <c r="DN365" s="16" t="n">
        <v>0</v>
      </c>
      <c r="DO365" s="16" t="n">
        <v>0</v>
      </c>
      <c r="DP365" s="16" t="n">
        <v>0</v>
      </c>
      <c r="DQ365" s="16" t="n">
        <v>0</v>
      </c>
      <c r="DR365" s="16" t="n">
        <v>0</v>
      </c>
      <c r="DS365" s="16" t="n">
        <v>0</v>
      </c>
      <c r="DT365" s="16" t="n">
        <v>0</v>
      </c>
      <c r="DU365" s="16" t="n">
        <v>0</v>
      </c>
      <c r="DV365" s="16" t="n">
        <v>0</v>
      </c>
      <c r="DW365" s="16" t="n">
        <v>0</v>
      </c>
      <c r="DX365" s="16" t="n">
        <v>0</v>
      </c>
      <c r="DY365" s="16" t="n">
        <v>0</v>
      </c>
      <c r="DZ365" s="16" t="n">
        <v>0</v>
      </c>
      <c r="EA365" s="16" t="n">
        <v>0</v>
      </c>
      <c r="EB365" s="16" t="n">
        <v>0</v>
      </c>
      <c r="EC365" s="16" t="n">
        <v>0</v>
      </c>
      <c r="ED365" s="16" t="n">
        <v>0</v>
      </c>
      <c r="EE365" s="16" t="n">
        <v>0</v>
      </c>
      <c r="EF365" s="16" t="n">
        <v>0</v>
      </c>
    </row>
    <row r="366" customFormat="false" ht="15" hidden="false" customHeight="true" outlineLevel="0" collapsed="false">
      <c r="A366" s="9" t="s">
        <v>12</v>
      </c>
      <c r="B366" s="9" t="s">
        <v>27</v>
      </c>
      <c r="C366" s="9" t="s">
        <v>27</v>
      </c>
      <c r="D366" s="9" t="s">
        <v>336</v>
      </c>
      <c r="E366" s="9" t="s">
        <v>14</v>
      </c>
      <c r="F366" s="9" t="s">
        <v>86</v>
      </c>
      <c r="G366" s="16" t="n">
        <v>0</v>
      </c>
      <c r="H366" s="16" t="n">
        <v>0</v>
      </c>
      <c r="I366" s="16" t="n">
        <v>25</v>
      </c>
      <c r="J366" s="16" t="n">
        <v>-25</v>
      </c>
      <c r="K366" s="16" t="n">
        <v>0</v>
      </c>
      <c r="L366" s="16" t="n">
        <v>0</v>
      </c>
      <c r="M366" s="16" t="n">
        <v>0</v>
      </c>
      <c r="N366" s="16" t="n">
        <v>0</v>
      </c>
      <c r="O366" s="16" t="n">
        <v>0</v>
      </c>
      <c r="P366" s="16" t="n">
        <v>0</v>
      </c>
      <c r="Q366" s="16" t="n">
        <v>0</v>
      </c>
      <c r="R366" s="16" t="n">
        <v>0</v>
      </c>
      <c r="S366" s="16" t="n">
        <v>0</v>
      </c>
      <c r="T366" s="16" t="n">
        <v>0</v>
      </c>
      <c r="U366" s="16" t="n">
        <v>0</v>
      </c>
      <c r="V366" s="16" t="n">
        <v>0</v>
      </c>
      <c r="W366" s="16" t="n">
        <v>0</v>
      </c>
      <c r="X366" s="16" t="n">
        <v>0</v>
      </c>
      <c r="Y366" s="16" t="n">
        <v>3</v>
      </c>
      <c r="Z366" s="16" t="n">
        <v>4</v>
      </c>
      <c r="AA366" s="16" t="n">
        <v>18</v>
      </c>
      <c r="AB366" s="16" t="n">
        <v>0</v>
      </c>
      <c r="AC366" s="16" t="n">
        <v>0</v>
      </c>
      <c r="AD366" s="16" t="n">
        <v>0</v>
      </c>
      <c r="AE366" s="16" t="n">
        <v>0</v>
      </c>
      <c r="AF366" s="16" t="n">
        <v>0</v>
      </c>
      <c r="AG366" s="16" t="n">
        <v>0</v>
      </c>
      <c r="AH366" s="16" t="n">
        <v>0</v>
      </c>
      <c r="AI366" s="16" t="n">
        <v>0</v>
      </c>
      <c r="AJ366" s="16" t="n">
        <v>0</v>
      </c>
      <c r="AK366" s="16" t="n">
        <v>0</v>
      </c>
      <c r="AL366" s="16" t="n">
        <v>0</v>
      </c>
      <c r="AM366" s="16" t="n">
        <v>0</v>
      </c>
      <c r="AN366" s="16" t="n">
        <v>0</v>
      </c>
      <c r="AO366" s="16" t="n">
        <v>0</v>
      </c>
      <c r="AP366" s="16" t="n">
        <v>0</v>
      </c>
      <c r="AQ366" s="16" t="n">
        <v>0</v>
      </c>
      <c r="AR366" s="16" t="n">
        <v>0</v>
      </c>
      <c r="AS366" s="16" t="n">
        <v>0</v>
      </c>
      <c r="AT366" s="16" t="n">
        <v>0</v>
      </c>
      <c r="AU366" s="16" t="n">
        <v>0</v>
      </c>
      <c r="AV366" s="16" t="n">
        <v>0</v>
      </c>
      <c r="AW366" s="16" t="n">
        <v>0</v>
      </c>
      <c r="AX366" s="16" t="n">
        <v>0</v>
      </c>
      <c r="AY366" s="16" t="n">
        <v>0</v>
      </c>
      <c r="AZ366" s="16" t="n">
        <v>0</v>
      </c>
      <c r="BA366" s="16" t="n">
        <v>0</v>
      </c>
      <c r="BB366" s="16" t="n">
        <v>0</v>
      </c>
      <c r="BC366" s="16" t="n">
        <v>0</v>
      </c>
      <c r="BD366" s="16" t="n">
        <v>0</v>
      </c>
      <c r="BE366" s="16" t="n">
        <v>0</v>
      </c>
      <c r="BF366" s="16" t="n">
        <v>0</v>
      </c>
      <c r="BG366" s="16" t="n">
        <v>0</v>
      </c>
      <c r="BH366" s="16" t="n">
        <v>0</v>
      </c>
      <c r="BI366" s="16" t="n">
        <v>0</v>
      </c>
      <c r="BJ366" s="16" t="n">
        <v>0</v>
      </c>
      <c r="BK366" s="16" t="n">
        <v>0</v>
      </c>
      <c r="BL366" s="16" t="n">
        <v>0</v>
      </c>
      <c r="BM366" s="16" t="n">
        <v>0</v>
      </c>
      <c r="BN366" s="16" t="n">
        <v>0</v>
      </c>
      <c r="BO366" s="16" t="n">
        <v>0</v>
      </c>
      <c r="BP366" s="16" t="n">
        <v>0</v>
      </c>
      <c r="BQ366" s="16" t="n">
        <v>0</v>
      </c>
      <c r="BR366" s="16" t="n">
        <v>0</v>
      </c>
      <c r="BS366" s="16" t="n">
        <v>0</v>
      </c>
      <c r="BT366" s="16" t="n">
        <v>0</v>
      </c>
      <c r="BU366" s="16" t="n">
        <v>0</v>
      </c>
      <c r="BV366" s="16" t="n">
        <v>0</v>
      </c>
      <c r="BW366" s="16" t="n">
        <v>0</v>
      </c>
      <c r="BX366" s="16" t="n">
        <v>0</v>
      </c>
      <c r="BY366" s="16" t="n">
        <v>0</v>
      </c>
      <c r="BZ366" s="16" t="n">
        <v>0</v>
      </c>
      <c r="CA366" s="16" t="n">
        <v>0</v>
      </c>
      <c r="CB366" s="16" t="n">
        <v>0</v>
      </c>
      <c r="CC366" s="16" t="n">
        <v>0</v>
      </c>
      <c r="CD366" s="16" t="n">
        <v>0</v>
      </c>
      <c r="CE366" s="16" t="n">
        <v>0</v>
      </c>
      <c r="CF366" s="16" t="n">
        <v>0</v>
      </c>
      <c r="CG366" s="16" t="n">
        <v>0</v>
      </c>
      <c r="CH366" s="16" t="n">
        <v>0</v>
      </c>
      <c r="CI366" s="16" t="n">
        <v>0</v>
      </c>
      <c r="CJ366" s="16" t="n">
        <v>0</v>
      </c>
      <c r="CK366" s="16" t="n">
        <v>0</v>
      </c>
      <c r="CL366" s="16" t="n">
        <v>0</v>
      </c>
      <c r="CM366" s="16" t="n">
        <v>0</v>
      </c>
      <c r="CN366" s="16" t="n">
        <v>0</v>
      </c>
      <c r="CO366" s="16" t="n">
        <v>0</v>
      </c>
      <c r="CP366" s="16" t="n">
        <v>0</v>
      </c>
      <c r="CQ366" s="16" t="n">
        <v>0</v>
      </c>
      <c r="CR366" s="16" t="n">
        <v>0</v>
      </c>
      <c r="CS366" s="16" t="n">
        <v>0</v>
      </c>
      <c r="CT366" s="16" t="n">
        <v>0</v>
      </c>
      <c r="CU366" s="16" t="n">
        <v>0</v>
      </c>
      <c r="CV366" s="16" t="n">
        <v>0</v>
      </c>
      <c r="CW366" s="16" t="n">
        <v>0</v>
      </c>
      <c r="CX366" s="16" t="n">
        <v>0</v>
      </c>
      <c r="CY366" s="16" t="n">
        <v>0</v>
      </c>
      <c r="CZ366" s="16" t="n">
        <v>0</v>
      </c>
      <c r="DA366" s="16" t="n">
        <v>0</v>
      </c>
      <c r="DB366" s="16" t="n">
        <v>0</v>
      </c>
      <c r="DC366" s="16" t="n">
        <v>0</v>
      </c>
      <c r="DD366" s="16" t="n">
        <v>0</v>
      </c>
      <c r="DE366" s="16" t="n">
        <v>0</v>
      </c>
      <c r="DF366" s="16" t="n">
        <v>0</v>
      </c>
      <c r="DG366" s="16" t="n">
        <v>0</v>
      </c>
      <c r="DH366" s="16" t="n">
        <v>0</v>
      </c>
      <c r="DI366" s="16" t="n">
        <v>0</v>
      </c>
      <c r="DJ366" s="16" t="n">
        <v>0</v>
      </c>
      <c r="DK366" s="16" t="n">
        <v>0</v>
      </c>
      <c r="DL366" s="16" t="n">
        <v>0</v>
      </c>
      <c r="DM366" s="16" t="n">
        <v>0</v>
      </c>
      <c r="DN366" s="16" t="n">
        <v>0</v>
      </c>
      <c r="DO366" s="16" t="n">
        <v>0</v>
      </c>
      <c r="DP366" s="16" t="n">
        <v>0</v>
      </c>
      <c r="DQ366" s="16" t="n">
        <v>0</v>
      </c>
      <c r="DR366" s="16" t="n">
        <v>0</v>
      </c>
      <c r="DS366" s="16" t="n">
        <v>0</v>
      </c>
      <c r="DT366" s="16" t="n">
        <v>0</v>
      </c>
      <c r="DU366" s="16" t="n">
        <v>0</v>
      </c>
      <c r="DV366" s="16" t="n">
        <v>0</v>
      </c>
      <c r="DW366" s="16" t="n">
        <v>0</v>
      </c>
      <c r="DX366" s="16" t="n">
        <v>0</v>
      </c>
      <c r="DY366" s="16" t="n">
        <v>0</v>
      </c>
      <c r="DZ366" s="16" t="n">
        <v>0</v>
      </c>
      <c r="EA366" s="16" t="n">
        <v>0</v>
      </c>
      <c r="EB366" s="16" t="n">
        <v>0</v>
      </c>
      <c r="EC366" s="16" t="n">
        <v>0</v>
      </c>
      <c r="ED366" s="16" t="n">
        <v>0</v>
      </c>
      <c r="EE366" s="16" t="n">
        <v>0</v>
      </c>
      <c r="EF366" s="16" t="n">
        <v>0</v>
      </c>
    </row>
    <row r="367" customFormat="false" ht="15" hidden="false" customHeight="true" outlineLevel="0" collapsed="false">
      <c r="A367" s="9" t="s">
        <v>12</v>
      </c>
      <c r="B367" s="9" t="s">
        <v>27</v>
      </c>
      <c r="C367" s="9" t="s">
        <v>27</v>
      </c>
      <c r="D367" s="9" t="s">
        <v>335</v>
      </c>
      <c r="E367" s="9" t="s">
        <v>14</v>
      </c>
      <c r="F367" s="9" t="s">
        <v>99</v>
      </c>
      <c r="G367" s="16" t="n">
        <v>0</v>
      </c>
      <c r="H367" s="16" t="n">
        <v>0</v>
      </c>
      <c r="I367" s="16" t="n">
        <v>33</v>
      </c>
      <c r="J367" s="16" t="n">
        <v>-33</v>
      </c>
      <c r="K367" s="16" t="n">
        <v>0</v>
      </c>
      <c r="L367" s="16" t="n">
        <v>0</v>
      </c>
      <c r="M367" s="16" t="n">
        <v>0</v>
      </c>
      <c r="N367" s="16" t="n">
        <v>0</v>
      </c>
      <c r="O367" s="16" t="n">
        <v>0</v>
      </c>
      <c r="P367" s="16" t="n">
        <v>0</v>
      </c>
      <c r="Q367" s="16" t="n">
        <v>0</v>
      </c>
      <c r="R367" s="16" t="n">
        <v>0</v>
      </c>
      <c r="S367" s="16" t="n">
        <v>0</v>
      </c>
      <c r="T367" s="16" t="n">
        <v>0</v>
      </c>
      <c r="U367" s="16" t="n">
        <v>0</v>
      </c>
      <c r="V367" s="16" t="n">
        <v>0</v>
      </c>
      <c r="W367" s="16" t="n">
        <v>0</v>
      </c>
      <c r="X367" s="16" t="n">
        <v>0</v>
      </c>
      <c r="Y367" s="16" t="n">
        <v>0</v>
      </c>
      <c r="Z367" s="16" t="n">
        <v>0</v>
      </c>
      <c r="AA367" s="16" t="n">
        <v>0</v>
      </c>
      <c r="AB367" s="16" t="n">
        <v>0</v>
      </c>
      <c r="AC367" s="16" t="n">
        <v>0</v>
      </c>
      <c r="AD367" s="16" t="n">
        <v>0</v>
      </c>
      <c r="AE367" s="16" t="n">
        <v>0</v>
      </c>
      <c r="AF367" s="16" t="n">
        <v>0</v>
      </c>
      <c r="AG367" s="16" t="n">
        <v>0</v>
      </c>
      <c r="AH367" s="16" t="n">
        <v>0</v>
      </c>
      <c r="AI367" s="16" t="n">
        <v>0</v>
      </c>
      <c r="AJ367" s="16" t="n">
        <v>0</v>
      </c>
      <c r="AK367" s="16" t="n">
        <v>0</v>
      </c>
      <c r="AL367" s="16" t="n">
        <v>0</v>
      </c>
      <c r="AM367" s="16" t="n">
        <v>0</v>
      </c>
      <c r="AN367" s="16" t="n">
        <v>0</v>
      </c>
      <c r="AO367" s="16" t="n">
        <v>0</v>
      </c>
      <c r="AP367" s="16" t="n">
        <v>22</v>
      </c>
      <c r="AQ367" s="16" t="n">
        <v>0</v>
      </c>
      <c r="AR367" s="16" t="n">
        <v>0</v>
      </c>
      <c r="AS367" s="16" t="n">
        <v>11</v>
      </c>
      <c r="AT367" s="16" t="n">
        <v>0</v>
      </c>
      <c r="AU367" s="16" t="n">
        <v>0</v>
      </c>
      <c r="AV367" s="16" t="n">
        <v>0</v>
      </c>
      <c r="AW367" s="16" t="n">
        <v>0</v>
      </c>
      <c r="AX367" s="16" t="n">
        <v>0</v>
      </c>
      <c r="AY367" s="16" t="n">
        <v>0</v>
      </c>
      <c r="AZ367" s="16" t="n">
        <v>0</v>
      </c>
      <c r="BA367" s="16" t="n">
        <v>0</v>
      </c>
      <c r="BB367" s="16" t="n">
        <v>0</v>
      </c>
      <c r="BC367" s="16" t="n">
        <v>0</v>
      </c>
      <c r="BD367" s="16" t="n">
        <v>0</v>
      </c>
      <c r="BE367" s="16" t="n">
        <v>0</v>
      </c>
      <c r="BF367" s="16" t="n">
        <v>0</v>
      </c>
      <c r="BG367" s="16" t="n">
        <v>0</v>
      </c>
      <c r="BH367" s="16" t="n">
        <v>0</v>
      </c>
      <c r="BI367" s="16" t="n">
        <v>0</v>
      </c>
      <c r="BJ367" s="16" t="n">
        <v>0</v>
      </c>
      <c r="BK367" s="16" t="n">
        <v>0</v>
      </c>
      <c r="BL367" s="16" t="n">
        <v>0</v>
      </c>
      <c r="BM367" s="16" t="n">
        <v>0</v>
      </c>
      <c r="BN367" s="16" t="n">
        <v>0</v>
      </c>
      <c r="BO367" s="16" t="n">
        <v>0</v>
      </c>
      <c r="BP367" s="16" t="n">
        <v>0</v>
      </c>
      <c r="BQ367" s="16" t="n">
        <v>0</v>
      </c>
      <c r="BR367" s="16" t="n">
        <v>0</v>
      </c>
      <c r="BS367" s="16" t="n">
        <v>0</v>
      </c>
      <c r="BT367" s="16" t="n">
        <v>0</v>
      </c>
      <c r="BU367" s="16" t="n">
        <v>0</v>
      </c>
      <c r="BV367" s="16" t="n">
        <v>0</v>
      </c>
      <c r="BW367" s="16" t="n">
        <v>0</v>
      </c>
      <c r="BX367" s="16" t="n">
        <v>0</v>
      </c>
      <c r="BY367" s="16" t="n">
        <v>0</v>
      </c>
      <c r="BZ367" s="16" t="n">
        <v>0</v>
      </c>
      <c r="CA367" s="16" t="n">
        <v>0</v>
      </c>
      <c r="CB367" s="16" t="n">
        <v>0</v>
      </c>
      <c r="CC367" s="16" t="n">
        <v>0</v>
      </c>
      <c r="CD367" s="16" t="n">
        <v>0</v>
      </c>
      <c r="CE367" s="16" t="n">
        <v>0</v>
      </c>
      <c r="CF367" s="16" t="n">
        <v>0</v>
      </c>
      <c r="CG367" s="16" t="n">
        <v>0</v>
      </c>
      <c r="CH367" s="16" t="n">
        <v>0</v>
      </c>
      <c r="CI367" s="16" t="n">
        <v>0</v>
      </c>
      <c r="CJ367" s="16" t="n">
        <v>0</v>
      </c>
      <c r="CK367" s="16" t="n">
        <v>0</v>
      </c>
      <c r="CL367" s="16" t="n">
        <v>0</v>
      </c>
      <c r="CM367" s="16" t="n">
        <v>0</v>
      </c>
      <c r="CN367" s="16" t="n">
        <v>0</v>
      </c>
      <c r="CO367" s="16" t="n">
        <v>0</v>
      </c>
      <c r="CP367" s="16" t="n">
        <v>0</v>
      </c>
      <c r="CQ367" s="16" t="n">
        <v>0</v>
      </c>
      <c r="CR367" s="16" t="n">
        <v>0</v>
      </c>
      <c r="CS367" s="16" t="n">
        <v>11</v>
      </c>
      <c r="CT367" s="16" t="n">
        <v>0</v>
      </c>
      <c r="CU367" s="16" t="n">
        <v>0</v>
      </c>
      <c r="CV367" s="16" t="n">
        <v>0</v>
      </c>
      <c r="CW367" s="16" t="n">
        <v>0</v>
      </c>
      <c r="CX367" s="16" t="n">
        <v>0</v>
      </c>
      <c r="CY367" s="16" t="n">
        <v>0</v>
      </c>
      <c r="CZ367" s="16" t="n">
        <v>0</v>
      </c>
      <c r="DA367" s="16" t="n">
        <v>0</v>
      </c>
      <c r="DB367" s="16" t="n">
        <v>0</v>
      </c>
      <c r="DC367" s="16" t="n">
        <v>0</v>
      </c>
      <c r="DD367" s="16" t="n">
        <v>0</v>
      </c>
      <c r="DE367" s="16" t="n">
        <v>0</v>
      </c>
      <c r="DF367" s="16" t="n">
        <v>0</v>
      </c>
      <c r="DG367" s="16" t="n">
        <v>0</v>
      </c>
      <c r="DH367" s="16" t="n">
        <v>0</v>
      </c>
      <c r="DI367" s="16" t="n">
        <v>0</v>
      </c>
      <c r="DJ367" s="16" t="n">
        <v>0</v>
      </c>
      <c r="DK367" s="16" t="n">
        <v>0</v>
      </c>
      <c r="DL367" s="16" t="n">
        <v>0</v>
      </c>
      <c r="DM367" s="16" t="n">
        <v>0</v>
      </c>
      <c r="DN367" s="16" t="n">
        <v>0</v>
      </c>
      <c r="DO367" s="16" t="n">
        <v>0</v>
      </c>
      <c r="DP367" s="16" t="n">
        <v>0</v>
      </c>
      <c r="DQ367" s="16" t="n">
        <v>0</v>
      </c>
      <c r="DR367" s="16" t="n">
        <v>0</v>
      </c>
      <c r="DS367" s="16" t="n">
        <v>0</v>
      </c>
      <c r="DT367" s="16" t="n">
        <v>0</v>
      </c>
      <c r="DU367" s="16" t="n">
        <v>0</v>
      </c>
      <c r="DV367" s="16" t="n">
        <v>0</v>
      </c>
      <c r="DW367" s="16" t="n">
        <v>0</v>
      </c>
      <c r="DX367" s="16" t="n">
        <v>0</v>
      </c>
      <c r="DY367" s="16" t="n">
        <v>0</v>
      </c>
      <c r="DZ367" s="16" t="n">
        <v>0</v>
      </c>
      <c r="EA367" s="16" t="n">
        <v>0</v>
      </c>
      <c r="EB367" s="16" t="n">
        <v>0</v>
      </c>
      <c r="EC367" s="16" t="n">
        <v>0</v>
      </c>
      <c r="ED367" s="16" t="n">
        <v>0</v>
      </c>
      <c r="EE367" s="16" t="n">
        <v>0</v>
      </c>
      <c r="EF367" s="16" t="n">
        <v>0</v>
      </c>
    </row>
    <row r="368" customFormat="false" ht="15" hidden="false" customHeight="true" outlineLevel="0" collapsed="false">
      <c r="A368" s="9" t="s">
        <v>12</v>
      </c>
      <c r="B368" s="9" t="s">
        <v>27</v>
      </c>
      <c r="C368" s="9" t="s">
        <v>27</v>
      </c>
      <c r="D368" s="9" t="s">
        <v>336</v>
      </c>
      <c r="E368" s="9" t="s">
        <v>14</v>
      </c>
      <c r="F368" s="9" t="s">
        <v>99</v>
      </c>
      <c r="G368" s="16" t="n">
        <v>41</v>
      </c>
      <c r="H368" s="16" t="n">
        <v>41</v>
      </c>
      <c r="I368" s="16" t="n">
        <v>0</v>
      </c>
      <c r="J368" s="16" t="n">
        <v>41</v>
      </c>
      <c r="K368" s="16" t="n">
        <v>0</v>
      </c>
      <c r="L368" s="16" t="n">
        <v>0</v>
      </c>
      <c r="M368" s="16" t="n">
        <v>0</v>
      </c>
      <c r="N368" s="16" t="n">
        <v>0</v>
      </c>
      <c r="O368" s="16" t="n">
        <v>0</v>
      </c>
      <c r="P368" s="16" t="n">
        <v>0</v>
      </c>
      <c r="Q368" s="16" t="n">
        <v>0</v>
      </c>
      <c r="R368" s="16" t="n">
        <v>0</v>
      </c>
      <c r="S368" s="16" t="n">
        <v>0</v>
      </c>
      <c r="T368" s="16" t="n">
        <v>0</v>
      </c>
      <c r="U368" s="16" t="n">
        <v>0</v>
      </c>
      <c r="V368" s="16" t="n">
        <v>0</v>
      </c>
      <c r="W368" s="16" t="n">
        <v>0</v>
      </c>
      <c r="X368" s="16" t="n">
        <v>0</v>
      </c>
      <c r="Y368" s="16" t="n">
        <v>0</v>
      </c>
      <c r="Z368" s="16" t="n">
        <v>0</v>
      </c>
      <c r="AA368" s="16" t="n">
        <v>0</v>
      </c>
      <c r="AB368" s="16" t="n">
        <v>0</v>
      </c>
      <c r="AC368" s="16" t="n">
        <v>0</v>
      </c>
      <c r="AD368" s="16" t="n">
        <v>0</v>
      </c>
      <c r="AE368" s="16" t="n">
        <v>0</v>
      </c>
      <c r="AF368" s="16" t="n">
        <v>0</v>
      </c>
      <c r="AG368" s="16" t="n">
        <v>0</v>
      </c>
      <c r="AH368" s="16" t="n">
        <v>0</v>
      </c>
      <c r="AI368" s="16" t="n">
        <v>0</v>
      </c>
      <c r="AJ368" s="16" t="n">
        <v>0</v>
      </c>
      <c r="AK368" s="16" t="n">
        <v>0</v>
      </c>
      <c r="AL368" s="16" t="n">
        <v>0</v>
      </c>
      <c r="AM368" s="16" t="n">
        <v>0</v>
      </c>
      <c r="AN368" s="16" t="n">
        <v>0</v>
      </c>
      <c r="AO368" s="16" t="n">
        <v>0</v>
      </c>
      <c r="AP368" s="16" t="n">
        <v>0</v>
      </c>
      <c r="AQ368" s="16" t="n">
        <v>0</v>
      </c>
      <c r="AR368" s="16" t="n">
        <v>0</v>
      </c>
      <c r="AS368" s="16" t="n">
        <v>0</v>
      </c>
      <c r="AT368" s="16" t="n">
        <v>0</v>
      </c>
      <c r="AU368" s="16" t="n">
        <v>0</v>
      </c>
      <c r="AV368" s="16" t="n">
        <v>0</v>
      </c>
      <c r="AW368" s="16" t="n">
        <v>0</v>
      </c>
      <c r="AX368" s="16" t="n">
        <v>0</v>
      </c>
      <c r="AY368" s="16" t="n">
        <v>0</v>
      </c>
      <c r="AZ368" s="16" t="n">
        <v>0</v>
      </c>
      <c r="BA368" s="16" t="n">
        <v>0</v>
      </c>
      <c r="BB368" s="16" t="n">
        <v>0</v>
      </c>
      <c r="BC368" s="16" t="n">
        <v>0</v>
      </c>
      <c r="BD368" s="16" t="n">
        <v>0</v>
      </c>
      <c r="BE368" s="16" t="n">
        <v>0</v>
      </c>
      <c r="BF368" s="16" t="n">
        <v>0</v>
      </c>
      <c r="BG368" s="16" t="n">
        <v>0</v>
      </c>
      <c r="BH368" s="16" t="n">
        <v>0</v>
      </c>
      <c r="BI368" s="16" t="n">
        <v>0</v>
      </c>
      <c r="BJ368" s="16" t="n">
        <v>0</v>
      </c>
      <c r="BK368" s="16" t="n">
        <v>0</v>
      </c>
      <c r="BL368" s="16" t="n">
        <v>0</v>
      </c>
      <c r="BM368" s="16" t="n">
        <v>0</v>
      </c>
      <c r="BN368" s="16" t="n">
        <v>0</v>
      </c>
      <c r="BO368" s="16" t="n">
        <v>0</v>
      </c>
      <c r="BP368" s="16" t="n">
        <v>0</v>
      </c>
      <c r="BQ368" s="16" t="n">
        <v>0</v>
      </c>
      <c r="BR368" s="16" t="n">
        <v>0</v>
      </c>
      <c r="BS368" s="16" t="n">
        <v>0</v>
      </c>
      <c r="BT368" s="16" t="n">
        <v>0</v>
      </c>
      <c r="BU368" s="16" t="n">
        <v>0</v>
      </c>
      <c r="BV368" s="16" t="n">
        <v>0</v>
      </c>
      <c r="BW368" s="16" t="n">
        <v>0</v>
      </c>
      <c r="BX368" s="16" t="n">
        <v>0</v>
      </c>
      <c r="BY368" s="16" t="n">
        <v>0</v>
      </c>
      <c r="BZ368" s="16" t="n">
        <v>0</v>
      </c>
      <c r="CA368" s="16" t="n">
        <v>0</v>
      </c>
      <c r="CB368" s="16" t="n">
        <v>0</v>
      </c>
      <c r="CC368" s="16" t="n">
        <v>0</v>
      </c>
      <c r="CD368" s="16" t="n">
        <v>0</v>
      </c>
      <c r="CE368" s="16" t="n">
        <v>0</v>
      </c>
      <c r="CF368" s="16" t="n">
        <v>0</v>
      </c>
      <c r="CG368" s="16" t="n">
        <v>0</v>
      </c>
      <c r="CH368" s="16" t="n">
        <v>0</v>
      </c>
      <c r="CI368" s="16" t="n">
        <v>0</v>
      </c>
      <c r="CJ368" s="16" t="n">
        <v>0</v>
      </c>
      <c r="CK368" s="16" t="n">
        <v>0</v>
      </c>
      <c r="CL368" s="16" t="n">
        <v>0</v>
      </c>
      <c r="CM368" s="16" t="n">
        <v>0</v>
      </c>
      <c r="CN368" s="16" t="n">
        <v>0</v>
      </c>
      <c r="CO368" s="16" t="n">
        <v>0</v>
      </c>
      <c r="CP368" s="16" t="n">
        <v>0</v>
      </c>
      <c r="CQ368" s="16" t="n">
        <v>0</v>
      </c>
      <c r="CR368" s="16" t="n">
        <v>0</v>
      </c>
      <c r="CS368" s="16" t="n">
        <v>0</v>
      </c>
      <c r="CT368" s="16" t="n">
        <v>0</v>
      </c>
      <c r="CU368" s="16" t="n">
        <v>0</v>
      </c>
      <c r="CV368" s="16" t="n">
        <v>0</v>
      </c>
      <c r="CW368" s="16" t="n">
        <v>0</v>
      </c>
      <c r="CX368" s="16" t="n">
        <v>0</v>
      </c>
      <c r="CY368" s="16" t="n">
        <v>0</v>
      </c>
      <c r="CZ368" s="16" t="n">
        <v>0</v>
      </c>
      <c r="DA368" s="16" t="n">
        <v>0</v>
      </c>
      <c r="DB368" s="16" t="n">
        <v>0</v>
      </c>
      <c r="DC368" s="16" t="n">
        <v>0</v>
      </c>
      <c r="DD368" s="16" t="n">
        <v>0</v>
      </c>
      <c r="DE368" s="16" t="n">
        <v>0</v>
      </c>
      <c r="DF368" s="16" t="n">
        <v>0</v>
      </c>
      <c r="DG368" s="16" t="n">
        <v>0</v>
      </c>
      <c r="DH368" s="16" t="n">
        <v>0</v>
      </c>
      <c r="DI368" s="16" t="n">
        <v>0</v>
      </c>
      <c r="DJ368" s="16" t="n">
        <v>0</v>
      </c>
      <c r="DK368" s="16" t="n">
        <v>0</v>
      </c>
      <c r="DL368" s="16" t="n">
        <v>0</v>
      </c>
      <c r="DM368" s="16" t="n">
        <v>0</v>
      </c>
      <c r="DN368" s="16" t="n">
        <v>0</v>
      </c>
      <c r="DO368" s="16" t="n">
        <v>0</v>
      </c>
      <c r="DP368" s="16" t="n">
        <v>0</v>
      </c>
      <c r="DQ368" s="16" t="n">
        <v>0</v>
      </c>
      <c r="DR368" s="16" t="n">
        <v>0</v>
      </c>
      <c r="DS368" s="16" t="n">
        <v>0</v>
      </c>
      <c r="DT368" s="16" t="n">
        <v>0</v>
      </c>
      <c r="DU368" s="16" t="n">
        <v>0</v>
      </c>
      <c r="DV368" s="16" t="n">
        <v>0</v>
      </c>
      <c r="DW368" s="16" t="n">
        <v>0</v>
      </c>
      <c r="DX368" s="16" t="n">
        <v>0</v>
      </c>
      <c r="DY368" s="16" t="n">
        <v>0</v>
      </c>
      <c r="DZ368" s="16" t="n">
        <v>0</v>
      </c>
      <c r="EA368" s="16" t="n">
        <v>0</v>
      </c>
      <c r="EB368" s="16" t="n">
        <v>0</v>
      </c>
      <c r="EC368" s="16" t="n">
        <v>0</v>
      </c>
      <c r="ED368" s="16" t="n">
        <v>0</v>
      </c>
      <c r="EE368" s="16" t="n">
        <v>0</v>
      </c>
      <c r="EF368" s="16" t="n">
        <v>0</v>
      </c>
    </row>
    <row r="369" customFormat="false" ht="15" hidden="false" customHeight="true" outlineLevel="0" collapsed="false">
      <c r="A369" s="9" t="s">
        <v>12</v>
      </c>
      <c r="B369" s="9" t="s">
        <v>27</v>
      </c>
      <c r="C369" s="9" t="s">
        <v>27</v>
      </c>
      <c r="D369" s="9" t="s">
        <v>336</v>
      </c>
      <c r="E369" s="9" t="s">
        <v>14</v>
      </c>
      <c r="F369" s="9" t="s">
        <v>100</v>
      </c>
      <c r="G369" s="16" t="n">
        <v>0</v>
      </c>
      <c r="H369" s="16" t="n">
        <v>0</v>
      </c>
      <c r="I369" s="16" t="n">
        <v>2</v>
      </c>
      <c r="J369" s="16" t="n">
        <v>-2</v>
      </c>
      <c r="K369" s="16" t="n">
        <v>0</v>
      </c>
      <c r="L369" s="16" t="n">
        <v>0</v>
      </c>
      <c r="M369" s="16" t="n">
        <v>0</v>
      </c>
      <c r="N369" s="16" t="n">
        <v>0</v>
      </c>
      <c r="O369" s="16" t="n">
        <v>0</v>
      </c>
      <c r="P369" s="16" t="n">
        <v>0</v>
      </c>
      <c r="Q369" s="16" t="n">
        <v>0</v>
      </c>
      <c r="R369" s="16" t="n">
        <v>0</v>
      </c>
      <c r="S369" s="16" t="n">
        <v>0</v>
      </c>
      <c r="T369" s="16" t="n">
        <v>0</v>
      </c>
      <c r="U369" s="16" t="n">
        <v>0</v>
      </c>
      <c r="V369" s="16" t="n">
        <v>0</v>
      </c>
      <c r="W369" s="16" t="n">
        <v>0</v>
      </c>
      <c r="X369" s="16" t="n">
        <v>0</v>
      </c>
      <c r="Y369" s="16" t="n">
        <v>0</v>
      </c>
      <c r="Z369" s="16" t="n">
        <v>0</v>
      </c>
      <c r="AA369" s="16" t="n">
        <v>2</v>
      </c>
      <c r="AB369" s="16" t="n">
        <v>0</v>
      </c>
      <c r="AC369" s="16" t="n">
        <v>0</v>
      </c>
      <c r="AD369" s="16" t="n">
        <v>0</v>
      </c>
      <c r="AE369" s="16" t="n">
        <v>0</v>
      </c>
      <c r="AF369" s="16" t="n">
        <v>0</v>
      </c>
      <c r="AG369" s="16" t="n">
        <v>0</v>
      </c>
      <c r="AH369" s="16" t="n">
        <v>0</v>
      </c>
      <c r="AI369" s="16" t="n">
        <v>0</v>
      </c>
      <c r="AJ369" s="16" t="n">
        <v>0</v>
      </c>
      <c r="AK369" s="16" t="n">
        <v>0</v>
      </c>
      <c r="AL369" s="16" t="n">
        <v>0</v>
      </c>
      <c r="AM369" s="16" t="n">
        <v>0</v>
      </c>
      <c r="AN369" s="16" t="n">
        <v>0</v>
      </c>
      <c r="AO369" s="16" t="n">
        <v>0</v>
      </c>
      <c r="AP369" s="16" t="n">
        <v>0</v>
      </c>
      <c r="AQ369" s="16" t="n">
        <v>0</v>
      </c>
      <c r="AR369" s="16" t="n">
        <v>0</v>
      </c>
      <c r="AS369" s="16" t="n">
        <v>0</v>
      </c>
      <c r="AT369" s="16" t="n">
        <v>0</v>
      </c>
      <c r="AU369" s="16" t="n">
        <v>0</v>
      </c>
      <c r="AV369" s="16" t="n">
        <v>0</v>
      </c>
      <c r="AW369" s="16" t="n">
        <v>0</v>
      </c>
      <c r="AX369" s="16" t="n">
        <v>0</v>
      </c>
      <c r="AY369" s="16" t="n">
        <v>0</v>
      </c>
      <c r="AZ369" s="16" t="n">
        <v>0</v>
      </c>
      <c r="BA369" s="16" t="n">
        <v>0</v>
      </c>
      <c r="BB369" s="16" t="n">
        <v>0</v>
      </c>
      <c r="BC369" s="16" t="n">
        <v>0</v>
      </c>
      <c r="BD369" s="16" t="n">
        <v>0</v>
      </c>
      <c r="BE369" s="16" t="n">
        <v>0</v>
      </c>
      <c r="BF369" s="16" t="n">
        <v>0</v>
      </c>
      <c r="BG369" s="16" t="n">
        <v>0</v>
      </c>
      <c r="BH369" s="16" t="n">
        <v>0</v>
      </c>
      <c r="BI369" s="16" t="n">
        <v>0</v>
      </c>
      <c r="BJ369" s="16" t="n">
        <v>0</v>
      </c>
      <c r="BK369" s="16" t="n">
        <v>0</v>
      </c>
      <c r="BL369" s="16" t="n">
        <v>0</v>
      </c>
      <c r="BM369" s="16" t="n">
        <v>0</v>
      </c>
      <c r="BN369" s="16" t="n">
        <v>0</v>
      </c>
      <c r="BO369" s="16" t="n">
        <v>0</v>
      </c>
      <c r="BP369" s="16" t="n">
        <v>0</v>
      </c>
      <c r="BQ369" s="16" t="n">
        <v>0</v>
      </c>
      <c r="BR369" s="16" t="n">
        <v>0</v>
      </c>
      <c r="BS369" s="16" t="n">
        <v>0</v>
      </c>
      <c r="BT369" s="16" t="n">
        <v>0</v>
      </c>
      <c r="BU369" s="16" t="n">
        <v>0</v>
      </c>
      <c r="BV369" s="16" t="n">
        <v>0</v>
      </c>
      <c r="BW369" s="16" t="n">
        <v>0</v>
      </c>
      <c r="BX369" s="16" t="n">
        <v>0</v>
      </c>
      <c r="BY369" s="16" t="n">
        <v>0</v>
      </c>
      <c r="BZ369" s="16" t="n">
        <v>0</v>
      </c>
      <c r="CA369" s="16" t="n">
        <v>0</v>
      </c>
      <c r="CB369" s="16" t="n">
        <v>0</v>
      </c>
      <c r="CC369" s="16" t="n">
        <v>0</v>
      </c>
      <c r="CD369" s="16" t="n">
        <v>0</v>
      </c>
      <c r="CE369" s="16" t="n">
        <v>0</v>
      </c>
      <c r="CF369" s="16" t="n">
        <v>0</v>
      </c>
      <c r="CG369" s="16" t="n">
        <v>0</v>
      </c>
      <c r="CH369" s="16" t="n">
        <v>0</v>
      </c>
      <c r="CI369" s="16" t="n">
        <v>0</v>
      </c>
      <c r="CJ369" s="16" t="n">
        <v>0</v>
      </c>
      <c r="CK369" s="16" t="n">
        <v>0</v>
      </c>
      <c r="CL369" s="16" t="n">
        <v>0</v>
      </c>
      <c r="CM369" s="16" t="n">
        <v>0</v>
      </c>
      <c r="CN369" s="16" t="n">
        <v>0</v>
      </c>
      <c r="CO369" s="16" t="n">
        <v>0</v>
      </c>
      <c r="CP369" s="16" t="n">
        <v>0</v>
      </c>
      <c r="CQ369" s="16" t="n">
        <v>0</v>
      </c>
      <c r="CR369" s="16" t="n">
        <v>0</v>
      </c>
      <c r="CS369" s="16" t="n">
        <v>0</v>
      </c>
      <c r="CT369" s="16" t="n">
        <v>0</v>
      </c>
      <c r="CU369" s="16" t="n">
        <v>0</v>
      </c>
      <c r="CV369" s="16" t="n">
        <v>0</v>
      </c>
      <c r="CW369" s="16" t="n">
        <v>0</v>
      </c>
      <c r="CX369" s="16" t="n">
        <v>0</v>
      </c>
      <c r="CY369" s="16" t="n">
        <v>0</v>
      </c>
      <c r="CZ369" s="16" t="n">
        <v>0</v>
      </c>
      <c r="DA369" s="16" t="n">
        <v>0</v>
      </c>
      <c r="DB369" s="16" t="n">
        <v>0</v>
      </c>
      <c r="DC369" s="16" t="n">
        <v>0</v>
      </c>
      <c r="DD369" s="16" t="n">
        <v>0</v>
      </c>
      <c r="DE369" s="16" t="n">
        <v>0</v>
      </c>
      <c r="DF369" s="16" t="n">
        <v>0</v>
      </c>
      <c r="DG369" s="16" t="n">
        <v>0</v>
      </c>
      <c r="DH369" s="16" t="n">
        <v>0</v>
      </c>
      <c r="DI369" s="16" t="n">
        <v>0</v>
      </c>
      <c r="DJ369" s="16" t="n">
        <v>0</v>
      </c>
      <c r="DK369" s="16" t="n">
        <v>0</v>
      </c>
      <c r="DL369" s="16" t="n">
        <v>0</v>
      </c>
      <c r="DM369" s="16" t="n">
        <v>0</v>
      </c>
      <c r="DN369" s="16" t="n">
        <v>0</v>
      </c>
      <c r="DO369" s="16" t="n">
        <v>0</v>
      </c>
      <c r="DP369" s="16" t="n">
        <v>0</v>
      </c>
      <c r="DQ369" s="16" t="n">
        <v>0</v>
      </c>
      <c r="DR369" s="16" t="n">
        <v>0</v>
      </c>
      <c r="DS369" s="16" t="n">
        <v>0</v>
      </c>
      <c r="DT369" s="16" t="n">
        <v>0</v>
      </c>
      <c r="DU369" s="16" t="n">
        <v>0</v>
      </c>
      <c r="DV369" s="16" t="n">
        <v>0</v>
      </c>
      <c r="DW369" s="16" t="n">
        <v>0</v>
      </c>
      <c r="DX369" s="16" t="n">
        <v>0</v>
      </c>
      <c r="DY369" s="16" t="n">
        <v>0</v>
      </c>
      <c r="DZ369" s="16" t="n">
        <v>0</v>
      </c>
      <c r="EA369" s="16" t="n">
        <v>0</v>
      </c>
      <c r="EB369" s="16" t="n">
        <v>0</v>
      </c>
      <c r="EC369" s="16" t="n">
        <v>0</v>
      </c>
      <c r="ED369" s="16" t="n">
        <v>0</v>
      </c>
      <c r="EE369" s="16" t="n">
        <v>0</v>
      </c>
      <c r="EF369" s="16" t="n">
        <v>0</v>
      </c>
    </row>
    <row r="370" customFormat="false" ht="15" hidden="false" customHeight="true" outlineLevel="0" collapsed="false">
      <c r="A370" s="9" t="s">
        <v>12</v>
      </c>
      <c r="B370" s="9" t="s">
        <v>27</v>
      </c>
      <c r="C370" s="9" t="s">
        <v>27</v>
      </c>
      <c r="D370" s="9" t="s">
        <v>335</v>
      </c>
      <c r="E370" s="9" t="s">
        <v>14</v>
      </c>
      <c r="F370" s="9" t="s">
        <v>87</v>
      </c>
      <c r="G370" s="16" t="n">
        <v>0</v>
      </c>
      <c r="H370" s="16" t="n">
        <v>0</v>
      </c>
      <c r="I370" s="16" t="n">
        <v>33</v>
      </c>
      <c r="J370" s="16" t="n">
        <v>-33</v>
      </c>
      <c r="K370" s="16" t="n">
        <v>0</v>
      </c>
      <c r="L370" s="16" t="n">
        <v>0</v>
      </c>
      <c r="M370" s="16" t="n">
        <v>0</v>
      </c>
      <c r="N370" s="16" t="n">
        <v>0</v>
      </c>
      <c r="O370" s="16" t="n">
        <v>0</v>
      </c>
      <c r="P370" s="16" t="n">
        <v>0</v>
      </c>
      <c r="Q370" s="16" t="n">
        <v>0</v>
      </c>
      <c r="R370" s="16" t="n">
        <v>0</v>
      </c>
      <c r="S370" s="16" t="n">
        <v>0</v>
      </c>
      <c r="T370" s="16" t="n">
        <v>0</v>
      </c>
      <c r="U370" s="16" t="n">
        <v>0</v>
      </c>
      <c r="V370" s="16" t="n">
        <v>0</v>
      </c>
      <c r="W370" s="16" t="n">
        <v>0</v>
      </c>
      <c r="X370" s="16" t="n">
        <v>0</v>
      </c>
      <c r="Y370" s="16" t="n">
        <v>0</v>
      </c>
      <c r="Z370" s="16" t="n">
        <v>0</v>
      </c>
      <c r="AA370" s="16" t="n">
        <v>0</v>
      </c>
      <c r="AB370" s="16" t="n">
        <v>0</v>
      </c>
      <c r="AC370" s="16" t="n">
        <v>0</v>
      </c>
      <c r="AD370" s="16" t="n">
        <v>0</v>
      </c>
      <c r="AE370" s="16" t="n">
        <v>0</v>
      </c>
      <c r="AF370" s="16" t="n">
        <v>0</v>
      </c>
      <c r="AG370" s="16" t="n">
        <v>0</v>
      </c>
      <c r="AH370" s="16" t="n">
        <v>0</v>
      </c>
      <c r="AI370" s="16" t="n">
        <v>0</v>
      </c>
      <c r="AJ370" s="16" t="n">
        <v>0</v>
      </c>
      <c r="AK370" s="16" t="n">
        <v>0</v>
      </c>
      <c r="AL370" s="16" t="n">
        <v>2</v>
      </c>
      <c r="AM370" s="16" t="n">
        <v>8</v>
      </c>
      <c r="AN370" s="16" t="n">
        <v>23</v>
      </c>
      <c r="AO370" s="16" t="n">
        <v>0</v>
      </c>
      <c r="AP370" s="16" t="n">
        <v>0</v>
      </c>
      <c r="AQ370" s="16" t="n">
        <v>0</v>
      </c>
      <c r="AR370" s="16" t="n">
        <v>0</v>
      </c>
      <c r="AS370" s="16" t="n">
        <v>0</v>
      </c>
      <c r="AT370" s="16" t="n">
        <v>0</v>
      </c>
      <c r="AU370" s="16" t="n">
        <v>0</v>
      </c>
      <c r="AV370" s="16" t="n">
        <v>0</v>
      </c>
      <c r="AW370" s="16" t="n">
        <v>0</v>
      </c>
      <c r="AX370" s="16" t="n">
        <v>0</v>
      </c>
      <c r="AY370" s="16" t="n">
        <v>0</v>
      </c>
      <c r="AZ370" s="16" t="n">
        <v>0</v>
      </c>
      <c r="BA370" s="16" t="n">
        <v>0</v>
      </c>
      <c r="BB370" s="16" t="n">
        <v>0</v>
      </c>
      <c r="BC370" s="16" t="n">
        <v>0</v>
      </c>
      <c r="BD370" s="16" t="n">
        <v>0</v>
      </c>
      <c r="BE370" s="16" t="n">
        <v>0</v>
      </c>
      <c r="BF370" s="16" t="n">
        <v>0</v>
      </c>
      <c r="BG370" s="16" t="n">
        <v>0</v>
      </c>
      <c r="BH370" s="16" t="n">
        <v>0</v>
      </c>
      <c r="BI370" s="16" t="n">
        <v>0</v>
      </c>
      <c r="BJ370" s="16" t="n">
        <v>0</v>
      </c>
      <c r="BK370" s="16" t="n">
        <v>0</v>
      </c>
      <c r="BL370" s="16" t="n">
        <v>0</v>
      </c>
      <c r="BM370" s="16" t="n">
        <v>0</v>
      </c>
      <c r="BN370" s="16" t="n">
        <v>0</v>
      </c>
      <c r="BO370" s="16" t="n">
        <v>0</v>
      </c>
      <c r="BP370" s="16" t="n">
        <v>0</v>
      </c>
      <c r="BQ370" s="16" t="n">
        <v>0</v>
      </c>
      <c r="BR370" s="16" t="n">
        <v>0</v>
      </c>
      <c r="BS370" s="16" t="n">
        <v>0</v>
      </c>
      <c r="BT370" s="16" t="n">
        <v>0</v>
      </c>
      <c r="BU370" s="16" t="n">
        <v>0</v>
      </c>
      <c r="BV370" s="16" t="n">
        <v>0</v>
      </c>
      <c r="BW370" s="16" t="n">
        <v>0</v>
      </c>
      <c r="BX370" s="16" t="n">
        <v>0</v>
      </c>
      <c r="BY370" s="16" t="n">
        <v>0</v>
      </c>
      <c r="BZ370" s="16" t="n">
        <v>0</v>
      </c>
      <c r="CA370" s="16" t="n">
        <v>0</v>
      </c>
      <c r="CB370" s="16" t="n">
        <v>0</v>
      </c>
      <c r="CC370" s="16" t="n">
        <v>0</v>
      </c>
      <c r="CD370" s="16" t="n">
        <v>0</v>
      </c>
      <c r="CE370" s="16" t="n">
        <v>0</v>
      </c>
      <c r="CF370" s="16" t="n">
        <v>0</v>
      </c>
      <c r="CG370" s="16" t="n">
        <v>0</v>
      </c>
      <c r="CH370" s="16" t="n">
        <v>0</v>
      </c>
      <c r="CI370" s="16" t="n">
        <v>0</v>
      </c>
      <c r="CJ370" s="16" t="n">
        <v>0</v>
      </c>
      <c r="CK370" s="16" t="n">
        <v>0</v>
      </c>
      <c r="CL370" s="16" t="n">
        <v>0</v>
      </c>
      <c r="CM370" s="16" t="n">
        <v>0</v>
      </c>
      <c r="CN370" s="16" t="n">
        <v>0</v>
      </c>
      <c r="CO370" s="16" t="n">
        <v>0</v>
      </c>
      <c r="CP370" s="16" t="n">
        <v>0</v>
      </c>
      <c r="CQ370" s="16" t="n">
        <v>0</v>
      </c>
      <c r="CR370" s="16" t="n">
        <v>0</v>
      </c>
      <c r="CS370" s="16" t="n">
        <v>0</v>
      </c>
      <c r="CT370" s="16" t="n">
        <v>0</v>
      </c>
      <c r="CU370" s="16" t="n">
        <v>0</v>
      </c>
      <c r="CV370" s="16" t="n">
        <v>0</v>
      </c>
      <c r="CW370" s="16" t="n">
        <v>0</v>
      </c>
      <c r="CX370" s="16" t="n">
        <v>0</v>
      </c>
      <c r="CY370" s="16" t="n">
        <v>0</v>
      </c>
      <c r="CZ370" s="16" t="n">
        <v>0</v>
      </c>
      <c r="DA370" s="16" t="n">
        <v>0</v>
      </c>
      <c r="DB370" s="16" t="n">
        <v>0</v>
      </c>
      <c r="DC370" s="16" t="n">
        <v>0</v>
      </c>
      <c r="DD370" s="16" t="n">
        <v>0</v>
      </c>
      <c r="DE370" s="16" t="n">
        <v>0</v>
      </c>
      <c r="DF370" s="16" t="n">
        <v>0</v>
      </c>
      <c r="DG370" s="16" t="n">
        <v>0</v>
      </c>
      <c r="DH370" s="16" t="n">
        <v>0</v>
      </c>
      <c r="DI370" s="16" t="n">
        <v>0</v>
      </c>
      <c r="DJ370" s="16" t="n">
        <v>0</v>
      </c>
      <c r="DK370" s="16" t="n">
        <v>0</v>
      </c>
      <c r="DL370" s="16" t="n">
        <v>0</v>
      </c>
      <c r="DM370" s="16" t="n">
        <v>0</v>
      </c>
      <c r="DN370" s="16" t="n">
        <v>0</v>
      </c>
      <c r="DO370" s="16" t="n">
        <v>0</v>
      </c>
      <c r="DP370" s="16" t="n">
        <v>0</v>
      </c>
      <c r="DQ370" s="16" t="n">
        <v>0</v>
      </c>
      <c r="DR370" s="16" t="n">
        <v>0</v>
      </c>
      <c r="DS370" s="16" t="n">
        <v>0</v>
      </c>
      <c r="DT370" s="16" t="n">
        <v>0</v>
      </c>
      <c r="DU370" s="16" t="n">
        <v>0</v>
      </c>
      <c r="DV370" s="16" t="n">
        <v>0</v>
      </c>
      <c r="DW370" s="16" t="n">
        <v>0</v>
      </c>
      <c r="DX370" s="16" t="n">
        <v>0</v>
      </c>
      <c r="DY370" s="16" t="n">
        <v>0</v>
      </c>
      <c r="DZ370" s="16" t="n">
        <v>0</v>
      </c>
      <c r="EA370" s="16" t="n">
        <v>0</v>
      </c>
      <c r="EB370" s="16" t="n">
        <v>0</v>
      </c>
      <c r="EC370" s="16" t="n">
        <v>0</v>
      </c>
      <c r="ED370" s="16" t="n">
        <v>0</v>
      </c>
      <c r="EE370" s="16" t="n">
        <v>0</v>
      </c>
      <c r="EF370" s="16" t="n">
        <v>0</v>
      </c>
    </row>
    <row r="371" customFormat="false" ht="15" hidden="false" customHeight="true" outlineLevel="0" collapsed="false">
      <c r="A371" s="9" t="s">
        <v>12</v>
      </c>
      <c r="B371" s="9" t="s">
        <v>27</v>
      </c>
      <c r="C371" s="9" t="s">
        <v>27</v>
      </c>
      <c r="D371" s="9" t="s">
        <v>336</v>
      </c>
      <c r="E371" s="9" t="s">
        <v>14</v>
      </c>
      <c r="F371" s="9" t="s">
        <v>87</v>
      </c>
      <c r="G371" s="16" t="n">
        <v>30</v>
      </c>
      <c r="H371" s="16" t="n">
        <v>30</v>
      </c>
      <c r="I371" s="16" t="n">
        <v>0</v>
      </c>
      <c r="J371" s="16" t="n">
        <v>30</v>
      </c>
      <c r="K371" s="16" t="n">
        <v>0</v>
      </c>
      <c r="L371" s="16" t="n">
        <v>0</v>
      </c>
      <c r="M371" s="16" t="n">
        <v>0</v>
      </c>
      <c r="N371" s="16" t="n">
        <v>0</v>
      </c>
      <c r="O371" s="16" t="n">
        <v>0</v>
      </c>
      <c r="P371" s="16" t="n">
        <v>0</v>
      </c>
      <c r="Q371" s="16" t="n">
        <v>0</v>
      </c>
      <c r="R371" s="16" t="n">
        <v>0</v>
      </c>
      <c r="S371" s="16" t="n">
        <v>0</v>
      </c>
      <c r="T371" s="16" t="n">
        <v>0</v>
      </c>
      <c r="U371" s="16" t="n">
        <v>0</v>
      </c>
      <c r="V371" s="16" t="n">
        <v>0</v>
      </c>
      <c r="W371" s="16" t="n">
        <v>0</v>
      </c>
      <c r="X371" s="16" t="n">
        <v>0</v>
      </c>
      <c r="Y371" s="16" t="n">
        <v>0</v>
      </c>
      <c r="Z371" s="16" t="n">
        <v>0</v>
      </c>
      <c r="AA371" s="16" t="n">
        <v>0</v>
      </c>
      <c r="AB371" s="16" t="n">
        <v>0</v>
      </c>
      <c r="AC371" s="16" t="n">
        <v>0</v>
      </c>
      <c r="AD371" s="16" t="n">
        <v>0</v>
      </c>
      <c r="AE371" s="16" t="n">
        <v>0</v>
      </c>
      <c r="AF371" s="16" t="n">
        <v>0</v>
      </c>
      <c r="AG371" s="16" t="n">
        <v>0</v>
      </c>
      <c r="AH371" s="16" t="n">
        <v>0</v>
      </c>
      <c r="AI371" s="16" t="n">
        <v>0</v>
      </c>
      <c r="AJ371" s="16" t="n">
        <v>0</v>
      </c>
      <c r="AK371" s="16" t="n">
        <v>0</v>
      </c>
      <c r="AL371" s="16" t="n">
        <v>0</v>
      </c>
      <c r="AM371" s="16" t="n">
        <v>0</v>
      </c>
      <c r="AN371" s="16" t="n">
        <v>0</v>
      </c>
      <c r="AO371" s="16" t="n">
        <v>0</v>
      </c>
      <c r="AP371" s="16" t="n">
        <v>0</v>
      </c>
      <c r="AQ371" s="16" t="n">
        <v>0</v>
      </c>
      <c r="AR371" s="16" t="n">
        <v>0</v>
      </c>
      <c r="AS371" s="16" t="n">
        <v>0</v>
      </c>
      <c r="AT371" s="16" t="n">
        <v>0</v>
      </c>
      <c r="AU371" s="16" t="n">
        <v>0</v>
      </c>
      <c r="AV371" s="16" t="n">
        <v>0</v>
      </c>
      <c r="AW371" s="16" t="n">
        <v>0</v>
      </c>
      <c r="AX371" s="16" t="n">
        <v>0</v>
      </c>
      <c r="AY371" s="16" t="n">
        <v>0</v>
      </c>
      <c r="AZ371" s="16" t="n">
        <v>0</v>
      </c>
      <c r="BA371" s="16" t="n">
        <v>0</v>
      </c>
      <c r="BB371" s="16" t="n">
        <v>0</v>
      </c>
      <c r="BC371" s="16" t="n">
        <v>0</v>
      </c>
      <c r="BD371" s="16" t="n">
        <v>0</v>
      </c>
      <c r="BE371" s="16" t="n">
        <v>0</v>
      </c>
      <c r="BF371" s="16" t="n">
        <v>0</v>
      </c>
      <c r="BG371" s="16" t="n">
        <v>0</v>
      </c>
      <c r="BH371" s="16" t="n">
        <v>0</v>
      </c>
      <c r="BI371" s="16" t="n">
        <v>0</v>
      </c>
      <c r="BJ371" s="16" t="n">
        <v>0</v>
      </c>
      <c r="BK371" s="16" t="n">
        <v>0</v>
      </c>
      <c r="BL371" s="16" t="n">
        <v>0</v>
      </c>
      <c r="BM371" s="16" t="n">
        <v>0</v>
      </c>
      <c r="BN371" s="16" t="n">
        <v>0</v>
      </c>
      <c r="BO371" s="16" t="n">
        <v>0</v>
      </c>
      <c r="BP371" s="16" t="n">
        <v>0</v>
      </c>
      <c r="BQ371" s="16" t="n">
        <v>0</v>
      </c>
      <c r="BR371" s="16" t="n">
        <v>0</v>
      </c>
      <c r="BS371" s="16" t="n">
        <v>0</v>
      </c>
      <c r="BT371" s="16" t="n">
        <v>0</v>
      </c>
      <c r="BU371" s="16" t="n">
        <v>0</v>
      </c>
      <c r="BV371" s="16" t="n">
        <v>0</v>
      </c>
      <c r="BW371" s="16" t="n">
        <v>0</v>
      </c>
      <c r="BX371" s="16" t="n">
        <v>0</v>
      </c>
      <c r="BY371" s="16" t="n">
        <v>0</v>
      </c>
      <c r="BZ371" s="16" t="n">
        <v>0</v>
      </c>
      <c r="CA371" s="16" t="n">
        <v>0</v>
      </c>
      <c r="CB371" s="16" t="n">
        <v>0</v>
      </c>
      <c r="CC371" s="16" t="n">
        <v>0</v>
      </c>
      <c r="CD371" s="16" t="n">
        <v>0</v>
      </c>
      <c r="CE371" s="16" t="n">
        <v>0</v>
      </c>
      <c r="CF371" s="16" t="n">
        <v>0</v>
      </c>
      <c r="CG371" s="16" t="n">
        <v>0</v>
      </c>
      <c r="CH371" s="16" t="n">
        <v>0</v>
      </c>
      <c r="CI371" s="16" t="n">
        <v>0</v>
      </c>
      <c r="CJ371" s="16" t="n">
        <v>0</v>
      </c>
      <c r="CK371" s="16" t="n">
        <v>0</v>
      </c>
      <c r="CL371" s="16" t="n">
        <v>0</v>
      </c>
      <c r="CM371" s="16" t="n">
        <v>0</v>
      </c>
      <c r="CN371" s="16" t="n">
        <v>0</v>
      </c>
      <c r="CO371" s="16" t="n">
        <v>0</v>
      </c>
      <c r="CP371" s="16" t="n">
        <v>0</v>
      </c>
      <c r="CQ371" s="16" t="n">
        <v>0</v>
      </c>
      <c r="CR371" s="16" t="n">
        <v>0</v>
      </c>
      <c r="CS371" s="16" t="n">
        <v>0</v>
      </c>
      <c r="CT371" s="16" t="n">
        <v>0</v>
      </c>
      <c r="CU371" s="16" t="n">
        <v>0</v>
      </c>
      <c r="CV371" s="16" t="n">
        <v>0</v>
      </c>
      <c r="CW371" s="16" t="n">
        <v>0</v>
      </c>
      <c r="CX371" s="16" t="n">
        <v>0</v>
      </c>
      <c r="CY371" s="16" t="n">
        <v>0</v>
      </c>
      <c r="CZ371" s="16" t="n">
        <v>0</v>
      </c>
      <c r="DA371" s="16" t="n">
        <v>0</v>
      </c>
      <c r="DB371" s="16" t="n">
        <v>0</v>
      </c>
      <c r="DC371" s="16" t="n">
        <v>0</v>
      </c>
      <c r="DD371" s="16" t="n">
        <v>0</v>
      </c>
      <c r="DE371" s="16" t="n">
        <v>0</v>
      </c>
      <c r="DF371" s="16" t="n">
        <v>0</v>
      </c>
      <c r="DG371" s="16" t="n">
        <v>0</v>
      </c>
      <c r="DH371" s="16" t="n">
        <v>0</v>
      </c>
      <c r="DI371" s="16" t="n">
        <v>0</v>
      </c>
      <c r="DJ371" s="16" t="n">
        <v>0</v>
      </c>
      <c r="DK371" s="16" t="n">
        <v>0</v>
      </c>
      <c r="DL371" s="16" t="n">
        <v>0</v>
      </c>
      <c r="DM371" s="16" t="n">
        <v>0</v>
      </c>
      <c r="DN371" s="16" t="n">
        <v>0</v>
      </c>
      <c r="DO371" s="16" t="n">
        <v>0</v>
      </c>
      <c r="DP371" s="16" t="n">
        <v>0</v>
      </c>
      <c r="DQ371" s="16" t="n">
        <v>0</v>
      </c>
      <c r="DR371" s="16" t="n">
        <v>0</v>
      </c>
      <c r="DS371" s="16" t="n">
        <v>0</v>
      </c>
      <c r="DT371" s="16" t="n">
        <v>0</v>
      </c>
      <c r="DU371" s="16" t="n">
        <v>0</v>
      </c>
      <c r="DV371" s="16" t="n">
        <v>0</v>
      </c>
      <c r="DW371" s="16" t="n">
        <v>0</v>
      </c>
      <c r="DX371" s="16" t="n">
        <v>0</v>
      </c>
      <c r="DY371" s="16" t="n">
        <v>0</v>
      </c>
      <c r="DZ371" s="16" t="n">
        <v>0</v>
      </c>
      <c r="EA371" s="16" t="n">
        <v>0</v>
      </c>
      <c r="EB371" s="16" t="n">
        <v>0</v>
      </c>
      <c r="EC371" s="16" t="n">
        <v>0</v>
      </c>
      <c r="ED371" s="16" t="n">
        <v>0</v>
      </c>
      <c r="EE371" s="16" t="n">
        <v>0</v>
      </c>
      <c r="EF371" s="16" t="n">
        <v>0</v>
      </c>
    </row>
    <row r="372" customFormat="false" ht="15" hidden="false" customHeight="true" outlineLevel="0" collapsed="false">
      <c r="A372" s="9" t="s">
        <v>12</v>
      </c>
      <c r="B372" s="9" t="s">
        <v>21</v>
      </c>
      <c r="C372" s="9" t="s">
        <v>21</v>
      </c>
      <c r="D372" s="9" t="s">
        <v>335</v>
      </c>
      <c r="E372" s="9" t="s">
        <v>14</v>
      </c>
      <c r="F372" s="9" t="s">
        <v>110</v>
      </c>
      <c r="G372" s="16" t="n">
        <v>0</v>
      </c>
      <c r="H372" s="16" t="n">
        <v>0</v>
      </c>
      <c r="I372" s="16" t="n">
        <v>1.5</v>
      </c>
      <c r="J372" s="16" t="n">
        <v>-1.5</v>
      </c>
      <c r="K372" s="16" t="n">
        <v>0</v>
      </c>
      <c r="L372" s="16" t="n">
        <v>0</v>
      </c>
      <c r="M372" s="16" t="n">
        <v>0</v>
      </c>
      <c r="N372" s="16" t="n">
        <v>0</v>
      </c>
      <c r="O372" s="16" t="n">
        <v>0</v>
      </c>
      <c r="P372" s="16" t="n">
        <v>0</v>
      </c>
      <c r="Q372" s="16" t="n">
        <v>0</v>
      </c>
      <c r="R372" s="16" t="n">
        <v>0</v>
      </c>
      <c r="S372" s="16" t="n">
        <v>0</v>
      </c>
      <c r="T372" s="16" t="n">
        <v>0</v>
      </c>
      <c r="U372" s="16" t="n">
        <v>0</v>
      </c>
      <c r="V372" s="16" t="n">
        <v>0</v>
      </c>
      <c r="W372" s="16" t="n">
        <v>0</v>
      </c>
      <c r="X372" s="16" t="n">
        <v>0</v>
      </c>
      <c r="Y372" s="16" t="n">
        <v>0</v>
      </c>
      <c r="Z372" s="16" t="n">
        <v>0</v>
      </c>
      <c r="AA372" s="16" t="n">
        <v>0</v>
      </c>
      <c r="AB372" s="16" t="n">
        <v>0</v>
      </c>
      <c r="AC372" s="16" t="n">
        <v>0</v>
      </c>
      <c r="AD372" s="16" t="n">
        <v>0</v>
      </c>
      <c r="AE372" s="16" t="n">
        <v>0</v>
      </c>
      <c r="AF372" s="16" t="n">
        <v>0</v>
      </c>
      <c r="AG372" s="16" t="n">
        <v>0</v>
      </c>
      <c r="AH372" s="16" t="n">
        <v>0</v>
      </c>
      <c r="AI372" s="16" t="n">
        <v>0</v>
      </c>
      <c r="AJ372" s="16" t="n">
        <v>1.5</v>
      </c>
      <c r="AK372" s="16" t="n">
        <v>0</v>
      </c>
      <c r="AL372" s="16" t="n">
        <v>0</v>
      </c>
      <c r="AM372" s="16" t="n">
        <v>0</v>
      </c>
      <c r="AN372" s="16" t="n">
        <v>0</v>
      </c>
      <c r="AO372" s="16" t="n">
        <v>0</v>
      </c>
      <c r="AP372" s="16" t="n">
        <v>0</v>
      </c>
      <c r="AQ372" s="16" t="n">
        <v>0</v>
      </c>
      <c r="AR372" s="16" t="n">
        <v>0</v>
      </c>
      <c r="AS372" s="16" t="n">
        <v>0</v>
      </c>
      <c r="AT372" s="16" t="n">
        <v>0</v>
      </c>
      <c r="AU372" s="16" t="n">
        <v>0</v>
      </c>
      <c r="AV372" s="16" t="n">
        <v>0</v>
      </c>
      <c r="AW372" s="16" t="n">
        <v>0</v>
      </c>
      <c r="AX372" s="16" t="n">
        <v>0</v>
      </c>
      <c r="AY372" s="16" t="n">
        <v>0</v>
      </c>
      <c r="AZ372" s="16" t="n">
        <v>0</v>
      </c>
      <c r="BA372" s="16" t="n">
        <v>0</v>
      </c>
      <c r="BB372" s="16" t="n">
        <v>0</v>
      </c>
      <c r="BC372" s="16" t="n">
        <v>0</v>
      </c>
      <c r="BD372" s="16" t="n">
        <v>0</v>
      </c>
      <c r="BE372" s="16" t="n">
        <v>0</v>
      </c>
      <c r="BF372" s="16" t="n">
        <v>0</v>
      </c>
      <c r="BG372" s="16" t="n">
        <v>0</v>
      </c>
      <c r="BH372" s="16" t="n">
        <v>0</v>
      </c>
      <c r="BI372" s="16" t="n">
        <v>0</v>
      </c>
      <c r="BJ372" s="16" t="n">
        <v>0</v>
      </c>
      <c r="BK372" s="16" t="n">
        <v>0</v>
      </c>
      <c r="BL372" s="16" t="n">
        <v>0</v>
      </c>
      <c r="BM372" s="16" t="n">
        <v>0</v>
      </c>
      <c r="BN372" s="16" t="n">
        <v>0</v>
      </c>
      <c r="BO372" s="16" t="n">
        <v>0</v>
      </c>
      <c r="BP372" s="16" t="n">
        <v>0</v>
      </c>
      <c r="BQ372" s="16" t="n">
        <v>0</v>
      </c>
      <c r="BR372" s="16" t="n">
        <v>0</v>
      </c>
      <c r="BS372" s="16" t="n">
        <v>0</v>
      </c>
      <c r="BT372" s="16" t="n">
        <v>0</v>
      </c>
      <c r="BU372" s="16" t="n">
        <v>0</v>
      </c>
      <c r="BV372" s="16" t="n">
        <v>0</v>
      </c>
      <c r="BW372" s="16" t="n">
        <v>0</v>
      </c>
      <c r="BX372" s="16" t="n">
        <v>0</v>
      </c>
      <c r="BY372" s="16" t="n">
        <v>0</v>
      </c>
      <c r="BZ372" s="16" t="n">
        <v>0</v>
      </c>
      <c r="CA372" s="16" t="n">
        <v>0</v>
      </c>
      <c r="CB372" s="16" t="n">
        <v>0</v>
      </c>
      <c r="CC372" s="16" t="n">
        <v>0</v>
      </c>
      <c r="CD372" s="16" t="n">
        <v>0</v>
      </c>
      <c r="CE372" s="16" t="n">
        <v>0</v>
      </c>
      <c r="CF372" s="16" t="n">
        <v>0</v>
      </c>
      <c r="CG372" s="16" t="n">
        <v>0</v>
      </c>
      <c r="CH372" s="16" t="n">
        <v>0</v>
      </c>
      <c r="CI372" s="16" t="n">
        <v>0</v>
      </c>
      <c r="CJ372" s="16" t="n">
        <v>0</v>
      </c>
      <c r="CK372" s="16" t="n">
        <v>0</v>
      </c>
      <c r="CL372" s="16" t="n">
        <v>0</v>
      </c>
      <c r="CM372" s="16" t="n">
        <v>0</v>
      </c>
      <c r="CN372" s="16" t="n">
        <v>0</v>
      </c>
      <c r="CO372" s="16" t="n">
        <v>0</v>
      </c>
      <c r="CP372" s="16" t="n">
        <v>0</v>
      </c>
      <c r="CQ372" s="16" t="n">
        <v>0</v>
      </c>
      <c r="CR372" s="16" t="n">
        <v>0</v>
      </c>
      <c r="CS372" s="16" t="n">
        <v>0</v>
      </c>
      <c r="CT372" s="16" t="n">
        <v>0</v>
      </c>
      <c r="CU372" s="16" t="n">
        <v>0</v>
      </c>
      <c r="CV372" s="16" t="n">
        <v>0</v>
      </c>
      <c r="CW372" s="16" t="n">
        <v>0</v>
      </c>
      <c r="CX372" s="16" t="n">
        <v>0</v>
      </c>
      <c r="CY372" s="16" t="n">
        <v>0</v>
      </c>
      <c r="CZ372" s="16" t="n">
        <v>0</v>
      </c>
      <c r="DA372" s="16" t="n">
        <v>0</v>
      </c>
      <c r="DB372" s="16" t="n">
        <v>0</v>
      </c>
      <c r="DC372" s="16" t="n">
        <v>0</v>
      </c>
      <c r="DD372" s="16" t="n">
        <v>0</v>
      </c>
      <c r="DE372" s="16" t="n">
        <v>0</v>
      </c>
      <c r="DF372" s="16" t="n">
        <v>0</v>
      </c>
      <c r="DG372" s="16" t="n">
        <v>0</v>
      </c>
      <c r="DH372" s="16" t="n">
        <v>0</v>
      </c>
      <c r="DI372" s="16" t="n">
        <v>0</v>
      </c>
      <c r="DJ372" s="16" t="n">
        <v>0</v>
      </c>
      <c r="DK372" s="16" t="n">
        <v>0</v>
      </c>
      <c r="DL372" s="16" t="n">
        <v>0</v>
      </c>
      <c r="DM372" s="16" t="n">
        <v>0</v>
      </c>
      <c r="DN372" s="16" t="n">
        <v>0</v>
      </c>
      <c r="DO372" s="16" t="n">
        <v>0</v>
      </c>
      <c r="DP372" s="16" t="n">
        <v>0</v>
      </c>
      <c r="DQ372" s="16" t="n">
        <v>0</v>
      </c>
      <c r="DR372" s="16" t="n">
        <v>0</v>
      </c>
      <c r="DS372" s="16" t="n">
        <v>0</v>
      </c>
      <c r="DT372" s="16" t="n">
        <v>0</v>
      </c>
      <c r="DU372" s="16" t="n">
        <v>0</v>
      </c>
      <c r="DV372" s="16" t="n">
        <v>0</v>
      </c>
      <c r="DW372" s="16" t="n">
        <v>0</v>
      </c>
      <c r="DX372" s="16" t="n">
        <v>0</v>
      </c>
      <c r="DY372" s="16" t="n">
        <v>0</v>
      </c>
      <c r="DZ372" s="16" t="n">
        <v>0</v>
      </c>
      <c r="EA372" s="16" t="n">
        <v>0</v>
      </c>
      <c r="EB372" s="16" t="n">
        <v>0</v>
      </c>
      <c r="EC372" s="16" t="n">
        <v>0</v>
      </c>
      <c r="ED372" s="16" t="n">
        <v>0</v>
      </c>
      <c r="EE372" s="16" t="n">
        <v>0</v>
      </c>
      <c r="EF372" s="16" t="n">
        <v>0</v>
      </c>
    </row>
    <row r="373" customFormat="false" ht="15" hidden="false" customHeight="true" outlineLevel="0" collapsed="false">
      <c r="A373" s="9" t="s">
        <v>12</v>
      </c>
      <c r="B373" s="9" t="s">
        <v>21</v>
      </c>
      <c r="C373" s="9" t="s">
        <v>21</v>
      </c>
      <c r="D373" s="9" t="s">
        <v>336</v>
      </c>
      <c r="E373" s="9" t="s">
        <v>14</v>
      </c>
      <c r="F373" s="9" t="s">
        <v>110</v>
      </c>
      <c r="G373" s="16" t="n">
        <v>0</v>
      </c>
      <c r="H373" s="16" t="n">
        <v>0</v>
      </c>
      <c r="I373" s="16" t="n">
        <v>3.5</v>
      </c>
      <c r="J373" s="16" t="n">
        <v>-3.5</v>
      </c>
      <c r="K373" s="16" t="n">
        <v>0</v>
      </c>
      <c r="L373" s="16" t="n">
        <v>0</v>
      </c>
      <c r="M373" s="16" t="n">
        <v>0</v>
      </c>
      <c r="N373" s="16" t="n">
        <v>0</v>
      </c>
      <c r="O373" s="16" t="n">
        <v>0</v>
      </c>
      <c r="P373" s="16" t="n">
        <v>0</v>
      </c>
      <c r="Q373" s="16" t="n">
        <v>0</v>
      </c>
      <c r="R373" s="16" t="n">
        <v>0</v>
      </c>
      <c r="S373" s="16" t="n">
        <v>0</v>
      </c>
      <c r="T373" s="16" t="n">
        <v>0</v>
      </c>
      <c r="U373" s="16" t="n">
        <v>0</v>
      </c>
      <c r="V373" s="16" t="n">
        <v>0</v>
      </c>
      <c r="W373" s="16" t="n">
        <v>0</v>
      </c>
      <c r="X373" s="16" t="n">
        <v>0</v>
      </c>
      <c r="Y373" s="16" t="n">
        <v>0</v>
      </c>
      <c r="Z373" s="16" t="n">
        <v>0</v>
      </c>
      <c r="AA373" s="16" t="n">
        <v>0</v>
      </c>
      <c r="AB373" s="16" t="n">
        <v>0</v>
      </c>
      <c r="AC373" s="16" t="n">
        <v>0</v>
      </c>
      <c r="AD373" s="16" t="n">
        <v>0</v>
      </c>
      <c r="AE373" s="16" t="n">
        <v>0</v>
      </c>
      <c r="AF373" s="16" t="n">
        <v>0</v>
      </c>
      <c r="AG373" s="16" t="n">
        <v>0</v>
      </c>
      <c r="AH373" s="16" t="n">
        <v>1.5</v>
      </c>
      <c r="AI373" s="16" t="n">
        <v>0</v>
      </c>
      <c r="AJ373" s="16" t="n">
        <v>2</v>
      </c>
      <c r="AK373" s="16" t="n">
        <v>0</v>
      </c>
      <c r="AL373" s="16" t="n">
        <v>0</v>
      </c>
      <c r="AM373" s="16" t="n">
        <v>0</v>
      </c>
      <c r="AN373" s="16" t="n">
        <v>0</v>
      </c>
      <c r="AO373" s="16" t="n">
        <v>0</v>
      </c>
      <c r="AP373" s="16" t="n">
        <v>0</v>
      </c>
      <c r="AQ373" s="16" t="n">
        <v>0</v>
      </c>
      <c r="AR373" s="16" t="n">
        <v>0</v>
      </c>
      <c r="AS373" s="16" t="n">
        <v>0</v>
      </c>
      <c r="AT373" s="16" t="n">
        <v>0</v>
      </c>
      <c r="AU373" s="16" t="n">
        <v>0</v>
      </c>
      <c r="AV373" s="16" t="n">
        <v>0</v>
      </c>
      <c r="AW373" s="16" t="n">
        <v>0</v>
      </c>
      <c r="AX373" s="16" t="n">
        <v>0</v>
      </c>
      <c r="AY373" s="16" t="n">
        <v>0</v>
      </c>
      <c r="AZ373" s="16" t="n">
        <v>0</v>
      </c>
      <c r="BA373" s="16" t="n">
        <v>0</v>
      </c>
      <c r="BB373" s="16" t="n">
        <v>0</v>
      </c>
      <c r="BC373" s="16" t="n">
        <v>0</v>
      </c>
      <c r="BD373" s="16" t="n">
        <v>0</v>
      </c>
      <c r="BE373" s="16" t="n">
        <v>0</v>
      </c>
      <c r="BF373" s="16" t="n">
        <v>0</v>
      </c>
      <c r="BG373" s="16" t="n">
        <v>0</v>
      </c>
      <c r="BH373" s="16" t="n">
        <v>0</v>
      </c>
      <c r="BI373" s="16" t="n">
        <v>0</v>
      </c>
      <c r="BJ373" s="16" t="n">
        <v>0</v>
      </c>
      <c r="BK373" s="16" t="n">
        <v>0</v>
      </c>
      <c r="BL373" s="16" t="n">
        <v>0</v>
      </c>
      <c r="BM373" s="16" t="n">
        <v>0</v>
      </c>
      <c r="BN373" s="16" t="n">
        <v>0</v>
      </c>
      <c r="BO373" s="16" t="n">
        <v>0</v>
      </c>
      <c r="BP373" s="16" t="n">
        <v>0</v>
      </c>
      <c r="BQ373" s="16" t="n">
        <v>0</v>
      </c>
      <c r="BR373" s="16" t="n">
        <v>0</v>
      </c>
      <c r="BS373" s="16" t="n">
        <v>0</v>
      </c>
      <c r="BT373" s="16" t="n">
        <v>0</v>
      </c>
      <c r="BU373" s="16" t="n">
        <v>0</v>
      </c>
      <c r="BV373" s="16" t="n">
        <v>0</v>
      </c>
      <c r="BW373" s="16" t="n">
        <v>0</v>
      </c>
      <c r="BX373" s="16" t="n">
        <v>0</v>
      </c>
      <c r="BY373" s="16" t="n">
        <v>0</v>
      </c>
      <c r="BZ373" s="16" t="n">
        <v>0</v>
      </c>
      <c r="CA373" s="16" t="n">
        <v>0</v>
      </c>
      <c r="CB373" s="16" t="n">
        <v>0</v>
      </c>
      <c r="CC373" s="16" t="n">
        <v>0</v>
      </c>
      <c r="CD373" s="16" t="n">
        <v>0</v>
      </c>
      <c r="CE373" s="16" t="n">
        <v>0</v>
      </c>
      <c r="CF373" s="16" t="n">
        <v>0</v>
      </c>
      <c r="CG373" s="16" t="n">
        <v>0</v>
      </c>
      <c r="CH373" s="16" t="n">
        <v>0</v>
      </c>
      <c r="CI373" s="16" t="n">
        <v>0</v>
      </c>
      <c r="CJ373" s="16" t="n">
        <v>0</v>
      </c>
      <c r="CK373" s="16" t="n">
        <v>0</v>
      </c>
      <c r="CL373" s="16" t="n">
        <v>0</v>
      </c>
      <c r="CM373" s="16" t="n">
        <v>0</v>
      </c>
      <c r="CN373" s="16" t="n">
        <v>0</v>
      </c>
      <c r="CO373" s="16" t="n">
        <v>0</v>
      </c>
      <c r="CP373" s="16" t="n">
        <v>0</v>
      </c>
      <c r="CQ373" s="16" t="n">
        <v>0</v>
      </c>
      <c r="CR373" s="16" t="n">
        <v>0</v>
      </c>
      <c r="CS373" s="16" t="n">
        <v>0</v>
      </c>
      <c r="CT373" s="16" t="n">
        <v>0</v>
      </c>
      <c r="CU373" s="16" t="n">
        <v>0</v>
      </c>
      <c r="CV373" s="16" t="n">
        <v>0</v>
      </c>
      <c r="CW373" s="16" t="n">
        <v>0</v>
      </c>
      <c r="CX373" s="16" t="n">
        <v>0</v>
      </c>
      <c r="CY373" s="16" t="n">
        <v>0</v>
      </c>
      <c r="CZ373" s="16" t="n">
        <v>0</v>
      </c>
      <c r="DA373" s="16" t="n">
        <v>0</v>
      </c>
      <c r="DB373" s="16" t="n">
        <v>0</v>
      </c>
      <c r="DC373" s="16" t="n">
        <v>0</v>
      </c>
      <c r="DD373" s="16" t="n">
        <v>0</v>
      </c>
      <c r="DE373" s="16" t="n">
        <v>0</v>
      </c>
      <c r="DF373" s="16" t="n">
        <v>0</v>
      </c>
      <c r="DG373" s="16" t="n">
        <v>0</v>
      </c>
      <c r="DH373" s="16" t="n">
        <v>0</v>
      </c>
      <c r="DI373" s="16" t="n">
        <v>0</v>
      </c>
      <c r="DJ373" s="16" t="n">
        <v>0</v>
      </c>
      <c r="DK373" s="16" t="n">
        <v>0</v>
      </c>
      <c r="DL373" s="16" t="n">
        <v>0</v>
      </c>
      <c r="DM373" s="16" t="n">
        <v>0</v>
      </c>
      <c r="DN373" s="16" t="n">
        <v>0</v>
      </c>
      <c r="DO373" s="16" t="n">
        <v>0</v>
      </c>
      <c r="DP373" s="16" t="n">
        <v>0</v>
      </c>
      <c r="DQ373" s="16" t="n">
        <v>0</v>
      </c>
      <c r="DR373" s="16" t="n">
        <v>0</v>
      </c>
      <c r="DS373" s="16" t="n">
        <v>0</v>
      </c>
      <c r="DT373" s="16" t="n">
        <v>0</v>
      </c>
      <c r="DU373" s="16" t="n">
        <v>0</v>
      </c>
      <c r="DV373" s="16" t="n">
        <v>0</v>
      </c>
      <c r="DW373" s="16" t="n">
        <v>0</v>
      </c>
      <c r="DX373" s="16" t="n">
        <v>0</v>
      </c>
      <c r="DY373" s="16" t="n">
        <v>0</v>
      </c>
      <c r="DZ373" s="16" t="n">
        <v>0</v>
      </c>
      <c r="EA373" s="16" t="n">
        <v>0</v>
      </c>
      <c r="EB373" s="16" t="n">
        <v>0</v>
      </c>
      <c r="EC373" s="16" t="n">
        <v>0</v>
      </c>
      <c r="ED373" s="16" t="n">
        <v>0</v>
      </c>
      <c r="EE373" s="16" t="n">
        <v>0</v>
      </c>
      <c r="EF373" s="16" t="n">
        <v>0</v>
      </c>
    </row>
    <row r="374" customFormat="false" ht="15" hidden="false" customHeight="true" outlineLevel="0" collapsed="false">
      <c r="A374" s="9" t="s">
        <v>12</v>
      </c>
      <c r="B374" s="9" t="s">
        <v>21</v>
      </c>
      <c r="C374" s="9" t="s">
        <v>21</v>
      </c>
      <c r="D374" s="9" t="s">
        <v>335</v>
      </c>
      <c r="E374" s="9" t="s">
        <v>14</v>
      </c>
      <c r="F374" s="9" t="s">
        <v>82</v>
      </c>
      <c r="G374" s="16" t="n">
        <v>0</v>
      </c>
      <c r="H374" s="16" t="n">
        <v>0</v>
      </c>
      <c r="I374" s="16" t="n">
        <v>0</v>
      </c>
      <c r="J374" s="16" t="n">
        <v>0</v>
      </c>
      <c r="K374" s="16" t="n">
        <v>0</v>
      </c>
      <c r="L374" s="16" t="n">
        <v>0</v>
      </c>
      <c r="M374" s="16" t="n">
        <v>0</v>
      </c>
      <c r="N374" s="16" t="n">
        <v>0</v>
      </c>
      <c r="O374" s="16" t="n">
        <v>0</v>
      </c>
      <c r="P374" s="16" t="n">
        <v>0</v>
      </c>
      <c r="Q374" s="16" t="n">
        <v>0</v>
      </c>
      <c r="R374" s="16" t="n">
        <v>0</v>
      </c>
      <c r="S374" s="16" t="n">
        <v>0</v>
      </c>
      <c r="T374" s="16" t="n">
        <v>0</v>
      </c>
      <c r="U374" s="16" t="n">
        <v>0</v>
      </c>
      <c r="V374" s="16" t="n">
        <v>0</v>
      </c>
      <c r="W374" s="16" t="n">
        <v>0</v>
      </c>
      <c r="X374" s="16" t="n">
        <v>0</v>
      </c>
      <c r="Y374" s="16" t="n">
        <v>0</v>
      </c>
      <c r="Z374" s="16" t="n">
        <v>0</v>
      </c>
      <c r="AA374" s="16" t="n">
        <v>0</v>
      </c>
      <c r="AB374" s="16" t="n">
        <v>0</v>
      </c>
      <c r="AC374" s="16" t="n">
        <v>0</v>
      </c>
      <c r="AD374" s="16" t="n">
        <v>0</v>
      </c>
      <c r="AE374" s="16" t="n">
        <v>0</v>
      </c>
      <c r="AF374" s="16" t="n">
        <v>0</v>
      </c>
      <c r="AG374" s="16" t="n">
        <v>0</v>
      </c>
      <c r="AH374" s="16" t="n">
        <v>0</v>
      </c>
      <c r="AI374" s="16" t="n">
        <v>0</v>
      </c>
      <c r="AJ374" s="16" t="n">
        <v>0</v>
      </c>
      <c r="AK374" s="16" t="n">
        <v>0</v>
      </c>
      <c r="AL374" s="16" t="n">
        <v>0</v>
      </c>
      <c r="AM374" s="16" t="n">
        <v>0</v>
      </c>
      <c r="AN374" s="16" t="n">
        <v>0</v>
      </c>
      <c r="AO374" s="16" t="n">
        <v>0</v>
      </c>
      <c r="AP374" s="16" t="n">
        <v>0</v>
      </c>
      <c r="AQ374" s="16" t="n">
        <v>0</v>
      </c>
      <c r="AR374" s="16" t="n">
        <v>0</v>
      </c>
      <c r="AS374" s="16" t="n">
        <v>0</v>
      </c>
      <c r="AT374" s="16" t="n">
        <v>0</v>
      </c>
      <c r="AU374" s="16" t="n">
        <v>0</v>
      </c>
      <c r="AV374" s="16" t="n">
        <v>0</v>
      </c>
      <c r="AW374" s="16" t="n">
        <v>0</v>
      </c>
      <c r="AX374" s="16" t="n">
        <v>0</v>
      </c>
      <c r="AY374" s="16" t="n">
        <v>0</v>
      </c>
      <c r="AZ374" s="16" t="n">
        <v>0</v>
      </c>
      <c r="BA374" s="16" t="n">
        <v>0</v>
      </c>
      <c r="BB374" s="16" t="n">
        <v>0</v>
      </c>
      <c r="BC374" s="16" t="n">
        <v>0</v>
      </c>
      <c r="BD374" s="16" t="n">
        <v>0</v>
      </c>
      <c r="BE374" s="16" t="n">
        <v>0</v>
      </c>
      <c r="BF374" s="16" t="n">
        <v>0</v>
      </c>
      <c r="BG374" s="16" t="n">
        <v>0</v>
      </c>
      <c r="BH374" s="16" t="n">
        <v>0</v>
      </c>
      <c r="BI374" s="16" t="n">
        <v>0</v>
      </c>
      <c r="BJ374" s="16" t="n">
        <v>0</v>
      </c>
      <c r="BK374" s="16" t="n">
        <v>0</v>
      </c>
      <c r="BL374" s="16" t="n">
        <v>0</v>
      </c>
      <c r="BM374" s="16" t="n">
        <v>0</v>
      </c>
      <c r="BN374" s="16" t="n">
        <v>0</v>
      </c>
      <c r="BO374" s="16" t="n">
        <v>0</v>
      </c>
      <c r="BP374" s="16" t="n">
        <v>0</v>
      </c>
      <c r="BQ374" s="16" t="n">
        <v>0</v>
      </c>
      <c r="BR374" s="16" t="n">
        <v>0</v>
      </c>
      <c r="BS374" s="16" t="n">
        <v>0</v>
      </c>
      <c r="BT374" s="16" t="n">
        <v>0</v>
      </c>
      <c r="BU374" s="16" t="n">
        <v>0</v>
      </c>
      <c r="BV374" s="16" t="n">
        <v>0</v>
      </c>
      <c r="BW374" s="16" t="n">
        <v>0</v>
      </c>
      <c r="BX374" s="16" t="n">
        <v>0</v>
      </c>
      <c r="BY374" s="16" t="n">
        <v>0</v>
      </c>
      <c r="BZ374" s="16" t="n">
        <v>0</v>
      </c>
      <c r="CA374" s="16" t="n">
        <v>0</v>
      </c>
      <c r="CB374" s="16" t="n">
        <v>0</v>
      </c>
      <c r="CC374" s="16" t="n">
        <v>0</v>
      </c>
      <c r="CD374" s="16" t="n">
        <v>0</v>
      </c>
      <c r="CE374" s="16" t="n">
        <v>0</v>
      </c>
      <c r="CF374" s="16" t="n">
        <v>0</v>
      </c>
      <c r="CG374" s="16" t="n">
        <v>0</v>
      </c>
      <c r="CH374" s="16" t="n">
        <v>0</v>
      </c>
      <c r="CI374" s="16" t="n">
        <v>0</v>
      </c>
      <c r="CJ374" s="16" t="n">
        <v>0</v>
      </c>
      <c r="CK374" s="16" t="n">
        <v>0</v>
      </c>
      <c r="CL374" s="16" t="n">
        <v>0</v>
      </c>
      <c r="CM374" s="16" t="n">
        <v>0</v>
      </c>
      <c r="CN374" s="16" t="n">
        <v>0</v>
      </c>
      <c r="CO374" s="16" t="n">
        <v>0</v>
      </c>
      <c r="CP374" s="16" t="n">
        <v>0</v>
      </c>
      <c r="CQ374" s="16" t="n">
        <v>0</v>
      </c>
      <c r="CR374" s="16" t="n">
        <v>0</v>
      </c>
      <c r="CS374" s="16" t="n">
        <v>0</v>
      </c>
      <c r="CT374" s="16" t="n">
        <v>0</v>
      </c>
      <c r="CU374" s="16" t="n">
        <v>0</v>
      </c>
      <c r="CV374" s="16" t="n">
        <v>0</v>
      </c>
      <c r="CW374" s="16" t="n">
        <v>0</v>
      </c>
      <c r="CX374" s="16" t="n">
        <v>0</v>
      </c>
      <c r="CY374" s="16" t="n">
        <v>0</v>
      </c>
      <c r="CZ374" s="16" t="n">
        <v>0</v>
      </c>
      <c r="DA374" s="16" t="n">
        <v>0</v>
      </c>
      <c r="DB374" s="16" t="n">
        <v>0</v>
      </c>
      <c r="DC374" s="16" t="n">
        <v>0</v>
      </c>
      <c r="DD374" s="16" t="n">
        <v>0</v>
      </c>
      <c r="DE374" s="16" t="n">
        <v>0</v>
      </c>
      <c r="DF374" s="16" t="n">
        <v>0</v>
      </c>
      <c r="DG374" s="16" t="n">
        <v>0</v>
      </c>
      <c r="DH374" s="16" t="n">
        <v>0</v>
      </c>
      <c r="DI374" s="16" t="n">
        <v>0</v>
      </c>
      <c r="DJ374" s="16" t="n">
        <v>0</v>
      </c>
      <c r="DK374" s="16" t="n">
        <v>0</v>
      </c>
      <c r="DL374" s="16" t="n">
        <v>0</v>
      </c>
      <c r="DM374" s="16" t="n">
        <v>0</v>
      </c>
      <c r="DN374" s="16" t="n">
        <v>0</v>
      </c>
      <c r="DO374" s="16" t="n">
        <v>0</v>
      </c>
      <c r="DP374" s="16" t="n">
        <v>0</v>
      </c>
      <c r="DQ374" s="16" t="n">
        <v>0</v>
      </c>
      <c r="DR374" s="16" t="n">
        <v>0</v>
      </c>
      <c r="DS374" s="16" t="n">
        <v>0</v>
      </c>
      <c r="DT374" s="16" t="n">
        <v>0</v>
      </c>
      <c r="DU374" s="16" t="n">
        <v>0</v>
      </c>
      <c r="DV374" s="16" t="n">
        <v>0</v>
      </c>
      <c r="DW374" s="16" t="n">
        <v>0</v>
      </c>
      <c r="DX374" s="16" t="n">
        <v>0</v>
      </c>
      <c r="DY374" s="16" t="n">
        <v>0</v>
      </c>
      <c r="DZ374" s="16" t="n">
        <v>0</v>
      </c>
      <c r="EA374" s="16" t="n">
        <v>0</v>
      </c>
      <c r="EB374" s="16" t="n">
        <v>0</v>
      </c>
      <c r="EC374" s="16" t="n">
        <v>0</v>
      </c>
      <c r="ED374" s="16" t="n">
        <v>0</v>
      </c>
      <c r="EE374" s="16" t="n">
        <v>0</v>
      </c>
      <c r="EF374" s="16" t="n">
        <v>0</v>
      </c>
    </row>
    <row r="375" customFormat="false" ht="15" hidden="false" customHeight="true" outlineLevel="0" collapsed="false">
      <c r="A375" s="9" t="s">
        <v>12</v>
      </c>
      <c r="B375" s="9" t="s">
        <v>21</v>
      </c>
      <c r="C375" s="9" t="s">
        <v>21</v>
      </c>
      <c r="D375" s="9" t="s">
        <v>336</v>
      </c>
      <c r="E375" s="9" t="s">
        <v>14</v>
      </c>
      <c r="F375" s="9" t="s">
        <v>82</v>
      </c>
      <c r="G375" s="16" t="n">
        <v>16</v>
      </c>
      <c r="H375" s="16" t="n">
        <v>16</v>
      </c>
      <c r="I375" s="16" t="n">
        <v>16</v>
      </c>
      <c r="J375" s="16" t="n">
        <v>0</v>
      </c>
      <c r="K375" s="16" t="n">
        <v>0</v>
      </c>
      <c r="L375" s="16" t="n">
        <v>0</v>
      </c>
      <c r="M375" s="16" t="n">
        <v>0</v>
      </c>
      <c r="N375" s="16" t="n">
        <v>0</v>
      </c>
      <c r="O375" s="16" t="n">
        <v>0</v>
      </c>
      <c r="P375" s="16" t="n">
        <v>0</v>
      </c>
      <c r="Q375" s="16" t="n">
        <v>0</v>
      </c>
      <c r="R375" s="16" t="n">
        <v>0</v>
      </c>
      <c r="S375" s="16" t="n">
        <v>0</v>
      </c>
      <c r="T375" s="16" t="n">
        <v>0</v>
      </c>
      <c r="U375" s="16" t="n">
        <v>0</v>
      </c>
      <c r="V375" s="16" t="n">
        <v>0</v>
      </c>
      <c r="W375" s="16" t="n">
        <v>0</v>
      </c>
      <c r="X375" s="16" t="n">
        <v>0</v>
      </c>
      <c r="Y375" s="16" t="n">
        <v>0</v>
      </c>
      <c r="Z375" s="16" t="n">
        <v>0</v>
      </c>
      <c r="AA375" s="16" t="n">
        <v>0</v>
      </c>
      <c r="AB375" s="16" t="n">
        <v>16</v>
      </c>
      <c r="AC375" s="16" t="n">
        <v>0</v>
      </c>
      <c r="AD375" s="16" t="n">
        <v>0</v>
      </c>
      <c r="AE375" s="16" t="n">
        <v>0</v>
      </c>
      <c r="AF375" s="16" t="n">
        <v>0</v>
      </c>
      <c r="AG375" s="16" t="n">
        <v>0</v>
      </c>
      <c r="AH375" s="16" t="n">
        <v>0</v>
      </c>
      <c r="AI375" s="16" t="n">
        <v>0</v>
      </c>
      <c r="AJ375" s="16" t="n">
        <v>0</v>
      </c>
      <c r="AK375" s="16" t="n">
        <v>0</v>
      </c>
      <c r="AL375" s="16" t="n">
        <v>0</v>
      </c>
      <c r="AM375" s="16" t="n">
        <v>0</v>
      </c>
      <c r="AN375" s="16" t="n">
        <v>0</v>
      </c>
      <c r="AO375" s="16" t="n">
        <v>0</v>
      </c>
      <c r="AP375" s="16" t="n">
        <v>0</v>
      </c>
      <c r="AQ375" s="16" t="n">
        <v>0</v>
      </c>
      <c r="AR375" s="16" t="n">
        <v>0</v>
      </c>
      <c r="AS375" s="16" t="n">
        <v>0</v>
      </c>
      <c r="AT375" s="16" t="n">
        <v>0</v>
      </c>
      <c r="AU375" s="16" t="n">
        <v>0</v>
      </c>
      <c r="AV375" s="16" t="n">
        <v>0</v>
      </c>
      <c r="AW375" s="16" t="n">
        <v>0</v>
      </c>
      <c r="AX375" s="16" t="n">
        <v>0</v>
      </c>
      <c r="AY375" s="16" t="n">
        <v>0</v>
      </c>
      <c r="AZ375" s="16" t="n">
        <v>0</v>
      </c>
      <c r="BA375" s="16" t="n">
        <v>0</v>
      </c>
      <c r="BB375" s="16" t="n">
        <v>0</v>
      </c>
      <c r="BC375" s="16" t="n">
        <v>0</v>
      </c>
      <c r="BD375" s="16" t="n">
        <v>0</v>
      </c>
      <c r="BE375" s="16" t="n">
        <v>0</v>
      </c>
      <c r="BF375" s="16" t="n">
        <v>0</v>
      </c>
      <c r="BG375" s="16" t="n">
        <v>0</v>
      </c>
      <c r="BH375" s="16" t="n">
        <v>0</v>
      </c>
      <c r="BI375" s="16" t="n">
        <v>0</v>
      </c>
      <c r="BJ375" s="16" t="n">
        <v>0</v>
      </c>
      <c r="BK375" s="16" t="n">
        <v>0</v>
      </c>
      <c r="BL375" s="16" t="n">
        <v>0</v>
      </c>
      <c r="BM375" s="16" t="n">
        <v>0</v>
      </c>
      <c r="BN375" s="16" t="n">
        <v>0</v>
      </c>
      <c r="BO375" s="16" t="n">
        <v>0</v>
      </c>
      <c r="BP375" s="16" t="n">
        <v>0</v>
      </c>
      <c r="BQ375" s="16" t="n">
        <v>0</v>
      </c>
      <c r="BR375" s="16" t="n">
        <v>0</v>
      </c>
      <c r="BS375" s="16" t="n">
        <v>0</v>
      </c>
      <c r="BT375" s="16" t="n">
        <v>0</v>
      </c>
      <c r="BU375" s="16" t="n">
        <v>0</v>
      </c>
      <c r="BV375" s="16" t="n">
        <v>0</v>
      </c>
      <c r="BW375" s="16" t="n">
        <v>0</v>
      </c>
      <c r="BX375" s="16" t="n">
        <v>0</v>
      </c>
      <c r="BY375" s="16" t="n">
        <v>0</v>
      </c>
      <c r="BZ375" s="16" t="n">
        <v>0</v>
      </c>
      <c r="CA375" s="16" t="n">
        <v>0</v>
      </c>
      <c r="CB375" s="16" t="n">
        <v>0</v>
      </c>
      <c r="CC375" s="16" t="n">
        <v>0</v>
      </c>
      <c r="CD375" s="16" t="n">
        <v>0</v>
      </c>
      <c r="CE375" s="16" t="n">
        <v>0</v>
      </c>
      <c r="CF375" s="16" t="n">
        <v>0</v>
      </c>
      <c r="CG375" s="16" t="n">
        <v>0</v>
      </c>
      <c r="CH375" s="16" t="n">
        <v>0</v>
      </c>
      <c r="CI375" s="16" t="n">
        <v>0</v>
      </c>
      <c r="CJ375" s="16" t="n">
        <v>0</v>
      </c>
      <c r="CK375" s="16" t="n">
        <v>0</v>
      </c>
      <c r="CL375" s="16" t="n">
        <v>0</v>
      </c>
      <c r="CM375" s="16" t="n">
        <v>0</v>
      </c>
      <c r="CN375" s="16" t="n">
        <v>0</v>
      </c>
      <c r="CO375" s="16" t="n">
        <v>0</v>
      </c>
      <c r="CP375" s="16" t="n">
        <v>0</v>
      </c>
      <c r="CQ375" s="16" t="n">
        <v>0</v>
      </c>
      <c r="CR375" s="16" t="n">
        <v>0</v>
      </c>
      <c r="CS375" s="16" t="n">
        <v>0</v>
      </c>
      <c r="CT375" s="16" t="n">
        <v>0</v>
      </c>
      <c r="CU375" s="16" t="n">
        <v>0</v>
      </c>
      <c r="CV375" s="16" t="n">
        <v>0</v>
      </c>
      <c r="CW375" s="16" t="n">
        <v>0</v>
      </c>
      <c r="CX375" s="16" t="n">
        <v>0</v>
      </c>
      <c r="CY375" s="16" t="n">
        <v>0</v>
      </c>
      <c r="CZ375" s="16" t="n">
        <v>0</v>
      </c>
      <c r="DA375" s="16" t="n">
        <v>0</v>
      </c>
      <c r="DB375" s="16" t="n">
        <v>0</v>
      </c>
      <c r="DC375" s="16" t="n">
        <v>0</v>
      </c>
      <c r="DD375" s="16" t="n">
        <v>0</v>
      </c>
      <c r="DE375" s="16" t="n">
        <v>0</v>
      </c>
      <c r="DF375" s="16" t="n">
        <v>0</v>
      </c>
      <c r="DG375" s="16" t="n">
        <v>0</v>
      </c>
      <c r="DH375" s="16" t="n">
        <v>0</v>
      </c>
      <c r="DI375" s="16" t="n">
        <v>0</v>
      </c>
      <c r="DJ375" s="16" t="n">
        <v>0</v>
      </c>
      <c r="DK375" s="16" t="n">
        <v>0</v>
      </c>
      <c r="DL375" s="16" t="n">
        <v>0</v>
      </c>
      <c r="DM375" s="16" t="n">
        <v>0</v>
      </c>
      <c r="DN375" s="16" t="n">
        <v>0</v>
      </c>
      <c r="DO375" s="16" t="n">
        <v>0</v>
      </c>
      <c r="DP375" s="16" t="n">
        <v>0</v>
      </c>
      <c r="DQ375" s="16" t="n">
        <v>0</v>
      </c>
      <c r="DR375" s="16" t="n">
        <v>0</v>
      </c>
      <c r="DS375" s="16" t="n">
        <v>0</v>
      </c>
      <c r="DT375" s="16" t="n">
        <v>0</v>
      </c>
      <c r="DU375" s="16" t="n">
        <v>0</v>
      </c>
      <c r="DV375" s="16" t="n">
        <v>0</v>
      </c>
      <c r="DW375" s="16" t="n">
        <v>0</v>
      </c>
      <c r="DX375" s="16" t="n">
        <v>0</v>
      </c>
      <c r="DY375" s="16" t="n">
        <v>0</v>
      </c>
      <c r="DZ375" s="16" t="n">
        <v>0</v>
      </c>
      <c r="EA375" s="16" t="n">
        <v>0</v>
      </c>
      <c r="EB375" s="16" t="n">
        <v>0</v>
      </c>
      <c r="EC375" s="16" t="n">
        <v>0</v>
      </c>
      <c r="ED375" s="16" t="n">
        <v>0</v>
      </c>
      <c r="EE375" s="16" t="n">
        <v>0</v>
      </c>
      <c r="EF375" s="16" t="n">
        <v>0</v>
      </c>
    </row>
    <row r="376" customFormat="false" ht="15" hidden="false" customHeight="true" outlineLevel="0" collapsed="false">
      <c r="A376" s="9" t="s">
        <v>12</v>
      </c>
      <c r="B376" s="9" t="s">
        <v>21</v>
      </c>
      <c r="C376" s="9" t="s">
        <v>21</v>
      </c>
      <c r="D376" s="9" t="s">
        <v>336</v>
      </c>
      <c r="E376" s="9" t="s">
        <v>14</v>
      </c>
      <c r="F376" s="9" t="s">
        <v>82</v>
      </c>
      <c r="G376" s="16" t="n">
        <v>0</v>
      </c>
      <c r="H376" s="16" t="n">
        <v>0</v>
      </c>
      <c r="I376" s="16" t="n">
        <v>3</v>
      </c>
      <c r="J376" s="16" t="n">
        <v>-3</v>
      </c>
      <c r="K376" s="16" t="n">
        <v>0</v>
      </c>
      <c r="L376" s="16" t="n">
        <v>0</v>
      </c>
      <c r="M376" s="16" t="n">
        <v>0</v>
      </c>
      <c r="N376" s="16" t="n">
        <v>0</v>
      </c>
      <c r="O376" s="16" t="n">
        <v>0</v>
      </c>
      <c r="P376" s="16" t="n">
        <v>0</v>
      </c>
      <c r="Q376" s="16" t="n">
        <v>0</v>
      </c>
      <c r="R376" s="16" t="n">
        <v>0</v>
      </c>
      <c r="S376" s="16" t="n">
        <v>0</v>
      </c>
      <c r="T376" s="16" t="n">
        <v>0</v>
      </c>
      <c r="U376" s="16" t="n">
        <v>0</v>
      </c>
      <c r="V376" s="16" t="n">
        <v>0</v>
      </c>
      <c r="W376" s="16" t="n">
        <v>0</v>
      </c>
      <c r="X376" s="16" t="n">
        <v>0</v>
      </c>
      <c r="Y376" s="16" t="n">
        <v>0</v>
      </c>
      <c r="Z376" s="16" t="n">
        <v>0</v>
      </c>
      <c r="AA376" s="16" t="n">
        <v>3</v>
      </c>
      <c r="AB376" s="16" t="n">
        <v>0</v>
      </c>
      <c r="AC376" s="16" t="n">
        <v>0</v>
      </c>
      <c r="AD376" s="16" t="n">
        <v>0</v>
      </c>
      <c r="AE376" s="16" t="n">
        <v>0</v>
      </c>
      <c r="AF376" s="16" t="n">
        <v>0</v>
      </c>
      <c r="AG376" s="16" t="n">
        <v>0</v>
      </c>
      <c r="AH376" s="16" t="n">
        <v>0</v>
      </c>
      <c r="AI376" s="16" t="n">
        <v>0</v>
      </c>
      <c r="AJ376" s="16" t="n">
        <v>0</v>
      </c>
      <c r="AK376" s="16" t="n">
        <v>0</v>
      </c>
      <c r="AL376" s="16" t="n">
        <v>0</v>
      </c>
      <c r="AM376" s="16" t="n">
        <v>0</v>
      </c>
      <c r="AN376" s="16" t="n">
        <v>0</v>
      </c>
      <c r="AO376" s="16" t="n">
        <v>0</v>
      </c>
      <c r="AP376" s="16" t="n">
        <v>0</v>
      </c>
      <c r="AQ376" s="16" t="n">
        <v>0</v>
      </c>
      <c r="AR376" s="16" t="n">
        <v>0</v>
      </c>
      <c r="AS376" s="16" t="n">
        <v>0</v>
      </c>
      <c r="AT376" s="16" t="n">
        <v>0</v>
      </c>
      <c r="AU376" s="16" t="n">
        <v>0</v>
      </c>
      <c r="AV376" s="16" t="n">
        <v>0</v>
      </c>
      <c r="AW376" s="16" t="n">
        <v>0</v>
      </c>
      <c r="AX376" s="16" t="n">
        <v>0</v>
      </c>
      <c r="AY376" s="16" t="n">
        <v>0</v>
      </c>
      <c r="AZ376" s="16" t="n">
        <v>0</v>
      </c>
      <c r="BA376" s="16" t="n">
        <v>0</v>
      </c>
      <c r="BB376" s="16" t="n">
        <v>0</v>
      </c>
      <c r="BC376" s="16" t="n">
        <v>0</v>
      </c>
      <c r="BD376" s="16" t="n">
        <v>0</v>
      </c>
      <c r="BE376" s="16" t="n">
        <v>0</v>
      </c>
      <c r="BF376" s="16" t="n">
        <v>0</v>
      </c>
      <c r="BG376" s="16" t="n">
        <v>0</v>
      </c>
      <c r="BH376" s="16" t="n">
        <v>0</v>
      </c>
      <c r="BI376" s="16" t="n">
        <v>0</v>
      </c>
      <c r="BJ376" s="16" t="n">
        <v>0</v>
      </c>
      <c r="BK376" s="16" t="n">
        <v>0</v>
      </c>
      <c r="BL376" s="16" t="n">
        <v>0</v>
      </c>
      <c r="BM376" s="16" t="n">
        <v>0</v>
      </c>
      <c r="BN376" s="16" t="n">
        <v>0</v>
      </c>
      <c r="BO376" s="16" t="n">
        <v>0</v>
      </c>
      <c r="BP376" s="16" t="n">
        <v>0</v>
      </c>
      <c r="BQ376" s="16" t="n">
        <v>0</v>
      </c>
      <c r="BR376" s="16" t="n">
        <v>0</v>
      </c>
      <c r="BS376" s="16" t="n">
        <v>0</v>
      </c>
      <c r="BT376" s="16" t="n">
        <v>0</v>
      </c>
      <c r="BU376" s="16" t="n">
        <v>0</v>
      </c>
      <c r="BV376" s="16" t="n">
        <v>0</v>
      </c>
      <c r="BW376" s="16" t="n">
        <v>0</v>
      </c>
      <c r="BX376" s="16" t="n">
        <v>0</v>
      </c>
      <c r="BY376" s="16" t="n">
        <v>0</v>
      </c>
      <c r="BZ376" s="16" t="n">
        <v>0</v>
      </c>
      <c r="CA376" s="16" t="n">
        <v>0</v>
      </c>
      <c r="CB376" s="16" t="n">
        <v>0</v>
      </c>
      <c r="CC376" s="16" t="n">
        <v>0</v>
      </c>
      <c r="CD376" s="16" t="n">
        <v>0</v>
      </c>
      <c r="CE376" s="16" t="n">
        <v>0</v>
      </c>
      <c r="CF376" s="16" t="n">
        <v>0</v>
      </c>
      <c r="CG376" s="16" t="n">
        <v>0</v>
      </c>
      <c r="CH376" s="16" t="n">
        <v>0</v>
      </c>
      <c r="CI376" s="16" t="n">
        <v>0</v>
      </c>
      <c r="CJ376" s="16" t="n">
        <v>0</v>
      </c>
      <c r="CK376" s="16" t="n">
        <v>0</v>
      </c>
      <c r="CL376" s="16" t="n">
        <v>0</v>
      </c>
      <c r="CM376" s="16" t="n">
        <v>0</v>
      </c>
      <c r="CN376" s="16" t="n">
        <v>0</v>
      </c>
      <c r="CO376" s="16" t="n">
        <v>0</v>
      </c>
      <c r="CP376" s="16" t="n">
        <v>0</v>
      </c>
      <c r="CQ376" s="16" t="n">
        <v>0</v>
      </c>
      <c r="CR376" s="16" t="n">
        <v>0</v>
      </c>
      <c r="CS376" s="16" t="n">
        <v>0</v>
      </c>
      <c r="CT376" s="16" t="n">
        <v>0</v>
      </c>
      <c r="CU376" s="16" t="n">
        <v>0</v>
      </c>
      <c r="CV376" s="16" t="n">
        <v>0</v>
      </c>
      <c r="CW376" s="16" t="n">
        <v>0</v>
      </c>
      <c r="CX376" s="16" t="n">
        <v>0</v>
      </c>
      <c r="CY376" s="16" t="n">
        <v>0</v>
      </c>
      <c r="CZ376" s="16" t="n">
        <v>0</v>
      </c>
      <c r="DA376" s="16" t="n">
        <v>0</v>
      </c>
      <c r="DB376" s="16" t="n">
        <v>0</v>
      </c>
      <c r="DC376" s="16" t="n">
        <v>0</v>
      </c>
      <c r="DD376" s="16" t="n">
        <v>0</v>
      </c>
      <c r="DE376" s="16" t="n">
        <v>0</v>
      </c>
      <c r="DF376" s="16" t="n">
        <v>0</v>
      </c>
      <c r="DG376" s="16" t="n">
        <v>0</v>
      </c>
      <c r="DH376" s="16" t="n">
        <v>0</v>
      </c>
      <c r="DI376" s="16" t="n">
        <v>0</v>
      </c>
      <c r="DJ376" s="16" t="n">
        <v>0</v>
      </c>
      <c r="DK376" s="16" t="n">
        <v>0</v>
      </c>
      <c r="DL376" s="16" t="n">
        <v>0</v>
      </c>
      <c r="DM376" s="16" t="n">
        <v>0</v>
      </c>
      <c r="DN376" s="16" t="n">
        <v>0</v>
      </c>
      <c r="DO376" s="16" t="n">
        <v>0</v>
      </c>
      <c r="DP376" s="16" t="n">
        <v>0</v>
      </c>
      <c r="DQ376" s="16" t="n">
        <v>0</v>
      </c>
      <c r="DR376" s="16" t="n">
        <v>0</v>
      </c>
      <c r="DS376" s="16" t="n">
        <v>0</v>
      </c>
      <c r="DT376" s="16" t="n">
        <v>0</v>
      </c>
      <c r="DU376" s="16" t="n">
        <v>0</v>
      </c>
      <c r="DV376" s="16" t="n">
        <v>0</v>
      </c>
      <c r="DW376" s="16" t="n">
        <v>0</v>
      </c>
      <c r="DX376" s="16" t="n">
        <v>0</v>
      </c>
      <c r="DY376" s="16" t="n">
        <v>0</v>
      </c>
      <c r="DZ376" s="16" t="n">
        <v>0</v>
      </c>
      <c r="EA376" s="16" t="n">
        <v>0</v>
      </c>
      <c r="EB376" s="16" t="n">
        <v>0</v>
      </c>
      <c r="EC376" s="16" t="n">
        <v>0</v>
      </c>
      <c r="ED376" s="16" t="n">
        <v>0</v>
      </c>
      <c r="EE376" s="16" t="n">
        <v>0</v>
      </c>
      <c r="EF376" s="16" t="n">
        <v>0</v>
      </c>
    </row>
    <row r="377" customFormat="false" ht="15" hidden="false" customHeight="true" outlineLevel="0" collapsed="false">
      <c r="A377" s="9" t="s">
        <v>12</v>
      </c>
      <c r="B377" s="9" t="s">
        <v>21</v>
      </c>
      <c r="C377" s="9" t="s">
        <v>21</v>
      </c>
      <c r="D377" s="9" t="s">
        <v>335</v>
      </c>
      <c r="E377" s="9" t="s">
        <v>14</v>
      </c>
      <c r="F377" s="9" t="s">
        <v>83</v>
      </c>
      <c r="G377" s="16" t="n">
        <v>0</v>
      </c>
      <c r="H377" s="16" t="n">
        <v>0</v>
      </c>
      <c r="I377" s="16" t="n">
        <v>26.5</v>
      </c>
      <c r="J377" s="16" t="n">
        <v>-26.5</v>
      </c>
      <c r="K377" s="16" t="n">
        <v>0</v>
      </c>
      <c r="L377" s="16" t="n">
        <v>0</v>
      </c>
      <c r="M377" s="16" t="n">
        <v>0</v>
      </c>
      <c r="N377" s="16" t="n">
        <v>0</v>
      </c>
      <c r="O377" s="16" t="n">
        <v>0</v>
      </c>
      <c r="P377" s="16" t="n">
        <v>0</v>
      </c>
      <c r="Q377" s="16" t="n">
        <v>0</v>
      </c>
      <c r="R377" s="16" t="n">
        <v>0</v>
      </c>
      <c r="S377" s="16" t="n">
        <v>0</v>
      </c>
      <c r="T377" s="16" t="n">
        <v>0</v>
      </c>
      <c r="U377" s="16" t="n">
        <v>0</v>
      </c>
      <c r="V377" s="16" t="n">
        <v>0</v>
      </c>
      <c r="W377" s="16" t="n">
        <v>0</v>
      </c>
      <c r="X377" s="16" t="n">
        <v>0</v>
      </c>
      <c r="Y377" s="16" t="n">
        <v>0</v>
      </c>
      <c r="Z377" s="16" t="n">
        <v>0</v>
      </c>
      <c r="AA377" s="16" t="n">
        <v>0</v>
      </c>
      <c r="AB377" s="16" t="n">
        <v>0</v>
      </c>
      <c r="AC377" s="16" t="n">
        <v>0</v>
      </c>
      <c r="AD377" s="16" t="n">
        <v>0</v>
      </c>
      <c r="AE377" s="16" t="n">
        <v>0</v>
      </c>
      <c r="AF377" s="16" t="n">
        <v>0</v>
      </c>
      <c r="AG377" s="16" t="n">
        <v>0</v>
      </c>
      <c r="AH377" s="16" t="n">
        <v>0</v>
      </c>
      <c r="AI377" s="16" t="n">
        <v>0</v>
      </c>
      <c r="AJ377" s="16" t="n">
        <v>0</v>
      </c>
      <c r="AK377" s="16" t="n">
        <v>0</v>
      </c>
      <c r="AL377" s="16" t="n">
        <v>0</v>
      </c>
      <c r="AM377" s="16" t="n">
        <v>3</v>
      </c>
      <c r="AN377" s="16" t="n">
        <v>13.5</v>
      </c>
      <c r="AO377" s="16" t="n">
        <v>10</v>
      </c>
      <c r="AP377" s="16" t="n">
        <v>0</v>
      </c>
      <c r="AQ377" s="16" t="n">
        <v>0</v>
      </c>
      <c r="AR377" s="16" t="n">
        <v>0</v>
      </c>
      <c r="AS377" s="16" t="n">
        <v>0</v>
      </c>
      <c r="AT377" s="16" t="n">
        <v>0</v>
      </c>
      <c r="AU377" s="16" t="n">
        <v>0</v>
      </c>
      <c r="AV377" s="16" t="n">
        <v>0</v>
      </c>
      <c r="AW377" s="16" t="n">
        <v>0</v>
      </c>
      <c r="AX377" s="16" t="n">
        <v>0</v>
      </c>
      <c r="AY377" s="16" t="n">
        <v>0</v>
      </c>
      <c r="AZ377" s="16" t="n">
        <v>0</v>
      </c>
      <c r="BA377" s="16" t="n">
        <v>0</v>
      </c>
      <c r="BB377" s="16" t="n">
        <v>0</v>
      </c>
      <c r="BC377" s="16" t="n">
        <v>0</v>
      </c>
      <c r="BD377" s="16" t="n">
        <v>0</v>
      </c>
      <c r="BE377" s="16" t="n">
        <v>0</v>
      </c>
      <c r="BF377" s="16" t="n">
        <v>0</v>
      </c>
      <c r="BG377" s="16" t="n">
        <v>0</v>
      </c>
      <c r="BH377" s="16" t="n">
        <v>0</v>
      </c>
      <c r="BI377" s="16" t="n">
        <v>0</v>
      </c>
      <c r="BJ377" s="16" t="n">
        <v>0</v>
      </c>
      <c r="BK377" s="16" t="n">
        <v>0</v>
      </c>
      <c r="BL377" s="16" t="n">
        <v>0</v>
      </c>
      <c r="BM377" s="16" t="n">
        <v>0</v>
      </c>
      <c r="BN377" s="16" t="n">
        <v>0</v>
      </c>
      <c r="BO377" s="16" t="n">
        <v>0</v>
      </c>
      <c r="BP377" s="16" t="n">
        <v>0</v>
      </c>
      <c r="BQ377" s="16" t="n">
        <v>0</v>
      </c>
      <c r="BR377" s="16" t="n">
        <v>0</v>
      </c>
      <c r="BS377" s="16" t="n">
        <v>0</v>
      </c>
      <c r="BT377" s="16" t="n">
        <v>0</v>
      </c>
      <c r="BU377" s="16" t="n">
        <v>0</v>
      </c>
      <c r="BV377" s="16" t="n">
        <v>0</v>
      </c>
      <c r="BW377" s="16" t="n">
        <v>0</v>
      </c>
      <c r="BX377" s="16" t="n">
        <v>0</v>
      </c>
      <c r="BY377" s="16" t="n">
        <v>0</v>
      </c>
      <c r="BZ377" s="16" t="n">
        <v>0</v>
      </c>
      <c r="CA377" s="16" t="n">
        <v>0</v>
      </c>
      <c r="CB377" s="16" t="n">
        <v>0</v>
      </c>
      <c r="CC377" s="16" t="n">
        <v>0</v>
      </c>
      <c r="CD377" s="16" t="n">
        <v>0</v>
      </c>
      <c r="CE377" s="16" t="n">
        <v>0</v>
      </c>
      <c r="CF377" s="16" t="n">
        <v>0</v>
      </c>
      <c r="CG377" s="16" t="n">
        <v>0</v>
      </c>
      <c r="CH377" s="16" t="n">
        <v>0</v>
      </c>
      <c r="CI377" s="16" t="n">
        <v>0</v>
      </c>
      <c r="CJ377" s="16" t="n">
        <v>0</v>
      </c>
      <c r="CK377" s="16" t="n">
        <v>0</v>
      </c>
      <c r="CL377" s="16" t="n">
        <v>0</v>
      </c>
      <c r="CM377" s="16" t="n">
        <v>0</v>
      </c>
      <c r="CN377" s="16" t="n">
        <v>0</v>
      </c>
      <c r="CO377" s="16" t="n">
        <v>0</v>
      </c>
      <c r="CP377" s="16" t="n">
        <v>0</v>
      </c>
      <c r="CQ377" s="16" t="n">
        <v>0</v>
      </c>
      <c r="CR377" s="16" t="n">
        <v>0</v>
      </c>
      <c r="CS377" s="16" t="n">
        <v>0</v>
      </c>
      <c r="CT377" s="16" t="n">
        <v>0</v>
      </c>
      <c r="CU377" s="16" t="n">
        <v>0</v>
      </c>
      <c r="CV377" s="16" t="n">
        <v>0</v>
      </c>
      <c r="CW377" s="16" t="n">
        <v>0</v>
      </c>
      <c r="CX377" s="16" t="n">
        <v>0</v>
      </c>
      <c r="CY377" s="16" t="n">
        <v>0</v>
      </c>
      <c r="CZ377" s="16" t="n">
        <v>0</v>
      </c>
      <c r="DA377" s="16" t="n">
        <v>0</v>
      </c>
      <c r="DB377" s="16" t="n">
        <v>0</v>
      </c>
      <c r="DC377" s="16" t="n">
        <v>0</v>
      </c>
      <c r="DD377" s="16" t="n">
        <v>0</v>
      </c>
      <c r="DE377" s="16" t="n">
        <v>0</v>
      </c>
      <c r="DF377" s="16" t="n">
        <v>0</v>
      </c>
      <c r="DG377" s="16" t="n">
        <v>0</v>
      </c>
      <c r="DH377" s="16" t="n">
        <v>0</v>
      </c>
      <c r="DI377" s="16" t="n">
        <v>0</v>
      </c>
      <c r="DJ377" s="16" t="n">
        <v>0</v>
      </c>
      <c r="DK377" s="16" t="n">
        <v>0</v>
      </c>
      <c r="DL377" s="16" t="n">
        <v>0</v>
      </c>
      <c r="DM377" s="16" t="n">
        <v>0</v>
      </c>
      <c r="DN377" s="16" t="n">
        <v>0</v>
      </c>
      <c r="DO377" s="16" t="n">
        <v>0</v>
      </c>
      <c r="DP377" s="16" t="n">
        <v>0</v>
      </c>
      <c r="DQ377" s="16" t="n">
        <v>0</v>
      </c>
      <c r="DR377" s="16" t="n">
        <v>0</v>
      </c>
      <c r="DS377" s="16" t="n">
        <v>0</v>
      </c>
      <c r="DT377" s="16" t="n">
        <v>0</v>
      </c>
      <c r="DU377" s="16" t="n">
        <v>0</v>
      </c>
      <c r="DV377" s="16" t="n">
        <v>0</v>
      </c>
      <c r="DW377" s="16" t="n">
        <v>0</v>
      </c>
      <c r="DX377" s="16" t="n">
        <v>0</v>
      </c>
      <c r="DY377" s="16" t="n">
        <v>0</v>
      </c>
      <c r="DZ377" s="16" t="n">
        <v>0</v>
      </c>
      <c r="EA377" s="16" t="n">
        <v>0</v>
      </c>
      <c r="EB377" s="16" t="n">
        <v>0</v>
      </c>
      <c r="EC377" s="16" t="n">
        <v>0</v>
      </c>
      <c r="ED377" s="16" t="n">
        <v>0</v>
      </c>
      <c r="EE377" s="16" t="n">
        <v>0</v>
      </c>
      <c r="EF377" s="16" t="n">
        <v>0</v>
      </c>
    </row>
    <row r="378" customFormat="false" ht="15" hidden="false" customHeight="true" outlineLevel="0" collapsed="false">
      <c r="A378" s="9" t="s">
        <v>12</v>
      </c>
      <c r="B378" s="9" t="s">
        <v>21</v>
      </c>
      <c r="C378" s="9" t="s">
        <v>21</v>
      </c>
      <c r="D378" s="9" t="s">
        <v>336</v>
      </c>
      <c r="E378" s="9" t="s">
        <v>14</v>
      </c>
      <c r="F378" s="9" t="s">
        <v>83</v>
      </c>
      <c r="G378" s="16" t="n">
        <v>10</v>
      </c>
      <c r="H378" s="16" t="n">
        <v>10</v>
      </c>
      <c r="I378" s="16" t="n">
        <v>0</v>
      </c>
      <c r="J378" s="16" t="n">
        <v>10</v>
      </c>
      <c r="K378" s="16" t="n">
        <v>0</v>
      </c>
      <c r="L378" s="16" t="n">
        <v>0</v>
      </c>
      <c r="M378" s="16" t="n">
        <v>0</v>
      </c>
      <c r="N378" s="16" t="n">
        <v>0</v>
      </c>
      <c r="O378" s="16" t="n">
        <v>0</v>
      </c>
      <c r="P378" s="16" t="n">
        <v>0</v>
      </c>
      <c r="Q378" s="16" t="n">
        <v>0</v>
      </c>
      <c r="R378" s="16" t="n">
        <v>0</v>
      </c>
      <c r="S378" s="16" t="n">
        <v>0</v>
      </c>
      <c r="T378" s="16" t="n">
        <v>0</v>
      </c>
      <c r="U378" s="16" t="n">
        <v>0</v>
      </c>
      <c r="V378" s="16" t="n">
        <v>0</v>
      </c>
      <c r="W378" s="16" t="n">
        <v>0</v>
      </c>
      <c r="X378" s="16" t="n">
        <v>0</v>
      </c>
      <c r="Y378" s="16" t="n">
        <v>0</v>
      </c>
      <c r="Z378" s="16" t="n">
        <v>0</v>
      </c>
      <c r="AA378" s="16" t="n">
        <v>0</v>
      </c>
      <c r="AB378" s="16" t="n">
        <v>0</v>
      </c>
      <c r="AC378" s="16" t="n">
        <v>0</v>
      </c>
      <c r="AD378" s="16" t="n">
        <v>0</v>
      </c>
      <c r="AE378" s="16" t="n">
        <v>0</v>
      </c>
      <c r="AF378" s="16" t="n">
        <v>0</v>
      </c>
      <c r="AG378" s="16" t="n">
        <v>0</v>
      </c>
      <c r="AH378" s="16" t="n">
        <v>0</v>
      </c>
      <c r="AI378" s="16" t="n">
        <v>0</v>
      </c>
      <c r="AJ378" s="16" t="n">
        <v>0</v>
      </c>
      <c r="AK378" s="16" t="n">
        <v>0</v>
      </c>
      <c r="AL378" s="16" t="n">
        <v>0</v>
      </c>
      <c r="AM378" s="16" t="n">
        <v>0</v>
      </c>
      <c r="AN378" s="16" t="n">
        <v>0</v>
      </c>
      <c r="AO378" s="16" t="n">
        <v>0</v>
      </c>
      <c r="AP378" s="16" t="n">
        <v>0</v>
      </c>
      <c r="AQ378" s="16" t="n">
        <v>0</v>
      </c>
      <c r="AR378" s="16" t="n">
        <v>0</v>
      </c>
      <c r="AS378" s="16" t="n">
        <v>0</v>
      </c>
      <c r="AT378" s="16" t="n">
        <v>0</v>
      </c>
      <c r="AU378" s="16" t="n">
        <v>0</v>
      </c>
      <c r="AV378" s="16" t="n">
        <v>0</v>
      </c>
      <c r="AW378" s="16" t="n">
        <v>0</v>
      </c>
      <c r="AX378" s="16" t="n">
        <v>0</v>
      </c>
      <c r="AY378" s="16" t="n">
        <v>0</v>
      </c>
      <c r="AZ378" s="16" t="n">
        <v>0</v>
      </c>
      <c r="BA378" s="16" t="n">
        <v>0</v>
      </c>
      <c r="BB378" s="16" t="n">
        <v>0</v>
      </c>
      <c r="BC378" s="16" t="n">
        <v>0</v>
      </c>
      <c r="BD378" s="16" t="n">
        <v>0</v>
      </c>
      <c r="BE378" s="16" t="n">
        <v>0</v>
      </c>
      <c r="BF378" s="16" t="n">
        <v>0</v>
      </c>
      <c r="BG378" s="16" t="n">
        <v>0</v>
      </c>
      <c r="BH378" s="16" t="n">
        <v>0</v>
      </c>
      <c r="BI378" s="16" t="n">
        <v>0</v>
      </c>
      <c r="BJ378" s="16" t="n">
        <v>0</v>
      </c>
      <c r="BK378" s="16" t="n">
        <v>0</v>
      </c>
      <c r="BL378" s="16" t="n">
        <v>0</v>
      </c>
      <c r="BM378" s="16" t="n">
        <v>0</v>
      </c>
      <c r="BN378" s="16" t="n">
        <v>0</v>
      </c>
      <c r="BO378" s="16" t="n">
        <v>0</v>
      </c>
      <c r="BP378" s="16" t="n">
        <v>0</v>
      </c>
      <c r="BQ378" s="16" t="n">
        <v>0</v>
      </c>
      <c r="BR378" s="16" t="n">
        <v>0</v>
      </c>
      <c r="BS378" s="16" t="n">
        <v>0</v>
      </c>
      <c r="BT378" s="16" t="n">
        <v>0</v>
      </c>
      <c r="BU378" s="16" t="n">
        <v>0</v>
      </c>
      <c r="BV378" s="16" t="n">
        <v>0</v>
      </c>
      <c r="BW378" s="16" t="n">
        <v>0</v>
      </c>
      <c r="BX378" s="16" t="n">
        <v>0</v>
      </c>
      <c r="BY378" s="16" t="n">
        <v>0</v>
      </c>
      <c r="BZ378" s="16" t="n">
        <v>0</v>
      </c>
      <c r="CA378" s="16" t="n">
        <v>0</v>
      </c>
      <c r="CB378" s="16" t="n">
        <v>0</v>
      </c>
      <c r="CC378" s="16" t="n">
        <v>0</v>
      </c>
      <c r="CD378" s="16" t="n">
        <v>0</v>
      </c>
      <c r="CE378" s="16" t="n">
        <v>0</v>
      </c>
      <c r="CF378" s="16" t="n">
        <v>0</v>
      </c>
      <c r="CG378" s="16" t="n">
        <v>0</v>
      </c>
      <c r="CH378" s="16" t="n">
        <v>0</v>
      </c>
      <c r="CI378" s="16" t="n">
        <v>0</v>
      </c>
      <c r="CJ378" s="16" t="n">
        <v>0</v>
      </c>
      <c r="CK378" s="16" t="n">
        <v>0</v>
      </c>
      <c r="CL378" s="16" t="n">
        <v>0</v>
      </c>
      <c r="CM378" s="16" t="n">
        <v>0</v>
      </c>
      <c r="CN378" s="16" t="n">
        <v>0</v>
      </c>
      <c r="CO378" s="16" t="n">
        <v>0</v>
      </c>
      <c r="CP378" s="16" t="n">
        <v>0</v>
      </c>
      <c r="CQ378" s="16" t="n">
        <v>0</v>
      </c>
      <c r="CR378" s="16" t="n">
        <v>0</v>
      </c>
      <c r="CS378" s="16" t="n">
        <v>0</v>
      </c>
      <c r="CT378" s="16" t="n">
        <v>0</v>
      </c>
      <c r="CU378" s="16" t="n">
        <v>0</v>
      </c>
      <c r="CV378" s="16" t="n">
        <v>0</v>
      </c>
      <c r="CW378" s="16" t="n">
        <v>0</v>
      </c>
      <c r="CX378" s="16" t="n">
        <v>0</v>
      </c>
      <c r="CY378" s="16" t="n">
        <v>0</v>
      </c>
      <c r="CZ378" s="16" t="n">
        <v>0</v>
      </c>
      <c r="DA378" s="16" t="n">
        <v>0</v>
      </c>
      <c r="DB378" s="16" t="n">
        <v>0</v>
      </c>
      <c r="DC378" s="16" t="n">
        <v>0</v>
      </c>
      <c r="DD378" s="16" t="n">
        <v>0</v>
      </c>
      <c r="DE378" s="16" t="n">
        <v>0</v>
      </c>
      <c r="DF378" s="16" t="n">
        <v>0</v>
      </c>
      <c r="DG378" s="16" t="n">
        <v>0</v>
      </c>
      <c r="DH378" s="16" t="n">
        <v>0</v>
      </c>
      <c r="DI378" s="16" t="n">
        <v>0</v>
      </c>
      <c r="DJ378" s="16" t="n">
        <v>0</v>
      </c>
      <c r="DK378" s="16" t="n">
        <v>0</v>
      </c>
      <c r="DL378" s="16" t="n">
        <v>0</v>
      </c>
      <c r="DM378" s="16" t="n">
        <v>0</v>
      </c>
      <c r="DN378" s="16" t="n">
        <v>0</v>
      </c>
      <c r="DO378" s="16" t="n">
        <v>0</v>
      </c>
      <c r="DP378" s="16" t="n">
        <v>0</v>
      </c>
      <c r="DQ378" s="16" t="n">
        <v>0</v>
      </c>
      <c r="DR378" s="16" t="n">
        <v>0</v>
      </c>
      <c r="DS378" s="16" t="n">
        <v>0</v>
      </c>
      <c r="DT378" s="16" t="n">
        <v>0</v>
      </c>
      <c r="DU378" s="16" t="n">
        <v>0</v>
      </c>
      <c r="DV378" s="16" t="n">
        <v>0</v>
      </c>
      <c r="DW378" s="16" t="n">
        <v>0</v>
      </c>
      <c r="DX378" s="16" t="n">
        <v>0</v>
      </c>
      <c r="DY378" s="16" t="n">
        <v>0</v>
      </c>
      <c r="DZ378" s="16" t="n">
        <v>0</v>
      </c>
      <c r="EA378" s="16" t="n">
        <v>0</v>
      </c>
      <c r="EB378" s="16" t="n">
        <v>0</v>
      </c>
      <c r="EC378" s="16" t="n">
        <v>0</v>
      </c>
      <c r="ED378" s="16" t="n">
        <v>0</v>
      </c>
      <c r="EE378" s="16" t="n">
        <v>0</v>
      </c>
      <c r="EF378" s="16" t="n">
        <v>0</v>
      </c>
    </row>
    <row r="379" customFormat="false" ht="15" hidden="false" customHeight="true" outlineLevel="0" collapsed="false">
      <c r="A379" s="9" t="s">
        <v>12</v>
      </c>
      <c r="B379" s="9" t="s">
        <v>21</v>
      </c>
      <c r="C379" s="9" t="s">
        <v>21</v>
      </c>
      <c r="D379" s="9" t="s">
        <v>335</v>
      </c>
      <c r="E379" s="9" t="s">
        <v>14</v>
      </c>
      <c r="F379" s="9" t="s">
        <v>84</v>
      </c>
      <c r="G379" s="16" t="n">
        <v>0</v>
      </c>
      <c r="H379" s="16" t="n">
        <v>0</v>
      </c>
      <c r="I379" s="16" t="n">
        <v>10</v>
      </c>
      <c r="J379" s="16" t="n">
        <v>-10</v>
      </c>
      <c r="K379" s="16" t="n">
        <v>0</v>
      </c>
      <c r="L379" s="16" t="n">
        <v>0</v>
      </c>
      <c r="M379" s="16" t="n">
        <v>0</v>
      </c>
      <c r="N379" s="16" t="n">
        <v>0</v>
      </c>
      <c r="O379" s="16" t="n">
        <v>0</v>
      </c>
      <c r="P379" s="16" t="n">
        <v>0</v>
      </c>
      <c r="Q379" s="16" t="n">
        <v>0</v>
      </c>
      <c r="R379" s="16" t="n">
        <v>0</v>
      </c>
      <c r="S379" s="16" t="n">
        <v>0</v>
      </c>
      <c r="T379" s="16" t="n">
        <v>0</v>
      </c>
      <c r="U379" s="16" t="n">
        <v>0</v>
      </c>
      <c r="V379" s="16" t="n">
        <v>0</v>
      </c>
      <c r="W379" s="16" t="n">
        <v>0</v>
      </c>
      <c r="X379" s="16" t="n">
        <v>0</v>
      </c>
      <c r="Y379" s="16" t="n">
        <v>0</v>
      </c>
      <c r="Z379" s="16" t="n">
        <v>0</v>
      </c>
      <c r="AA379" s="16" t="n">
        <v>0</v>
      </c>
      <c r="AB379" s="16" t="n">
        <v>0</v>
      </c>
      <c r="AC379" s="16" t="n">
        <v>0</v>
      </c>
      <c r="AD379" s="16" t="n">
        <v>0</v>
      </c>
      <c r="AE379" s="16" t="n">
        <v>0</v>
      </c>
      <c r="AF379" s="16" t="n">
        <v>0</v>
      </c>
      <c r="AG379" s="16" t="n">
        <v>0</v>
      </c>
      <c r="AH379" s="16" t="n">
        <v>0</v>
      </c>
      <c r="AI379" s="16" t="n">
        <v>0</v>
      </c>
      <c r="AJ379" s="16" t="n">
        <v>0</v>
      </c>
      <c r="AK379" s="16" t="n">
        <v>0</v>
      </c>
      <c r="AL379" s="16" t="n">
        <v>0</v>
      </c>
      <c r="AM379" s="16" t="n">
        <v>0</v>
      </c>
      <c r="AN379" s="16" t="n">
        <v>0</v>
      </c>
      <c r="AO379" s="16" t="n">
        <v>0</v>
      </c>
      <c r="AP379" s="16" t="n">
        <v>0</v>
      </c>
      <c r="AQ379" s="16" t="n">
        <v>0</v>
      </c>
      <c r="AR379" s="16" t="n">
        <v>0</v>
      </c>
      <c r="AS379" s="16" t="n">
        <v>0</v>
      </c>
      <c r="AT379" s="16" t="n">
        <v>0</v>
      </c>
      <c r="AU379" s="16" t="n">
        <v>0</v>
      </c>
      <c r="AV379" s="16" t="n">
        <v>0</v>
      </c>
      <c r="AW379" s="16" t="n">
        <v>0</v>
      </c>
      <c r="AX379" s="16" t="n">
        <v>0</v>
      </c>
      <c r="AY379" s="16" t="n">
        <v>0</v>
      </c>
      <c r="AZ379" s="16" t="n">
        <v>0</v>
      </c>
      <c r="BA379" s="16" t="n">
        <v>0</v>
      </c>
      <c r="BB379" s="16" t="n">
        <v>0</v>
      </c>
      <c r="BC379" s="16" t="n">
        <v>0</v>
      </c>
      <c r="BD379" s="16" t="n">
        <v>0</v>
      </c>
      <c r="BE379" s="16" t="n">
        <v>0</v>
      </c>
      <c r="BF379" s="16" t="n">
        <v>0</v>
      </c>
      <c r="BG379" s="16" t="n">
        <v>0</v>
      </c>
      <c r="BH379" s="16" t="n">
        <v>0</v>
      </c>
      <c r="BI379" s="16" t="n">
        <v>0</v>
      </c>
      <c r="BJ379" s="16" t="n">
        <v>0</v>
      </c>
      <c r="BK379" s="16" t="n">
        <v>0</v>
      </c>
      <c r="BL379" s="16" t="n">
        <v>0</v>
      </c>
      <c r="BM379" s="16" t="n">
        <v>0</v>
      </c>
      <c r="BN379" s="16" t="n">
        <v>0</v>
      </c>
      <c r="BO379" s="16" t="n">
        <v>0</v>
      </c>
      <c r="BP379" s="16" t="n">
        <v>0</v>
      </c>
      <c r="BQ379" s="16" t="n">
        <v>0</v>
      </c>
      <c r="BR379" s="16" t="n">
        <v>0</v>
      </c>
      <c r="BS379" s="16" t="n">
        <v>0</v>
      </c>
      <c r="BT379" s="16" t="n">
        <v>0</v>
      </c>
      <c r="BU379" s="16" t="n">
        <v>0</v>
      </c>
      <c r="BV379" s="16" t="n">
        <v>0</v>
      </c>
      <c r="BW379" s="16" t="n">
        <v>0</v>
      </c>
      <c r="BX379" s="16" t="n">
        <v>0</v>
      </c>
      <c r="BY379" s="16" t="n">
        <v>0</v>
      </c>
      <c r="BZ379" s="16" t="n">
        <v>0</v>
      </c>
      <c r="CA379" s="16" t="n">
        <v>0</v>
      </c>
      <c r="CB379" s="16" t="n">
        <v>0</v>
      </c>
      <c r="CC379" s="16" t="n">
        <v>0</v>
      </c>
      <c r="CD379" s="16" t="n">
        <v>0</v>
      </c>
      <c r="CE379" s="16" t="n">
        <v>0</v>
      </c>
      <c r="CF379" s="16" t="n">
        <v>0</v>
      </c>
      <c r="CG379" s="16" t="n">
        <v>0</v>
      </c>
      <c r="CH379" s="16" t="n">
        <v>0</v>
      </c>
      <c r="CI379" s="16" t="n">
        <v>0</v>
      </c>
      <c r="CJ379" s="16" t="n">
        <v>0</v>
      </c>
      <c r="CK379" s="16" t="n">
        <v>0</v>
      </c>
      <c r="CL379" s="16" t="n">
        <v>0</v>
      </c>
      <c r="CM379" s="16" t="n">
        <v>0</v>
      </c>
      <c r="CN379" s="16" t="n">
        <v>0</v>
      </c>
      <c r="CO379" s="16" t="n">
        <v>0</v>
      </c>
      <c r="CP379" s="16" t="n">
        <v>0</v>
      </c>
      <c r="CQ379" s="16" t="n">
        <v>0</v>
      </c>
      <c r="CR379" s="16" t="n">
        <v>0</v>
      </c>
      <c r="CS379" s="16" t="n">
        <v>0</v>
      </c>
      <c r="CT379" s="16" t="n">
        <v>0</v>
      </c>
      <c r="CU379" s="16" t="n">
        <v>0</v>
      </c>
      <c r="CV379" s="16" t="n">
        <v>0</v>
      </c>
      <c r="CW379" s="16" t="n">
        <v>0</v>
      </c>
      <c r="CX379" s="16" t="n">
        <v>0</v>
      </c>
      <c r="CY379" s="16" t="n">
        <v>0</v>
      </c>
      <c r="CZ379" s="16" t="n">
        <v>5</v>
      </c>
      <c r="DA379" s="16" t="n">
        <v>5</v>
      </c>
      <c r="DB379" s="16" t="n">
        <v>0</v>
      </c>
      <c r="DC379" s="16" t="n">
        <v>0</v>
      </c>
      <c r="DD379" s="16" t="n">
        <v>0</v>
      </c>
      <c r="DE379" s="16" t="n">
        <v>0</v>
      </c>
      <c r="DF379" s="16" t="n">
        <v>0</v>
      </c>
      <c r="DG379" s="16" t="n">
        <v>0</v>
      </c>
      <c r="DH379" s="16" t="n">
        <v>0</v>
      </c>
      <c r="DI379" s="16" t="n">
        <v>0</v>
      </c>
      <c r="DJ379" s="16" t="n">
        <v>0</v>
      </c>
      <c r="DK379" s="16" t="n">
        <v>0</v>
      </c>
      <c r="DL379" s="16" t="n">
        <v>0</v>
      </c>
      <c r="DM379" s="16" t="n">
        <v>0</v>
      </c>
      <c r="DN379" s="16" t="n">
        <v>0</v>
      </c>
      <c r="DO379" s="16" t="n">
        <v>0</v>
      </c>
      <c r="DP379" s="16" t="n">
        <v>0</v>
      </c>
      <c r="DQ379" s="16" t="n">
        <v>0</v>
      </c>
      <c r="DR379" s="16" t="n">
        <v>0</v>
      </c>
      <c r="DS379" s="16" t="n">
        <v>0</v>
      </c>
      <c r="DT379" s="16" t="n">
        <v>0</v>
      </c>
      <c r="DU379" s="16" t="n">
        <v>0</v>
      </c>
      <c r="DV379" s="16" t="n">
        <v>0</v>
      </c>
      <c r="DW379" s="16" t="n">
        <v>0</v>
      </c>
      <c r="DX379" s="16" t="n">
        <v>0</v>
      </c>
      <c r="DY379" s="16" t="n">
        <v>0</v>
      </c>
      <c r="DZ379" s="16" t="n">
        <v>0</v>
      </c>
      <c r="EA379" s="16" t="n">
        <v>0</v>
      </c>
      <c r="EB379" s="16" t="n">
        <v>0</v>
      </c>
      <c r="EC379" s="16" t="n">
        <v>0</v>
      </c>
      <c r="ED379" s="16" t="n">
        <v>0</v>
      </c>
      <c r="EE379" s="16" t="n">
        <v>0</v>
      </c>
      <c r="EF379" s="16" t="n">
        <v>0</v>
      </c>
    </row>
    <row r="380" customFormat="false" ht="15" hidden="false" customHeight="true" outlineLevel="0" collapsed="false">
      <c r="A380" s="9" t="s">
        <v>12</v>
      </c>
      <c r="B380" s="9" t="s">
        <v>21</v>
      </c>
      <c r="C380" s="9" t="s">
        <v>21</v>
      </c>
      <c r="D380" s="9" t="s">
        <v>336</v>
      </c>
      <c r="E380" s="9" t="s">
        <v>14</v>
      </c>
      <c r="F380" s="9" t="s">
        <v>84</v>
      </c>
      <c r="G380" s="16" t="n">
        <v>0</v>
      </c>
      <c r="H380" s="16" t="n">
        <v>10</v>
      </c>
      <c r="I380" s="16" t="n">
        <v>0</v>
      </c>
      <c r="J380" s="16" t="n">
        <v>10</v>
      </c>
      <c r="K380" s="16" t="n">
        <v>0</v>
      </c>
      <c r="L380" s="16" t="n">
        <v>0</v>
      </c>
      <c r="M380" s="16" t="n">
        <v>0</v>
      </c>
      <c r="N380" s="16" t="n">
        <v>0</v>
      </c>
      <c r="O380" s="16" t="n">
        <v>0</v>
      </c>
      <c r="P380" s="16" t="n">
        <v>0</v>
      </c>
      <c r="Q380" s="16" t="n">
        <v>0</v>
      </c>
      <c r="R380" s="16" t="n">
        <v>0</v>
      </c>
      <c r="S380" s="16" t="n">
        <v>0</v>
      </c>
      <c r="T380" s="16" t="n">
        <v>0</v>
      </c>
      <c r="U380" s="16" t="n">
        <v>0</v>
      </c>
      <c r="V380" s="16" t="n">
        <v>0</v>
      </c>
      <c r="W380" s="16" t="n">
        <v>0</v>
      </c>
      <c r="X380" s="16" t="n">
        <v>0</v>
      </c>
      <c r="Y380" s="16" t="n">
        <v>0</v>
      </c>
      <c r="Z380" s="16" t="n">
        <v>0</v>
      </c>
      <c r="AA380" s="16" t="n">
        <v>0</v>
      </c>
      <c r="AB380" s="16" t="n">
        <v>0</v>
      </c>
      <c r="AC380" s="16" t="n">
        <v>0</v>
      </c>
      <c r="AD380" s="16" t="n">
        <v>0</v>
      </c>
      <c r="AE380" s="16" t="n">
        <v>0</v>
      </c>
      <c r="AF380" s="16" t="n">
        <v>0</v>
      </c>
      <c r="AG380" s="16" t="n">
        <v>0</v>
      </c>
      <c r="AH380" s="16" t="n">
        <v>0</v>
      </c>
      <c r="AI380" s="16" t="n">
        <v>0</v>
      </c>
      <c r="AJ380" s="16" t="n">
        <v>0</v>
      </c>
      <c r="AK380" s="16" t="n">
        <v>0</v>
      </c>
      <c r="AL380" s="16" t="n">
        <v>0</v>
      </c>
      <c r="AM380" s="16" t="n">
        <v>0</v>
      </c>
      <c r="AN380" s="16" t="n">
        <v>0</v>
      </c>
      <c r="AO380" s="16" t="n">
        <v>0</v>
      </c>
      <c r="AP380" s="16" t="n">
        <v>0</v>
      </c>
      <c r="AQ380" s="16" t="n">
        <v>0</v>
      </c>
      <c r="AR380" s="16" t="n">
        <v>0</v>
      </c>
      <c r="AS380" s="16" t="n">
        <v>0</v>
      </c>
      <c r="AT380" s="16" t="n">
        <v>0</v>
      </c>
      <c r="AU380" s="16" t="n">
        <v>0</v>
      </c>
      <c r="AV380" s="16" t="n">
        <v>0</v>
      </c>
      <c r="AW380" s="16" t="n">
        <v>0</v>
      </c>
      <c r="AX380" s="16" t="n">
        <v>0</v>
      </c>
      <c r="AY380" s="16" t="n">
        <v>0</v>
      </c>
      <c r="AZ380" s="16" t="n">
        <v>0</v>
      </c>
      <c r="BA380" s="16" t="n">
        <v>0</v>
      </c>
      <c r="BB380" s="16" t="n">
        <v>0</v>
      </c>
      <c r="BC380" s="16" t="n">
        <v>0</v>
      </c>
      <c r="BD380" s="16" t="n">
        <v>0</v>
      </c>
      <c r="BE380" s="16" t="n">
        <v>0</v>
      </c>
      <c r="BF380" s="16" t="n">
        <v>0</v>
      </c>
      <c r="BG380" s="16" t="n">
        <v>0</v>
      </c>
      <c r="BH380" s="16" t="n">
        <v>0</v>
      </c>
      <c r="BI380" s="16" t="n">
        <v>0</v>
      </c>
      <c r="BJ380" s="16" t="n">
        <v>0</v>
      </c>
      <c r="BK380" s="16" t="n">
        <v>0</v>
      </c>
      <c r="BL380" s="16" t="n">
        <v>0</v>
      </c>
      <c r="BM380" s="16" t="n">
        <v>0</v>
      </c>
      <c r="BN380" s="16" t="n">
        <v>0</v>
      </c>
      <c r="BO380" s="16" t="n">
        <v>0</v>
      </c>
      <c r="BP380" s="16" t="n">
        <v>0</v>
      </c>
      <c r="BQ380" s="16" t="n">
        <v>0</v>
      </c>
      <c r="BR380" s="16" t="n">
        <v>0</v>
      </c>
      <c r="BS380" s="16" t="n">
        <v>0</v>
      </c>
      <c r="BT380" s="16" t="n">
        <v>0</v>
      </c>
      <c r="BU380" s="16" t="n">
        <v>0</v>
      </c>
      <c r="BV380" s="16" t="n">
        <v>0</v>
      </c>
      <c r="BW380" s="16" t="n">
        <v>0</v>
      </c>
      <c r="BX380" s="16" t="n">
        <v>0</v>
      </c>
      <c r="BY380" s="16" t="n">
        <v>0</v>
      </c>
      <c r="BZ380" s="16" t="n">
        <v>0</v>
      </c>
      <c r="CA380" s="16" t="n">
        <v>0</v>
      </c>
      <c r="CB380" s="16" t="n">
        <v>0</v>
      </c>
      <c r="CC380" s="16" t="n">
        <v>0</v>
      </c>
      <c r="CD380" s="16" t="n">
        <v>0</v>
      </c>
      <c r="CE380" s="16" t="n">
        <v>0</v>
      </c>
      <c r="CF380" s="16" t="n">
        <v>0</v>
      </c>
      <c r="CG380" s="16" t="n">
        <v>0</v>
      </c>
      <c r="CH380" s="16" t="n">
        <v>0</v>
      </c>
      <c r="CI380" s="16" t="n">
        <v>0</v>
      </c>
      <c r="CJ380" s="16" t="n">
        <v>0</v>
      </c>
      <c r="CK380" s="16" t="n">
        <v>0</v>
      </c>
      <c r="CL380" s="16" t="n">
        <v>0</v>
      </c>
      <c r="CM380" s="16" t="n">
        <v>0</v>
      </c>
      <c r="CN380" s="16" t="n">
        <v>0</v>
      </c>
      <c r="CO380" s="16" t="n">
        <v>0</v>
      </c>
      <c r="CP380" s="16" t="n">
        <v>0</v>
      </c>
      <c r="CQ380" s="16" t="n">
        <v>0</v>
      </c>
      <c r="CR380" s="16" t="n">
        <v>0</v>
      </c>
      <c r="CS380" s="16" t="n">
        <v>0</v>
      </c>
      <c r="CT380" s="16" t="n">
        <v>0</v>
      </c>
      <c r="CU380" s="16" t="n">
        <v>0</v>
      </c>
      <c r="CV380" s="16" t="n">
        <v>0</v>
      </c>
      <c r="CW380" s="16" t="n">
        <v>0</v>
      </c>
      <c r="CX380" s="16" t="n">
        <v>0</v>
      </c>
      <c r="CY380" s="16" t="n">
        <v>0</v>
      </c>
      <c r="CZ380" s="16" t="n">
        <v>0</v>
      </c>
      <c r="DA380" s="16" t="n">
        <v>0</v>
      </c>
      <c r="DB380" s="16" t="n">
        <v>0</v>
      </c>
      <c r="DC380" s="16" t="n">
        <v>0</v>
      </c>
      <c r="DD380" s="16" t="n">
        <v>0</v>
      </c>
      <c r="DE380" s="16" t="n">
        <v>0</v>
      </c>
      <c r="DF380" s="16" t="n">
        <v>0</v>
      </c>
      <c r="DG380" s="16" t="n">
        <v>0</v>
      </c>
      <c r="DH380" s="16" t="n">
        <v>0</v>
      </c>
      <c r="DI380" s="16" t="n">
        <v>0</v>
      </c>
      <c r="DJ380" s="16" t="n">
        <v>0</v>
      </c>
      <c r="DK380" s="16" t="n">
        <v>0</v>
      </c>
      <c r="DL380" s="16" t="n">
        <v>0</v>
      </c>
      <c r="DM380" s="16" t="n">
        <v>0</v>
      </c>
      <c r="DN380" s="16" t="n">
        <v>0</v>
      </c>
      <c r="DO380" s="16" t="n">
        <v>0</v>
      </c>
      <c r="DP380" s="16" t="n">
        <v>0</v>
      </c>
      <c r="DQ380" s="16" t="n">
        <v>0</v>
      </c>
      <c r="DR380" s="16" t="n">
        <v>0</v>
      </c>
      <c r="DS380" s="16" t="n">
        <v>0</v>
      </c>
      <c r="DT380" s="16" t="n">
        <v>0</v>
      </c>
      <c r="DU380" s="16" t="n">
        <v>0</v>
      </c>
      <c r="DV380" s="16" t="n">
        <v>0</v>
      </c>
      <c r="DW380" s="16" t="n">
        <v>0</v>
      </c>
      <c r="DX380" s="16" t="n">
        <v>0</v>
      </c>
      <c r="DY380" s="16" t="n">
        <v>0</v>
      </c>
      <c r="DZ380" s="16" t="n">
        <v>0</v>
      </c>
      <c r="EA380" s="16" t="n">
        <v>0</v>
      </c>
      <c r="EB380" s="16" t="n">
        <v>0</v>
      </c>
      <c r="EC380" s="16" t="n">
        <v>0</v>
      </c>
      <c r="ED380" s="16" t="n">
        <v>0</v>
      </c>
      <c r="EE380" s="16" t="n">
        <v>0</v>
      </c>
      <c r="EF380" s="16" t="n">
        <v>0</v>
      </c>
    </row>
    <row r="381" customFormat="false" ht="15" hidden="false" customHeight="true" outlineLevel="0" collapsed="false">
      <c r="A381" s="9" t="s">
        <v>12</v>
      </c>
      <c r="B381" s="9" t="s">
        <v>21</v>
      </c>
      <c r="C381" s="9" t="s">
        <v>21</v>
      </c>
      <c r="D381" s="9" t="s">
        <v>335</v>
      </c>
      <c r="E381" s="9" t="s">
        <v>14</v>
      </c>
      <c r="F381" s="9" t="s">
        <v>40</v>
      </c>
      <c r="G381" s="16" t="n">
        <v>0</v>
      </c>
      <c r="H381" s="16" t="n">
        <v>0</v>
      </c>
      <c r="I381" s="16" t="n">
        <v>50</v>
      </c>
      <c r="J381" s="16" t="n">
        <v>-50</v>
      </c>
      <c r="K381" s="16" t="n">
        <v>0</v>
      </c>
      <c r="L381" s="16" t="n">
        <v>0</v>
      </c>
      <c r="M381" s="16" t="n">
        <v>0</v>
      </c>
      <c r="N381" s="16" t="n">
        <v>0</v>
      </c>
      <c r="O381" s="16" t="n">
        <v>0</v>
      </c>
      <c r="P381" s="16" t="n">
        <v>0</v>
      </c>
      <c r="Q381" s="16" t="n">
        <v>0</v>
      </c>
      <c r="R381" s="16" t="n">
        <v>0</v>
      </c>
      <c r="S381" s="16" t="n">
        <v>0</v>
      </c>
      <c r="T381" s="16" t="n">
        <v>0</v>
      </c>
      <c r="U381" s="16" t="n">
        <v>0</v>
      </c>
      <c r="V381" s="16" t="n">
        <v>0</v>
      </c>
      <c r="W381" s="16" t="n">
        <v>0</v>
      </c>
      <c r="X381" s="16" t="n">
        <v>0</v>
      </c>
      <c r="Y381" s="16" t="n">
        <v>0</v>
      </c>
      <c r="Z381" s="16" t="n">
        <v>0</v>
      </c>
      <c r="AA381" s="16" t="n">
        <v>0</v>
      </c>
      <c r="AB381" s="16" t="n">
        <v>0</v>
      </c>
      <c r="AC381" s="16" t="n">
        <v>0</v>
      </c>
      <c r="AD381" s="16" t="n">
        <v>0</v>
      </c>
      <c r="AE381" s="16" t="n">
        <v>0</v>
      </c>
      <c r="AF381" s="16" t="n">
        <v>0</v>
      </c>
      <c r="AG381" s="16" t="n">
        <v>0</v>
      </c>
      <c r="AH381" s="16" t="n">
        <v>0</v>
      </c>
      <c r="AI381" s="16" t="n">
        <v>0</v>
      </c>
      <c r="AJ381" s="16" t="n">
        <v>0</v>
      </c>
      <c r="AK381" s="16" t="n">
        <v>0</v>
      </c>
      <c r="AL381" s="16" t="n">
        <v>0</v>
      </c>
      <c r="AM381" s="16" t="n">
        <v>0</v>
      </c>
      <c r="AN381" s="16" t="n">
        <v>0</v>
      </c>
      <c r="AO381" s="16" t="n">
        <v>0</v>
      </c>
      <c r="AP381" s="16" t="n">
        <v>0</v>
      </c>
      <c r="AQ381" s="16" t="n">
        <v>0</v>
      </c>
      <c r="AR381" s="16" t="n">
        <v>0</v>
      </c>
      <c r="AS381" s="16" t="n">
        <v>0</v>
      </c>
      <c r="AT381" s="16" t="n">
        <v>0</v>
      </c>
      <c r="AU381" s="16" t="n">
        <v>0</v>
      </c>
      <c r="AV381" s="16" t="n">
        <v>0</v>
      </c>
      <c r="AW381" s="16" t="n">
        <v>0</v>
      </c>
      <c r="AX381" s="16" t="n">
        <v>0</v>
      </c>
      <c r="AY381" s="16" t="n">
        <v>0</v>
      </c>
      <c r="AZ381" s="16" t="n">
        <v>0</v>
      </c>
      <c r="BA381" s="16" t="n">
        <v>0</v>
      </c>
      <c r="BB381" s="16" t="n">
        <v>0</v>
      </c>
      <c r="BC381" s="16" t="n">
        <v>0</v>
      </c>
      <c r="BD381" s="16" t="n">
        <v>0</v>
      </c>
      <c r="BE381" s="16" t="n">
        <v>0</v>
      </c>
      <c r="BF381" s="16" t="n">
        <v>0</v>
      </c>
      <c r="BG381" s="16" t="n">
        <v>0</v>
      </c>
      <c r="BH381" s="16" t="n">
        <v>0</v>
      </c>
      <c r="BI381" s="16" t="n">
        <v>0</v>
      </c>
      <c r="BJ381" s="16" t="n">
        <v>0</v>
      </c>
      <c r="BK381" s="16" t="n">
        <v>0</v>
      </c>
      <c r="BL381" s="16" t="n">
        <v>0</v>
      </c>
      <c r="BM381" s="16" t="n">
        <v>0</v>
      </c>
      <c r="BN381" s="16" t="n">
        <v>0</v>
      </c>
      <c r="BO381" s="16" t="n">
        <v>0</v>
      </c>
      <c r="BP381" s="16" t="n">
        <v>0</v>
      </c>
      <c r="BQ381" s="16" t="n">
        <v>0</v>
      </c>
      <c r="BR381" s="16" t="n">
        <v>0</v>
      </c>
      <c r="BS381" s="16" t="n">
        <v>0</v>
      </c>
      <c r="BT381" s="16" t="n">
        <v>0</v>
      </c>
      <c r="BU381" s="16" t="n">
        <v>0</v>
      </c>
      <c r="BV381" s="16" t="n">
        <v>0</v>
      </c>
      <c r="BW381" s="16" t="n">
        <v>0</v>
      </c>
      <c r="BX381" s="16" t="n">
        <v>0</v>
      </c>
      <c r="BY381" s="16" t="n">
        <v>0</v>
      </c>
      <c r="BZ381" s="16" t="n">
        <v>0</v>
      </c>
      <c r="CA381" s="16" t="n">
        <v>0</v>
      </c>
      <c r="CB381" s="16" t="n">
        <v>0</v>
      </c>
      <c r="CC381" s="16" t="n">
        <v>0</v>
      </c>
      <c r="CD381" s="16" t="n">
        <v>0</v>
      </c>
      <c r="CE381" s="16" t="n">
        <v>0</v>
      </c>
      <c r="CF381" s="16" t="n">
        <v>0</v>
      </c>
      <c r="CG381" s="16" t="n">
        <v>0</v>
      </c>
      <c r="CH381" s="16" t="n">
        <v>0</v>
      </c>
      <c r="CI381" s="16" t="n">
        <v>0</v>
      </c>
      <c r="CJ381" s="16" t="n">
        <v>0</v>
      </c>
      <c r="CK381" s="16" t="n">
        <v>0</v>
      </c>
      <c r="CL381" s="16" t="n">
        <v>0</v>
      </c>
      <c r="CM381" s="16" t="n">
        <v>0</v>
      </c>
      <c r="CN381" s="16" t="n">
        <v>0</v>
      </c>
      <c r="CO381" s="16" t="n">
        <v>0</v>
      </c>
      <c r="CP381" s="16" t="n">
        <v>0</v>
      </c>
      <c r="CQ381" s="16" t="n">
        <v>0</v>
      </c>
      <c r="CR381" s="16" t="n">
        <v>0</v>
      </c>
      <c r="CS381" s="16" t="n">
        <v>0</v>
      </c>
      <c r="CT381" s="16" t="n">
        <v>0</v>
      </c>
      <c r="CU381" s="16" t="n">
        <v>0</v>
      </c>
      <c r="CV381" s="16" t="n">
        <v>0</v>
      </c>
      <c r="CW381" s="16" t="n">
        <v>0</v>
      </c>
      <c r="CX381" s="16" t="n">
        <v>0</v>
      </c>
      <c r="CY381" s="16" t="n">
        <v>0</v>
      </c>
      <c r="CZ381" s="16" t="n">
        <v>0</v>
      </c>
      <c r="DA381" s="16" t="n">
        <v>0</v>
      </c>
      <c r="DB381" s="16" t="n">
        <v>0</v>
      </c>
      <c r="DC381" s="16" t="n">
        <v>0</v>
      </c>
      <c r="DD381" s="16" t="n">
        <v>0</v>
      </c>
      <c r="DE381" s="16" t="n">
        <v>0</v>
      </c>
      <c r="DF381" s="16" t="n">
        <v>0</v>
      </c>
      <c r="DG381" s="16" t="n">
        <v>0</v>
      </c>
      <c r="DH381" s="16" t="n">
        <v>0</v>
      </c>
      <c r="DI381" s="16" t="n">
        <v>0</v>
      </c>
      <c r="DJ381" s="16" t="n">
        <v>0</v>
      </c>
      <c r="DK381" s="16" t="n">
        <v>0</v>
      </c>
      <c r="DL381" s="16" t="n">
        <v>0</v>
      </c>
      <c r="DM381" s="16" t="n">
        <v>0</v>
      </c>
      <c r="DN381" s="16" t="n">
        <v>0</v>
      </c>
      <c r="DO381" s="16" t="n">
        <v>10</v>
      </c>
      <c r="DP381" s="16" t="n">
        <v>15</v>
      </c>
      <c r="DQ381" s="16" t="n">
        <v>25</v>
      </c>
      <c r="DR381" s="16" t="n">
        <v>0</v>
      </c>
      <c r="DS381" s="16" t="n">
        <v>0</v>
      </c>
      <c r="DT381" s="16" t="n">
        <v>0</v>
      </c>
      <c r="DU381" s="16" t="n">
        <v>0</v>
      </c>
      <c r="DV381" s="16" t="n">
        <v>0</v>
      </c>
      <c r="DW381" s="16" t="n">
        <v>0</v>
      </c>
      <c r="DX381" s="16" t="n">
        <v>0</v>
      </c>
      <c r="DY381" s="16" t="n">
        <v>0</v>
      </c>
      <c r="DZ381" s="16" t="n">
        <v>0</v>
      </c>
      <c r="EA381" s="16" t="n">
        <v>0</v>
      </c>
      <c r="EB381" s="16" t="n">
        <v>0</v>
      </c>
      <c r="EC381" s="16" t="n">
        <v>0</v>
      </c>
      <c r="ED381" s="16" t="n">
        <v>0</v>
      </c>
      <c r="EE381" s="16" t="n">
        <v>0</v>
      </c>
      <c r="EF381" s="16" t="n">
        <v>0</v>
      </c>
    </row>
    <row r="382" customFormat="false" ht="15" hidden="false" customHeight="true" outlineLevel="0" collapsed="false">
      <c r="A382" s="9" t="s">
        <v>12</v>
      </c>
      <c r="B382" s="9" t="s">
        <v>21</v>
      </c>
      <c r="C382" s="9" t="s">
        <v>21</v>
      </c>
      <c r="D382" s="9" t="s">
        <v>336</v>
      </c>
      <c r="E382" s="9" t="s">
        <v>14</v>
      </c>
      <c r="F382" s="9" t="s">
        <v>40</v>
      </c>
      <c r="G382" s="16" t="n">
        <v>0</v>
      </c>
      <c r="H382" s="16" t="n">
        <v>28</v>
      </c>
      <c r="I382" s="16" t="n">
        <v>0</v>
      </c>
      <c r="J382" s="16" t="n">
        <v>28</v>
      </c>
      <c r="K382" s="16" t="n">
        <v>0</v>
      </c>
      <c r="L382" s="16" t="n">
        <v>0</v>
      </c>
      <c r="M382" s="16" t="n">
        <v>0</v>
      </c>
      <c r="N382" s="16" t="n">
        <v>0</v>
      </c>
      <c r="O382" s="16" t="n">
        <v>0</v>
      </c>
      <c r="P382" s="16" t="n">
        <v>0</v>
      </c>
      <c r="Q382" s="16" t="n">
        <v>0</v>
      </c>
      <c r="R382" s="16" t="n">
        <v>0</v>
      </c>
      <c r="S382" s="16" t="n">
        <v>0</v>
      </c>
      <c r="T382" s="16" t="n">
        <v>0</v>
      </c>
      <c r="U382" s="16" t="n">
        <v>0</v>
      </c>
      <c r="V382" s="16" t="n">
        <v>0</v>
      </c>
      <c r="W382" s="16" t="n">
        <v>0</v>
      </c>
      <c r="X382" s="16" t="n">
        <v>0</v>
      </c>
      <c r="Y382" s="16" t="n">
        <v>0</v>
      </c>
      <c r="Z382" s="16" t="n">
        <v>0</v>
      </c>
      <c r="AA382" s="16" t="n">
        <v>0</v>
      </c>
      <c r="AB382" s="16" t="n">
        <v>0</v>
      </c>
      <c r="AC382" s="16" t="n">
        <v>0</v>
      </c>
      <c r="AD382" s="16" t="n">
        <v>0</v>
      </c>
      <c r="AE382" s="16" t="n">
        <v>0</v>
      </c>
      <c r="AF382" s="16" t="n">
        <v>0</v>
      </c>
      <c r="AG382" s="16" t="n">
        <v>0</v>
      </c>
      <c r="AH382" s="16" t="n">
        <v>0</v>
      </c>
      <c r="AI382" s="16" t="n">
        <v>0</v>
      </c>
      <c r="AJ382" s="16" t="n">
        <v>0</v>
      </c>
      <c r="AK382" s="16" t="n">
        <v>0</v>
      </c>
      <c r="AL382" s="16" t="n">
        <v>0</v>
      </c>
      <c r="AM382" s="16" t="n">
        <v>0</v>
      </c>
      <c r="AN382" s="16" t="n">
        <v>0</v>
      </c>
      <c r="AO382" s="16" t="n">
        <v>0</v>
      </c>
      <c r="AP382" s="16" t="n">
        <v>0</v>
      </c>
      <c r="AQ382" s="16" t="n">
        <v>0</v>
      </c>
      <c r="AR382" s="16" t="n">
        <v>0</v>
      </c>
      <c r="AS382" s="16" t="n">
        <v>0</v>
      </c>
      <c r="AT382" s="16" t="n">
        <v>0</v>
      </c>
      <c r="AU382" s="16" t="n">
        <v>0</v>
      </c>
      <c r="AV382" s="16" t="n">
        <v>0</v>
      </c>
      <c r="AW382" s="16" t="n">
        <v>0</v>
      </c>
      <c r="AX382" s="16" t="n">
        <v>0</v>
      </c>
      <c r="AY382" s="16" t="n">
        <v>0</v>
      </c>
      <c r="AZ382" s="16" t="n">
        <v>0</v>
      </c>
      <c r="BA382" s="16" t="n">
        <v>0</v>
      </c>
      <c r="BB382" s="16" t="n">
        <v>0</v>
      </c>
      <c r="BC382" s="16" t="n">
        <v>0</v>
      </c>
      <c r="BD382" s="16" t="n">
        <v>0</v>
      </c>
      <c r="BE382" s="16" t="n">
        <v>0</v>
      </c>
      <c r="BF382" s="16" t="n">
        <v>0</v>
      </c>
      <c r="BG382" s="16" t="n">
        <v>0</v>
      </c>
      <c r="BH382" s="16" t="n">
        <v>0</v>
      </c>
      <c r="BI382" s="16" t="n">
        <v>0</v>
      </c>
      <c r="BJ382" s="16" t="n">
        <v>0</v>
      </c>
      <c r="BK382" s="16" t="n">
        <v>0</v>
      </c>
      <c r="BL382" s="16" t="n">
        <v>0</v>
      </c>
      <c r="BM382" s="16" t="n">
        <v>0</v>
      </c>
      <c r="BN382" s="16" t="n">
        <v>0</v>
      </c>
      <c r="BO382" s="16" t="n">
        <v>0</v>
      </c>
      <c r="BP382" s="16" t="n">
        <v>0</v>
      </c>
      <c r="BQ382" s="16" t="n">
        <v>0</v>
      </c>
      <c r="BR382" s="16" t="n">
        <v>0</v>
      </c>
      <c r="BS382" s="16" t="n">
        <v>0</v>
      </c>
      <c r="BT382" s="16" t="n">
        <v>0</v>
      </c>
      <c r="BU382" s="16" t="n">
        <v>0</v>
      </c>
      <c r="BV382" s="16" t="n">
        <v>0</v>
      </c>
      <c r="BW382" s="16" t="n">
        <v>0</v>
      </c>
      <c r="BX382" s="16" t="n">
        <v>0</v>
      </c>
      <c r="BY382" s="16" t="n">
        <v>0</v>
      </c>
      <c r="BZ382" s="16" t="n">
        <v>0</v>
      </c>
      <c r="CA382" s="16" t="n">
        <v>0</v>
      </c>
      <c r="CB382" s="16" t="n">
        <v>0</v>
      </c>
      <c r="CC382" s="16" t="n">
        <v>0</v>
      </c>
      <c r="CD382" s="16" t="n">
        <v>0</v>
      </c>
      <c r="CE382" s="16" t="n">
        <v>0</v>
      </c>
      <c r="CF382" s="16" t="n">
        <v>0</v>
      </c>
      <c r="CG382" s="16" t="n">
        <v>0</v>
      </c>
      <c r="CH382" s="16" t="n">
        <v>0</v>
      </c>
      <c r="CI382" s="16" t="n">
        <v>0</v>
      </c>
      <c r="CJ382" s="16" t="n">
        <v>0</v>
      </c>
      <c r="CK382" s="16" t="n">
        <v>0</v>
      </c>
      <c r="CL382" s="16" t="n">
        <v>0</v>
      </c>
      <c r="CM382" s="16" t="n">
        <v>0</v>
      </c>
      <c r="CN382" s="16" t="n">
        <v>0</v>
      </c>
      <c r="CO382" s="16" t="n">
        <v>0</v>
      </c>
      <c r="CP382" s="16" t="n">
        <v>0</v>
      </c>
      <c r="CQ382" s="16" t="n">
        <v>0</v>
      </c>
      <c r="CR382" s="16" t="n">
        <v>0</v>
      </c>
      <c r="CS382" s="16" t="n">
        <v>0</v>
      </c>
      <c r="CT382" s="16" t="n">
        <v>0</v>
      </c>
      <c r="CU382" s="16" t="n">
        <v>0</v>
      </c>
      <c r="CV382" s="16" t="n">
        <v>0</v>
      </c>
      <c r="CW382" s="16" t="n">
        <v>0</v>
      </c>
      <c r="CX382" s="16" t="n">
        <v>0</v>
      </c>
      <c r="CY382" s="16" t="n">
        <v>0</v>
      </c>
      <c r="CZ382" s="16" t="n">
        <v>0</v>
      </c>
      <c r="DA382" s="16" t="n">
        <v>0</v>
      </c>
      <c r="DB382" s="16" t="n">
        <v>0</v>
      </c>
      <c r="DC382" s="16" t="n">
        <v>0</v>
      </c>
      <c r="DD382" s="16" t="n">
        <v>0</v>
      </c>
      <c r="DE382" s="16" t="n">
        <v>0</v>
      </c>
      <c r="DF382" s="16" t="n">
        <v>0</v>
      </c>
      <c r="DG382" s="16" t="n">
        <v>0</v>
      </c>
      <c r="DH382" s="16" t="n">
        <v>0</v>
      </c>
      <c r="DI382" s="16" t="n">
        <v>0</v>
      </c>
      <c r="DJ382" s="16" t="n">
        <v>0</v>
      </c>
      <c r="DK382" s="16" t="n">
        <v>0</v>
      </c>
      <c r="DL382" s="16" t="n">
        <v>0</v>
      </c>
      <c r="DM382" s="16" t="n">
        <v>0</v>
      </c>
      <c r="DN382" s="16" t="n">
        <v>0</v>
      </c>
      <c r="DO382" s="16" t="n">
        <v>0</v>
      </c>
      <c r="DP382" s="16" t="n">
        <v>0</v>
      </c>
      <c r="DQ382" s="16" t="n">
        <v>0</v>
      </c>
      <c r="DR382" s="16" t="n">
        <v>0</v>
      </c>
      <c r="DS382" s="16" t="n">
        <v>0</v>
      </c>
      <c r="DT382" s="16" t="n">
        <v>0</v>
      </c>
      <c r="DU382" s="16" t="n">
        <v>0</v>
      </c>
      <c r="DV382" s="16" t="n">
        <v>0</v>
      </c>
      <c r="DW382" s="16" t="n">
        <v>0</v>
      </c>
      <c r="DX382" s="16" t="n">
        <v>0</v>
      </c>
      <c r="DY382" s="16" t="n">
        <v>0</v>
      </c>
      <c r="DZ382" s="16" t="n">
        <v>0</v>
      </c>
      <c r="EA382" s="16" t="n">
        <v>0</v>
      </c>
      <c r="EB382" s="16" t="n">
        <v>0</v>
      </c>
      <c r="EC382" s="16" t="n">
        <v>0</v>
      </c>
      <c r="ED382" s="16" t="n">
        <v>0</v>
      </c>
      <c r="EE382" s="16" t="n">
        <v>0</v>
      </c>
      <c r="EF382" s="16" t="n">
        <v>0</v>
      </c>
    </row>
    <row r="383" customFormat="false" ht="15" hidden="false" customHeight="true" outlineLevel="0" collapsed="false">
      <c r="A383" s="9" t="s">
        <v>12</v>
      </c>
      <c r="B383" s="9" t="s">
        <v>21</v>
      </c>
      <c r="C383" s="9" t="s">
        <v>21</v>
      </c>
      <c r="D383" s="9" t="s">
        <v>335</v>
      </c>
      <c r="E383" s="9" t="s">
        <v>14</v>
      </c>
      <c r="F383" s="9" t="s">
        <v>85</v>
      </c>
      <c r="G383" s="16" t="n">
        <v>0</v>
      </c>
      <c r="H383" s="16" t="n">
        <v>0</v>
      </c>
      <c r="I383" s="16" t="n">
        <v>705</v>
      </c>
      <c r="J383" s="16" t="n">
        <v>-705</v>
      </c>
      <c r="K383" s="16" t="n">
        <v>0</v>
      </c>
      <c r="L383" s="16" t="n">
        <v>0</v>
      </c>
      <c r="M383" s="16" t="n">
        <v>0</v>
      </c>
      <c r="N383" s="16" t="n">
        <v>0</v>
      </c>
      <c r="O383" s="16" t="n">
        <v>0</v>
      </c>
      <c r="P383" s="16" t="n">
        <v>0</v>
      </c>
      <c r="Q383" s="16" t="n">
        <v>0</v>
      </c>
      <c r="R383" s="16" t="n">
        <v>0</v>
      </c>
      <c r="S383" s="16" t="n">
        <v>0</v>
      </c>
      <c r="T383" s="16" t="n">
        <v>0</v>
      </c>
      <c r="U383" s="16" t="n">
        <v>0</v>
      </c>
      <c r="V383" s="16" t="n">
        <v>0</v>
      </c>
      <c r="W383" s="16" t="n">
        <v>0</v>
      </c>
      <c r="X383" s="16" t="n">
        <v>0</v>
      </c>
      <c r="Y383" s="16" t="n">
        <v>0</v>
      </c>
      <c r="Z383" s="16" t="n">
        <v>0</v>
      </c>
      <c r="AA383" s="16" t="n">
        <v>0</v>
      </c>
      <c r="AB383" s="16" t="n">
        <v>0</v>
      </c>
      <c r="AC383" s="16" t="n">
        <v>0</v>
      </c>
      <c r="AD383" s="16" t="n">
        <v>0</v>
      </c>
      <c r="AE383" s="16" t="n">
        <v>0</v>
      </c>
      <c r="AF383" s="16" t="n">
        <v>0</v>
      </c>
      <c r="AG383" s="16" t="n">
        <v>0</v>
      </c>
      <c r="AH383" s="16" t="n">
        <v>0</v>
      </c>
      <c r="AI383" s="16" t="n">
        <v>0</v>
      </c>
      <c r="AJ383" s="16" t="n">
        <v>6</v>
      </c>
      <c r="AK383" s="16" t="n">
        <v>7.5</v>
      </c>
      <c r="AL383" s="16" t="n">
        <v>16</v>
      </c>
      <c r="AM383" s="16" t="n">
        <v>5.5</v>
      </c>
      <c r="AN383" s="16" t="n">
        <v>3</v>
      </c>
      <c r="AO383" s="16" t="n">
        <v>7</v>
      </c>
      <c r="AP383" s="16" t="n">
        <v>26</v>
      </c>
      <c r="AQ383" s="16" t="n">
        <v>24</v>
      </c>
      <c r="AR383" s="16" t="n">
        <v>29</v>
      </c>
      <c r="AS383" s="16" t="n">
        <v>5</v>
      </c>
      <c r="AT383" s="16" t="n">
        <v>0</v>
      </c>
      <c r="AU383" s="16" t="n">
        <v>0</v>
      </c>
      <c r="AV383" s="16" t="n">
        <v>0</v>
      </c>
      <c r="AW383" s="16" t="n">
        <v>0</v>
      </c>
      <c r="AX383" s="16" t="n">
        <v>0</v>
      </c>
      <c r="AY383" s="16" t="n">
        <v>0</v>
      </c>
      <c r="AZ383" s="16" t="n">
        <v>0</v>
      </c>
      <c r="BA383" s="16" t="n">
        <v>0</v>
      </c>
      <c r="BB383" s="16" t="n">
        <v>0</v>
      </c>
      <c r="BC383" s="16" t="n">
        <v>0</v>
      </c>
      <c r="BD383" s="16" t="n">
        <v>0</v>
      </c>
      <c r="BE383" s="16" t="n">
        <v>0</v>
      </c>
      <c r="BF383" s="16" t="n">
        <v>0</v>
      </c>
      <c r="BG383" s="16" t="n">
        <v>0</v>
      </c>
      <c r="BH383" s="16" t="n">
        <v>0</v>
      </c>
      <c r="BI383" s="16" t="n">
        <v>0</v>
      </c>
      <c r="BJ383" s="16" t="n">
        <v>0</v>
      </c>
      <c r="BK383" s="16" t="n">
        <v>0</v>
      </c>
      <c r="BL383" s="16" t="n">
        <v>0</v>
      </c>
      <c r="BM383" s="16" t="n">
        <v>0</v>
      </c>
      <c r="BN383" s="16" t="n">
        <v>0</v>
      </c>
      <c r="BO383" s="16" t="n">
        <v>0</v>
      </c>
      <c r="BP383" s="16" t="n">
        <v>0</v>
      </c>
      <c r="BQ383" s="16" t="n">
        <v>0</v>
      </c>
      <c r="BR383" s="16" t="n">
        <v>0</v>
      </c>
      <c r="BS383" s="16" t="n">
        <v>0</v>
      </c>
      <c r="BT383" s="16" t="n">
        <v>0</v>
      </c>
      <c r="BU383" s="16" t="n">
        <v>0</v>
      </c>
      <c r="BV383" s="16" t="n">
        <v>0</v>
      </c>
      <c r="BW383" s="16" t="n">
        <v>0</v>
      </c>
      <c r="BX383" s="16" t="n">
        <v>0</v>
      </c>
      <c r="BY383" s="16" t="n">
        <v>0</v>
      </c>
      <c r="BZ383" s="16" t="n">
        <v>0</v>
      </c>
      <c r="CA383" s="16" t="n">
        <v>0</v>
      </c>
      <c r="CB383" s="16" t="n">
        <v>0</v>
      </c>
      <c r="CC383" s="16" t="n">
        <v>0</v>
      </c>
      <c r="CD383" s="16" t="n">
        <v>0</v>
      </c>
      <c r="CE383" s="16" t="n">
        <v>0</v>
      </c>
      <c r="CF383" s="16" t="n">
        <v>0</v>
      </c>
      <c r="CG383" s="16" t="n">
        <v>0</v>
      </c>
      <c r="CH383" s="16" t="n">
        <v>0</v>
      </c>
      <c r="CI383" s="16" t="n">
        <v>0</v>
      </c>
      <c r="CJ383" s="16" t="n">
        <v>0</v>
      </c>
      <c r="CK383" s="16" t="n">
        <v>0</v>
      </c>
      <c r="CL383" s="16" t="n">
        <v>0</v>
      </c>
      <c r="CM383" s="16" t="n">
        <v>0</v>
      </c>
      <c r="CN383" s="16" t="n">
        <v>0</v>
      </c>
      <c r="CO383" s="16" t="n">
        <v>0</v>
      </c>
      <c r="CP383" s="16" t="n">
        <v>0</v>
      </c>
      <c r="CQ383" s="16" t="n">
        <v>0</v>
      </c>
      <c r="CR383" s="16" t="n">
        <v>0</v>
      </c>
      <c r="CS383" s="16" t="n">
        <v>45</v>
      </c>
      <c r="CT383" s="16" t="n">
        <v>49</v>
      </c>
      <c r="CU383" s="16" t="n">
        <v>50</v>
      </c>
      <c r="CV383" s="16" t="n">
        <v>8</v>
      </c>
      <c r="CW383" s="16" t="n">
        <v>2</v>
      </c>
      <c r="CX383" s="16" t="n">
        <v>6</v>
      </c>
      <c r="CY383" s="16" t="n">
        <v>32</v>
      </c>
      <c r="CZ383" s="16" t="n">
        <v>14</v>
      </c>
      <c r="DA383" s="16" t="n">
        <v>32</v>
      </c>
      <c r="DB383" s="16" t="n">
        <v>12</v>
      </c>
      <c r="DC383" s="16" t="n">
        <v>2</v>
      </c>
      <c r="DD383" s="16" t="n">
        <v>47</v>
      </c>
      <c r="DE383" s="16" t="n">
        <v>44</v>
      </c>
      <c r="DF383" s="16" t="n">
        <v>47</v>
      </c>
      <c r="DG383" s="16" t="n">
        <v>2</v>
      </c>
      <c r="DH383" s="16" t="n">
        <v>17</v>
      </c>
      <c r="DI383" s="16" t="n">
        <v>2</v>
      </c>
      <c r="DJ383" s="16" t="n">
        <v>0</v>
      </c>
      <c r="DK383" s="16" t="n">
        <v>25.5</v>
      </c>
      <c r="DL383" s="16" t="n">
        <v>32.5</v>
      </c>
      <c r="DM383" s="16" t="n">
        <v>22.5</v>
      </c>
      <c r="DN383" s="16" t="n">
        <v>35.5</v>
      </c>
      <c r="DO383" s="16" t="n">
        <v>19.5</v>
      </c>
      <c r="DP383" s="16" t="n">
        <v>16.5</v>
      </c>
      <c r="DQ383" s="16" t="n">
        <v>15.5</v>
      </c>
      <c r="DR383" s="16" t="n">
        <v>2.5</v>
      </c>
      <c r="DS383" s="16" t="n">
        <v>0</v>
      </c>
      <c r="DT383" s="16" t="n">
        <v>0</v>
      </c>
      <c r="DU383" s="16" t="n">
        <v>0</v>
      </c>
      <c r="DV383" s="16" t="n">
        <v>0</v>
      </c>
      <c r="DW383" s="16" t="n">
        <v>0</v>
      </c>
      <c r="DX383" s="16" t="n">
        <v>0</v>
      </c>
      <c r="DY383" s="16" t="n">
        <v>0</v>
      </c>
      <c r="DZ383" s="16" t="n">
        <v>0</v>
      </c>
      <c r="EA383" s="16" t="n">
        <v>0</v>
      </c>
      <c r="EB383" s="16" t="n">
        <v>0</v>
      </c>
      <c r="EC383" s="16" t="n">
        <v>0</v>
      </c>
      <c r="ED383" s="16" t="n">
        <v>0</v>
      </c>
      <c r="EE383" s="16" t="n">
        <v>0</v>
      </c>
      <c r="EF383" s="16" t="n">
        <v>0</v>
      </c>
    </row>
    <row r="384" customFormat="false" ht="15" hidden="false" customHeight="true" outlineLevel="0" collapsed="false">
      <c r="A384" s="9" t="s">
        <v>12</v>
      </c>
      <c r="B384" s="9" t="s">
        <v>21</v>
      </c>
      <c r="C384" s="9" t="s">
        <v>21</v>
      </c>
      <c r="D384" s="9" t="s">
        <v>336</v>
      </c>
      <c r="E384" s="9" t="s">
        <v>14</v>
      </c>
      <c r="F384" s="9" t="s">
        <v>85</v>
      </c>
      <c r="G384" s="16" t="n">
        <v>166.5</v>
      </c>
      <c r="H384" s="16" t="n">
        <v>534.5</v>
      </c>
      <c r="I384" s="16" t="n">
        <v>54.5</v>
      </c>
      <c r="J384" s="16" t="n">
        <v>480</v>
      </c>
      <c r="K384" s="16" t="n">
        <v>0</v>
      </c>
      <c r="L384" s="16" t="n">
        <v>0</v>
      </c>
      <c r="M384" s="16" t="n">
        <v>0</v>
      </c>
      <c r="N384" s="16" t="n">
        <v>0</v>
      </c>
      <c r="O384" s="16" t="n">
        <v>0</v>
      </c>
      <c r="P384" s="16" t="n">
        <v>0</v>
      </c>
      <c r="Q384" s="16" t="n">
        <v>0</v>
      </c>
      <c r="R384" s="16" t="n">
        <v>0</v>
      </c>
      <c r="S384" s="16" t="n">
        <v>0</v>
      </c>
      <c r="T384" s="16" t="n">
        <v>0</v>
      </c>
      <c r="U384" s="16" t="n">
        <v>0</v>
      </c>
      <c r="V384" s="16" t="n">
        <v>0</v>
      </c>
      <c r="W384" s="16" t="n">
        <v>0</v>
      </c>
      <c r="X384" s="16" t="n">
        <v>0</v>
      </c>
      <c r="Y384" s="16" t="n">
        <v>0</v>
      </c>
      <c r="Z384" s="16" t="n">
        <v>0</v>
      </c>
      <c r="AA384" s="16" t="n">
        <v>0</v>
      </c>
      <c r="AB384" s="16" t="n">
        <v>0</v>
      </c>
      <c r="AC384" s="16" t="n">
        <v>0</v>
      </c>
      <c r="AD384" s="16" t="n">
        <v>4</v>
      </c>
      <c r="AE384" s="16" t="n">
        <v>8</v>
      </c>
      <c r="AF384" s="16" t="n">
        <v>14.5</v>
      </c>
      <c r="AG384" s="16" t="n">
        <v>0</v>
      </c>
      <c r="AH384" s="16" t="n">
        <v>6.5</v>
      </c>
      <c r="AI384" s="16" t="n">
        <v>16.5</v>
      </c>
      <c r="AJ384" s="16" t="n">
        <v>5</v>
      </c>
      <c r="AK384" s="16" t="n">
        <v>0</v>
      </c>
      <c r="AL384" s="16" t="n">
        <v>0</v>
      </c>
      <c r="AM384" s="16" t="n">
        <v>0</v>
      </c>
      <c r="AN384" s="16" t="n">
        <v>0</v>
      </c>
      <c r="AO384" s="16" t="n">
        <v>0</v>
      </c>
      <c r="AP384" s="16" t="n">
        <v>0</v>
      </c>
      <c r="AQ384" s="16" t="n">
        <v>0</v>
      </c>
      <c r="AR384" s="16" t="n">
        <v>0</v>
      </c>
      <c r="AS384" s="16" t="n">
        <v>0</v>
      </c>
      <c r="AT384" s="16" t="n">
        <v>0</v>
      </c>
      <c r="AU384" s="16" t="n">
        <v>0</v>
      </c>
      <c r="AV384" s="16" t="n">
        <v>0</v>
      </c>
      <c r="AW384" s="16" t="n">
        <v>0</v>
      </c>
      <c r="AX384" s="16" t="n">
        <v>0</v>
      </c>
      <c r="AY384" s="16" t="n">
        <v>0</v>
      </c>
      <c r="AZ384" s="16" t="n">
        <v>0</v>
      </c>
      <c r="BA384" s="16" t="n">
        <v>0</v>
      </c>
      <c r="BB384" s="16" t="n">
        <v>0</v>
      </c>
      <c r="BC384" s="16" t="n">
        <v>0</v>
      </c>
      <c r="BD384" s="16" t="n">
        <v>0</v>
      </c>
      <c r="BE384" s="16" t="n">
        <v>0</v>
      </c>
      <c r="BF384" s="16" t="n">
        <v>0</v>
      </c>
      <c r="BG384" s="16" t="n">
        <v>0</v>
      </c>
      <c r="BH384" s="16" t="n">
        <v>0</v>
      </c>
      <c r="BI384" s="16" t="n">
        <v>0</v>
      </c>
      <c r="BJ384" s="16" t="n">
        <v>0</v>
      </c>
      <c r="BK384" s="16" t="n">
        <v>0</v>
      </c>
      <c r="BL384" s="16" t="n">
        <v>0</v>
      </c>
      <c r="BM384" s="16" t="n">
        <v>0</v>
      </c>
      <c r="BN384" s="16" t="n">
        <v>0</v>
      </c>
      <c r="BO384" s="16" t="n">
        <v>0</v>
      </c>
      <c r="BP384" s="16" t="n">
        <v>0</v>
      </c>
      <c r="BQ384" s="16" t="n">
        <v>0</v>
      </c>
      <c r="BR384" s="16" t="n">
        <v>0</v>
      </c>
      <c r="BS384" s="16" t="n">
        <v>0</v>
      </c>
      <c r="BT384" s="16" t="n">
        <v>0</v>
      </c>
      <c r="BU384" s="16" t="n">
        <v>0</v>
      </c>
      <c r="BV384" s="16" t="n">
        <v>0</v>
      </c>
      <c r="BW384" s="16" t="n">
        <v>0</v>
      </c>
      <c r="BX384" s="16" t="n">
        <v>0</v>
      </c>
      <c r="BY384" s="16" t="n">
        <v>0</v>
      </c>
      <c r="BZ384" s="16" t="n">
        <v>0</v>
      </c>
      <c r="CA384" s="16" t="n">
        <v>0</v>
      </c>
      <c r="CB384" s="16" t="n">
        <v>0</v>
      </c>
      <c r="CC384" s="16" t="n">
        <v>0</v>
      </c>
      <c r="CD384" s="16" t="n">
        <v>0</v>
      </c>
      <c r="CE384" s="16" t="n">
        <v>0</v>
      </c>
      <c r="CF384" s="16" t="n">
        <v>0</v>
      </c>
      <c r="CG384" s="16" t="n">
        <v>0</v>
      </c>
      <c r="CH384" s="16" t="n">
        <v>0</v>
      </c>
      <c r="CI384" s="16" t="n">
        <v>0</v>
      </c>
      <c r="CJ384" s="16" t="n">
        <v>0</v>
      </c>
      <c r="CK384" s="16" t="n">
        <v>0</v>
      </c>
      <c r="CL384" s="16" t="n">
        <v>0</v>
      </c>
      <c r="CM384" s="16" t="n">
        <v>0</v>
      </c>
      <c r="CN384" s="16" t="n">
        <v>0</v>
      </c>
      <c r="CO384" s="16" t="n">
        <v>0</v>
      </c>
      <c r="CP384" s="16" t="n">
        <v>0</v>
      </c>
      <c r="CQ384" s="16" t="n">
        <v>0</v>
      </c>
      <c r="CR384" s="16" t="n">
        <v>0</v>
      </c>
      <c r="CS384" s="16" t="n">
        <v>0</v>
      </c>
      <c r="CT384" s="16" t="n">
        <v>0</v>
      </c>
      <c r="CU384" s="16" t="n">
        <v>0</v>
      </c>
      <c r="CV384" s="16" t="n">
        <v>0</v>
      </c>
      <c r="CW384" s="16" t="n">
        <v>0</v>
      </c>
      <c r="CX384" s="16" t="n">
        <v>0</v>
      </c>
      <c r="CY384" s="16" t="n">
        <v>0</v>
      </c>
      <c r="CZ384" s="16" t="n">
        <v>0</v>
      </c>
      <c r="DA384" s="16" t="n">
        <v>0</v>
      </c>
      <c r="DB384" s="16" t="n">
        <v>0</v>
      </c>
      <c r="DC384" s="16" t="n">
        <v>0</v>
      </c>
      <c r="DD384" s="16" t="n">
        <v>0</v>
      </c>
      <c r="DE384" s="16" t="n">
        <v>0</v>
      </c>
      <c r="DF384" s="16" t="n">
        <v>0</v>
      </c>
      <c r="DG384" s="16" t="n">
        <v>0</v>
      </c>
      <c r="DH384" s="16" t="n">
        <v>0</v>
      </c>
      <c r="DI384" s="16" t="n">
        <v>0</v>
      </c>
      <c r="DJ384" s="16" t="n">
        <v>0</v>
      </c>
      <c r="DK384" s="16" t="n">
        <v>0</v>
      </c>
      <c r="DL384" s="16" t="n">
        <v>0</v>
      </c>
      <c r="DM384" s="16" t="n">
        <v>0</v>
      </c>
      <c r="DN384" s="16" t="n">
        <v>0</v>
      </c>
      <c r="DO384" s="16" t="n">
        <v>0</v>
      </c>
      <c r="DP384" s="16" t="n">
        <v>0</v>
      </c>
      <c r="DQ384" s="16" t="n">
        <v>0</v>
      </c>
      <c r="DR384" s="16" t="n">
        <v>0</v>
      </c>
      <c r="DS384" s="16" t="n">
        <v>0</v>
      </c>
      <c r="DT384" s="16" t="n">
        <v>0</v>
      </c>
      <c r="DU384" s="16" t="n">
        <v>0</v>
      </c>
      <c r="DV384" s="16" t="n">
        <v>0</v>
      </c>
      <c r="DW384" s="16" t="n">
        <v>0</v>
      </c>
      <c r="DX384" s="16" t="n">
        <v>0</v>
      </c>
      <c r="DY384" s="16" t="n">
        <v>0</v>
      </c>
      <c r="DZ384" s="16" t="n">
        <v>0</v>
      </c>
      <c r="EA384" s="16" t="n">
        <v>0</v>
      </c>
      <c r="EB384" s="16" t="n">
        <v>0</v>
      </c>
      <c r="EC384" s="16" t="n">
        <v>0</v>
      </c>
      <c r="ED384" s="16" t="n">
        <v>0</v>
      </c>
      <c r="EE384" s="16" t="n">
        <v>0</v>
      </c>
      <c r="EF384" s="16" t="n">
        <v>0</v>
      </c>
    </row>
    <row r="385" customFormat="false" ht="15" hidden="false" customHeight="true" outlineLevel="0" collapsed="false">
      <c r="A385" s="9" t="s">
        <v>12</v>
      </c>
      <c r="B385" s="9" t="s">
        <v>21</v>
      </c>
      <c r="C385" s="9" t="s">
        <v>21</v>
      </c>
      <c r="D385" s="9" t="s">
        <v>336</v>
      </c>
      <c r="E385" s="9" t="s">
        <v>14</v>
      </c>
      <c r="F385" s="9" t="s">
        <v>85</v>
      </c>
      <c r="G385" s="16" t="n">
        <v>0</v>
      </c>
      <c r="H385" s="16" t="n">
        <v>0</v>
      </c>
      <c r="I385" s="16" t="n">
        <v>9</v>
      </c>
      <c r="J385" s="16" t="n">
        <v>-9</v>
      </c>
      <c r="K385" s="16" t="n">
        <v>0</v>
      </c>
      <c r="L385" s="16" t="n">
        <v>0</v>
      </c>
      <c r="M385" s="16" t="n">
        <v>0</v>
      </c>
      <c r="N385" s="16" t="n">
        <v>0</v>
      </c>
      <c r="O385" s="16" t="n">
        <v>0</v>
      </c>
      <c r="P385" s="16" t="n">
        <v>0</v>
      </c>
      <c r="Q385" s="16" t="n">
        <v>0</v>
      </c>
      <c r="R385" s="16" t="n">
        <v>0</v>
      </c>
      <c r="S385" s="16" t="n">
        <v>0</v>
      </c>
      <c r="T385" s="16" t="n">
        <v>0</v>
      </c>
      <c r="U385" s="16" t="n">
        <v>0</v>
      </c>
      <c r="V385" s="16" t="n">
        <v>0</v>
      </c>
      <c r="W385" s="16" t="n">
        <v>0</v>
      </c>
      <c r="X385" s="16" t="n">
        <v>0</v>
      </c>
      <c r="Y385" s="16" t="n">
        <v>0</v>
      </c>
      <c r="Z385" s="16" t="n">
        <v>3</v>
      </c>
      <c r="AA385" s="16" t="n">
        <v>6</v>
      </c>
      <c r="AB385" s="16" t="n">
        <v>0</v>
      </c>
      <c r="AC385" s="16" t="n">
        <v>0</v>
      </c>
      <c r="AD385" s="16" t="n">
        <v>0</v>
      </c>
      <c r="AE385" s="16" t="n">
        <v>0</v>
      </c>
      <c r="AF385" s="16" t="n">
        <v>0</v>
      </c>
      <c r="AG385" s="16" t="n">
        <v>0</v>
      </c>
      <c r="AH385" s="16" t="n">
        <v>0</v>
      </c>
      <c r="AI385" s="16" t="n">
        <v>0</v>
      </c>
      <c r="AJ385" s="16" t="n">
        <v>0</v>
      </c>
      <c r="AK385" s="16" t="n">
        <v>0</v>
      </c>
      <c r="AL385" s="16" t="n">
        <v>0</v>
      </c>
      <c r="AM385" s="16" t="n">
        <v>0</v>
      </c>
      <c r="AN385" s="16" t="n">
        <v>0</v>
      </c>
      <c r="AO385" s="16" t="n">
        <v>0</v>
      </c>
      <c r="AP385" s="16" t="n">
        <v>0</v>
      </c>
      <c r="AQ385" s="16" t="n">
        <v>0</v>
      </c>
      <c r="AR385" s="16" t="n">
        <v>0</v>
      </c>
      <c r="AS385" s="16" t="n">
        <v>0</v>
      </c>
      <c r="AT385" s="16" t="n">
        <v>0</v>
      </c>
      <c r="AU385" s="16" t="n">
        <v>0</v>
      </c>
      <c r="AV385" s="16" t="n">
        <v>0</v>
      </c>
      <c r="AW385" s="16" t="n">
        <v>0</v>
      </c>
      <c r="AX385" s="16" t="n">
        <v>0</v>
      </c>
      <c r="AY385" s="16" t="n">
        <v>0</v>
      </c>
      <c r="AZ385" s="16" t="n">
        <v>0</v>
      </c>
      <c r="BA385" s="16" t="n">
        <v>0</v>
      </c>
      <c r="BB385" s="16" t="n">
        <v>0</v>
      </c>
      <c r="BC385" s="16" t="n">
        <v>0</v>
      </c>
      <c r="BD385" s="16" t="n">
        <v>0</v>
      </c>
      <c r="BE385" s="16" t="n">
        <v>0</v>
      </c>
      <c r="BF385" s="16" t="n">
        <v>0</v>
      </c>
      <c r="BG385" s="16" t="n">
        <v>0</v>
      </c>
      <c r="BH385" s="16" t="n">
        <v>0</v>
      </c>
      <c r="BI385" s="16" t="n">
        <v>0</v>
      </c>
      <c r="BJ385" s="16" t="n">
        <v>0</v>
      </c>
      <c r="BK385" s="16" t="n">
        <v>0</v>
      </c>
      <c r="BL385" s="16" t="n">
        <v>0</v>
      </c>
      <c r="BM385" s="16" t="n">
        <v>0</v>
      </c>
      <c r="BN385" s="16" t="n">
        <v>0</v>
      </c>
      <c r="BO385" s="16" t="n">
        <v>0</v>
      </c>
      <c r="BP385" s="16" t="n">
        <v>0</v>
      </c>
      <c r="BQ385" s="16" t="n">
        <v>0</v>
      </c>
      <c r="BR385" s="16" t="n">
        <v>0</v>
      </c>
      <c r="BS385" s="16" t="n">
        <v>0</v>
      </c>
      <c r="BT385" s="16" t="n">
        <v>0</v>
      </c>
      <c r="BU385" s="16" t="n">
        <v>0</v>
      </c>
      <c r="BV385" s="16" t="n">
        <v>0</v>
      </c>
      <c r="BW385" s="16" t="n">
        <v>0</v>
      </c>
      <c r="BX385" s="16" t="n">
        <v>0</v>
      </c>
      <c r="BY385" s="16" t="n">
        <v>0</v>
      </c>
      <c r="BZ385" s="16" t="n">
        <v>0</v>
      </c>
      <c r="CA385" s="16" t="n">
        <v>0</v>
      </c>
      <c r="CB385" s="16" t="n">
        <v>0</v>
      </c>
      <c r="CC385" s="16" t="n">
        <v>0</v>
      </c>
      <c r="CD385" s="16" t="n">
        <v>0</v>
      </c>
      <c r="CE385" s="16" t="n">
        <v>0</v>
      </c>
      <c r="CF385" s="16" t="n">
        <v>0</v>
      </c>
      <c r="CG385" s="16" t="n">
        <v>0</v>
      </c>
      <c r="CH385" s="16" t="n">
        <v>0</v>
      </c>
      <c r="CI385" s="16" t="n">
        <v>0</v>
      </c>
      <c r="CJ385" s="16" t="n">
        <v>0</v>
      </c>
      <c r="CK385" s="16" t="n">
        <v>0</v>
      </c>
      <c r="CL385" s="16" t="n">
        <v>0</v>
      </c>
      <c r="CM385" s="16" t="n">
        <v>0</v>
      </c>
      <c r="CN385" s="16" t="n">
        <v>0</v>
      </c>
      <c r="CO385" s="16" t="n">
        <v>0</v>
      </c>
      <c r="CP385" s="16" t="n">
        <v>0</v>
      </c>
      <c r="CQ385" s="16" t="n">
        <v>0</v>
      </c>
      <c r="CR385" s="16" t="n">
        <v>0</v>
      </c>
      <c r="CS385" s="16" t="n">
        <v>0</v>
      </c>
      <c r="CT385" s="16" t="n">
        <v>0</v>
      </c>
      <c r="CU385" s="16" t="n">
        <v>0</v>
      </c>
      <c r="CV385" s="16" t="n">
        <v>0</v>
      </c>
      <c r="CW385" s="16" t="n">
        <v>0</v>
      </c>
      <c r="CX385" s="16" t="n">
        <v>0</v>
      </c>
      <c r="CY385" s="16" t="n">
        <v>0</v>
      </c>
      <c r="CZ385" s="16" t="n">
        <v>0</v>
      </c>
      <c r="DA385" s="16" t="n">
        <v>0</v>
      </c>
      <c r="DB385" s="16" t="n">
        <v>0</v>
      </c>
      <c r="DC385" s="16" t="n">
        <v>0</v>
      </c>
      <c r="DD385" s="16" t="n">
        <v>0</v>
      </c>
      <c r="DE385" s="16" t="n">
        <v>0</v>
      </c>
      <c r="DF385" s="16" t="n">
        <v>0</v>
      </c>
      <c r="DG385" s="16" t="n">
        <v>0</v>
      </c>
      <c r="DH385" s="16" t="n">
        <v>0</v>
      </c>
      <c r="DI385" s="16" t="n">
        <v>0</v>
      </c>
      <c r="DJ385" s="16" t="n">
        <v>0</v>
      </c>
      <c r="DK385" s="16" t="n">
        <v>0</v>
      </c>
      <c r="DL385" s="16" t="n">
        <v>0</v>
      </c>
      <c r="DM385" s="16" t="n">
        <v>0</v>
      </c>
      <c r="DN385" s="16" t="n">
        <v>0</v>
      </c>
      <c r="DO385" s="16" t="n">
        <v>0</v>
      </c>
      <c r="DP385" s="16" t="n">
        <v>0</v>
      </c>
      <c r="DQ385" s="16" t="n">
        <v>0</v>
      </c>
      <c r="DR385" s="16" t="n">
        <v>0</v>
      </c>
      <c r="DS385" s="16" t="n">
        <v>0</v>
      </c>
      <c r="DT385" s="16" t="n">
        <v>0</v>
      </c>
      <c r="DU385" s="16" t="n">
        <v>0</v>
      </c>
      <c r="DV385" s="16" t="n">
        <v>0</v>
      </c>
      <c r="DW385" s="16" t="n">
        <v>0</v>
      </c>
      <c r="DX385" s="16" t="n">
        <v>0</v>
      </c>
      <c r="DY385" s="16" t="n">
        <v>0</v>
      </c>
      <c r="DZ385" s="16" t="n">
        <v>0</v>
      </c>
      <c r="EA385" s="16" t="n">
        <v>0</v>
      </c>
      <c r="EB385" s="16" t="n">
        <v>0</v>
      </c>
      <c r="EC385" s="16" t="n">
        <v>0</v>
      </c>
      <c r="ED385" s="16" t="n">
        <v>0</v>
      </c>
      <c r="EE385" s="16" t="n">
        <v>0</v>
      </c>
      <c r="EF385" s="16" t="n">
        <v>0</v>
      </c>
    </row>
    <row r="386" customFormat="false" ht="15" hidden="false" customHeight="true" outlineLevel="0" collapsed="false">
      <c r="A386" s="9" t="s">
        <v>12</v>
      </c>
      <c r="B386" s="9" t="s">
        <v>21</v>
      </c>
      <c r="C386" s="9" t="s">
        <v>21</v>
      </c>
      <c r="D386" s="9" t="s">
        <v>336</v>
      </c>
      <c r="E386" s="9" t="s">
        <v>14</v>
      </c>
      <c r="F386" s="9" t="s">
        <v>86</v>
      </c>
      <c r="G386" s="16" t="n">
        <v>0</v>
      </c>
      <c r="H386" s="16" t="n">
        <v>0</v>
      </c>
      <c r="I386" s="16" t="n">
        <v>38.5</v>
      </c>
      <c r="J386" s="16" t="n">
        <v>-38.5</v>
      </c>
      <c r="K386" s="16" t="n">
        <v>0</v>
      </c>
      <c r="L386" s="16" t="n">
        <v>0</v>
      </c>
      <c r="M386" s="16" t="n">
        <v>0</v>
      </c>
      <c r="N386" s="16" t="n">
        <v>0</v>
      </c>
      <c r="O386" s="16" t="n">
        <v>0</v>
      </c>
      <c r="P386" s="16" t="n">
        <v>0</v>
      </c>
      <c r="Q386" s="16" t="n">
        <v>0</v>
      </c>
      <c r="R386" s="16" t="n">
        <v>0</v>
      </c>
      <c r="S386" s="16" t="n">
        <v>0</v>
      </c>
      <c r="T386" s="16" t="n">
        <v>0</v>
      </c>
      <c r="U386" s="16" t="n">
        <v>0</v>
      </c>
      <c r="V386" s="16" t="n">
        <v>0</v>
      </c>
      <c r="W386" s="16" t="n">
        <v>0</v>
      </c>
      <c r="X386" s="16" t="n">
        <v>0</v>
      </c>
      <c r="Y386" s="16" t="n">
        <v>4</v>
      </c>
      <c r="Z386" s="16" t="n">
        <v>15.5</v>
      </c>
      <c r="AA386" s="16" t="n">
        <v>19</v>
      </c>
      <c r="AB386" s="16" t="n">
        <v>0</v>
      </c>
      <c r="AC386" s="16" t="n">
        <v>0</v>
      </c>
      <c r="AD386" s="16" t="n">
        <v>0</v>
      </c>
      <c r="AE386" s="16" t="n">
        <v>0</v>
      </c>
      <c r="AF386" s="16" t="n">
        <v>0</v>
      </c>
      <c r="AG386" s="16" t="n">
        <v>0</v>
      </c>
      <c r="AH386" s="16" t="n">
        <v>0</v>
      </c>
      <c r="AI386" s="16" t="n">
        <v>0</v>
      </c>
      <c r="AJ386" s="16" t="n">
        <v>0</v>
      </c>
      <c r="AK386" s="16" t="n">
        <v>0</v>
      </c>
      <c r="AL386" s="16" t="n">
        <v>0</v>
      </c>
      <c r="AM386" s="16" t="n">
        <v>0</v>
      </c>
      <c r="AN386" s="16" t="n">
        <v>0</v>
      </c>
      <c r="AO386" s="16" t="n">
        <v>0</v>
      </c>
      <c r="AP386" s="16" t="n">
        <v>0</v>
      </c>
      <c r="AQ386" s="16" t="n">
        <v>0</v>
      </c>
      <c r="AR386" s="16" t="n">
        <v>0</v>
      </c>
      <c r="AS386" s="16" t="n">
        <v>0</v>
      </c>
      <c r="AT386" s="16" t="n">
        <v>0</v>
      </c>
      <c r="AU386" s="16" t="n">
        <v>0</v>
      </c>
      <c r="AV386" s="16" t="n">
        <v>0</v>
      </c>
      <c r="AW386" s="16" t="n">
        <v>0</v>
      </c>
      <c r="AX386" s="16" t="n">
        <v>0</v>
      </c>
      <c r="AY386" s="16" t="n">
        <v>0</v>
      </c>
      <c r="AZ386" s="16" t="n">
        <v>0</v>
      </c>
      <c r="BA386" s="16" t="n">
        <v>0</v>
      </c>
      <c r="BB386" s="16" t="n">
        <v>0</v>
      </c>
      <c r="BC386" s="16" t="n">
        <v>0</v>
      </c>
      <c r="BD386" s="16" t="n">
        <v>0</v>
      </c>
      <c r="BE386" s="16" t="n">
        <v>0</v>
      </c>
      <c r="BF386" s="16" t="n">
        <v>0</v>
      </c>
      <c r="BG386" s="16" t="n">
        <v>0</v>
      </c>
      <c r="BH386" s="16" t="n">
        <v>0</v>
      </c>
      <c r="BI386" s="16" t="n">
        <v>0</v>
      </c>
      <c r="BJ386" s="16" t="n">
        <v>0</v>
      </c>
      <c r="BK386" s="16" t="n">
        <v>0</v>
      </c>
      <c r="BL386" s="16" t="n">
        <v>0</v>
      </c>
      <c r="BM386" s="16" t="n">
        <v>0</v>
      </c>
      <c r="BN386" s="16" t="n">
        <v>0</v>
      </c>
      <c r="BO386" s="16" t="n">
        <v>0</v>
      </c>
      <c r="BP386" s="16" t="n">
        <v>0</v>
      </c>
      <c r="BQ386" s="16" t="n">
        <v>0</v>
      </c>
      <c r="BR386" s="16" t="n">
        <v>0</v>
      </c>
      <c r="BS386" s="16" t="n">
        <v>0</v>
      </c>
      <c r="BT386" s="16" t="n">
        <v>0</v>
      </c>
      <c r="BU386" s="16" t="n">
        <v>0</v>
      </c>
      <c r="BV386" s="16" t="n">
        <v>0</v>
      </c>
      <c r="BW386" s="16" t="n">
        <v>0</v>
      </c>
      <c r="BX386" s="16" t="n">
        <v>0</v>
      </c>
      <c r="BY386" s="16" t="n">
        <v>0</v>
      </c>
      <c r="BZ386" s="16" t="n">
        <v>0</v>
      </c>
      <c r="CA386" s="16" t="n">
        <v>0</v>
      </c>
      <c r="CB386" s="16" t="n">
        <v>0</v>
      </c>
      <c r="CC386" s="16" t="n">
        <v>0</v>
      </c>
      <c r="CD386" s="16" t="n">
        <v>0</v>
      </c>
      <c r="CE386" s="16" t="n">
        <v>0</v>
      </c>
      <c r="CF386" s="16" t="n">
        <v>0</v>
      </c>
      <c r="CG386" s="16" t="n">
        <v>0</v>
      </c>
      <c r="CH386" s="16" t="n">
        <v>0</v>
      </c>
      <c r="CI386" s="16" t="n">
        <v>0</v>
      </c>
      <c r="CJ386" s="16" t="n">
        <v>0</v>
      </c>
      <c r="CK386" s="16" t="n">
        <v>0</v>
      </c>
      <c r="CL386" s="16" t="n">
        <v>0</v>
      </c>
      <c r="CM386" s="16" t="n">
        <v>0</v>
      </c>
      <c r="CN386" s="16" t="n">
        <v>0</v>
      </c>
      <c r="CO386" s="16" t="n">
        <v>0</v>
      </c>
      <c r="CP386" s="16" t="n">
        <v>0</v>
      </c>
      <c r="CQ386" s="16" t="n">
        <v>0</v>
      </c>
      <c r="CR386" s="16" t="n">
        <v>0</v>
      </c>
      <c r="CS386" s="16" t="n">
        <v>0</v>
      </c>
      <c r="CT386" s="16" t="n">
        <v>0</v>
      </c>
      <c r="CU386" s="16" t="n">
        <v>0</v>
      </c>
      <c r="CV386" s="16" t="n">
        <v>0</v>
      </c>
      <c r="CW386" s="16" t="n">
        <v>0</v>
      </c>
      <c r="CX386" s="16" t="n">
        <v>0</v>
      </c>
      <c r="CY386" s="16" t="n">
        <v>0</v>
      </c>
      <c r="CZ386" s="16" t="n">
        <v>0</v>
      </c>
      <c r="DA386" s="16" t="n">
        <v>0</v>
      </c>
      <c r="DB386" s="16" t="n">
        <v>0</v>
      </c>
      <c r="DC386" s="16" t="n">
        <v>0</v>
      </c>
      <c r="DD386" s="16" t="n">
        <v>0</v>
      </c>
      <c r="DE386" s="16" t="n">
        <v>0</v>
      </c>
      <c r="DF386" s="16" t="n">
        <v>0</v>
      </c>
      <c r="DG386" s="16" t="n">
        <v>0</v>
      </c>
      <c r="DH386" s="16" t="n">
        <v>0</v>
      </c>
      <c r="DI386" s="16" t="n">
        <v>0</v>
      </c>
      <c r="DJ386" s="16" t="n">
        <v>0</v>
      </c>
      <c r="DK386" s="16" t="n">
        <v>0</v>
      </c>
      <c r="DL386" s="16" t="n">
        <v>0</v>
      </c>
      <c r="DM386" s="16" t="n">
        <v>0</v>
      </c>
      <c r="DN386" s="16" t="n">
        <v>0</v>
      </c>
      <c r="DO386" s="16" t="n">
        <v>0</v>
      </c>
      <c r="DP386" s="16" t="n">
        <v>0</v>
      </c>
      <c r="DQ386" s="16" t="n">
        <v>0</v>
      </c>
      <c r="DR386" s="16" t="n">
        <v>0</v>
      </c>
      <c r="DS386" s="16" t="n">
        <v>0</v>
      </c>
      <c r="DT386" s="16" t="n">
        <v>0</v>
      </c>
      <c r="DU386" s="16" t="n">
        <v>0</v>
      </c>
      <c r="DV386" s="16" t="n">
        <v>0</v>
      </c>
      <c r="DW386" s="16" t="n">
        <v>0</v>
      </c>
      <c r="DX386" s="16" t="n">
        <v>0</v>
      </c>
      <c r="DY386" s="16" t="n">
        <v>0</v>
      </c>
      <c r="DZ386" s="16" t="n">
        <v>0</v>
      </c>
      <c r="EA386" s="16" t="n">
        <v>0</v>
      </c>
      <c r="EB386" s="16" t="n">
        <v>0</v>
      </c>
      <c r="EC386" s="16" t="n">
        <v>0</v>
      </c>
      <c r="ED386" s="16" t="n">
        <v>0</v>
      </c>
      <c r="EE386" s="16" t="n">
        <v>0</v>
      </c>
      <c r="EF386" s="16" t="n">
        <v>0</v>
      </c>
    </row>
    <row r="387" customFormat="false" ht="15" hidden="false" customHeight="true" outlineLevel="0" collapsed="false">
      <c r="A387" s="9" t="s">
        <v>12</v>
      </c>
      <c r="B387" s="9" t="s">
        <v>21</v>
      </c>
      <c r="C387" s="9" t="s">
        <v>21</v>
      </c>
      <c r="D387" s="9" t="s">
        <v>335</v>
      </c>
      <c r="E387" s="9" t="s">
        <v>14</v>
      </c>
      <c r="F387" s="9" t="s">
        <v>43</v>
      </c>
      <c r="G387" s="16" t="n">
        <v>0</v>
      </c>
      <c r="H387" s="16" t="n">
        <v>0</v>
      </c>
      <c r="I387" s="16" t="n">
        <v>290.5</v>
      </c>
      <c r="J387" s="16" t="n">
        <v>-290.5</v>
      </c>
      <c r="K387" s="16" t="n">
        <v>0</v>
      </c>
      <c r="L387" s="16" t="n">
        <v>0</v>
      </c>
      <c r="M387" s="16" t="n">
        <v>0</v>
      </c>
      <c r="N387" s="16" t="n">
        <v>0</v>
      </c>
      <c r="O387" s="16" t="n">
        <v>0</v>
      </c>
      <c r="P387" s="16" t="n">
        <v>0</v>
      </c>
      <c r="Q387" s="16" t="n">
        <v>0</v>
      </c>
      <c r="R387" s="16" t="n">
        <v>0</v>
      </c>
      <c r="S387" s="16" t="n">
        <v>0</v>
      </c>
      <c r="T387" s="16" t="n">
        <v>0</v>
      </c>
      <c r="U387" s="16" t="n">
        <v>0</v>
      </c>
      <c r="V387" s="16" t="n">
        <v>0</v>
      </c>
      <c r="W387" s="16" t="n">
        <v>0</v>
      </c>
      <c r="X387" s="16" t="n">
        <v>0</v>
      </c>
      <c r="Y387" s="16" t="n">
        <v>0</v>
      </c>
      <c r="Z387" s="16" t="n">
        <v>0</v>
      </c>
      <c r="AA387" s="16" t="n">
        <v>0</v>
      </c>
      <c r="AB387" s="16" t="n">
        <v>0</v>
      </c>
      <c r="AC387" s="16" t="n">
        <v>0</v>
      </c>
      <c r="AD387" s="16" t="n">
        <v>0</v>
      </c>
      <c r="AE387" s="16" t="n">
        <v>0</v>
      </c>
      <c r="AF387" s="16" t="n">
        <v>0</v>
      </c>
      <c r="AG387" s="16" t="n">
        <v>0</v>
      </c>
      <c r="AH387" s="16" t="n">
        <v>0</v>
      </c>
      <c r="AI387" s="16" t="n">
        <v>0</v>
      </c>
      <c r="AJ387" s="16" t="n">
        <v>1</v>
      </c>
      <c r="AK387" s="16" t="n">
        <v>0</v>
      </c>
      <c r="AL387" s="16" t="n">
        <v>8</v>
      </c>
      <c r="AM387" s="16" t="n">
        <v>11.5</v>
      </c>
      <c r="AN387" s="16" t="n">
        <v>3.5</v>
      </c>
      <c r="AO387" s="16" t="n">
        <v>0</v>
      </c>
      <c r="AP387" s="16" t="n">
        <v>8</v>
      </c>
      <c r="AQ387" s="16" t="n">
        <v>0.5</v>
      </c>
      <c r="AR387" s="16" t="n">
        <v>3</v>
      </c>
      <c r="AS387" s="16" t="n">
        <v>1</v>
      </c>
      <c r="AT387" s="16" t="n">
        <v>0</v>
      </c>
      <c r="AU387" s="16" t="n">
        <v>0</v>
      </c>
      <c r="AV387" s="16" t="n">
        <v>0</v>
      </c>
      <c r="AW387" s="16" t="n">
        <v>0</v>
      </c>
      <c r="AX387" s="16" t="n">
        <v>0</v>
      </c>
      <c r="AY387" s="16" t="n">
        <v>0</v>
      </c>
      <c r="AZ387" s="16" t="n">
        <v>0</v>
      </c>
      <c r="BA387" s="16" t="n">
        <v>0</v>
      </c>
      <c r="BB387" s="16" t="n">
        <v>0</v>
      </c>
      <c r="BC387" s="16" t="n">
        <v>0</v>
      </c>
      <c r="BD387" s="16" t="n">
        <v>0</v>
      </c>
      <c r="BE387" s="16" t="n">
        <v>0</v>
      </c>
      <c r="BF387" s="16" t="n">
        <v>0</v>
      </c>
      <c r="BG387" s="16" t="n">
        <v>0</v>
      </c>
      <c r="BH387" s="16" t="n">
        <v>0</v>
      </c>
      <c r="BI387" s="16" t="n">
        <v>0</v>
      </c>
      <c r="BJ387" s="16" t="n">
        <v>0</v>
      </c>
      <c r="BK387" s="16" t="n">
        <v>0</v>
      </c>
      <c r="BL387" s="16" t="n">
        <v>0</v>
      </c>
      <c r="BM387" s="16" t="n">
        <v>0</v>
      </c>
      <c r="BN387" s="16" t="n">
        <v>0</v>
      </c>
      <c r="BO387" s="16" t="n">
        <v>0</v>
      </c>
      <c r="BP387" s="16" t="n">
        <v>0</v>
      </c>
      <c r="BQ387" s="16" t="n">
        <v>0</v>
      </c>
      <c r="BR387" s="16" t="n">
        <v>0</v>
      </c>
      <c r="BS387" s="16" t="n">
        <v>0</v>
      </c>
      <c r="BT387" s="16" t="n">
        <v>0</v>
      </c>
      <c r="BU387" s="16" t="n">
        <v>0</v>
      </c>
      <c r="BV387" s="16" t="n">
        <v>0</v>
      </c>
      <c r="BW387" s="16" t="n">
        <v>0</v>
      </c>
      <c r="BX387" s="16" t="n">
        <v>0</v>
      </c>
      <c r="BY387" s="16" t="n">
        <v>0</v>
      </c>
      <c r="BZ387" s="16" t="n">
        <v>0</v>
      </c>
      <c r="CA387" s="16" t="n">
        <v>0</v>
      </c>
      <c r="CB387" s="16" t="n">
        <v>0</v>
      </c>
      <c r="CC387" s="16" t="n">
        <v>0</v>
      </c>
      <c r="CD387" s="16" t="n">
        <v>0</v>
      </c>
      <c r="CE387" s="16" t="n">
        <v>0</v>
      </c>
      <c r="CF387" s="16" t="n">
        <v>0</v>
      </c>
      <c r="CG387" s="16" t="n">
        <v>0</v>
      </c>
      <c r="CH387" s="16" t="n">
        <v>0</v>
      </c>
      <c r="CI387" s="16" t="n">
        <v>0</v>
      </c>
      <c r="CJ387" s="16" t="n">
        <v>0</v>
      </c>
      <c r="CK387" s="16" t="n">
        <v>0</v>
      </c>
      <c r="CL387" s="16" t="n">
        <v>0</v>
      </c>
      <c r="CM387" s="16" t="n">
        <v>0</v>
      </c>
      <c r="CN387" s="16" t="n">
        <v>0</v>
      </c>
      <c r="CO387" s="16" t="n">
        <v>0</v>
      </c>
      <c r="CP387" s="16" t="n">
        <v>0</v>
      </c>
      <c r="CQ387" s="16" t="n">
        <v>0</v>
      </c>
      <c r="CR387" s="16" t="n">
        <v>0</v>
      </c>
      <c r="CS387" s="16" t="n">
        <v>20</v>
      </c>
      <c r="CT387" s="16" t="n">
        <v>15</v>
      </c>
      <c r="CU387" s="16" t="n">
        <v>15</v>
      </c>
      <c r="CV387" s="16" t="n">
        <v>10</v>
      </c>
      <c r="CW387" s="16" t="n">
        <v>10</v>
      </c>
      <c r="CX387" s="16" t="n">
        <v>10</v>
      </c>
      <c r="CY387" s="16" t="n">
        <v>5</v>
      </c>
      <c r="CZ387" s="16" t="n">
        <v>5</v>
      </c>
      <c r="DA387" s="16" t="n">
        <v>5</v>
      </c>
      <c r="DB387" s="16" t="n">
        <v>10</v>
      </c>
      <c r="DC387" s="16" t="n">
        <v>20</v>
      </c>
      <c r="DD387" s="16" t="n">
        <v>20</v>
      </c>
      <c r="DE387" s="16" t="n">
        <v>20</v>
      </c>
      <c r="DF387" s="16" t="n">
        <v>20</v>
      </c>
      <c r="DG387" s="16" t="n">
        <v>20</v>
      </c>
      <c r="DH387" s="16" t="n">
        <v>20</v>
      </c>
      <c r="DI387" s="16" t="n">
        <v>15</v>
      </c>
      <c r="DJ387" s="16" t="n">
        <v>15</v>
      </c>
      <c r="DK387" s="16" t="n">
        <v>0</v>
      </c>
      <c r="DL387" s="16" t="n">
        <v>0</v>
      </c>
      <c r="DM387" s="16" t="n">
        <v>0</v>
      </c>
      <c r="DN387" s="16" t="n">
        <v>0</v>
      </c>
      <c r="DO387" s="16" t="n">
        <v>0</v>
      </c>
      <c r="DP387" s="16" t="n">
        <v>0</v>
      </c>
      <c r="DQ387" s="16" t="n">
        <v>0</v>
      </c>
      <c r="DR387" s="16" t="n">
        <v>0</v>
      </c>
      <c r="DS387" s="16" t="n">
        <v>0</v>
      </c>
      <c r="DT387" s="16" t="n">
        <v>0</v>
      </c>
      <c r="DU387" s="16" t="n">
        <v>0</v>
      </c>
      <c r="DV387" s="16" t="n">
        <v>0</v>
      </c>
      <c r="DW387" s="16" t="n">
        <v>0</v>
      </c>
      <c r="DX387" s="16" t="n">
        <v>0</v>
      </c>
      <c r="DY387" s="16" t="n">
        <v>0</v>
      </c>
      <c r="DZ387" s="16" t="n">
        <v>0</v>
      </c>
      <c r="EA387" s="16" t="n">
        <v>0</v>
      </c>
      <c r="EB387" s="16" t="n">
        <v>0</v>
      </c>
      <c r="EC387" s="16" t="n">
        <v>0</v>
      </c>
      <c r="ED387" s="16" t="n">
        <v>0</v>
      </c>
      <c r="EE387" s="16" t="n">
        <v>0</v>
      </c>
      <c r="EF387" s="16" t="n">
        <v>0</v>
      </c>
    </row>
    <row r="388" customFormat="false" ht="15" hidden="false" customHeight="true" outlineLevel="0" collapsed="false">
      <c r="A388" s="9" t="s">
        <v>12</v>
      </c>
      <c r="B388" s="9" t="s">
        <v>21</v>
      </c>
      <c r="C388" s="9" t="s">
        <v>21</v>
      </c>
      <c r="D388" s="9" t="s">
        <v>336</v>
      </c>
      <c r="E388" s="9" t="s">
        <v>14</v>
      </c>
      <c r="F388" s="9" t="s">
        <v>43</v>
      </c>
      <c r="G388" s="16" t="n">
        <v>40</v>
      </c>
      <c r="H388" s="16" t="n">
        <v>394</v>
      </c>
      <c r="I388" s="16" t="n">
        <v>14</v>
      </c>
      <c r="J388" s="16" t="n">
        <v>380</v>
      </c>
      <c r="K388" s="16" t="n">
        <v>0</v>
      </c>
      <c r="L388" s="16" t="n">
        <v>0</v>
      </c>
      <c r="M388" s="16" t="n">
        <v>0</v>
      </c>
      <c r="N388" s="16" t="n">
        <v>0</v>
      </c>
      <c r="O388" s="16" t="n">
        <v>0</v>
      </c>
      <c r="P388" s="16" t="n">
        <v>0</v>
      </c>
      <c r="Q388" s="16" t="n">
        <v>0</v>
      </c>
      <c r="R388" s="16" t="n">
        <v>0</v>
      </c>
      <c r="S388" s="16" t="n">
        <v>0</v>
      </c>
      <c r="T388" s="16" t="n">
        <v>0</v>
      </c>
      <c r="U388" s="16" t="n">
        <v>0</v>
      </c>
      <c r="V388" s="16" t="n">
        <v>0</v>
      </c>
      <c r="W388" s="16" t="n">
        <v>0</v>
      </c>
      <c r="X388" s="16" t="n">
        <v>0</v>
      </c>
      <c r="Y388" s="16" t="n">
        <v>0</v>
      </c>
      <c r="Z388" s="16" t="n">
        <v>0</v>
      </c>
      <c r="AA388" s="16" t="n">
        <v>0</v>
      </c>
      <c r="AB388" s="16" t="n">
        <v>0</v>
      </c>
      <c r="AC388" s="16" t="n">
        <v>0</v>
      </c>
      <c r="AD388" s="16" t="n">
        <v>0</v>
      </c>
      <c r="AE388" s="16" t="n">
        <v>0</v>
      </c>
      <c r="AF388" s="16" t="n">
        <v>0</v>
      </c>
      <c r="AG388" s="16" t="n">
        <v>8</v>
      </c>
      <c r="AH388" s="16" t="n">
        <v>3</v>
      </c>
      <c r="AI388" s="16" t="n">
        <v>1</v>
      </c>
      <c r="AJ388" s="16" t="n">
        <v>2</v>
      </c>
      <c r="AK388" s="16" t="n">
        <v>0</v>
      </c>
      <c r="AL388" s="16" t="n">
        <v>0</v>
      </c>
      <c r="AM388" s="16" t="n">
        <v>0</v>
      </c>
      <c r="AN388" s="16" t="n">
        <v>0</v>
      </c>
      <c r="AO388" s="16" t="n">
        <v>0</v>
      </c>
      <c r="AP388" s="16" t="n">
        <v>0</v>
      </c>
      <c r="AQ388" s="16" t="n">
        <v>0</v>
      </c>
      <c r="AR388" s="16" t="n">
        <v>0</v>
      </c>
      <c r="AS388" s="16" t="n">
        <v>0</v>
      </c>
      <c r="AT388" s="16" t="n">
        <v>0</v>
      </c>
      <c r="AU388" s="16" t="n">
        <v>0</v>
      </c>
      <c r="AV388" s="16" t="n">
        <v>0</v>
      </c>
      <c r="AW388" s="16" t="n">
        <v>0</v>
      </c>
      <c r="AX388" s="16" t="n">
        <v>0</v>
      </c>
      <c r="AY388" s="16" t="n">
        <v>0</v>
      </c>
      <c r="AZ388" s="16" t="n">
        <v>0</v>
      </c>
      <c r="BA388" s="16" t="n">
        <v>0</v>
      </c>
      <c r="BB388" s="16" t="n">
        <v>0</v>
      </c>
      <c r="BC388" s="16" t="n">
        <v>0</v>
      </c>
      <c r="BD388" s="16" t="n">
        <v>0</v>
      </c>
      <c r="BE388" s="16" t="n">
        <v>0</v>
      </c>
      <c r="BF388" s="16" t="n">
        <v>0</v>
      </c>
      <c r="BG388" s="16" t="n">
        <v>0</v>
      </c>
      <c r="BH388" s="16" t="n">
        <v>0</v>
      </c>
      <c r="BI388" s="16" t="n">
        <v>0</v>
      </c>
      <c r="BJ388" s="16" t="n">
        <v>0</v>
      </c>
      <c r="BK388" s="16" t="n">
        <v>0</v>
      </c>
      <c r="BL388" s="16" t="n">
        <v>0</v>
      </c>
      <c r="BM388" s="16" t="n">
        <v>0</v>
      </c>
      <c r="BN388" s="16" t="n">
        <v>0</v>
      </c>
      <c r="BO388" s="16" t="n">
        <v>0</v>
      </c>
      <c r="BP388" s="16" t="n">
        <v>0</v>
      </c>
      <c r="BQ388" s="16" t="n">
        <v>0</v>
      </c>
      <c r="BR388" s="16" t="n">
        <v>0</v>
      </c>
      <c r="BS388" s="16" t="n">
        <v>0</v>
      </c>
      <c r="BT388" s="16" t="n">
        <v>0</v>
      </c>
      <c r="BU388" s="16" t="n">
        <v>0</v>
      </c>
      <c r="BV388" s="16" t="n">
        <v>0</v>
      </c>
      <c r="BW388" s="16" t="n">
        <v>0</v>
      </c>
      <c r="BX388" s="16" t="n">
        <v>0</v>
      </c>
      <c r="BY388" s="16" t="n">
        <v>0</v>
      </c>
      <c r="BZ388" s="16" t="n">
        <v>0</v>
      </c>
      <c r="CA388" s="16" t="n">
        <v>0</v>
      </c>
      <c r="CB388" s="16" t="n">
        <v>0</v>
      </c>
      <c r="CC388" s="16" t="n">
        <v>0</v>
      </c>
      <c r="CD388" s="16" t="n">
        <v>0</v>
      </c>
      <c r="CE388" s="16" t="n">
        <v>0</v>
      </c>
      <c r="CF388" s="16" t="n">
        <v>0</v>
      </c>
      <c r="CG388" s="16" t="n">
        <v>0</v>
      </c>
      <c r="CH388" s="16" t="n">
        <v>0</v>
      </c>
      <c r="CI388" s="16" t="n">
        <v>0</v>
      </c>
      <c r="CJ388" s="16" t="n">
        <v>0</v>
      </c>
      <c r="CK388" s="16" t="n">
        <v>0</v>
      </c>
      <c r="CL388" s="16" t="n">
        <v>0</v>
      </c>
      <c r="CM388" s="16" t="n">
        <v>0</v>
      </c>
      <c r="CN388" s="16" t="n">
        <v>0</v>
      </c>
      <c r="CO388" s="16" t="n">
        <v>0</v>
      </c>
      <c r="CP388" s="16" t="n">
        <v>0</v>
      </c>
      <c r="CQ388" s="16" t="n">
        <v>0</v>
      </c>
      <c r="CR388" s="16" t="n">
        <v>0</v>
      </c>
      <c r="CS388" s="16" t="n">
        <v>0</v>
      </c>
      <c r="CT388" s="16" t="n">
        <v>0</v>
      </c>
      <c r="CU388" s="16" t="n">
        <v>0</v>
      </c>
      <c r="CV388" s="16" t="n">
        <v>0</v>
      </c>
      <c r="CW388" s="16" t="n">
        <v>0</v>
      </c>
      <c r="CX388" s="16" t="n">
        <v>0</v>
      </c>
      <c r="CY388" s="16" t="n">
        <v>0</v>
      </c>
      <c r="CZ388" s="16" t="n">
        <v>0</v>
      </c>
      <c r="DA388" s="16" t="n">
        <v>0</v>
      </c>
      <c r="DB388" s="16" t="n">
        <v>0</v>
      </c>
      <c r="DC388" s="16" t="n">
        <v>0</v>
      </c>
      <c r="DD388" s="16" t="n">
        <v>0</v>
      </c>
      <c r="DE388" s="16" t="n">
        <v>0</v>
      </c>
      <c r="DF388" s="16" t="n">
        <v>0</v>
      </c>
      <c r="DG388" s="16" t="n">
        <v>0</v>
      </c>
      <c r="DH388" s="16" t="n">
        <v>0</v>
      </c>
      <c r="DI388" s="16" t="n">
        <v>0</v>
      </c>
      <c r="DJ388" s="16" t="n">
        <v>0</v>
      </c>
      <c r="DK388" s="16" t="n">
        <v>0</v>
      </c>
      <c r="DL388" s="16" t="n">
        <v>0</v>
      </c>
      <c r="DM388" s="16" t="n">
        <v>0</v>
      </c>
      <c r="DN388" s="16" t="n">
        <v>0</v>
      </c>
      <c r="DO388" s="16" t="n">
        <v>0</v>
      </c>
      <c r="DP388" s="16" t="n">
        <v>0</v>
      </c>
      <c r="DQ388" s="16" t="n">
        <v>0</v>
      </c>
      <c r="DR388" s="16" t="n">
        <v>0</v>
      </c>
      <c r="DS388" s="16" t="n">
        <v>0</v>
      </c>
      <c r="DT388" s="16" t="n">
        <v>0</v>
      </c>
      <c r="DU388" s="16" t="n">
        <v>0</v>
      </c>
      <c r="DV388" s="16" t="n">
        <v>0</v>
      </c>
      <c r="DW388" s="16" t="n">
        <v>0</v>
      </c>
      <c r="DX388" s="16" t="n">
        <v>0</v>
      </c>
      <c r="DY388" s="16" t="n">
        <v>0</v>
      </c>
      <c r="DZ388" s="16" t="n">
        <v>0</v>
      </c>
      <c r="EA388" s="16" t="n">
        <v>0</v>
      </c>
      <c r="EB388" s="16" t="n">
        <v>0</v>
      </c>
      <c r="EC388" s="16" t="n">
        <v>0</v>
      </c>
      <c r="ED388" s="16" t="n">
        <v>0</v>
      </c>
      <c r="EE388" s="16" t="n">
        <v>0</v>
      </c>
      <c r="EF388" s="16" t="n">
        <v>0</v>
      </c>
    </row>
    <row r="389" customFormat="false" ht="15" hidden="false" customHeight="true" outlineLevel="0" collapsed="false">
      <c r="A389" s="9" t="s">
        <v>12</v>
      </c>
      <c r="B389" s="9" t="s">
        <v>21</v>
      </c>
      <c r="C389" s="9" t="s">
        <v>21</v>
      </c>
      <c r="D389" s="9" t="s">
        <v>335</v>
      </c>
      <c r="E389" s="9" t="s">
        <v>14</v>
      </c>
      <c r="F389" s="9" t="s">
        <v>93</v>
      </c>
      <c r="G389" s="16" t="n">
        <v>0</v>
      </c>
      <c r="H389" s="16" t="n">
        <v>0</v>
      </c>
      <c r="I389" s="16" t="n">
        <v>0</v>
      </c>
      <c r="J389" s="16" t="n">
        <v>0</v>
      </c>
      <c r="K389" s="16" t="n">
        <v>0</v>
      </c>
      <c r="L389" s="16" t="n">
        <v>0</v>
      </c>
      <c r="M389" s="16" t="n">
        <v>0</v>
      </c>
      <c r="N389" s="16" t="n">
        <v>0</v>
      </c>
      <c r="O389" s="16" t="n">
        <v>0</v>
      </c>
      <c r="P389" s="16" t="n">
        <v>0</v>
      </c>
      <c r="Q389" s="16" t="n">
        <v>0</v>
      </c>
      <c r="R389" s="16" t="n">
        <v>0</v>
      </c>
      <c r="S389" s="16" t="n">
        <v>0</v>
      </c>
      <c r="T389" s="16" t="n">
        <v>0</v>
      </c>
      <c r="U389" s="16" t="n">
        <v>0</v>
      </c>
      <c r="V389" s="16" t="n">
        <v>0</v>
      </c>
      <c r="W389" s="16" t="n">
        <v>0</v>
      </c>
      <c r="X389" s="16" t="n">
        <v>0</v>
      </c>
      <c r="Y389" s="16" t="n">
        <v>0</v>
      </c>
      <c r="Z389" s="16" t="n">
        <v>0</v>
      </c>
      <c r="AA389" s="16" t="n">
        <v>0</v>
      </c>
      <c r="AB389" s="16" t="n">
        <v>0</v>
      </c>
      <c r="AC389" s="16" t="n">
        <v>0</v>
      </c>
      <c r="AD389" s="16" t="n">
        <v>0</v>
      </c>
      <c r="AE389" s="16" t="n">
        <v>0</v>
      </c>
      <c r="AF389" s="16" t="n">
        <v>0</v>
      </c>
      <c r="AG389" s="16" t="n">
        <v>0</v>
      </c>
      <c r="AH389" s="16" t="n">
        <v>0</v>
      </c>
      <c r="AI389" s="16" t="n">
        <v>0</v>
      </c>
      <c r="AJ389" s="16" t="n">
        <v>0</v>
      </c>
      <c r="AK389" s="16" t="n">
        <v>0</v>
      </c>
      <c r="AL389" s="16" t="n">
        <v>0</v>
      </c>
      <c r="AM389" s="16" t="n">
        <v>0</v>
      </c>
      <c r="AN389" s="16" t="n">
        <v>0</v>
      </c>
      <c r="AO389" s="16" t="n">
        <v>0</v>
      </c>
      <c r="AP389" s="16" t="n">
        <v>0</v>
      </c>
      <c r="AQ389" s="16" t="n">
        <v>0</v>
      </c>
      <c r="AR389" s="16" t="n">
        <v>0</v>
      </c>
      <c r="AS389" s="16" t="n">
        <v>0</v>
      </c>
      <c r="AT389" s="16" t="n">
        <v>0</v>
      </c>
      <c r="AU389" s="16" t="n">
        <v>0</v>
      </c>
      <c r="AV389" s="16" t="n">
        <v>0</v>
      </c>
      <c r="AW389" s="16" t="n">
        <v>0</v>
      </c>
      <c r="AX389" s="16" t="n">
        <v>0</v>
      </c>
      <c r="AY389" s="16" t="n">
        <v>0</v>
      </c>
      <c r="AZ389" s="16" t="n">
        <v>0</v>
      </c>
      <c r="BA389" s="16" t="n">
        <v>0</v>
      </c>
      <c r="BB389" s="16" t="n">
        <v>0</v>
      </c>
      <c r="BC389" s="16" t="n">
        <v>0</v>
      </c>
      <c r="BD389" s="16" t="n">
        <v>0</v>
      </c>
      <c r="BE389" s="16" t="n">
        <v>0</v>
      </c>
      <c r="BF389" s="16" t="n">
        <v>0</v>
      </c>
      <c r="BG389" s="16" t="n">
        <v>0</v>
      </c>
      <c r="BH389" s="16" t="n">
        <v>0</v>
      </c>
      <c r="BI389" s="16" t="n">
        <v>0</v>
      </c>
      <c r="BJ389" s="16" t="n">
        <v>0</v>
      </c>
      <c r="BK389" s="16" t="n">
        <v>0</v>
      </c>
      <c r="BL389" s="16" t="n">
        <v>0</v>
      </c>
      <c r="BM389" s="16" t="n">
        <v>0</v>
      </c>
      <c r="BN389" s="16" t="n">
        <v>0</v>
      </c>
      <c r="BO389" s="16" t="n">
        <v>0</v>
      </c>
      <c r="BP389" s="16" t="n">
        <v>0</v>
      </c>
      <c r="BQ389" s="16" t="n">
        <v>0</v>
      </c>
      <c r="BR389" s="16" t="n">
        <v>0</v>
      </c>
      <c r="BS389" s="16" t="n">
        <v>0</v>
      </c>
      <c r="BT389" s="16" t="n">
        <v>0</v>
      </c>
      <c r="BU389" s="16" t="n">
        <v>0</v>
      </c>
      <c r="BV389" s="16" t="n">
        <v>0</v>
      </c>
      <c r="BW389" s="16" t="n">
        <v>0</v>
      </c>
      <c r="BX389" s="16" t="n">
        <v>0</v>
      </c>
      <c r="BY389" s="16" t="n">
        <v>0</v>
      </c>
      <c r="BZ389" s="16" t="n">
        <v>0</v>
      </c>
      <c r="CA389" s="16" t="n">
        <v>0</v>
      </c>
      <c r="CB389" s="16" t="n">
        <v>0</v>
      </c>
      <c r="CC389" s="16" t="n">
        <v>0</v>
      </c>
      <c r="CD389" s="16" t="n">
        <v>0</v>
      </c>
      <c r="CE389" s="16" t="n">
        <v>0</v>
      </c>
      <c r="CF389" s="16" t="n">
        <v>0</v>
      </c>
      <c r="CG389" s="16" t="n">
        <v>0</v>
      </c>
      <c r="CH389" s="16" t="n">
        <v>0</v>
      </c>
      <c r="CI389" s="16" t="n">
        <v>0</v>
      </c>
      <c r="CJ389" s="16" t="n">
        <v>0</v>
      </c>
      <c r="CK389" s="16" t="n">
        <v>0</v>
      </c>
      <c r="CL389" s="16" t="n">
        <v>0</v>
      </c>
      <c r="CM389" s="16" t="n">
        <v>0</v>
      </c>
      <c r="CN389" s="16" t="n">
        <v>0</v>
      </c>
      <c r="CO389" s="16" t="n">
        <v>0</v>
      </c>
      <c r="CP389" s="16" t="n">
        <v>0</v>
      </c>
      <c r="CQ389" s="16" t="n">
        <v>0</v>
      </c>
      <c r="CR389" s="16" t="n">
        <v>0</v>
      </c>
      <c r="CS389" s="16" t="n">
        <v>0</v>
      </c>
      <c r="CT389" s="16" t="n">
        <v>0</v>
      </c>
      <c r="CU389" s="16" t="n">
        <v>0</v>
      </c>
      <c r="CV389" s="16" t="n">
        <v>0</v>
      </c>
      <c r="CW389" s="16" t="n">
        <v>0</v>
      </c>
      <c r="CX389" s="16" t="n">
        <v>0</v>
      </c>
      <c r="CY389" s="16" t="n">
        <v>0</v>
      </c>
      <c r="CZ389" s="16" t="n">
        <v>0</v>
      </c>
      <c r="DA389" s="16" t="n">
        <v>0</v>
      </c>
      <c r="DB389" s="16" t="n">
        <v>0</v>
      </c>
      <c r="DC389" s="16" t="n">
        <v>0</v>
      </c>
      <c r="DD389" s="16" t="n">
        <v>0</v>
      </c>
      <c r="DE389" s="16" t="n">
        <v>0</v>
      </c>
      <c r="DF389" s="16" t="n">
        <v>0</v>
      </c>
      <c r="DG389" s="16" t="n">
        <v>0</v>
      </c>
      <c r="DH389" s="16" t="n">
        <v>0</v>
      </c>
      <c r="DI389" s="16" t="n">
        <v>0</v>
      </c>
      <c r="DJ389" s="16" t="n">
        <v>0</v>
      </c>
      <c r="DK389" s="16" t="n">
        <v>0</v>
      </c>
      <c r="DL389" s="16" t="n">
        <v>0</v>
      </c>
      <c r="DM389" s="16" t="n">
        <v>0</v>
      </c>
      <c r="DN389" s="16" t="n">
        <v>0</v>
      </c>
      <c r="DO389" s="16" t="n">
        <v>0</v>
      </c>
      <c r="DP389" s="16" t="n">
        <v>0</v>
      </c>
      <c r="DQ389" s="16" t="n">
        <v>0</v>
      </c>
      <c r="DR389" s="16" t="n">
        <v>0</v>
      </c>
      <c r="DS389" s="16" t="n">
        <v>0</v>
      </c>
      <c r="DT389" s="16" t="n">
        <v>0</v>
      </c>
      <c r="DU389" s="16" t="n">
        <v>0</v>
      </c>
      <c r="DV389" s="16" t="n">
        <v>0</v>
      </c>
      <c r="DW389" s="16" t="n">
        <v>0</v>
      </c>
      <c r="DX389" s="16" t="n">
        <v>0</v>
      </c>
      <c r="DY389" s="16" t="n">
        <v>0</v>
      </c>
      <c r="DZ389" s="16" t="n">
        <v>0</v>
      </c>
      <c r="EA389" s="16" t="n">
        <v>0</v>
      </c>
      <c r="EB389" s="16" t="n">
        <v>0</v>
      </c>
      <c r="EC389" s="16" t="n">
        <v>0</v>
      </c>
      <c r="ED389" s="16" t="n">
        <v>0</v>
      </c>
      <c r="EE389" s="16" t="n">
        <v>0</v>
      </c>
      <c r="EF389" s="16" t="n">
        <v>0</v>
      </c>
    </row>
    <row r="390" customFormat="false" ht="15" hidden="false" customHeight="true" outlineLevel="0" collapsed="false">
      <c r="A390" s="9" t="s">
        <v>12</v>
      </c>
      <c r="B390" s="9" t="s">
        <v>21</v>
      </c>
      <c r="C390" s="9" t="s">
        <v>21</v>
      </c>
      <c r="D390" s="9" t="s">
        <v>336</v>
      </c>
      <c r="E390" s="9" t="s">
        <v>14</v>
      </c>
      <c r="F390" s="9" t="s">
        <v>93</v>
      </c>
      <c r="G390" s="16" t="n">
        <v>16</v>
      </c>
      <c r="H390" s="16" t="n">
        <v>16</v>
      </c>
      <c r="I390" s="16" t="n">
        <v>16</v>
      </c>
      <c r="J390" s="16" t="n">
        <v>0</v>
      </c>
      <c r="K390" s="16" t="n">
        <v>0</v>
      </c>
      <c r="L390" s="16" t="n">
        <v>0</v>
      </c>
      <c r="M390" s="16" t="n">
        <v>0</v>
      </c>
      <c r="N390" s="16" t="n">
        <v>0</v>
      </c>
      <c r="O390" s="16" t="n">
        <v>0</v>
      </c>
      <c r="P390" s="16" t="n">
        <v>0</v>
      </c>
      <c r="Q390" s="16" t="n">
        <v>0</v>
      </c>
      <c r="R390" s="16" t="n">
        <v>0</v>
      </c>
      <c r="S390" s="16" t="n">
        <v>0</v>
      </c>
      <c r="T390" s="16" t="n">
        <v>0</v>
      </c>
      <c r="U390" s="16" t="n">
        <v>0</v>
      </c>
      <c r="V390" s="16" t="n">
        <v>0</v>
      </c>
      <c r="W390" s="16" t="n">
        <v>0</v>
      </c>
      <c r="X390" s="16" t="n">
        <v>0</v>
      </c>
      <c r="Y390" s="16" t="n">
        <v>0</v>
      </c>
      <c r="Z390" s="16" t="n">
        <v>0</v>
      </c>
      <c r="AA390" s="16" t="n">
        <v>0</v>
      </c>
      <c r="AB390" s="16" t="n">
        <v>0</v>
      </c>
      <c r="AC390" s="16" t="n">
        <v>7</v>
      </c>
      <c r="AD390" s="16" t="n">
        <v>9</v>
      </c>
      <c r="AE390" s="16" t="n">
        <v>0</v>
      </c>
      <c r="AF390" s="16" t="n">
        <v>0</v>
      </c>
      <c r="AG390" s="16" t="n">
        <v>0</v>
      </c>
      <c r="AH390" s="16" t="n">
        <v>0</v>
      </c>
      <c r="AI390" s="16" t="n">
        <v>0</v>
      </c>
      <c r="AJ390" s="16" t="n">
        <v>0</v>
      </c>
      <c r="AK390" s="16" t="n">
        <v>0</v>
      </c>
      <c r="AL390" s="16" t="n">
        <v>0</v>
      </c>
      <c r="AM390" s="16" t="n">
        <v>0</v>
      </c>
      <c r="AN390" s="16" t="n">
        <v>0</v>
      </c>
      <c r="AO390" s="16" t="n">
        <v>0</v>
      </c>
      <c r="AP390" s="16" t="n">
        <v>0</v>
      </c>
      <c r="AQ390" s="16" t="n">
        <v>0</v>
      </c>
      <c r="AR390" s="16" t="n">
        <v>0</v>
      </c>
      <c r="AS390" s="16" t="n">
        <v>0</v>
      </c>
      <c r="AT390" s="16" t="n">
        <v>0</v>
      </c>
      <c r="AU390" s="16" t="n">
        <v>0</v>
      </c>
      <c r="AV390" s="16" t="n">
        <v>0</v>
      </c>
      <c r="AW390" s="16" t="n">
        <v>0</v>
      </c>
      <c r="AX390" s="16" t="n">
        <v>0</v>
      </c>
      <c r="AY390" s="16" t="n">
        <v>0</v>
      </c>
      <c r="AZ390" s="16" t="n">
        <v>0</v>
      </c>
      <c r="BA390" s="16" t="n">
        <v>0</v>
      </c>
      <c r="BB390" s="16" t="n">
        <v>0</v>
      </c>
      <c r="BC390" s="16" t="n">
        <v>0</v>
      </c>
      <c r="BD390" s="16" t="n">
        <v>0</v>
      </c>
      <c r="BE390" s="16" t="n">
        <v>0</v>
      </c>
      <c r="BF390" s="16" t="n">
        <v>0</v>
      </c>
      <c r="BG390" s="16" t="n">
        <v>0</v>
      </c>
      <c r="BH390" s="16" t="n">
        <v>0</v>
      </c>
      <c r="BI390" s="16" t="n">
        <v>0</v>
      </c>
      <c r="BJ390" s="16" t="n">
        <v>0</v>
      </c>
      <c r="BK390" s="16" t="n">
        <v>0</v>
      </c>
      <c r="BL390" s="16" t="n">
        <v>0</v>
      </c>
      <c r="BM390" s="16" t="n">
        <v>0</v>
      </c>
      <c r="BN390" s="16" t="n">
        <v>0</v>
      </c>
      <c r="BO390" s="16" t="n">
        <v>0</v>
      </c>
      <c r="BP390" s="16" t="n">
        <v>0</v>
      </c>
      <c r="BQ390" s="16" t="n">
        <v>0</v>
      </c>
      <c r="BR390" s="16" t="n">
        <v>0</v>
      </c>
      <c r="BS390" s="16" t="n">
        <v>0</v>
      </c>
      <c r="BT390" s="16" t="n">
        <v>0</v>
      </c>
      <c r="BU390" s="16" t="n">
        <v>0</v>
      </c>
      <c r="BV390" s="16" t="n">
        <v>0</v>
      </c>
      <c r="BW390" s="16" t="n">
        <v>0</v>
      </c>
      <c r="BX390" s="16" t="n">
        <v>0</v>
      </c>
      <c r="BY390" s="16" t="n">
        <v>0</v>
      </c>
      <c r="BZ390" s="16" t="n">
        <v>0</v>
      </c>
      <c r="CA390" s="16" t="n">
        <v>0</v>
      </c>
      <c r="CB390" s="16" t="n">
        <v>0</v>
      </c>
      <c r="CC390" s="16" t="n">
        <v>0</v>
      </c>
      <c r="CD390" s="16" t="n">
        <v>0</v>
      </c>
      <c r="CE390" s="16" t="n">
        <v>0</v>
      </c>
      <c r="CF390" s="16" t="n">
        <v>0</v>
      </c>
      <c r="CG390" s="16" t="n">
        <v>0</v>
      </c>
      <c r="CH390" s="16" t="n">
        <v>0</v>
      </c>
      <c r="CI390" s="16" t="n">
        <v>0</v>
      </c>
      <c r="CJ390" s="16" t="n">
        <v>0</v>
      </c>
      <c r="CK390" s="16" t="n">
        <v>0</v>
      </c>
      <c r="CL390" s="16" t="n">
        <v>0</v>
      </c>
      <c r="CM390" s="16" t="n">
        <v>0</v>
      </c>
      <c r="CN390" s="16" t="n">
        <v>0</v>
      </c>
      <c r="CO390" s="16" t="n">
        <v>0</v>
      </c>
      <c r="CP390" s="16" t="n">
        <v>0</v>
      </c>
      <c r="CQ390" s="16" t="n">
        <v>0</v>
      </c>
      <c r="CR390" s="16" t="n">
        <v>0</v>
      </c>
      <c r="CS390" s="16" t="n">
        <v>0</v>
      </c>
      <c r="CT390" s="16" t="n">
        <v>0</v>
      </c>
      <c r="CU390" s="16" t="n">
        <v>0</v>
      </c>
      <c r="CV390" s="16" t="n">
        <v>0</v>
      </c>
      <c r="CW390" s="16" t="n">
        <v>0</v>
      </c>
      <c r="CX390" s="16" t="n">
        <v>0</v>
      </c>
      <c r="CY390" s="16" t="n">
        <v>0</v>
      </c>
      <c r="CZ390" s="16" t="n">
        <v>0</v>
      </c>
      <c r="DA390" s="16" t="n">
        <v>0</v>
      </c>
      <c r="DB390" s="16" t="n">
        <v>0</v>
      </c>
      <c r="DC390" s="16" t="n">
        <v>0</v>
      </c>
      <c r="DD390" s="16" t="n">
        <v>0</v>
      </c>
      <c r="DE390" s="16" t="n">
        <v>0</v>
      </c>
      <c r="DF390" s="16" t="n">
        <v>0</v>
      </c>
      <c r="DG390" s="16" t="n">
        <v>0</v>
      </c>
      <c r="DH390" s="16" t="n">
        <v>0</v>
      </c>
      <c r="DI390" s="16" t="n">
        <v>0</v>
      </c>
      <c r="DJ390" s="16" t="n">
        <v>0</v>
      </c>
      <c r="DK390" s="16" t="n">
        <v>0</v>
      </c>
      <c r="DL390" s="16" t="n">
        <v>0</v>
      </c>
      <c r="DM390" s="16" t="n">
        <v>0</v>
      </c>
      <c r="DN390" s="16" t="n">
        <v>0</v>
      </c>
      <c r="DO390" s="16" t="n">
        <v>0</v>
      </c>
      <c r="DP390" s="16" t="n">
        <v>0</v>
      </c>
      <c r="DQ390" s="16" t="n">
        <v>0</v>
      </c>
      <c r="DR390" s="16" t="n">
        <v>0</v>
      </c>
      <c r="DS390" s="16" t="n">
        <v>0</v>
      </c>
      <c r="DT390" s="16" t="n">
        <v>0</v>
      </c>
      <c r="DU390" s="16" t="n">
        <v>0</v>
      </c>
      <c r="DV390" s="16" t="n">
        <v>0</v>
      </c>
      <c r="DW390" s="16" t="n">
        <v>0</v>
      </c>
      <c r="DX390" s="16" t="n">
        <v>0</v>
      </c>
      <c r="DY390" s="16" t="n">
        <v>0</v>
      </c>
      <c r="DZ390" s="16" t="n">
        <v>0</v>
      </c>
      <c r="EA390" s="16" t="n">
        <v>0</v>
      </c>
      <c r="EB390" s="16" t="n">
        <v>0</v>
      </c>
      <c r="EC390" s="16" t="n">
        <v>0</v>
      </c>
      <c r="ED390" s="16" t="n">
        <v>0</v>
      </c>
      <c r="EE390" s="16" t="n">
        <v>0</v>
      </c>
      <c r="EF390" s="16" t="n">
        <v>0</v>
      </c>
    </row>
    <row r="391" customFormat="false" ht="15" hidden="false" customHeight="true" outlineLevel="0" collapsed="false">
      <c r="A391" s="9" t="s">
        <v>12</v>
      </c>
      <c r="B391" s="9" t="s">
        <v>21</v>
      </c>
      <c r="C391" s="9" t="s">
        <v>21</v>
      </c>
      <c r="D391" s="9" t="s">
        <v>335</v>
      </c>
      <c r="E391" s="9" t="s">
        <v>14</v>
      </c>
      <c r="F391" s="9" t="s">
        <v>87</v>
      </c>
      <c r="G391" s="16" t="n">
        <v>0</v>
      </c>
      <c r="H391" s="16" t="n">
        <v>0</v>
      </c>
      <c r="I391" s="16" t="n">
        <v>29.5</v>
      </c>
      <c r="J391" s="16" t="n">
        <v>-29.5</v>
      </c>
      <c r="K391" s="16" t="n">
        <v>0</v>
      </c>
      <c r="L391" s="16" t="n">
        <v>0</v>
      </c>
      <c r="M391" s="16" t="n">
        <v>0</v>
      </c>
      <c r="N391" s="16" t="n">
        <v>0</v>
      </c>
      <c r="O391" s="16" t="n">
        <v>0</v>
      </c>
      <c r="P391" s="16" t="n">
        <v>0</v>
      </c>
      <c r="Q391" s="16" t="n">
        <v>0</v>
      </c>
      <c r="R391" s="16" t="n">
        <v>0</v>
      </c>
      <c r="S391" s="16" t="n">
        <v>0</v>
      </c>
      <c r="T391" s="16" t="n">
        <v>0</v>
      </c>
      <c r="U391" s="16" t="n">
        <v>0</v>
      </c>
      <c r="V391" s="16" t="n">
        <v>0</v>
      </c>
      <c r="W391" s="16" t="n">
        <v>0</v>
      </c>
      <c r="X391" s="16" t="n">
        <v>0</v>
      </c>
      <c r="Y391" s="16" t="n">
        <v>0</v>
      </c>
      <c r="Z391" s="16" t="n">
        <v>0</v>
      </c>
      <c r="AA391" s="16" t="n">
        <v>0</v>
      </c>
      <c r="AB391" s="16" t="n">
        <v>0</v>
      </c>
      <c r="AC391" s="16" t="n">
        <v>0</v>
      </c>
      <c r="AD391" s="16" t="n">
        <v>0</v>
      </c>
      <c r="AE391" s="16" t="n">
        <v>0</v>
      </c>
      <c r="AF391" s="16" t="n">
        <v>0</v>
      </c>
      <c r="AG391" s="16" t="n">
        <v>0</v>
      </c>
      <c r="AH391" s="16" t="n">
        <v>0</v>
      </c>
      <c r="AI391" s="16" t="n">
        <v>0</v>
      </c>
      <c r="AJ391" s="16" t="n">
        <v>0</v>
      </c>
      <c r="AK391" s="16" t="n">
        <v>2</v>
      </c>
      <c r="AL391" s="16" t="n">
        <v>1</v>
      </c>
      <c r="AM391" s="16" t="n">
        <v>12</v>
      </c>
      <c r="AN391" s="16" t="n">
        <v>12</v>
      </c>
      <c r="AO391" s="16" t="n">
        <v>2.5</v>
      </c>
      <c r="AP391" s="16" t="n">
        <v>0</v>
      </c>
      <c r="AQ391" s="16" t="n">
        <v>0</v>
      </c>
      <c r="AR391" s="16" t="n">
        <v>0</v>
      </c>
      <c r="AS391" s="16" t="n">
        <v>0</v>
      </c>
      <c r="AT391" s="16" t="n">
        <v>0</v>
      </c>
      <c r="AU391" s="16" t="n">
        <v>0</v>
      </c>
      <c r="AV391" s="16" t="n">
        <v>0</v>
      </c>
      <c r="AW391" s="16" t="n">
        <v>0</v>
      </c>
      <c r="AX391" s="16" t="n">
        <v>0</v>
      </c>
      <c r="AY391" s="16" t="n">
        <v>0</v>
      </c>
      <c r="AZ391" s="16" t="n">
        <v>0</v>
      </c>
      <c r="BA391" s="16" t="n">
        <v>0</v>
      </c>
      <c r="BB391" s="16" t="n">
        <v>0</v>
      </c>
      <c r="BC391" s="16" t="n">
        <v>0</v>
      </c>
      <c r="BD391" s="16" t="n">
        <v>0</v>
      </c>
      <c r="BE391" s="16" t="n">
        <v>0</v>
      </c>
      <c r="BF391" s="16" t="n">
        <v>0</v>
      </c>
      <c r="BG391" s="16" t="n">
        <v>0</v>
      </c>
      <c r="BH391" s="16" t="n">
        <v>0</v>
      </c>
      <c r="BI391" s="16" t="n">
        <v>0</v>
      </c>
      <c r="BJ391" s="16" t="n">
        <v>0</v>
      </c>
      <c r="BK391" s="16" t="n">
        <v>0</v>
      </c>
      <c r="BL391" s="16" t="n">
        <v>0</v>
      </c>
      <c r="BM391" s="16" t="n">
        <v>0</v>
      </c>
      <c r="BN391" s="16" t="n">
        <v>0</v>
      </c>
      <c r="BO391" s="16" t="n">
        <v>0</v>
      </c>
      <c r="BP391" s="16" t="n">
        <v>0</v>
      </c>
      <c r="BQ391" s="16" t="n">
        <v>0</v>
      </c>
      <c r="BR391" s="16" t="n">
        <v>0</v>
      </c>
      <c r="BS391" s="16" t="n">
        <v>0</v>
      </c>
      <c r="BT391" s="16" t="n">
        <v>0</v>
      </c>
      <c r="BU391" s="16" t="n">
        <v>0</v>
      </c>
      <c r="BV391" s="16" t="n">
        <v>0</v>
      </c>
      <c r="BW391" s="16" t="n">
        <v>0</v>
      </c>
      <c r="BX391" s="16" t="n">
        <v>0</v>
      </c>
      <c r="BY391" s="16" t="n">
        <v>0</v>
      </c>
      <c r="BZ391" s="16" t="n">
        <v>0</v>
      </c>
      <c r="CA391" s="16" t="n">
        <v>0</v>
      </c>
      <c r="CB391" s="16" t="n">
        <v>0</v>
      </c>
      <c r="CC391" s="16" t="n">
        <v>0</v>
      </c>
      <c r="CD391" s="16" t="n">
        <v>0</v>
      </c>
      <c r="CE391" s="16" t="n">
        <v>0</v>
      </c>
      <c r="CF391" s="16" t="n">
        <v>0</v>
      </c>
      <c r="CG391" s="16" t="n">
        <v>0</v>
      </c>
      <c r="CH391" s="16" t="n">
        <v>0</v>
      </c>
      <c r="CI391" s="16" t="n">
        <v>0</v>
      </c>
      <c r="CJ391" s="16" t="n">
        <v>0</v>
      </c>
      <c r="CK391" s="16" t="n">
        <v>0</v>
      </c>
      <c r="CL391" s="16" t="n">
        <v>0</v>
      </c>
      <c r="CM391" s="16" t="n">
        <v>0</v>
      </c>
      <c r="CN391" s="16" t="n">
        <v>0</v>
      </c>
      <c r="CO391" s="16" t="n">
        <v>0</v>
      </c>
      <c r="CP391" s="16" t="n">
        <v>0</v>
      </c>
      <c r="CQ391" s="16" t="n">
        <v>0</v>
      </c>
      <c r="CR391" s="16" t="n">
        <v>0</v>
      </c>
      <c r="CS391" s="16" t="n">
        <v>0</v>
      </c>
      <c r="CT391" s="16" t="n">
        <v>0</v>
      </c>
      <c r="CU391" s="16" t="n">
        <v>0</v>
      </c>
      <c r="CV391" s="16" t="n">
        <v>0</v>
      </c>
      <c r="CW391" s="16" t="n">
        <v>0</v>
      </c>
      <c r="CX391" s="16" t="n">
        <v>0</v>
      </c>
      <c r="CY391" s="16" t="n">
        <v>0</v>
      </c>
      <c r="CZ391" s="16" t="n">
        <v>0</v>
      </c>
      <c r="DA391" s="16" t="n">
        <v>0</v>
      </c>
      <c r="DB391" s="16" t="n">
        <v>0</v>
      </c>
      <c r="DC391" s="16" t="n">
        <v>0</v>
      </c>
      <c r="DD391" s="16" t="n">
        <v>0</v>
      </c>
      <c r="DE391" s="16" t="n">
        <v>0</v>
      </c>
      <c r="DF391" s="16" t="n">
        <v>0</v>
      </c>
      <c r="DG391" s="16" t="n">
        <v>0</v>
      </c>
      <c r="DH391" s="16" t="n">
        <v>0</v>
      </c>
      <c r="DI391" s="16" t="n">
        <v>0</v>
      </c>
      <c r="DJ391" s="16" t="n">
        <v>0</v>
      </c>
      <c r="DK391" s="16" t="n">
        <v>0</v>
      </c>
      <c r="DL391" s="16" t="n">
        <v>0</v>
      </c>
      <c r="DM391" s="16" t="n">
        <v>0</v>
      </c>
      <c r="DN391" s="16" t="n">
        <v>0</v>
      </c>
      <c r="DO391" s="16" t="n">
        <v>0</v>
      </c>
      <c r="DP391" s="16" t="n">
        <v>0</v>
      </c>
      <c r="DQ391" s="16" t="n">
        <v>0</v>
      </c>
      <c r="DR391" s="16" t="n">
        <v>0</v>
      </c>
      <c r="DS391" s="16" t="n">
        <v>0</v>
      </c>
      <c r="DT391" s="16" t="n">
        <v>0</v>
      </c>
      <c r="DU391" s="16" t="n">
        <v>0</v>
      </c>
      <c r="DV391" s="16" t="n">
        <v>0</v>
      </c>
      <c r="DW391" s="16" t="n">
        <v>0</v>
      </c>
      <c r="DX391" s="16" t="n">
        <v>0</v>
      </c>
      <c r="DY391" s="16" t="n">
        <v>0</v>
      </c>
      <c r="DZ391" s="16" t="n">
        <v>0</v>
      </c>
      <c r="EA391" s="16" t="n">
        <v>0</v>
      </c>
      <c r="EB391" s="16" t="n">
        <v>0</v>
      </c>
      <c r="EC391" s="16" t="n">
        <v>0</v>
      </c>
      <c r="ED391" s="16" t="n">
        <v>0</v>
      </c>
      <c r="EE391" s="16" t="n">
        <v>0</v>
      </c>
      <c r="EF391" s="16" t="n">
        <v>0</v>
      </c>
    </row>
    <row r="392" customFormat="false" ht="15" hidden="false" customHeight="true" outlineLevel="0" collapsed="false">
      <c r="A392" s="9" t="s">
        <v>12</v>
      </c>
      <c r="B392" s="9" t="s">
        <v>21</v>
      </c>
      <c r="C392" s="9" t="s">
        <v>21</v>
      </c>
      <c r="D392" s="9" t="s">
        <v>336</v>
      </c>
      <c r="E392" s="9" t="s">
        <v>14</v>
      </c>
      <c r="F392" s="9" t="s">
        <v>87</v>
      </c>
      <c r="G392" s="16" t="n">
        <v>16</v>
      </c>
      <c r="H392" s="16" t="n">
        <v>16</v>
      </c>
      <c r="I392" s="16" t="n">
        <v>0</v>
      </c>
      <c r="J392" s="16" t="n">
        <v>16</v>
      </c>
      <c r="K392" s="16" t="n">
        <v>0</v>
      </c>
      <c r="L392" s="16" t="n">
        <v>0</v>
      </c>
      <c r="M392" s="16" t="n">
        <v>0</v>
      </c>
      <c r="N392" s="16" t="n">
        <v>0</v>
      </c>
      <c r="O392" s="16" t="n">
        <v>0</v>
      </c>
      <c r="P392" s="16" t="n">
        <v>0</v>
      </c>
      <c r="Q392" s="16" t="n">
        <v>0</v>
      </c>
      <c r="R392" s="16" t="n">
        <v>0</v>
      </c>
      <c r="S392" s="16" t="n">
        <v>0</v>
      </c>
      <c r="T392" s="16" t="n">
        <v>0</v>
      </c>
      <c r="U392" s="16" t="n">
        <v>0</v>
      </c>
      <c r="V392" s="16" t="n">
        <v>0</v>
      </c>
      <c r="W392" s="16" t="n">
        <v>0</v>
      </c>
      <c r="X392" s="16" t="n">
        <v>0</v>
      </c>
      <c r="Y392" s="16" t="n">
        <v>0</v>
      </c>
      <c r="Z392" s="16" t="n">
        <v>0</v>
      </c>
      <c r="AA392" s="16" t="n">
        <v>0</v>
      </c>
      <c r="AB392" s="16" t="n">
        <v>0</v>
      </c>
      <c r="AC392" s="16" t="n">
        <v>0</v>
      </c>
      <c r="AD392" s="16" t="n">
        <v>0</v>
      </c>
      <c r="AE392" s="16" t="n">
        <v>0</v>
      </c>
      <c r="AF392" s="16" t="n">
        <v>0</v>
      </c>
      <c r="AG392" s="16" t="n">
        <v>0</v>
      </c>
      <c r="AH392" s="16" t="n">
        <v>0</v>
      </c>
      <c r="AI392" s="16" t="n">
        <v>0</v>
      </c>
      <c r="AJ392" s="16" t="n">
        <v>0</v>
      </c>
      <c r="AK392" s="16" t="n">
        <v>0</v>
      </c>
      <c r="AL392" s="16" t="n">
        <v>0</v>
      </c>
      <c r="AM392" s="16" t="n">
        <v>0</v>
      </c>
      <c r="AN392" s="16" t="n">
        <v>0</v>
      </c>
      <c r="AO392" s="16" t="n">
        <v>0</v>
      </c>
      <c r="AP392" s="16" t="n">
        <v>0</v>
      </c>
      <c r="AQ392" s="16" t="n">
        <v>0</v>
      </c>
      <c r="AR392" s="16" t="n">
        <v>0</v>
      </c>
      <c r="AS392" s="16" t="n">
        <v>0</v>
      </c>
      <c r="AT392" s="16" t="n">
        <v>0</v>
      </c>
      <c r="AU392" s="16" t="n">
        <v>0</v>
      </c>
      <c r="AV392" s="16" t="n">
        <v>0</v>
      </c>
      <c r="AW392" s="16" t="n">
        <v>0</v>
      </c>
      <c r="AX392" s="16" t="n">
        <v>0</v>
      </c>
      <c r="AY392" s="16" t="n">
        <v>0</v>
      </c>
      <c r="AZ392" s="16" t="n">
        <v>0</v>
      </c>
      <c r="BA392" s="16" t="n">
        <v>0</v>
      </c>
      <c r="BB392" s="16" t="n">
        <v>0</v>
      </c>
      <c r="BC392" s="16" t="n">
        <v>0</v>
      </c>
      <c r="BD392" s="16" t="n">
        <v>0</v>
      </c>
      <c r="BE392" s="16" t="n">
        <v>0</v>
      </c>
      <c r="BF392" s="16" t="n">
        <v>0</v>
      </c>
      <c r="BG392" s="16" t="n">
        <v>0</v>
      </c>
      <c r="BH392" s="16" t="n">
        <v>0</v>
      </c>
      <c r="BI392" s="16" t="n">
        <v>0</v>
      </c>
      <c r="BJ392" s="16" t="n">
        <v>0</v>
      </c>
      <c r="BK392" s="16" t="n">
        <v>0</v>
      </c>
      <c r="BL392" s="16" t="n">
        <v>0</v>
      </c>
      <c r="BM392" s="16" t="n">
        <v>0</v>
      </c>
      <c r="BN392" s="16" t="n">
        <v>0</v>
      </c>
      <c r="BO392" s="16" t="n">
        <v>0</v>
      </c>
      <c r="BP392" s="16" t="n">
        <v>0</v>
      </c>
      <c r="BQ392" s="16" t="n">
        <v>0</v>
      </c>
      <c r="BR392" s="16" t="n">
        <v>0</v>
      </c>
      <c r="BS392" s="16" t="n">
        <v>0</v>
      </c>
      <c r="BT392" s="16" t="n">
        <v>0</v>
      </c>
      <c r="BU392" s="16" t="n">
        <v>0</v>
      </c>
      <c r="BV392" s="16" t="n">
        <v>0</v>
      </c>
      <c r="BW392" s="16" t="n">
        <v>0</v>
      </c>
      <c r="BX392" s="16" t="n">
        <v>0</v>
      </c>
      <c r="BY392" s="16" t="n">
        <v>0</v>
      </c>
      <c r="BZ392" s="16" t="n">
        <v>0</v>
      </c>
      <c r="CA392" s="16" t="n">
        <v>0</v>
      </c>
      <c r="CB392" s="16" t="n">
        <v>0</v>
      </c>
      <c r="CC392" s="16" t="n">
        <v>0</v>
      </c>
      <c r="CD392" s="16" t="n">
        <v>0</v>
      </c>
      <c r="CE392" s="16" t="n">
        <v>0</v>
      </c>
      <c r="CF392" s="16" t="n">
        <v>0</v>
      </c>
      <c r="CG392" s="16" t="n">
        <v>0</v>
      </c>
      <c r="CH392" s="16" t="n">
        <v>0</v>
      </c>
      <c r="CI392" s="16" t="n">
        <v>0</v>
      </c>
      <c r="CJ392" s="16" t="n">
        <v>0</v>
      </c>
      <c r="CK392" s="16" t="n">
        <v>0</v>
      </c>
      <c r="CL392" s="16" t="n">
        <v>0</v>
      </c>
      <c r="CM392" s="16" t="n">
        <v>0</v>
      </c>
      <c r="CN392" s="16" t="n">
        <v>0</v>
      </c>
      <c r="CO392" s="16" t="n">
        <v>0</v>
      </c>
      <c r="CP392" s="16" t="n">
        <v>0</v>
      </c>
      <c r="CQ392" s="16" t="n">
        <v>0</v>
      </c>
      <c r="CR392" s="16" t="n">
        <v>0</v>
      </c>
      <c r="CS392" s="16" t="n">
        <v>0</v>
      </c>
      <c r="CT392" s="16" t="n">
        <v>0</v>
      </c>
      <c r="CU392" s="16" t="n">
        <v>0</v>
      </c>
      <c r="CV392" s="16" t="n">
        <v>0</v>
      </c>
      <c r="CW392" s="16" t="n">
        <v>0</v>
      </c>
      <c r="CX392" s="16" t="n">
        <v>0</v>
      </c>
      <c r="CY392" s="16" t="n">
        <v>0</v>
      </c>
      <c r="CZ392" s="16" t="n">
        <v>0</v>
      </c>
      <c r="DA392" s="16" t="n">
        <v>0</v>
      </c>
      <c r="DB392" s="16" t="n">
        <v>0</v>
      </c>
      <c r="DC392" s="16" t="n">
        <v>0</v>
      </c>
      <c r="DD392" s="16" t="n">
        <v>0</v>
      </c>
      <c r="DE392" s="16" t="n">
        <v>0</v>
      </c>
      <c r="DF392" s="16" t="n">
        <v>0</v>
      </c>
      <c r="DG392" s="16" t="n">
        <v>0</v>
      </c>
      <c r="DH392" s="16" t="n">
        <v>0</v>
      </c>
      <c r="DI392" s="16" t="n">
        <v>0</v>
      </c>
      <c r="DJ392" s="16" t="n">
        <v>0</v>
      </c>
      <c r="DK392" s="16" t="n">
        <v>0</v>
      </c>
      <c r="DL392" s="16" t="n">
        <v>0</v>
      </c>
      <c r="DM392" s="16" t="n">
        <v>0</v>
      </c>
      <c r="DN392" s="16" t="n">
        <v>0</v>
      </c>
      <c r="DO392" s="16" t="n">
        <v>0</v>
      </c>
      <c r="DP392" s="16" t="n">
        <v>0</v>
      </c>
      <c r="DQ392" s="16" t="n">
        <v>0</v>
      </c>
      <c r="DR392" s="16" t="n">
        <v>0</v>
      </c>
      <c r="DS392" s="16" t="n">
        <v>0</v>
      </c>
      <c r="DT392" s="16" t="n">
        <v>0</v>
      </c>
      <c r="DU392" s="16" t="n">
        <v>0</v>
      </c>
      <c r="DV392" s="16" t="n">
        <v>0</v>
      </c>
      <c r="DW392" s="16" t="n">
        <v>0</v>
      </c>
      <c r="DX392" s="16" t="n">
        <v>0</v>
      </c>
      <c r="DY392" s="16" t="n">
        <v>0</v>
      </c>
      <c r="DZ392" s="16" t="n">
        <v>0</v>
      </c>
      <c r="EA392" s="16" t="n">
        <v>0</v>
      </c>
      <c r="EB392" s="16" t="n">
        <v>0</v>
      </c>
      <c r="EC392" s="16" t="n">
        <v>0</v>
      </c>
      <c r="ED392" s="16" t="n">
        <v>0</v>
      </c>
      <c r="EE392" s="16" t="n">
        <v>0</v>
      </c>
      <c r="EF392" s="16" t="n">
        <v>0</v>
      </c>
    </row>
    <row r="393" customFormat="false" ht="15" hidden="false" customHeight="true" outlineLevel="0" collapsed="false">
      <c r="A393" s="9" t="s">
        <v>12</v>
      </c>
      <c r="B393" s="9" t="s">
        <v>21</v>
      </c>
      <c r="C393" s="9" t="s">
        <v>21</v>
      </c>
      <c r="D393" s="9" t="s">
        <v>335</v>
      </c>
      <c r="E393" s="9" t="s">
        <v>14</v>
      </c>
      <c r="F393" s="9" t="s">
        <v>88</v>
      </c>
      <c r="G393" s="16" t="n">
        <v>0</v>
      </c>
      <c r="H393" s="16" t="n">
        <v>0</v>
      </c>
      <c r="I393" s="16" t="n">
        <v>16</v>
      </c>
      <c r="J393" s="16" t="n">
        <v>-16</v>
      </c>
      <c r="K393" s="16" t="n">
        <v>0</v>
      </c>
      <c r="L393" s="16" t="n">
        <v>0</v>
      </c>
      <c r="M393" s="16" t="n">
        <v>0</v>
      </c>
      <c r="N393" s="16" t="n">
        <v>0</v>
      </c>
      <c r="O393" s="16" t="n">
        <v>0</v>
      </c>
      <c r="P393" s="16" t="n">
        <v>0</v>
      </c>
      <c r="Q393" s="16" t="n">
        <v>0</v>
      </c>
      <c r="R393" s="16" t="n">
        <v>0</v>
      </c>
      <c r="S393" s="16" t="n">
        <v>0</v>
      </c>
      <c r="T393" s="16" t="n">
        <v>0</v>
      </c>
      <c r="U393" s="16" t="n">
        <v>0</v>
      </c>
      <c r="V393" s="16" t="n">
        <v>0</v>
      </c>
      <c r="W393" s="16" t="n">
        <v>0</v>
      </c>
      <c r="X393" s="16" t="n">
        <v>0</v>
      </c>
      <c r="Y393" s="16" t="n">
        <v>0</v>
      </c>
      <c r="Z393" s="16" t="n">
        <v>0</v>
      </c>
      <c r="AA393" s="16" t="n">
        <v>0</v>
      </c>
      <c r="AB393" s="16" t="n">
        <v>0</v>
      </c>
      <c r="AC393" s="16" t="n">
        <v>0</v>
      </c>
      <c r="AD393" s="16" t="n">
        <v>0</v>
      </c>
      <c r="AE393" s="16" t="n">
        <v>0</v>
      </c>
      <c r="AF393" s="16" t="n">
        <v>0</v>
      </c>
      <c r="AG393" s="16" t="n">
        <v>0</v>
      </c>
      <c r="AH393" s="16" t="n">
        <v>0</v>
      </c>
      <c r="AI393" s="16" t="n">
        <v>0</v>
      </c>
      <c r="AJ393" s="16" t="n">
        <v>0</v>
      </c>
      <c r="AK393" s="16" t="n">
        <v>0</v>
      </c>
      <c r="AL393" s="16" t="n">
        <v>0</v>
      </c>
      <c r="AM393" s="16" t="n">
        <v>0</v>
      </c>
      <c r="AN393" s="16" t="n">
        <v>0</v>
      </c>
      <c r="AO393" s="16" t="n">
        <v>0</v>
      </c>
      <c r="AP393" s="16" t="n">
        <v>0</v>
      </c>
      <c r="AQ393" s="16" t="n">
        <v>0</v>
      </c>
      <c r="AR393" s="16" t="n">
        <v>0</v>
      </c>
      <c r="AS393" s="16" t="n">
        <v>0</v>
      </c>
      <c r="AT393" s="16" t="n">
        <v>0</v>
      </c>
      <c r="AU393" s="16" t="n">
        <v>0</v>
      </c>
      <c r="AV393" s="16" t="n">
        <v>0</v>
      </c>
      <c r="AW393" s="16" t="n">
        <v>0</v>
      </c>
      <c r="AX393" s="16" t="n">
        <v>0</v>
      </c>
      <c r="AY393" s="16" t="n">
        <v>0</v>
      </c>
      <c r="AZ393" s="16" t="n">
        <v>0</v>
      </c>
      <c r="BA393" s="16" t="n">
        <v>0</v>
      </c>
      <c r="BB393" s="16" t="n">
        <v>0</v>
      </c>
      <c r="BC393" s="16" t="n">
        <v>0</v>
      </c>
      <c r="BD393" s="16" t="n">
        <v>0</v>
      </c>
      <c r="BE393" s="16" t="n">
        <v>0</v>
      </c>
      <c r="BF393" s="16" t="n">
        <v>0</v>
      </c>
      <c r="BG393" s="16" t="n">
        <v>0</v>
      </c>
      <c r="BH393" s="16" t="n">
        <v>0</v>
      </c>
      <c r="BI393" s="16" t="n">
        <v>0</v>
      </c>
      <c r="BJ393" s="16" t="n">
        <v>0</v>
      </c>
      <c r="BK393" s="16" t="n">
        <v>0</v>
      </c>
      <c r="BL393" s="16" t="n">
        <v>0</v>
      </c>
      <c r="BM393" s="16" t="n">
        <v>0</v>
      </c>
      <c r="BN393" s="16" t="n">
        <v>0</v>
      </c>
      <c r="BO393" s="16" t="n">
        <v>0</v>
      </c>
      <c r="BP393" s="16" t="n">
        <v>0</v>
      </c>
      <c r="BQ393" s="16" t="n">
        <v>0</v>
      </c>
      <c r="BR393" s="16" t="n">
        <v>0</v>
      </c>
      <c r="BS393" s="16" t="n">
        <v>0</v>
      </c>
      <c r="BT393" s="16" t="n">
        <v>0</v>
      </c>
      <c r="BU393" s="16" t="n">
        <v>0</v>
      </c>
      <c r="BV393" s="16" t="n">
        <v>0</v>
      </c>
      <c r="BW393" s="16" t="n">
        <v>0</v>
      </c>
      <c r="BX393" s="16" t="n">
        <v>0</v>
      </c>
      <c r="BY393" s="16" t="n">
        <v>0</v>
      </c>
      <c r="BZ393" s="16" t="n">
        <v>0</v>
      </c>
      <c r="CA393" s="16" t="n">
        <v>0</v>
      </c>
      <c r="CB393" s="16" t="n">
        <v>0</v>
      </c>
      <c r="CC393" s="16" t="n">
        <v>0</v>
      </c>
      <c r="CD393" s="16" t="n">
        <v>0</v>
      </c>
      <c r="CE393" s="16" t="n">
        <v>0</v>
      </c>
      <c r="CF393" s="16" t="n">
        <v>0</v>
      </c>
      <c r="CG393" s="16" t="n">
        <v>0</v>
      </c>
      <c r="CH393" s="16" t="n">
        <v>0</v>
      </c>
      <c r="CI393" s="16" t="n">
        <v>0</v>
      </c>
      <c r="CJ393" s="16" t="n">
        <v>0</v>
      </c>
      <c r="CK393" s="16" t="n">
        <v>0</v>
      </c>
      <c r="CL393" s="16" t="n">
        <v>0</v>
      </c>
      <c r="CM393" s="16" t="n">
        <v>0</v>
      </c>
      <c r="CN393" s="16" t="n">
        <v>0</v>
      </c>
      <c r="CO393" s="16" t="n">
        <v>0</v>
      </c>
      <c r="CP393" s="16" t="n">
        <v>0</v>
      </c>
      <c r="CQ393" s="16" t="n">
        <v>0</v>
      </c>
      <c r="CR393" s="16" t="n">
        <v>0</v>
      </c>
      <c r="CS393" s="16" t="n">
        <v>0</v>
      </c>
      <c r="CT393" s="16" t="n">
        <v>0</v>
      </c>
      <c r="CU393" s="16" t="n">
        <v>0</v>
      </c>
      <c r="CV393" s="16" t="n">
        <v>0</v>
      </c>
      <c r="CW393" s="16" t="n">
        <v>0</v>
      </c>
      <c r="CX393" s="16" t="n">
        <v>0</v>
      </c>
      <c r="CY393" s="16" t="n">
        <v>0</v>
      </c>
      <c r="CZ393" s="16" t="n">
        <v>12</v>
      </c>
      <c r="DA393" s="16" t="n">
        <v>4</v>
      </c>
      <c r="DB393" s="16" t="n">
        <v>0</v>
      </c>
      <c r="DC393" s="16" t="n">
        <v>0</v>
      </c>
      <c r="DD393" s="16" t="n">
        <v>0</v>
      </c>
      <c r="DE393" s="16" t="n">
        <v>0</v>
      </c>
      <c r="DF393" s="16" t="n">
        <v>0</v>
      </c>
      <c r="DG393" s="16" t="n">
        <v>0</v>
      </c>
      <c r="DH393" s="16" t="n">
        <v>0</v>
      </c>
      <c r="DI393" s="16" t="n">
        <v>0</v>
      </c>
      <c r="DJ393" s="16" t="n">
        <v>0</v>
      </c>
      <c r="DK393" s="16" t="n">
        <v>0</v>
      </c>
      <c r="DL393" s="16" t="n">
        <v>0</v>
      </c>
      <c r="DM393" s="16" t="n">
        <v>0</v>
      </c>
      <c r="DN393" s="16" t="n">
        <v>0</v>
      </c>
      <c r="DO393" s="16" t="n">
        <v>0</v>
      </c>
      <c r="DP393" s="16" t="n">
        <v>0</v>
      </c>
      <c r="DQ393" s="16" t="n">
        <v>0</v>
      </c>
      <c r="DR393" s="16" t="n">
        <v>0</v>
      </c>
      <c r="DS393" s="16" t="n">
        <v>0</v>
      </c>
      <c r="DT393" s="16" t="n">
        <v>0</v>
      </c>
      <c r="DU393" s="16" t="n">
        <v>0</v>
      </c>
      <c r="DV393" s="16" t="n">
        <v>0</v>
      </c>
      <c r="DW393" s="16" t="n">
        <v>0</v>
      </c>
      <c r="DX393" s="16" t="n">
        <v>0</v>
      </c>
      <c r="DY393" s="16" t="n">
        <v>0</v>
      </c>
      <c r="DZ393" s="16" t="n">
        <v>0</v>
      </c>
      <c r="EA393" s="16" t="n">
        <v>0</v>
      </c>
      <c r="EB393" s="16" t="n">
        <v>0</v>
      </c>
      <c r="EC393" s="16" t="n">
        <v>0</v>
      </c>
      <c r="ED393" s="16" t="n">
        <v>0</v>
      </c>
      <c r="EE393" s="16" t="n">
        <v>0</v>
      </c>
      <c r="EF393" s="16" t="n">
        <v>0</v>
      </c>
    </row>
    <row r="394" customFormat="false" ht="15" hidden="false" customHeight="true" outlineLevel="0" collapsed="false">
      <c r="A394" s="9" t="s">
        <v>12</v>
      </c>
      <c r="B394" s="9" t="s">
        <v>21</v>
      </c>
      <c r="C394" s="9" t="s">
        <v>21</v>
      </c>
      <c r="D394" s="9" t="s">
        <v>336</v>
      </c>
      <c r="E394" s="9" t="s">
        <v>14</v>
      </c>
      <c r="F394" s="9" t="s">
        <v>88</v>
      </c>
      <c r="G394" s="16" t="n">
        <v>0</v>
      </c>
      <c r="H394" s="16" t="n">
        <v>16</v>
      </c>
      <c r="I394" s="16" t="n">
        <v>0</v>
      </c>
      <c r="J394" s="16" t="n">
        <v>16</v>
      </c>
      <c r="K394" s="16" t="n">
        <v>0</v>
      </c>
      <c r="L394" s="16" t="n">
        <v>0</v>
      </c>
      <c r="M394" s="16" t="n">
        <v>0</v>
      </c>
      <c r="N394" s="16" t="n">
        <v>0</v>
      </c>
      <c r="O394" s="16" t="n">
        <v>0</v>
      </c>
      <c r="P394" s="16" t="n">
        <v>0</v>
      </c>
      <c r="Q394" s="16" t="n">
        <v>0</v>
      </c>
      <c r="R394" s="16" t="n">
        <v>0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0</v>
      </c>
      <c r="X394" s="16" t="n">
        <v>0</v>
      </c>
      <c r="Y394" s="16" t="n">
        <v>0</v>
      </c>
      <c r="Z394" s="16" t="n">
        <v>0</v>
      </c>
      <c r="AA394" s="16" t="n">
        <v>0</v>
      </c>
      <c r="AB394" s="16" t="n">
        <v>0</v>
      </c>
      <c r="AC394" s="16" t="n">
        <v>0</v>
      </c>
      <c r="AD394" s="16" t="n">
        <v>0</v>
      </c>
      <c r="AE394" s="16" t="n">
        <v>0</v>
      </c>
      <c r="AF394" s="16" t="n">
        <v>0</v>
      </c>
      <c r="AG394" s="16" t="n">
        <v>0</v>
      </c>
      <c r="AH394" s="16" t="n">
        <v>0</v>
      </c>
      <c r="AI394" s="16" t="n">
        <v>0</v>
      </c>
      <c r="AJ394" s="16" t="n">
        <v>0</v>
      </c>
      <c r="AK394" s="16" t="n">
        <v>0</v>
      </c>
      <c r="AL394" s="16" t="n">
        <v>0</v>
      </c>
      <c r="AM394" s="16" t="n">
        <v>0</v>
      </c>
      <c r="AN394" s="16" t="n">
        <v>0</v>
      </c>
      <c r="AO394" s="16" t="n">
        <v>0</v>
      </c>
      <c r="AP394" s="16" t="n">
        <v>0</v>
      </c>
      <c r="AQ394" s="16" t="n">
        <v>0</v>
      </c>
      <c r="AR394" s="16" t="n">
        <v>0</v>
      </c>
      <c r="AS394" s="16" t="n">
        <v>0</v>
      </c>
      <c r="AT394" s="16" t="n">
        <v>0</v>
      </c>
      <c r="AU394" s="16" t="n">
        <v>0</v>
      </c>
      <c r="AV394" s="16" t="n">
        <v>0</v>
      </c>
      <c r="AW394" s="16" t="n">
        <v>0</v>
      </c>
      <c r="AX394" s="16" t="n">
        <v>0</v>
      </c>
      <c r="AY394" s="16" t="n">
        <v>0</v>
      </c>
      <c r="AZ394" s="16" t="n">
        <v>0</v>
      </c>
      <c r="BA394" s="16" t="n">
        <v>0</v>
      </c>
      <c r="BB394" s="16" t="n">
        <v>0</v>
      </c>
      <c r="BC394" s="16" t="n">
        <v>0</v>
      </c>
      <c r="BD394" s="16" t="n">
        <v>0</v>
      </c>
      <c r="BE394" s="16" t="n">
        <v>0</v>
      </c>
      <c r="BF394" s="16" t="n">
        <v>0</v>
      </c>
      <c r="BG394" s="16" t="n">
        <v>0</v>
      </c>
      <c r="BH394" s="16" t="n">
        <v>0</v>
      </c>
      <c r="BI394" s="16" t="n">
        <v>0</v>
      </c>
      <c r="BJ394" s="16" t="n">
        <v>0</v>
      </c>
      <c r="BK394" s="16" t="n">
        <v>0</v>
      </c>
      <c r="BL394" s="16" t="n">
        <v>0</v>
      </c>
      <c r="BM394" s="16" t="n">
        <v>0</v>
      </c>
      <c r="BN394" s="16" t="n">
        <v>0</v>
      </c>
      <c r="BO394" s="16" t="n">
        <v>0</v>
      </c>
      <c r="BP394" s="16" t="n">
        <v>0</v>
      </c>
      <c r="BQ394" s="16" t="n">
        <v>0</v>
      </c>
      <c r="BR394" s="16" t="n">
        <v>0</v>
      </c>
      <c r="BS394" s="16" t="n">
        <v>0</v>
      </c>
      <c r="BT394" s="16" t="n">
        <v>0</v>
      </c>
      <c r="BU394" s="16" t="n">
        <v>0</v>
      </c>
      <c r="BV394" s="16" t="n">
        <v>0</v>
      </c>
      <c r="BW394" s="16" t="n">
        <v>0</v>
      </c>
      <c r="BX394" s="16" t="n">
        <v>0</v>
      </c>
      <c r="BY394" s="16" t="n">
        <v>0</v>
      </c>
      <c r="BZ394" s="16" t="n">
        <v>0</v>
      </c>
      <c r="CA394" s="16" t="n">
        <v>0</v>
      </c>
      <c r="CB394" s="16" t="n">
        <v>0</v>
      </c>
      <c r="CC394" s="16" t="n">
        <v>0</v>
      </c>
      <c r="CD394" s="16" t="n">
        <v>0</v>
      </c>
      <c r="CE394" s="16" t="n">
        <v>0</v>
      </c>
      <c r="CF394" s="16" t="n">
        <v>0</v>
      </c>
      <c r="CG394" s="16" t="n">
        <v>0</v>
      </c>
      <c r="CH394" s="16" t="n">
        <v>0</v>
      </c>
      <c r="CI394" s="16" t="n">
        <v>0</v>
      </c>
      <c r="CJ394" s="16" t="n">
        <v>0</v>
      </c>
      <c r="CK394" s="16" t="n">
        <v>0</v>
      </c>
      <c r="CL394" s="16" t="n">
        <v>0</v>
      </c>
      <c r="CM394" s="16" t="n">
        <v>0</v>
      </c>
      <c r="CN394" s="16" t="n">
        <v>0</v>
      </c>
      <c r="CO394" s="16" t="n">
        <v>0</v>
      </c>
      <c r="CP394" s="16" t="n">
        <v>0</v>
      </c>
      <c r="CQ394" s="16" t="n">
        <v>0</v>
      </c>
      <c r="CR394" s="16" t="n">
        <v>0</v>
      </c>
      <c r="CS394" s="16" t="n">
        <v>0</v>
      </c>
      <c r="CT394" s="16" t="n">
        <v>0</v>
      </c>
      <c r="CU394" s="16" t="n">
        <v>0</v>
      </c>
      <c r="CV394" s="16" t="n">
        <v>0</v>
      </c>
      <c r="CW394" s="16" t="n">
        <v>0</v>
      </c>
      <c r="CX394" s="16" t="n">
        <v>0</v>
      </c>
      <c r="CY394" s="16" t="n">
        <v>0</v>
      </c>
      <c r="CZ394" s="16" t="n">
        <v>0</v>
      </c>
      <c r="DA394" s="16" t="n">
        <v>0</v>
      </c>
      <c r="DB394" s="16" t="n">
        <v>0</v>
      </c>
      <c r="DC394" s="16" t="n">
        <v>0</v>
      </c>
      <c r="DD394" s="16" t="n">
        <v>0</v>
      </c>
      <c r="DE394" s="16" t="n">
        <v>0</v>
      </c>
      <c r="DF394" s="16" t="n">
        <v>0</v>
      </c>
      <c r="DG394" s="16" t="n">
        <v>0</v>
      </c>
      <c r="DH394" s="16" t="n">
        <v>0</v>
      </c>
      <c r="DI394" s="16" t="n">
        <v>0</v>
      </c>
      <c r="DJ394" s="16" t="n">
        <v>0</v>
      </c>
      <c r="DK394" s="16" t="n">
        <v>0</v>
      </c>
      <c r="DL394" s="16" t="n">
        <v>0</v>
      </c>
      <c r="DM394" s="16" t="n">
        <v>0</v>
      </c>
      <c r="DN394" s="16" t="n">
        <v>0</v>
      </c>
      <c r="DO394" s="16" t="n">
        <v>0</v>
      </c>
      <c r="DP394" s="16" t="n">
        <v>0</v>
      </c>
      <c r="DQ394" s="16" t="n">
        <v>0</v>
      </c>
      <c r="DR394" s="16" t="n">
        <v>0</v>
      </c>
      <c r="DS394" s="16" t="n">
        <v>0</v>
      </c>
      <c r="DT394" s="16" t="n">
        <v>0</v>
      </c>
      <c r="DU394" s="16" t="n">
        <v>0</v>
      </c>
      <c r="DV394" s="16" t="n">
        <v>0</v>
      </c>
      <c r="DW394" s="16" t="n">
        <v>0</v>
      </c>
      <c r="DX394" s="16" t="n">
        <v>0</v>
      </c>
      <c r="DY394" s="16" t="n">
        <v>0</v>
      </c>
      <c r="DZ394" s="16" t="n">
        <v>0</v>
      </c>
      <c r="EA394" s="16" t="n">
        <v>0</v>
      </c>
      <c r="EB394" s="16" t="n">
        <v>0</v>
      </c>
      <c r="EC394" s="16" t="n">
        <v>0</v>
      </c>
      <c r="ED394" s="16" t="n">
        <v>0</v>
      </c>
      <c r="EE394" s="16" t="n">
        <v>0</v>
      </c>
      <c r="EF394" s="16" t="n">
        <v>0</v>
      </c>
    </row>
    <row r="395" customFormat="false" ht="15" hidden="false" customHeight="true" outlineLevel="0" collapsed="false">
      <c r="A395" s="9" t="s">
        <v>12</v>
      </c>
      <c r="B395" s="9" t="s">
        <v>21</v>
      </c>
      <c r="C395" s="9" t="s">
        <v>21</v>
      </c>
      <c r="D395" s="9" t="s">
        <v>335</v>
      </c>
      <c r="E395" s="9" t="s">
        <v>14</v>
      </c>
      <c r="F395" s="9" t="s">
        <v>105</v>
      </c>
      <c r="G395" s="16" t="n">
        <v>0</v>
      </c>
      <c r="H395" s="16" t="n">
        <v>0</v>
      </c>
      <c r="I395" s="16" t="n">
        <v>26</v>
      </c>
      <c r="J395" s="16" t="n">
        <v>-26</v>
      </c>
      <c r="K395" s="16" t="n">
        <v>0</v>
      </c>
      <c r="L395" s="16" t="n">
        <v>0</v>
      </c>
      <c r="M395" s="16" t="n">
        <v>0</v>
      </c>
      <c r="N395" s="16" t="n">
        <v>0</v>
      </c>
      <c r="O395" s="16" t="n">
        <v>0</v>
      </c>
      <c r="P395" s="16" t="n">
        <v>0</v>
      </c>
      <c r="Q395" s="16" t="n">
        <v>0</v>
      </c>
      <c r="R395" s="16" t="n">
        <v>0</v>
      </c>
      <c r="S395" s="16" t="n">
        <v>0</v>
      </c>
      <c r="T395" s="16" t="n">
        <v>0</v>
      </c>
      <c r="U395" s="16" t="n">
        <v>0</v>
      </c>
      <c r="V395" s="16" t="n">
        <v>0</v>
      </c>
      <c r="W395" s="16" t="n">
        <v>0</v>
      </c>
      <c r="X395" s="16" t="n">
        <v>0</v>
      </c>
      <c r="Y395" s="16" t="n">
        <v>0</v>
      </c>
      <c r="Z395" s="16" t="n">
        <v>0</v>
      </c>
      <c r="AA395" s="16" t="n">
        <v>0</v>
      </c>
      <c r="AB395" s="16" t="n">
        <v>0</v>
      </c>
      <c r="AC395" s="16" t="n">
        <v>0</v>
      </c>
      <c r="AD395" s="16" t="n">
        <v>0</v>
      </c>
      <c r="AE395" s="16" t="n">
        <v>0</v>
      </c>
      <c r="AF395" s="16" t="n">
        <v>0</v>
      </c>
      <c r="AG395" s="16" t="n">
        <v>0</v>
      </c>
      <c r="AH395" s="16" t="n">
        <v>0</v>
      </c>
      <c r="AI395" s="16" t="n">
        <v>0</v>
      </c>
      <c r="AJ395" s="16" t="n">
        <v>0</v>
      </c>
      <c r="AK395" s="16" t="n">
        <v>3</v>
      </c>
      <c r="AL395" s="16" t="n">
        <v>8.5</v>
      </c>
      <c r="AM395" s="16" t="n">
        <v>2</v>
      </c>
      <c r="AN395" s="16" t="n">
        <v>0</v>
      </c>
      <c r="AO395" s="16" t="n">
        <v>12.5</v>
      </c>
      <c r="AP395" s="16" t="n">
        <v>0</v>
      </c>
      <c r="AQ395" s="16" t="n">
        <v>0</v>
      </c>
      <c r="AR395" s="16" t="n">
        <v>0</v>
      </c>
      <c r="AS395" s="16" t="n">
        <v>0</v>
      </c>
      <c r="AT395" s="16" t="n">
        <v>0</v>
      </c>
      <c r="AU395" s="16" t="n">
        <v>0</v>
      </c>
      <c r="AV395" s="16" t="n">
        <v>0</v>
      </c>
      <c r="AW395" s="16" t="n">
        <v>0</v>
      </c>
      <c r="AX395" s="16" t="n">
        <v>0</v>
      </c>
      <c r="AY395" s="16" t="n">
        <v>0</v>
      </c>
      <c r="AZ395" s="16" t="n">
        <v>0</v>
      </c>
      <c r="BA395" s="16" t="n">
        <v>0</v>
      </c>
      <c r="BB395" s="16" t="n">
        <v>0</v>
      </c>
      <c r="BC395" s="16" t="n">
        <v>0</v>
      </c>
      <c r="BD395" s="16" t="n">
        <v>0</v>
      </c>
      <c r="BE395" s="16" t="n">
        <v>0</v>
      </c>
      <c r="BF395" s="16" t="n">
        <v>0</v>
      </c>
      <c r="BG395" s="16" t="n">
        <v>0</v>
      </c>
      <c r="BH395" s="16" t="n">
        <v>0</v>
      </c>
      <c r="BI395" s="16" t="n">
        <v>0</v>
      </c>
      <c r="BJ395" s="16" t="n">
        <v>0</v>
      </c>
      <c r="BK395" s="16" t="n">
        <v>0</v>
      </c>
      <c r="BL395" s="16" t="n">
        <v>0</v>
      </c>
      <c r="BM395" s="16" t="n">
        <v>0</v>
      </c>
      <c r="BN395" s="16" t="n">
        <v>0</v>
      </c>
      <c r="BO395" s="16" t="n">
        <v>0</v>
      </c>
      <c r="BP395" s="16" t="n">
        <v>0</v>
      </c>
      <c r="BQ395" s="16" t="n">
        <v>0</v>
      </c>
      <c r="BR395" s="16" t="n">
        <v>0</v>
      </c>
      <c r="BS395" s="16" t="n">
        <v>0</v>
      </c>
      <c r="BT395" s="16" t="n">
        <v>0</v>
      </c>
      <c r="BU395" s="16" t="n">
        <v>0</v>
      </c>
      <c r="BV395" s="16" t="n">
        <v>0</v>
      </c>
      <c r="BW395" s="16" t="n">
        <v>0</v>
      </c>
      <c r="BX395" s="16" t="n">
        <v>0</v>
      </c>
      <c r="BY395" s="16" t="n">
        <v>0</v>
      </c>
      <c r="BZ395" s="16" t="n">
        <v>0</v>
      </c>
      <c r="CA395" s="16" t="n">
        <v>0</v>
      </c>
      <c r="CB395" s="16" t="n">
        <v>0</v>
      </c>
      <c r="CC395" s="16" t="n">
        <v>0</v>
      </c>
      <c r="CD395" s="16" t="n">
        <v>0</v>
      </c>
      <c r="CE395" s="16" t="n">
        <v>0</v>
      </c>
      <c r="CF395" s="16" t="n">
        <v>0</v>
      </c>
      <c r="CG395" s="16" t="n">
        <v>0</v>
      </c>
      <c r="CH395" s="16" t="n">
        <v>0</v>
      </c>
      <c r="CI395" s="16" t="n">
        <v>0</v>
      </c>
      <c r="CJ395" s="16" t="n">
        <v>0</v>
      </c>
      <c r="CK395" s="16" t="n">
        <v>0</v>
      </c>
      <c r="CL395" s="16" t="n">
        <v>0</v>
      </c>
      <c r="CM395" s="16" t="n">
        <v>0</v>
      </c>
      <c r="CN395" s="16" t="n">
        <v>0</v>
      </c>
      <c r="CO395" s="16" t="n">
        <v>0</v>
      </c>
      <c r="CP395" s="16" t="n">
        <v>0</v>
      </c>
      <c r="CQ395" s="16" t="n">
        <v>0</v>
      </c>
      <c r="CR395" s="16" t="n">
        <v>0</v>
      </c>
      <c r="CS395" s="16" t="n">
        <v>0</v>
      </c>
      <c r="CT395" s="16" t="n">
        <v>0</v>
      </c>
      <c r="CU395" s="16" t="n">
        <v>0</v>
      </c>
      <c r="CV395" s="16" t="n">
        <v>0</v>
      </c>
      <c r="CW395" s="16" t="n">
        <v>0</v>
      </c>
      <c r="CX395" s="16" t="n">
        <v>0</v>
      </c>
      <c r="CY395" s="16" t="n">
        <v>0</v>
      </c>
      <c r="CZ395" s="16" t="n">
        <v>0</v>
      </c>
      <c r="DA395" s="16" t="n">
        <v>0</v>
      </c>
      <c r="DB395" s="16" t="n">
        <v>0</v>
      </c>
      <c r="DC395" s="16" t="n">
        <v>0</v>
      </c>
      <c r="DD395" s="16" t="n">
        <v>0</v>
      </c>
      <c r="DE395" s="16" t="n">
        <v>0</v>
      </c>
      <c r="DF395" s="16" t="n">
        <v>0</v>
      </c>
      <c r="DG395" s="16" t="n">
        <v>0</v>
      </c>
      <c r="DH395" s="16" t="n">
        <v>0</v>
      </c>
      <c r="DI395" s="16" t="n">
        <v>0</v>
      </c>
      <c r="DJ395" s="16" t="n">
        <v>0</v>
      </c>
      <c r="DK395" s="16" t="n">
        <v>0</v>
      </c>
      <c r="DL395" s="16" t="n">
        <v>0</v>
      </c>
      <c r="DM395" s="16" t="n">
        <v>0</v>
      </c>
      <c r="DN395" s="16" t="n">
        <v>0</v>
      </c>
      <c r="DO395" s="16" t="n">
        <v>0</v>
      </c>
      <c r="DP395" s="16" t="n">
        <v>0</v>
      </c>
      <c r="DQ395" s="16" t="n">
        <v>0</v>
      </c>
      <c r="DR395" s="16" t="n">
        <v>0</v>
      </c>
      <c r="DS395" s="16" t="n">
        <v>0</v>
      </c>
      <c r="DT395" s="16" t="n">
        <v>0</v>
      </c>
      <c r="DU395" s="16" t="n">
        <v>0</v>
      </c>
      <c r="DV395" s="16" t="n">
        <v>0</v>
      </c>
      <c r="DW395" s="16" t="n">
        <v>0</v>
      </c>
      <c r="DX395" s="16" t="n">
        <v>0</v>
      </c>
      <c r="DY395" s="16" t="n">
        <v>0</v>
      </c>
      <c r="DZ395" s="16" t="n">
        <v>0</v>
      </c>
      <c r="EA395" s="16" t="n">
        <v>0</v>
      </c>
      <c r="EB395" s="16" t="n">
        <v>0</v>
      </c>
      <c r="EC395" s="16" t="n">
        <v>0</v>
      </c>
      <c r="ED395" s="16" t="n">
        <v>0</v>
      </c>
      <c r="EE395" s="16" t="n">
        <v>0</v>
      </c>
      <c r="EF395" s="16" t="n">
        <v>0</v>
      </c>
    </row>
    <row r="396" customFormat="false" ht="15" hidden="false" customHeight="true" outlineLevel="0" collapsed="false">
      <c r="A396" s="9" t="s">
        <v>12</v>
      </c>
      <c r="B396" s="9" t="s">
        <v>21</v>
      </c>
      <c r="C396" s="9" t="s">
        <v>21</v>
      </c>
      <c r="D396" s="9" t="s">
        <v>336</v>
      </c>
      <c r="E396" s="9" t="s">
        <v>14</v>
      </c>
      <c r="F396" s="9" t="s">
        <v>105</v>
      </c>
      <c r="G396" s="16" t="n">
        <v>1</v>
      </c>
      <c r="H396" s="16" t="n">
        <v>1</v>
      </c>
      <c r="I396" s="16" t="n">
        <v>1</v>
      </c>
      <c r="J396" s="16" t="n">
        <v>0</v>
      </c>
      <c r="K396" s="16" t="n">
        <v>0</v>
      </c>
      <c r="L396" s="16" t="n">
        <v>0</v>
      </c>
      <c r="M396" s="16" t="n">
        <v>0</v>
      </c>
      <c r="N396" s="16" t="n">
        <v>0</v>
      </c>
      <c r="O396" s="16" t="n">
        <v>0</v>
      </c>
      <c r="P396" s="16" t="n">
        <v>0</v>
      </c>
      <c r="Q396" s="16" t="n">
        <v>0</v>
      </c>
      <c r="R396" s="16" t="n">
        <v>0</v>
      </c>
      <c r="S396" s="16" t="n">
        <v>0</v>
      </c>
      <c r="T396" s="16" t="n">
        <v>0</v>
      </c>
      <c r="U396" s="16" t="n">
        <v>0</v>
      </c>
      <c r="V396" s="16" t="n">
        <v>0</v>
      </c>
      <c r="W396" s="16" t="n">
        <v>0</v>
      </c>
      <c r="X396" s="16" t="n">
        <v>0</v>
      </c>
      <c r="Y396" s="16" t="n">
        <v>0</v>
      </c>
      <c r="Z396" s="16" t="n">
        <v>0</v>
      </c>
      <c r="AA396" s="16" t="n">
        <v>0</v>
      </c>
      <c r="AB396" s="16" t="n">
        <v>0</v>
      </c>
      <c r="AC396" s="16" t="n">
        <v>0</v>
      </c>
      <c r="AD396" s="16" t="n">
        <v>1</v>
      </c>
      <c r="AE396" s="16" t="n">
        <v>0</v>
      </c>
      <c r="AF396" s="16" t="n">
        <v>0</v>
      </c>
      <c r="AG396" s="16" t="n">
        <v>0</v>
      </c>
      <c r="AH396" s="16" t="n">
        <v>0</v>
      </c>
      <c r="AI396" s="16" t="n">
        <v>0</v>
      </c>
      <c r="AJ396" s="16" t="n">
        <v>0</v>
      </c>
      <c r="AK396" s="16" t="n">
        <v>0</v>
      </c>
      <c r="AL396" s="16" t="n">
        <v>0</v>
      </c>
      <c r="AM396" s="16" t="n">
        <v>0</v>
      </c>
      <c r="AN396" s="16" t="n">
        <v>0</v>
      </c>
      <c r="AO396" s="16" t="n">
        <v>0</v>
      </c>
      <c r="AP396" s="16" t="n">
        <v>0</v>
      </c>
      <c r="AQ396" s="16" t="n">
        <v>0</v>
      </c>
      <c r="AR396" s="16" t="n">
        <v>0</v>
      </c>
      <c r="AS396" s="16" t="n">
        <v>0</v>
      </c>
      <c r="AT396" s="16" t="n">
        <v>0</v>
      </c>
      <c r="AU396" s="16" t="n">
        <v>0</v>
      </c>
      <c r="AV396" s="16" t="n">
        <v>0</v>
      </c>
      <c r="AW396" s="16" t="n">
        <v>0</v>
      </c>
      <c r="AX396" s="16" t="n">
        <v>0</v>
      </c>
      <c r="AY396" s="16" t="n">
        <v>0</v>
      </c>
      <c r="AZ396" s="16" t="n">
        <v>0</v>
      </c>
      <c r="BA396" s="16" t="n">
        <v>0</v>
      </c>
      <c r="BB396" s="16" t="n">
        <v>0</v>
      </c>
      <c r="BC396" s="16" t="n">
        <v>0</v>
      </c>
      <c r="BD396" s="16" t="n">
        <v>0</v>
      </c>
      <c r="BE396" s="16" t="n">
        <v>0</v>
      </c>
      <c r="BF396" s="16" t="n">
        <v>0</v>
      </c>
      <c r="BG396" s="16" t="n">
        <v>0</v>
      </c>
      <c r="BH396" s="16" t="n">
        <v>0</v>
      </c>
      <c r="BI396" s="16" t="n">
        <v>0</v>
      </c>
      <c r="BJ396" s="16" t="n">
        <v>0</v>
      </c>
      <c r="BK396" s="16" t="n">
        <v>0</v>
      </c>
      <c r="BL396" s="16" t="n">
        <v>0</v>
      </c>
      <c r="BM396" s="16" t="n">
        <v>0</v>
      </c>
      <c r="BN396" s="16" t="n">
        <v>0</v>
      </c>
      <c r="BO396" s="16" t="n">
        <v>0</v>
      </c>
      <c r="BP396" s="16" t="n">
        <v>0</v>
      </c>
      <c r="BQ396" s="16" t="n">
        <v>0</v>
      </c>
      <c r="BR396" s="16" t="n">
        <v>0</v>
      </c>
      <c r="BS396" s="16" t="n">
        <v>0</v>
      </c>
      <c r="BT396" s="16" t="n">
        <v>0</v>
      </c>
      <c r="BU396" s="16" t="n">
        <v>0</v>
      </c>
      <c r="BV396" s="16" t="n">
        <v>0</v>
      </c>
      <c r="BW396" s="16" t="n">
        <v>0</v>
      </c>
      <c r="BX396" s="16" t="n">
        <v>0</v>
      </c>
      <c r="BY396" s="16" t="n">
        <v>0</v>
      </c>
      <c r="BZ396" s="16" t="n">
        <v>0</v>
      </c>
      <c r="CA396" s="16" t="n">
        <v>0</v>
      </c>
      <c r="CB396" s="16" t="n">
        <v>0</v>
      </c>
      <c r="CC396" s="16" t="n">
        <v>0</v>
      </c>
      <c r="CD396" s="16" t="n">
        <v>0</v>
      </c>
      <c r="CE396" s="16" t="n">
        <v>0</v>
      </c>
      <c r="CF396" s="16" t="n">
        <v>0</v>
      </c>
      <c r="CG396" s="16" t="n">
        <v>0</v>
      </c>
      <c r="CH396" s="16" t="n">
        <v>0</v>
      </c>
      <c r="CI396" s="16" t="n">
        <v>0</v>
      </c>
      <c r="CJ396" s="16" t="n">
        <v>0</v>
      </c>
      <c r="CK396" s="16" t="n">
        <v>0</v>
      </c>
      <c r="CL396" s="16" t="n">
        <v>0</v>
      </c>
      <c r="CM396" s="16" t="n">
        <v>0</v>
      </c>
      <c r="CN396" s="16" t="n">
        <v>0</v>
      </c>
      <c r="CO396" s="16" t="n">
        <v>0</v>
      </c>
      <c r="CP396" s="16" t="n">
        <v>0</v>
      </c>
      <c r="CQ396" s="16" t="n">
        <v>0</v>
      </c>
      <c r="CR396" s="16" t="n">
        <v>0</v>
      </c>
      <c r="CS396" s="16" t="n">
        <v>0</v>
      </c>
      <c r="CT396" s="16" t="n">
        <v>0</v>
      </c>
      <c r="CU396" s="16" t="n">
        <v>0</v>
      </c>
      <c r="CV396" s="16" t="n">
        <v>0</v>
      </c>
      <c r="CW396" s="16" t="n">
        <v>0</v>
      </c>
      <c r="CX396" s="16" t="n">
        <v>0</v>
      </c>
      <c r="CY396" s="16" t="n">
        <v>0</v>
      </c>
      <c r="CZ396" s="16" t="n">
        <v>0</v>
      </c>
      <c r="DA396" s="16" t="n">
        <v>0</v>
      </c>
      <c r="DB396" s="16" t="n">
        <v>0</v>
      </c>
      <c r="DC396" s="16" t="n">
        <v>0</v>
      </c>
      <c r="DD396" s="16" t="n">
        <v>0</v>
      </c>
      <c r="DE396" s="16" t="n">
        <v>0</v>
      </c>
      <c r="DF396" s="16" t="n">
        <v>0</v>
      </c>
      <c r="DG396" s="16" t="n">
        <v>0</v>
      </c>
      <c r="DH396" s="16" t="n">
        <v>0</v>
      </c>
      <c r="DI396" s="16" t="n">
        <v>0</v>
      </c>
      <c r="DJ396" s="16" t="n">
        <v>0</v>
      </c>
      <c r="DK396" s="16" t="n">
        <v>0</v>
      </c>
      <c r="DL396" s="16" t="n">
        <v>0</v>
      </c>
      <c r="DM396" s="16" t="n">
        <v>0</v>
      </c>
      <c r="DN396" s="16" t="n">
        <v>0</v>
      </c>
      <c r="DO396" s="16" t="n">
        <v>0</v>
      </c>
      <c r="DP396" s="16" t="n">
        <v>0</v>
      </c>
      <c r="DQ396" s="16" t="n">
        <v>0</v>
      </c>
      <c r="DR396" s="16" t="n">
        <v>0</v>
      </c>
      <c r="DS396" s="16" t="n">
        <v>0</v>
      </c>
      <c r="DT396" s="16" t="n">
        <v>0</v>
      </c>
      <c r="DU396" s="16" t="n">
        <v>0</v>
      </c>
      <c r="DV396" s="16" t="n">
        <v>0</v>
      </c>
      <c r="DW396" s="16" t="n">
        <v>0</v>
      </c>
      <c r="DX396" s="16" t="n">
        <v>0</v>
      </c>
      <c r="DY396" s="16" t="n">
        <v>0</v>
      </c>
      <c r="DZ396" s="16" t="n">
        <v>0</v>
      </c>
      <c r="EA396" s="16" t="n">
        <v>0</v>
      </c>
      <c r="EB396" s="16" t="n">
        <v>0</v>
      </c>
      <c r="EC396" s="16" t="n">
        <v>0</v>
      </c>
      <c r="ED396" s="16" t="n">
        <v>0</v>
      </c>
      <c r="EE396" s="16" t="n">
        <v>0</v>
      </c>
      <c r="EF396" s="16" t="n">
        <v>0</v>
      </c>
    </row>
    <row r="397" customFormat="false" ht="15" hidden="false" customHeight="true" outlineLevel="0" collapsed="false">
      <c r="A397" s="9" t="s">
        <v>12</v>
      </c>
      <c r="B397" s="9" t="s">
        <v>30</v>
      </c>
      <c r="C397" s="9" t="s">
        <v>30</v>
      </c>
      <c r="D397" s="9" t="s">
        <v>335</v>
      </c>
      <c r="E397" s="9" t="s">
        <v>14</v>
      </c>
      <c r="F397" s="9" t="s">
        <v>94</v>
      </c>
      <c r="G397" s="16" t="n">
        <v>0</v>
      </c>
      <c r="H397" s="16" t="n">
        <v>0</v>
      </c>
      <c r="I397" s="16" t="n">
        <v>0</v>
      </c>
      <c r="J397" s="16" t="n">
        <v>0</v>
      </c>
      <c r="K397" s="16" t="n">
        <v>0</v>
      </c>
      <c r="L397" s="16" t="n">
        <v>0</v>
      </c>
      <c r="M397" s="16" t="n">
        <v>0</v>
      </c>
      <c r="N397" s="16" t="n">
        <v>0</v>
      </c>
      <c r="O397" s="16" t="n">
        <v>0</v>
      </c>
      <c r="P397" s="16" t="n">
        <v>0</v>
      </c>
      <c r="Q397" s="16" t="n">
        <v>0</v>
      </c>
      <c r="R397" s="16" t="n">
        <v>0</v>
      </c>
      <c r="S397" s="16" t="n">
        <v>0</v>
      </c>
      <c r="T397" s="16" t="n">
        <v>0</v>
      </c>
      <c r="U397" s="16" t="n">
        <v>0</v>
      </c>
      <c r="V397" s="16" t="n">
        <v>0</v>
      </c>
      <c r="W397" s="16" t="n">
        <v>0</v>
      </c>
      <c r="X397" s="16" t="n">
        <v>0</v>
      </c>
      <c r="Y397" s="16" t="n">
        <v>0</v>
      </c>
      <c r="Z397" s="16" t="n">
        <v>0</v>
      </c>
      <c r="AA397" s="16" t="n">
        <v>0</v>
      </c>
      <c r="AB397" s="16" t="n">
        <v>0</v>
      </c>
      <c r="AC397" s="16" t="n">
        <v>0</v>
      </c>
      <c r="AD397" s="16" t="n">
        <v>0</v>
      </c>
      <c r="AE397" s="16" t="n">
        <v>0</v>
      </c>
      <c r="AF397" s="16" t="n">
        <v>0</v>
      </c>
      <c r="AG397" s="16" t="n">
        <v>0</v>
      </c>
      <c r="AH397" s="16" t="n">
        <v>0</v>
      </c>
      <c r="AI397" s="16" t="n">
        <v>0</v>
      </c>
      <c r="AJ397" s="16" t="n">
        <v>0</v>
      </c>
      <c r="AK397" s="16" t="n">
        <v>0</v>
      </c>
      <c r="AL397" s="16" t="n">
        <v>0</v>
      </c>
      <c r="AM397" s="16" t="n">
        <v>0</v>
      </c>
      <c r="AN397" s="16" t="n">
        <v>0</v>
      </c>
      <c r="AO397" s="16" t="n">
        <v>0</v>
      </c>
      <c r="AP397" s="16" t="n">
        <v>0</v>
      </c>
      <c r="AQ397" s="16" t="n">
        <v>0</v>
      </c>
      <c r="AR397" s="16" t="n">
        <v>0</v>
      </c>
      <c r="AS397" s="16" t="n">
        <v>0</v>
      </c>
      <c r="AT397" s="16" t="n">
        <v>0</v>
      </c>
      <c r="AU397" s="16" t="n">
        <v>0</v>
      </c>
      <c r="AV397" s="16" t="n">
        <v>0</v>
      </c>
      <c r="AW397" s="16" t="n">
        <v>0</v>
      </c>
      <c r="AX397" s="16" t="n">
        <v>0</v>
      </c>
      <c r="AY397" s="16" t="n">
        <v>0</v>
      </c>
      <c r="AZ397" s="16" t="n">
        <v>0</v>
      </c>
      <c r="BA397" s="16" t="n">
        <v>0</v>
      </c>
      <c r="BB397" s="16" t="n">
        <v>0</v>
      </c>
      <c r="BC397" s="16" t="n">
        <v>0</v>
      </c>
      <c r="BD397" s="16" t="n">
        <v>0</v>
      </c>
      <c r="BE397" s="16" t="n">
        <v>0</v>
      </c>
      <c r="BF397" s="16" t="n">
        <v>0</v>
      </c>
      <c r="BG397" s="16" t="n">
        <v>0</v>
      </c>
      <c r="BH397" s="16" t="n">
        <v>0</v>
      </c>
      <c r="BI397" s="16" t="n">
        <v>0</v>
      </c>
      <c r="BJ397" s="16" t="n">
        <v>0</v>
      </c>
      <c r="BK397" s="16" t="n">
        <v>0</v>
      </c>
      <c r="BL397" s="16" t="n">
        <v>0</v>
      </c>
      <c r="BM397" s="16" t="n">
        <v>0</v>
      </c>
      <c r="BN397" s="16" t="n">
        <v>0</v>
      </c>
      <c r="BO397" s="16" t="n">
        <v>0</v>
      </c>
      <c r="BP397" s="16" t="n">
        <v>0</v>
      </c>
      <c r="BQ397" s="16" t="n">
        <v>0</v>
      </c>
      <c r="BR397" s="16" t="n">
        <v>0</v>
      </c>
      <c r="BS397" s="16" t="n">
        <v>0</v>
      </c>
      <c r="BT397" s="16" t="n">
        <v>0</v>
      </c>
      <c r="BU397" s="16" t="n">
        <v>0</v>
      </c>
      <c r="BV397" s="16" t="n">
        <v>0</v>
      </c>
      <c r="BW397" s="16" t="n">
        <v>0</v>
      </c>
      <c r="BX397" s="16" t="n">
        <v>0</v>
      </c>
      <c r="BY397" s="16" t="n">
        <v>0</v>
      </c>
      <c r="BZ397" s="16" t="n">
        <v>0</v>
      </c>
      <c r="CA397" s="16" t="n">
        <v>0</v>
      </c>
      <c r="CB397" s="16" t="n">
        <v>0</v>
      </c>
      <c r="CC397" s="16" t="n">
        <v>0</v>
      </c>
      <c r="CD397" s="16" t="n">
        <v>0</v>
      </c>
      <c r="CE397" s="16" t="n">
        <v>0</v>
      </c>
      <c r="CF397" s="16" t="n">
        <v>0</v>
      </c>
      <c r="CG397" s="16" t="n">
        <v>0</v>
      </c>
      <c r="CH397" s="16" t="n">
        <v>0</v>
      </c>
      <c r="CI397" s="16" t="n">
        <v>0</v>
      </c>
      <c r="CJ397" s="16" t="n">
        <v>0</v>
      </c>
      <c r="CK397" s="16" t="n">
        <v>0</v>
      </c>
      <c r="CL397" s="16" t="n">
        <v>0</v>
      </c>
      <c r="CM397" s="16" t="n">
        <v>0</v>
      </c>
      <c r="CN397" s="16" t="n">
        <v>0</v>
      </c>
      <c r="CO397" s="16" t="n">
        <v>0</v>
      </c>
      <c r="CP397" s="16" t="n">
        <v>0</v>
      </c>
      <c r="CQ397" s="16" t="n">
        <v>0</v>
      </c>
      <c r="CR397" s="16" t="n">
        <v>0</v>
      </c>
      <c r="CS397" s="16" t="n">
        <v>0</v>
      </c>
      <c r="CT397" s="16" t="n">
        <v>0</v>
      </c>
      <c r="CU397" s="16" t="n">
        <v>0</v>
      </c>
      <c r="CV397" s="16" t="n">
        <v>0</v>
      </c>
      <c r="CW397" s="16" t="n">
        <v>0</v>
      </c>
      <c r="CX397" s="16" t="n">
        <v>0</v>
      </c>
      <c r="CY397" s="16" t="n">
        <v>0</v>
      </c>
      <c r="CZ397" s="16" t="n">
        <v>0</v>
      </c>
      <c r="DA397" s="16" t="n">
        <v>0</v>
      </c>
      <c r="DB397" s="16" t="n">
        <v>0</v>
      </c>
      <c r="DC397" s="16" t="n">
        <v>0</v>
      </c>
      <c r="DD397" s="16" t="n">
        <v>0</v>
      </c>
      <c r="DE397" s="16" t="n">
        <v>0</v>
      </c>
      <c r="DF397" s="16" t="n">
        <v>0</v>
      </c>
      <c r="DG397" s="16" t="n">
        <v>0</v>
      </c>
      <c r="DH397" s="16" t="n">
        <v>0</v>
      </c>
      <c r="DI397" s="16" t="n">
        <v>0</v>
      </c>
      <c r="DJ397" s="16" t="n">
        <v>0</v>
      </c>
      <c r="DK397" s="16" t="n">
        <v>0</v>
      </c>
      <c r="DL397" s="16" t="n">
        <v>0</v>
      </c>
      <c r="DM397" s="16" t="n">
        <v>0</v>
      </c>
      <c r="DN397" s="16" t="n">
        <v>0</v>
      </c>
      <c r="DO397" s="16" t="n">
        <v>0</v>
      </c>
      <c r="DP397" s="16" t="n">
        <v>0</v>
      </c>
      <c r="DQ397" s="16" t="n">
        <v>0</v>
      </c>
      <c r="DR397" s="16" t="n">
        <v>0</v>
      </c>
      <c r="DS397" s="16" t="n">
        <v>0</v>
      </c>
      <c r="DT397" s="16" t="n">
        <v>0</v>
      </c>
      <c r="DU397" s="16" t="n">
        <v>0</v>
      </c>
      <c r="DV397" s="16" t="n">
        <v>0</v>
      </c>
      <c r="DW397" s="16" t="n">
        <v>0</v>
      </c>
      <c r="DX397" s="16" t="n">
        <v>0</v>
      </c>
      <c r="DY397" s="16" t="n">
        <v>0</v>
      </c>
      <c r="DZ397" s="16" t="n">
        <v>0</v>
      </c>
      <c r="EA397" s="16" t="n">
        <v>0</v>
      </c>
      <c r="EB397" s="16" t="n">
        <v>0</v>
      </c>
      <c r="EC397" s="16" t="n">
        <v>0</v>
      </c>
      <c r="ED397" s="16" t="n">
        <v>0</v>
      </c>
      <c r="EE397" s="16" t="n">
        <v>0</v>
      </c>
      <c r="EF397" s="16" t="n">
        <v>0</v>
      </c>
    </row>
    <row r="398" customFormat="false" ht="15" hidden="false" customHeight="true" outlineLevel="0" collapsed="false">
      <c r="A398" s="9" t="s">
        <v>12</v>
      </c>
      <c r="B398" s="9" t="s">
        <v>30</v>
      </c>
      <c r="C398" s="9" t="s">
        <v>30</v>
      </c>
      <c r="D398" s="9" t="s">
        <v>336</v>
      </c>
      <c r="E398" s="9" t="s">
        <v>14</v>
      </c>
      <c r="F398" s="9" t="s">
        <v>94</v>
      </c>
      <c r="G398" s="16" t="n">
        <v>14</v>
      </c>
      <c r="H398" s="16" t="n">
        <v>14</v>
      </c>
      <c r="I398" s="16" t="n">
        <v>14</v>
      </c>
      <c r="J398" s="16" t="n">
        <v>0</v>
      </c>
      <c r="K398" s="16" t="n">
        <v>0</v>
      </c>
      <c r="L398" s="16" t="n">
        <v>0</v>
      </c>
      <c r="M398" s="16" t="n">
        <v>0</v>
      </c>
      <c r="N398" s="16" t="n">
        <v>0</v>
      </c>
      <c r="O398" s="16" t="n">
        <v>0</v>
      </c>
      <c r="P398" s="16" t="n">
        <v>0</v>
      </c>
      <c r="Q398" s="16" t="n">
        <v>0</v>
      </c>
      <c r="R398" s="16" t="n">
        <v>0</v>
      </c>
      <c r="S398" s="16" t="n">
        <v>0</v>
      </c>
      <c r="T398" s="16" t="n">
        <v>0</v>
      </c>
      <c r="U398" s="16" t="n">
        <v>0</v>
      </c>
      <c r="V398" s="16" t="n">
        <v>0</v>
      </c>
      <c r="W398" s="16" t="n">
        <v>0</v>
      </c>
      <c r="X398" s="16" t="n">
        <v>0</v>
      </c>
      <c r="Y398" s="16" t="n">
        <v>0</v>
      </c>
      <c r="Z398" s="16" t="n">
        <v>0</v>
      </c>
      <c r="AA398" s="16" t="n">
        <v>0</v>
      </c>
      <c r="AB398" s="16" t="n">
        <v>0</v>
      </c>
      <c r="AC398" s="16" t="n">
        <v>0</v>
      </c>
      <c r="AD398" s="16" t="n">
        <v>0</v>
      </c>
      <c r="AE398" s="16" t="n">
        <v>0</v>
      </c>
      <c r="AF398" s="16" t="n">
        <v>14</v>
      </c>
      <c r="AG398" s="16" t="n">
        <v>0</v>
      </c>
      <c r="AH398" s="16" t="n">
        <v>0</v>
      </c>
      <c r="AI398" s="16" t="n">
        <v>0</v>
      </c>
      <c r="AJ398" s="16" t="n">
        <v>0</v>
      </c>
      <c r="AK398" s="16" t="n">
        <v>0</v>
      </c>
      <c r="AL398" s="16" t="n">
        <v>0</v>
      </c>
      <c r="AM398" s="16" t="n">
        <v>0</v>
      </c>
      <c r="AN398" s="16" t="n">
        <v>0</v>
      </c>
      <c r="AO398" s="16" t="n">
        <v>0</v>
      </c>
      <c r="AP398" s="16" t="n">
        <v>0</v>
      </c>
      <c r="AQ398" s="16" t="n">
        <v>0</v>
      </c>
      <c r="AR398" s="16" t="n">
        <v>0</v>
      </c>
      <c r="AS398" s="16" t="n">
        <v>0</v>
      </c>
      <c r="AT398" s="16" t="n">
        <v>0</v>
      </c>
      <c r="AU398" s="16" t="n">
        <v>0</v>
      </c>
      <c r="AV398" s="16" t="n">
        <v>0</v>
      </c>
      <c r="AW398" s="16" t="n">
        <v>0</v>
      </c>
      <c r="AX398" s="16" t="n">
        <v>0</v>
      </c>
      <c r="AY398" s="16" t="n">
        <v>0</v>
      </c>
      <c r="AZ398" s="16" t="n">
        <v>0</v>
      </c>
      <c r="BA398" s="16" t="n">
        <v>0</v>
      </c>
      <c r="BB398" s="16" t="n">
        <v>0</v>
      </c>
      <c r="BC398" s="16" t="n">
        <v>0</v>
      </c>
      <c r="BD398" s="16" t="n">
        <v>0</v>
      </c>
      <c r="BE398" s="16" t="n">
        <v>0</v>
      </c>
      <c r="BF398" s="16" t="n">
        <v>0</v>
      </c>
      <c r="BG398" s="16" t="n">
        <v>0</v>
      </c>
      <c r="BH398" s="16" t="n">
        <v>0</v>
      </c>
      <c r="BI398" s="16" t="n">
        <v>0</v>
      </c>
      <c r="BJ398" s="16" t="n">
        <v>0</v>
      </c>
      <c r="BK398" s="16" t="n">
        <v>0</v>
      </c>
      <c r="BL398" s="16" t="n">
        <v>0</v>
      </c>
      <c r="BM398" s="16" t="n">
        <v>0</v>
      </c>
      <c r="BN398" s="16" t="n">
        <v>0</v>
      </c>
      <c r="BO398" s="16" t="n">
        <v>0</v>
      </c>
      <c r="BP398" s="16" t="n">
        <v>0</v>
      </c>
      <c r="BQ398" s="16" t="n">
        <v>0</v>
      </c>
      <c r="BR398" s="16" t="n">
        <v>0</v>
      </c>
      <c r="BS398" s="16" t="n">
        <v>0</v>
      </c>
      <c r="BT398" s="16" t="n">
        <v>0</v>
      </c>
      <c r="BU398" s="16" t="n">
        <v>0</v>
      </c>
      <c r="BV398" s="16" t="n">
        <v>0</v>
      </c>
      <c r="BW398" s="16" t="n">
        <v>0</v>
      </c>
      <c r="BX398" s="16" t="n">
        <v>0</v>
      </c>
      <c r="BY398" s="16" t="n">
        <v>0</v>
      </c>
      <c r="BZ398" s="16" t="n">
        <v>0</v>
      </c>
      <c r="CA398" s="16" t="n">
        <v>0</v>
      </c>
      <c r="CB398" s="16" t="n">
        <v>0</v>
      </c>
      <c r="CC398" s="16" t="n">
        <v>0</v>
      </c>
      <c r="CD398" s="16" t="n">
        <v>0</v>
      </c>
      <c r="CE398" s="16" t="n">
        <v>0</v>
      </c>
      <c r="CF398" s="16" t="n">
        <v>0</v>
      </c>
      <c r="CG398" s="16" t="n">
        <v>0</v>
      </c>
      <c r="CH398" s="16" t="n">
        <v>0</v>
      </c>
      <c r="CI398" s="16" t="n">
        <v>0</v>
      </c>
      <c r="CJ398" s="16" t="n">
        <v>0</v>
      </c>
      <c r="CK398" s="16" t="n">
        <v>0</v>
      </c>
      <c r="CL398" s="16" t="n">
        <v>0</v>
      </c>
      <c r="CM398" s="16" t="n">
        <v>0</v>
      </c>
      <c r="CN398" s="16" t="n">
        <v>0</v>
      </c>
      <c r="CO398" s="16" t="n">
        <v>0</v>
      </c>
      <c r="CP398" s="16" t="n">
        <v>0</v>
      </c>
      <c r="CQ398" s="16" t="n">
        <v>0</v>
      </c>
      <c r="CR398" s="16" t="n">
        <v>0</v>
      </c>
      <c r="CS398" s="16" t="n">
        <v>0</v>
      </c>
      <c r="CT398" s="16" t="n">
        <v>0</v>
      </c>
      <c r="CU398" s="16" t="n">
        <v>0</v>
      </c>
      <c r="CV398" s="16" t="n">
        <v>0</v>
      </c>
      <c r="CW398" s="16" t="n">
        <v>0</v>
      </c>
      <c r="CX398" s="16" t="n">
        <v>0</v>
      </c>
      <c r="CY398" s="16" t="n">
        <v>0</v>
      </c>
      <c r="CZ398" s="16" t="n">
        <v>0</v>
      </c>
      <c r="DA398" s="16" t="n">
        <v>0</v>
      </c>
      <c r="DB398" s="16" t="n">
        <v>0</v>
      </c>
      <c r="DC398" s="16" t="n">
        <v>0</v>
      </c>
      <c r="DD398" s="16" t="n">
        <v>0</v>
      </c>
      <c r="DE398" s="16" t="n">
        <v>0</v>
      </c>
      <c r="DF398" s="16" t="n">
        <v>0</v>
      </c>
      <c r="DG398" s="16" t="n">
        <v>0</v>
      </c>
      <c r="DH398" s="16" t="n">
        <v>0</v>
      </c>
      <c r="DI398" s="16" t="n">
        <v>0</v>
      </c>
      <c r="DJ398" s="16" t="n">
        <v>0</v>
      </c>
      <c r="DK398" s="16" t="n">
        <v>0</v>
      </c>
      <c r="DL398" s="16" t="n">
        <v>0</v>
      </c>
      <c r="DM398" s="16" t="n">
        <v>0</v>
      </c>
      <c r="DN398" s="16" t="n">
        <v>0</v>
      </c>
      <c r="DO398" s="16" t="n">
        <v>0</v>
      </c>
      <c r="DP398" s="16" t="n">
        <v>0</v>
      </c>
      <c r="DQ398" s="16" t="n">
        <v>0</v>
      </c>
      <c r="DR398" s="16" t="n">
        <v>0</v>
      </c>
      <c r="DS398" s="16" t="n">
        <v>0</v>
      </c>
      <c r="DT398" s="16" t="n">
        <v>0</v>
      </c>
      <c r="DU398" s="16" t="n">
        <v>0</v>
      </c>
      <c r="DV398" s="16" t="n">
        <v>0</v>
      </c>
      <c r="DW398" s="16" t="n">
        <v>0</v>
      </c>
      <c r="DX398" s="16" t="n">
        <v>0</v>
      </c>
      <c r="DY398" s="16" t="n">
        <v>0</v>
      </c>
      <c r="DZ398" s="16" t="n">
        <v>0</v>
      </c>
      <c r="EA398" s="16" t="n">
        <v>0</v>
      </c>
      <c r="EB398" s="16" t="n">
        <v>0</v>
      </c>
      <c r="EC398" s="16" t="n">
        <v>0</v>
      </c>
      <c r="ED398" s="16" t="n">
        <v>0</v>
      </c>
      <c r="EE398" s="16" t="n">
        <v>0</v>
      </c>
      <c r="EF398" s="16" t="n">
        <v>0</v>
      </c>
    </row>
    <row r="399" customFormat="false" ht="15" hidden="false" customHeight="true" outlineLevel="0" collapsed="false">
      <c r="A399" s="9" t="s">
        <v>12</v>
      </c>
      <c r="B399" s="9" t="s">
        <v>30</v>
      </c>
      <c r="C399" s="9" t="s">
        <v>30</v>
      </c>
      <c r="D399" s="9" t="s">
        <v>335</v>
      </c>
      <c r="E399" s="9" t="s">
        <v>14</v>
      </c>
      <c r="F399" s="9" t="s">
        <v>110</v>
      </c>
      <c r="G399" s="16" t="n">
        <v>0</v>
      </c>
      <c r="H399" s="16" t="n">
        <v>0</v>
      </c>
      <c r="I399" s="16" t="n">
        <v>0</v>
      </c>
      <c r="J399" s="16" t="n">
        <v>0</v>
      </c>
      <c r="K399" s="16" t="n">
        <v>0</v>
      </c>
      <c r="L399" s="16" t="n">
        <v>0</v>
      </c>
      <c r="M399" s="16" t="n">
        <v>0</v>
      </c>
      <c r="N399" s="16" t="n">
        <v>0</v>
      </c>
      <c r="O399" s="16" t="n">
        <v>0</v>
      </c>
      <c r="P399" s="16" t="n">
        <v>0</v>
      </c>
      <c r="Q399" s="16" t="n">
        <v>0</v>
      </c>
      <c r="R399" s="16" t="n">
        <v>0</v>
      </c>
      <c r="S399" s="16" t="n">
        <v>0</v>
      </c>
      <c r="T399" s="16" t="n">
        <v>0</v>
      </c>
      <c r="U399" s="16" t="n">
        <v>0</v>
      </c>
      <c r="V399" s="16" t="n">
        <v>0</v>
      </c>
      <c r="W399" s="16" t="n">
        <v>0</v>
      </c>
      <c r="X399" s="16" t="n">
        <v>0</v>
      </c>
      <c r="Y399" s="16" t="n">
        <v>0</v>
      </c>
      <c r="Z399" s="16" t="n">
        <v>0</v>
      </c>
      <c r="AA399" s="16" t="n">
        <v>0</v>
      </c>
      <c r="AB399" s="16" t="n">
        <v>0</v>
      </c>
      <c r="AC399" s="16" t="n">
        <v>0</v>
      </c>
      <c r="AD399" s="16" t="n">
        <v>0</v>
      </c>
      <c r="AE399" s="16" t="n">
        <v>0</v>
      </c>
      <c r="AF399" s="16" t="n">
        <v>0</v>
      </c>
      <c r="AG399" s="16" t="n">
        <v>0</v>
      </c>
      <c r="AH399" s="16" t="n">
        <v>0</v>
      </c>
      <c r="AI399" s="16" t="n">
        <v>0</v>
      </c>
      <c r="AJ399" s="16" t="n">
        <v>0</v>
      </c>
      <c r="AK399" s="16" t="n">
        <v>0</v>
      </c>
      <c r="AL399" s="16" t="n">
        <v>0</v>
      </c>
      <c r="AM399" s="16" t="n">
        <v>0</v>
      </c>
      <c r="AN399" s="16" t="n">
        <v>0</v>
      </c>
      <c r="AO399" s="16" t="n">
        <v>0</v>
      </c>
      <c r="AP399" s="16" t="n">
        <v>0</v>
      </c>
      <c r="AQ399" s="16" t="n">
        <v>0</v>
      </c>
      <c r="AR399" s="16" t="n">
        <v>0</v>
      </c>
      <c r="AS399" s="16" t="n">
        <v>0</v>
      </c>
      <c r="AT399" s="16" t="n">
        <v>0</v>
      </c>
      <c r="AU399" s="16" t="n">
        <v>0</v>
      </c>
      <c r="AV399" s="16" t="n">
        <v>0</v>
      </c>
      <c r="AW399" s="16" t="n">
        <v>0</v>
      </c>
      <c r="AX399" s="16" t="n">
        <v>0</v>
      </c>
      <c r="AY399" s="16" t="n">
        <v>0</v>
      </c>
      <c r="AZ399" s="16" t="n">
        <v>0</v>
      </c>
      <c r="BA399" s="16" t="n">
        <v>0</v>
      </c>
      <c r="BB399" s="16" t="n">
        <v>0</v>
      </c>
      <c r="BC399" s="16" t="n">
        <v>0</v>
      </c>
      <c r="BD399" s="16" t="n">
        <v>0</v>
      </c>
      <c r="BE399" s="16" t="n">
        <v>0</v>
      </c>
      <c r="BF399" s="16" t="n">
        <v>0</v>
      </c>
      <c r="BG399" s="16" t="n">
        <v>0</v>
      </c>
      <c r="BH399" s="16" t="n">
        <v>0</v>
      </c>
      <c r="BI399" s="16" t="n">
        <v>0</v>
      </c>
      <c r="BJ399" s="16" t="n">
        <v>0</v>
      </c>
      <c r="BK399" s="16" t="n">
        <v>0</v>
      </c>
      <c r="BL399" s="16" t="n">
        <v>0</v>
      </c>
      <c r="BM399" s="16" t="n">
        <v>0</v>
      </c>
      <c r="BN399" s="16" t="n">
        <v>0</v>
      </c>
      <c r="BO399" s="16" t="n">
        <v>0</v>
      </c>
      <c r="BP399" s="16" t="n">
        <v>0</v>
      </c>
      <c r="BQ399" s="16" t="n">
        <v>0</v>
      </c>
      <c r="BR399" s="16" t="n">
        <v>0</v>
      </c>
      <c r="BS399" s="16" t="n">
        <v>0</v>
      </c>
      <c r="BT399" s="16" t="n">
        <v>0</v>
      </c>
      <c r="BU399" s="16" t="n">
        <v>0</v>
      </c>
      <c r="BV399" s="16" t="n">
        <v>0</v>
      </c>
      <c r="BW399" s="16" t="n">
        <v>0</v>
      </c>
      <c r="BX399" s="16" t="n">
        <v>0</v>
      </c>
      <c r="BY399" s="16" t="n">
        <v>0</v>
      </c>
      <c r="BZ399" s="16" t="n">
        <v>0</v>
      </c>
      <c r="CA399" s="16" t="n">
        <v>0</v>
      </c>
      <c r="CB399" s="16" t="n">
        <v>0</v>
      </c>
      <c r="CC399" s="16" t="n">
        <v>0</v>
      </c>
      <c r="CD399" s="16" t="n">
        <v>0</v>
      </c>
      <c r="CE399" s="16" t="n">
        <v>0</v>
      </c>
      <c r="CF399" s="16" t="n">
        <v>0</v>
      </c>
      <c r="CG399" s="16" t="n">
        <v>0</v>
      </c>
      <c r="CH399" s="16" t="n">
        <v>0</v>
      </c>
      <c r="CI399" s="16" t="n">
        <v>0</v>
      </c>
      <c r="CJ399" s="16" t="n">
        <v>0</v>
      </c>
      <c r="CK399" s="16" t="n">
        <v>0</v>
      </c>
      <c r="CL399" s="16" t="n">
        <v>0</v>
      </c>
      <c r="CM399" s="16" t="n">
        <v>0</v>
      </c>
      <c r="CN399" s="16" t="n">
        <v>0</v>
      </c>
      <c r="CO399" s="16" t="n">
        <v>0</v>
      </c>
      <c r="CP399" s="16" t="n">
        <v>0</v>
      </c>
      <c r="CQ399" s="16" t="n">
        <v>0</v>
      </c>
      <c r="CR399" s="16" t="n">
        <v>0</v>
      </c>
      <c r="CS399" s="16" t="n">
        <v>0</v>
      </c>
      <c r="CT399" s="16" t="n">
        <v>0</v>
      </c>
      <c r="CU399" s="16" t="n">
        <v>0</v>
      </c>
      <c r="CV399" s="16" t="n">
        <v>0</v>
      </c>
      <c r="CW399" s="16" t="n">
        <v>0</v>
      </c>
      <c r="CX399" s="16" t="n">
        <v>0</v>
      </c>
      <c r="CY399" s="16" t="n">
        <v>0</v>
      </c>
      <c r="CZ399" s="16" t="n">
        <v>0</v>
      </c>
      <c r="DA399" s="16" t="n">
        <v>0</v>
      </c>
      <c r="DB399" s="16" t="n">
        <v>0</v>
      </c>
      <c r="DC399" s="16" t="n">
        <v>0</v>
      </c>
      <c r="DD399" s="16" t="n">
        <v>0</v>
      </c>
      <c r="DE399" s="16" t="n">
        <v>0</v>
      </c>
      <c r="DF399" s="16" t="n">
        <v>0</v>
      </c>
      <c r="DG399" s="16" t="n">
        <v>0</v>
      </c>
      <c r="DH399" s="16" t="n">
        <v>0</v>
      </c>
      <c r="DI399" s="16" t="n">
        <v>0</v>
      </c>
      <c r="DJ399" s="16" t="n">
        <v>0</v>
      </c>
      <c r="DK399" s="16" t="n">
        <v>0</v>
      </c>
      <c r="DL399" s="16" t="n">
        <v>0</v>
      </c>
      <c r="DM399" s="16" t="n">
        <v>0</v>
      </c>
      <c r="DN399" s="16" t="n">
        <v>0</v>
      </c>
      <c r="DO399" s="16" t="n">
        <v>0</v>
      </c>
      <c r="DP399" s="16" t="n">
        <v>0</v>
      </c>
      <c r="DQ399" s="16" t="n">
        <v>0</v>
      </c>
      <c r="DR399" s="16" t="n">
        <v>0</v>
      </c>
      <c r="DS399" s="16" t="n">
        <v>0</v>
      </c>
      <c r="DT399" s="16" t="n">
        <v>0</v>
      </c>
      <c r="DU399" s="16" t="n">
        <v>0</v>
      </c>
      <c r="DV399" s="16" t="n">
        <v>0</v>
      </c>
      <c r="DW399" s="16" t="n">
        <v>0</v>
      </c>
      <c r="DX399" s="16" t="n">
        <v>0</v>
      </c>
      <c r="DY399" s="16" t="n">
        <v>0</v>
      </c>
      <c r="DZ399" s="16" t="n">
        <v>0</v>
      </c>
      <c r="EA399" s="16" t="n">
        <v>0</v>
      </c>
      <c r="EB399" s="16" t="n">
        <v>0</v>
      </c>
      <c r="EC399" s="16" t="n">
        <v>0</v>
      </c>
      <c r="ED399" s="16" t="n">
        <v>0</v>
      </c>
      <c r="EE399" s="16" t="n">
        <v>0</v>
      </c>
      <c r="EF399" s="16" t="n">
        <v>0</v>
      </c>
    </row>
    <row r="400" customFormat="false" ht="15" hidden="false" customHeight="true" outlineLevel="0" collapsed="false">
      <c r="A400" s="9" t="s">
        <v>12</v>
      </c>
      <c r="B400" s="9" t="s">
        <v>30</v>
      </c>
      <c r="C400" s="9" t="s">
        <v>30</v>
      </c>
      <c r="D400" s="9" t="s">
        <v>336</v>
      </c>
      <c r="E400" s="9" t="s">
        <v>14</v>
      </c>
      <c r="F400" s="9" t="s">
        <v>110</v>
      </c>
      <c r="G400" s="16" t="n">
        <v>6</v>
      </c>
      <c r="H400" s="16" t="n">
        <v>6</v>
      </c>
      <c r="I400" s="16" t="n">
        <v>6</v>
      </c>
      <c r="J400" s="16" t="n">
        <v>0</v>
      </c>
      <c r="K400" s="16" t="n">
        <v>0</v>
      </c>
      <c r="L400" s="16" t="n">
        <v>0</v>
      </c>
      <c r="M400" s="16" t="n">
        <v>0</v>
      </c>
      <c r="N400" s="16" t="n">
        <v>0</v>
      </c>
      <c r="O400" s="16" t="n">
        <v>0</v>
      </c>
      <c r="P400" s="16" t="n">
        <v>0</v>
      </c>
      <c r="Q400" s="16" t="n">
        <v>0</v>
      </c>
      <c r="R400" s="16" t="n">
        <v>0</v>
      </c>
      <c r="S400" s="16" t="n">
        <v>0</v>
      </c>
      <c r="T400" s="16" t="n">
        <v>0</v>
      </c>
      <c r="U400" s="16" t="n">
        <v>0</v>
      </c>
      <c r="V400" s="16" t="n">
        <v>0</v>
      </c>
      <c r="W400" s="16" t="n">
        <v>0</v>
      </c>
      <c r="X400" s="16" t="n">
        <v>0</v>
      </c>
      <c r="Y400" s="16" t="n">
        <v>0</v>
      </c>
      <c r="Z400" s="16" t="n">
        <v>0</v>
      </c>
      <c r="AA400" s="16" t="n">
        <v>0</v>
      </c>
      <c r="AB400" s="16" t="n">
        <v>0</v>
      </c>
      <c r="AC400" s="16" t="n">
        <v>0</v>
      </c>
      <c r="AD400" s="16" t="n">
        <v>0</v>
      </c>
      <c r="AE400" s="16" t="n">
        <v>0</v>
      </c>
      <c r="AF400" s="16" t="n">
        <v>0</v>
      </c>
      <c r="AG400" s="16" t="n">
        <v>6</v>
      </c>
      <c r="AH400" s="16" t="n">
        <v>0</v>
      </c>
      <c r="AI400" s="16" t="n">
        <v>0</v>
      </c>
      <c r="AJ400" s="16" t="n">
        <v>0</v>
      </c>
      <c r="AK400" s="16" t="n">
        <v>0</v>
      </c>
      <c r="AL400" s="16" t="n">
        <v>0</v>
      </c>
      <c r="AM400" s="16" t="n">
        <v>0</v>
      </c>
      <c r="AN400" s="16" t="n">
        <v>0</v>
      </c>
      <c r="AO400" s="16" t="n">
        <v>0</v>
      </c>
      <c r="AP400" s="16" t="n">
        <v>0</v>
      </c>
      <c r="AQ400" s="16" t="n">
        <v>0</v>
      </c>
      <c r="AR400" s="16" t="n">
        <v>0</v>
      </c>
      <c r="AS400" s="16" t="n">
        <v>0</v>
      </c>
      <c r="AT400" s="16" t="n">
        <v>0</v>
      </c>
      <c r="AU400" s="16" t="n">
        <v>0</v>
      </c>
      <c r="AV400" s="16" t="n">
        <v>0</v>
      </c>
      <c r="AW400" s="16" t="n">
        <v>0</v>
      </c>
      <c r="AX400" s="16" t="n">
        <v>0</v>
      </c>
      <c r="AY400" s="16" t="n">
        <v>0</v>
      </c>
      <c r="AZ400" s="16" t="n">
        <v>0</v>
      </c>
      <c r="BA400" s="16" t="n">
        <v>0</v>
      </c>
      <c r="BB400" s="16" t="n">
        <v>0</v>
      </c>
      <c r="BC400" s="16" t="n">
        <v>0</v>
      </c>
      <c r="BD400" s="16" t="n">
        <v>0</v>
      </c>
      <c r="BE400" s="16" t="n">
        <v>0</v>
      </c>
      <c r="BF400" s="16" t="n">
        <v>0</v>
      </c>
      <c r="BG400" s="16" t="n">
        <v>0</v>
      </c>
      <c r="BH400" s="16" t="n">
        <v>0</v>
      </c>
      <c r="BI400" s="16" t="n">
        <v>0</v>
      </c>
      <c r="BJ400" s="16" t="n">
        <v>0</v>
      </c>
      <c r="BK400" s="16" t="n">
        <v>0</v>
      </c>
      <c r="BL400" s="16" t="n">
        <v>0</v>
      </c>
      <c r="BM400" s="16" t="n">
        <v>0</v>
      </c>
      <c r="BN400" s="16" t="n">
        <v>0</v>
      </c>
      <c r="BO400" s="16" t="n">
        <v>0</v>
      </c>
      <c r="BP400" s="16" t="n">
        <v>0</v>
      </c>
      <c r="BQ400" s="16" t="n">
        <v>0</v>
      </c>
      <c r="BR400" s="16" t="n">
        <v>0</v>
      </c>
      <c r="BS400" s="16" t="n">
        <v>0</v>
      </c>
      <c r="BT400" s="16" t="n">
        <v>0</v>
      </c>
      <c r="BU400" s="16" t="n">
        <v>0</v>
      </c>
      <c r="BV400" s="16" t="n">
        <v>0</v>
      </c>
      <c r="BW400" s="16" t="n">
        <v>0</v>
      </c>
      <c r="BX400" s="16" t="n">
        <v>0</v>
      </c>
      <c r="BY400" s="16" t="n">
        <v>0</v>
      </c>
      <c r="BZ400" s="16" t="n">
        <v>0</v>
      </c>
      <c r="CA400" s="16" t="n">
        <v>0</v>
      </c>
      <c r="CB400" s="16" t="n">
        <v>0</v>
      </c>
      <c r="CC400" s="16" t="n">
        <v>0</v>
      </c>
      <c r="CD400" s="16" t="n">
        <v>0</v>
      </c>
      <c r="CE400" s="16" t="n">
        <v>0</v>
      </c>
      <c r="CF400" s="16" t="n">
        <v>0</v>
      </c>
      <c r="CG400" s="16" t="n">
        <v>0</v>
      </c>
      <c r="CH400" s="16" t="n">
        <v>0</v>
      </c>
      <c r="CI400" s="16" t="n">
        <v>0</v>
      </c>
      <c r="CJ400" s="16" t="n">
        <v>0</v>
      </c>
      <c r="CK400" s="16" t="n">
        <v>0</v>
      </c>
      <c r="CL400" s="16" t="n">
        <v>0</v>
      </c>
      <c r="CM400" s="16" t="n">
        <v>0</v>
      </c>
      <c r="CN400" s="16" t="n">
        <v>0</v>
      </c>
      <c r="CO400" s="16" t="n">
        <v>0</v>
      </c>
      <c r="CP400" s="16" t="n">
        <v>0</v>
      </c>
      <c r="CQ400" s="16" t="n">
        <v>0</v>
      </c>
      <c r="CR400" s="16" t="n">
        <v>0</v>
      </c>
      <c r="CS400" s="16" t="n">
        <v>0</v>
      </c>
      <c r="CT400" s="16" t="n">
        <v>0</v>
      </c>
      <c r="CU400" s="16" t="n">
        <v>0</v>
      </c>
      <c r="CV400" s="16" t="n">
        <v>0</v>
      </c>
      <c r="CW400" s="16" t="n">
        <v>0</v>
      </c>
      <c r="CX400" s="16" t="n">
        <v>0</v>
      </c>
      <c r="CY400" s="16" t="n">
        <v>0</v>
      </c>
      <c r="CZ400" s="16" t="n">
        <v>0</v>
      </c>
      <c r="DA400" s="16" t="n">
        <v>0</v>
      </c>
      <c r="DB400" s="16" t="n">
        <v>0</v>
      </c>
      <c r="DC400" s="16" t="n">
        <v>0</v>
      </c>
      <c r="DD400" s="16" t="n">
        <v>0</v>
      </c>
      <c r="DE400" s="16" t="n">
        <v>0</v>
      </c>
      <c r="DF400" s="16" t="n">
        <v>0</v>
      </c>
      <c r="DG400" s="16" t="n">
        <v>0</v>
      </c>
      <c r="DH400" s="16" t="n">
        <v>0</v>
      </c>
      <c r="DI400" s="16" t="n">
        <v>0</v>
      </c>
      <c r="DJ400" s="16" t="n">
        <v>0</v>
      </c>
      <c r="DK400" s="16" t="n">
        <v>0</v>
      </c>
      <c r="DL400" s="16" t="n">
        <v>0</v>
      </c>
      <c r="DM400" s="16" t="n">
        <v>0</v>
      </c>
      <c r="DN400" s="16" t="n">
        <v>0</v>
      </c>
      <c r="DO400" s="16" t="n">
        <v>0</v>
      </c>
      <c r="DP400" s="16" t="n">
        <v>0</v>
      </c>
      <c r="DQ400" s="16" t="n">
        <v>0</v>
      </c>
      <c r="DR400" s="16" t="n">
        <v>0</v>
      </c>
      <c r="DS400" s="16" t="n">
        <v>0</v>
      </c>
      <c r="DT400" s="16" t="n">
        <v>0</v>
      </c>
      <c r="DU400" s="16" t="n">
        <v>0</v>
      </c>
      <c r="DV400" s="16" t="n">
        <v>0</v>
      </c>
      <c r="DW400" s="16" t="n">
        <v>0</v>
      </c>
      <c r="DX400" s="16" t="n">
        <v>0</v>
      </c>
      <c r="DY400" s="16" t="n">
        <v>0</v>
      </c>
      <c r="DZ400" s="16" t="n">
        <v>0</v>
      </c>
      <c r="EA400" s="16" t="n">
        <v>0</v>
      </c>
      <c r="EB400" s="16" t="n">
        <v>0</v>
      </c>
      <c r="EC400" s="16" t="n">
        <v>0</v>
      </c>
      <c r="ED400" s="16" t="n">
        <v>0</v>
      </c>
      <c r="EE400" s="16" t="n">
        <v>0</v>
      </c>
      <c r="EF400" s="16" t="n">
        <v>0</v>
      </c>
    </row>
    <row r="401" customFormat="false" ht="15" hidden="false" customHeight="true" outlineLevel="0" collapsed="false">
      <c r="A401" s="9" t="s">
        <v>12</v>
      </c>
      <c r="B401" s="9" t="s">
        <v>30</v>
      </c>
      <c r="C401" s="9" t="s">
        <v>30</v>
      </c>
      <c r="D401" s="9" t="s">
        <v>335</v>
      </c>
      <c r="E401" s="9" t="s">
        <v>14</v>
      </c>
      <c r="F401" s="9" t="s">
        <v>83</v>
      </c>
      <c r="G401" s="16" t="n">
        <v>0</v>
      </c>
      <c r="H401" s="16" t="n">
        <v>0</v>
      </c>
      <c r="I401" s="16" t="n">
        <v>2</v>
      </c>
      <c r="J401" s="16" t="n">
        <v>-2</v>
      </c>
      <c r="K401" s="16" t="n">
        <v>0</v>
      </c>
      <c r="L401" s="16" t="n">
        <v>0</v>
      </c>
      <c r="M401" s="16" t="n">
        <v>0</v>
      </c>
      <c r="N401" s="16" t="n">
        <v>0</v>
      </c>
      <c r="O401" s="16" t="n">
        <v>0</v>
      </c>
      <c r="P401" s="16" t="n">
        <v>0</v>
      </c>
      <c r="Q401" s="16" t="n">
        <v>0</v>
      </c>
      <c r="R401" s="16" t="n">
        <v>0</v>
      </c>
      <c r="S401" s="16" t="n">
        <v>0</v>
      </c>
      <c r="T401" s="16" t="n">
        <v>0</v>
      </c>
      <c r="U401" s="16" t="n">
        <v>0</v>
      </c>
      <c r="V401" s="16" t="n">
        <v>0</v>
      </c>
      <c r="W401" s="16" t="n">
        <v>0</v>
      </c>
      <c r="X401" s="16" t="n">
        <v>0</v>
      </c>
      <c r="Y401" s="16" t="n">
        <v>0</v>
      </c>
      <c r="Z401" s="16" t="n">
        <v>0</v>
      </c>
      <c r="AA401" s="16" t="n">
        <v>0</v>
      </c>
      <c r="AB401" s="16" t="n">
        <v>0</v>
      </c>
      <c r="AC401" s="16" t="n">
        <v>0</v>
      </c>
      <c r="AD401" s="16" t="n">
        <v>0</v>
      </c>
      <c r="AE401" s="16" t="n">
        <v>0</v>
      </c>
      <c r="AF401" s="16" t="n">
        <v>0</v>
      </c>
      <c r="AG401" s="16" t="n">
        <v>0</v>
      </c>
      <c r="AH401" s="16" t="n">
        <v>0</v>
      </c>
      <c r="AI401" s="16" t="n">
        <v>0</v>
      </c>
      <c r="AJ401" s="16" t="n">
        <v>0</v>
      </c>
      <c r="AK401" s="16" t="n">
        <v>0</v>
      </c>
      <c r="AL401" s="16" t="n">
        <v>0</v>
      </c>
      <c r="AM401" s="16" t="n">
        <v>2</v>
      </c>
      <c r="AN401" s="16" t="n">
        <v>0</v>
      </c>
      <c r="AO401" s="16" t="n">
        <v>0</v>
      </c>
      <c r="AP401" s="16" t="n">
        <v>0</v>
      </c>
      <c r="AQ401" s="16" t="n">
        <v>0</v>
      </c>
      <c r="AR401" s="16" t="n">
        <v>0</v>
      </c>
      <c r="AS401" s="16" t="n">
        <v>0</v>
      </c>
      <c r="AT401" s="16" t="n">
        <v>0</v>
      </c>
      <c r="AU401" s="16" t="n">
        <v>0</v>
      </c>
      <c r="AV401" s="16" t="n">
        <v>0</v>
      </c>
      <c r="AW401" s="16" t="n">
        <v>0</v>
      </c>
      <c r="AX401" s="16" t="n">
        <v>0</v>
      </c>
      <c r="AY401" s="16" t="n">
        <v>0</v>
      </c>
      <c r="AZ401" s="16" t="n">
        <v>0</v>
      </c>
      <c r="BA401" s="16" t="n">
        <v>0</v>
      </c>
      <c r="BB401" s="16" t="n">
        <v>0</v>
      </c>
      <c r="BC401" s="16" t="n">
        <v>0</v>
      </c>
      <c r="BD401" s="16" t="n">
        <v>0</v>
      </c>
      <c r="BE401" s="16" t="n">
        <v>0</v>
      </c>
      <c r="BF401" s="16" t="n">
        <v>0</v>
      </c>
      <c r="BG401" s="16" t="n">
        <v>0</v>
      </c>
      <c r="BH401" s="16" t="n">
        <v>0</v>
      </c>
      <c r="BI401" s="16" t="n">
        <v>0</v>
      </c>
      <c r="BJ401" s="16" t="n">
        <v>0</v>
      </c>
      <c r="BK401" s="16" t="n">
        <v>0</v>
      </c>
      <c r="BL401" s="16" t="n">
        <v>0</v>
      </c>
      <c r="BM401" s="16" t="n">
        <v>0</v>
      </c>
      <c r="BN401" s="16" t="n">
        <v>0</v>
      </c>
      <c r="BO401" s="16" t="n">
        <v>0</v>
      </c>
      <c r="BP401" s="16" t="n">
        <v>0</v>
      </c>
      <c r="BQ401" s="16" t="n">
        <v>0</v>
      </c>
      <c r="BR401" s="16" t="n">
        <v>0</v>
      </c>
      <c r="BS401" s="16" t="n">
        <v>0</v>
      </c>
      <c r="BT401" s="16" t="n">
        <v>0</v>
      </c>
      <c r="BU401" s="16" t="n">
        <v>0</v>
      </c>
      <c r="BV401" s="16" t="n">
        <v>0</v>
      </c>
      <c r="BW401" s="16" t="n">
        <v>0</v>
      </c>
      <c r="BX401" s="16" t="n">
        <v>0</v>
      </c>
      <c r="BY401" s="16" t="n">
        <v>0</v>
      </c>
      <c r="BZ401" s="16" t="n">
        <v>0</v>
      </c>
      <c r="CA401" s="16" t="n">
        <v>0</v>
      </c>
      <c r="CB401" s="16" t="n">
        <v>0</v>
      </c>
      <c r="CC401" s="16" t="n">
        <v>0</v>
      </c>
      <c r="CD401" s="16" t="n">
        <v>0</v>
      </c>
      <c r="CE401" s="16" t="n">
        <v>0</v>
      </c>
      <c r="CF401" s="16" t="n">
        <v>0</v>
      </c>
      <c r="CG401" s="16" t="n">
        <v>0</v>
      </c>
      <c r="CH401" s="16" t="n">
        <v>0</v>
      </c>
      <c r="CI401" s="16" t="n">
        <v>0</v>
      </c>
      <c r="CJ401" s="16" t="n">
        <v>0</v>
      </c>
      <c r="CK401" s="16" t="n">
        <v>0</v>
      </c>
      <c r="CL401" s="16" t="n">
        <v>0</v>
      </c>
      <c r="CM401" s="16" t="n">
        <v>0</v>
      </c>
      <c r="CN401" s="16" t="n">
        <v>0</v>
      </c>
      <c r="CO401" s="16" t="n">
        <v>0</v>
      </c>
      <c r="CP401" s="16" t="n">
        <v>0</v>
      </c>
      <c r="CQ401" s="16" t="n">
        <v>0</v>
      </c>
      <c r="CR401" s="16" t="n">
        <v>0</v>
      </c>
      <c r="CS401" s="16" t="n">
        <v>0</v>
      </c>
      <c r="CT401" s="16" t="n">
        <v>0</v>
      </c>
      <c r="CU401" s="16" t="n">
        <v>0</v>
      </c>
      <c r="CV401" s="16" t="n">
        <v>0</v>
      </c>
      <c r="CW401" s="16" t="n">
        <v>0</v>
      </c>
      <c r="CX401" s="16" t="n">
        <v>0</v>
      </c>
      <c r="CY401" s="16" t="n">
        <v>0</v>
      </c>
      <c r="CZ401" s="16" t="n">
        <v>0</v>
      </c>
      <c r="DA401" s="16" t="n">
        <v>0</v>
      </c>
      <c r="DB401" s="16" t="n">
        <v>0</v>
      </c>
      <c r="DC401" s="16" t="n">
        <v>0</v>
      </c>
      <c r="DD401" s="16" t="n">
        <v>0</v>
      </c>
      <c r="DE401" s="16" t="n">
        <v>0</v>
      </c>
      <c r="DF401" s="16" t="n">
        <v>0</v>
      </c>
      <c r="DG401" s="16" t="n">
        <v>0</v>
      </c>
      <c r="DH401" s="16" t="n">
        <v>0</v>
      </c>
      <c r="DI401" s="16" t="n">
        <v>0</v>
      </c>
      <c r="DJ401" s="16" t="n">
        <v>0</v>
      </c>
      <c r="DK401" s="16" t="n">
        <v>0</v>
      </c>
      <c r="DL401" s="16" t="n">
        <v>0</v>
      </c>
      <c r="DM401" s="16" t="n">
        <v>0</v>
      </c>
      <c r="DN401" s="16" t="n">
        <v>0</v>
      </c>
      <c r="DO401" s="16" t="n">
        <v>0</v>
      </c>
      <c r="DP401" s="16" t="n">
        <v>0</v>
      </c>
      <c r="DQ401" s="16" t="n">
        <v>0</v>
      </c>
      <c r="DR401" s="16" t="n">
        <v>0</v>
      </c>
      <c r="DS401" s="16" t="n">
        <v>0</v>
      </c>
      <c r="DT401" s="16" t="n">
        <v>0</v>
      </c>
      <c r="DU401" s="16" t="n">
        <v>0</v>
      </c>
      <c r="DV401" s="16" t="n">
        <v>0</v>
      </c>
      <c r="DW401" s="16" t="n">
        <v>0</v>
      </c>
      <c r="DX401" s="16" t="n">
        <v>0</v>
      </c>
      <c r="DY401" s="16" t="n">
        <v>0</v>
      </c>
      <c r="DZ401" s="16" t="n">
        <v>0</v>
      </c>
      <c r="EA401" s="16" t="n">
        <v>0</v>
      </c>
      <c r="EB401" s="16" t="n">
        <v>0</v>
      </c>
      <c r="EC401" s="16" t="n">
        <v>0</v>
      </c>
      <c r="ED401" s="16" t="n">
        <v>0</v>
      </c>
      <c r="EE401" s="16" t="n">
        <v>0</v>
      </c>
      <c r="EF401" s="16" t="n">
        <v>0</v>
      </c>
    </row>
    <row r="402" customFormat="false" ht="15" hidden="false" customHeight="true" outlineLevel="0" collapsed="false">
      <c r="A402" s="9" t="s">
        <v>12</v>
      </c>
      <c r="B402" s="9" t="s">
        <v>30</v>
      </c>
      <c r="C402" s="9" t="s">
        <v>30</v>
      </c>
      <c r="D402" s="9" t="s">
        <v>335</v>
      </c>
      <c r="E402" s="9" t="s">
        <v>14</v>
      </c>
      <c r="F402" s="9" t="s">
        <v>85</v>
      </c>
      <c r="G402" s="16" t="n">
        <v>0</v>
      </c>
      <c r="H402" s="16" t="n">
        <v>0</v>
      </c>
      <c r="I402" s="16" t="n">
        <v>381</v>
      </c>
      <c r="J402" s="16" t="n">
        <v>-381</v>
      </c>
      <c r="K402" s="16" t="n">
        <v>0</v>
      </c>
      <c r="L402" s="16" t="n">
        <v>0</v>
      </c>
      <c r="M402" s="16" t="n">
        <v>0</v>
      </c>
      <c r="N402" s="16" t="n">
        <v>0</v>
      </c>
      <c r="O402" s="16" t="n">
        <v>0</v>
      </c>
      <c r="P402" s="16" t="n">
        <v>0</v>
      </c>
      <c r="Q402" s="16" t="n">
        <v>0</v>
      </c>
      <c r="R402" s="16" t="n">
        <v>0</v>
      </c>
      <c r="S402" s="16" t="n">
        <v>0</v>
      </c>
      <c r="T402" s="16" t="n">
        <v>0</v>
      </c>
      <c r="U402" s="16" t="n">
        <v>0</v>
      </c>
      <c r="V402" s="16" t="n">
        <v>0</v>
      </c>
      <c r="W402" s="16" t="n">
        <v>0</v>
      </c>
      <c r="X402" s="16" t="n">
        <v>0</v>
      </c>
      <c r="Y402" s="16" t="n">
        <v>0</v>
      </c>
      <c r="Z402" s="16" t="n">
        <v>0</v>
      </c>
      <c r="AA402" s="16" t="n">
        <v>0</v>
      </c>
      <c r="AB402" s="16" t="n">
        <v>0</v>
      </c>
      <c r="AC402" s="16" t="n">
        <v>0</v>
      </c>
      <c r="AD402" s="16" t="n">
        <v>0</v>
      </c>
      <c r="AE402" s="16" t="n">
        <v>0</v>
      </c>
      <c r="AF402" s="16" t="n">
        <v>0</v>
      </c>
      <c r="AG402" s="16" t="n">
        <v>0</v>
      </c>
      <c r="AH402" s="16" t="n">
        <v>0</v>
      </c>
      <c r="AI402" s="16" t="n">
        <v>0</v>
      </c>
      <c r="AJ402" s="16" t="n">
        <v>10</v>
      </c>
      <c r="AK402" s="16" t="n">
        <v>14</v>
      </c>
      <c r="AL402" s="16" t="n">
        <v>14</v>
      </c>
      <c r="AM402" s="16" t="n">
        <v>15</v>
      </c>
      <c r="AN402" s="16" t="n">
        <v>9</v>
      </c>
      <c r="AO402" s="16" t="n">
        <v>0</v>
      </c>
      <c r="AP402" s="16" t="n">
        <v>23</v>
      </c>
      <c r="AQ402" s="16" t="n">
        <v>25</v>
      </c>
      <c r="AR402" s="16" t="n">
        <v>37</v>
      </c>
      <c r="AS402" s="16" t="n">
        <v>5</v>
      </c>
      <c r="AT402" s="16" t="n">
        <v>0</v>
      </c>
      <c r="AU402" s="16" t="n">
        <v>0</v>
      </c>
      <c r="AV402" s="16" t="n">
        <v>0</v>
      </c>
      <c r="AW402" s="16" t="n">
        <v>0</v>
      </c>
      <c r="AX402" s="16" t="n">
        <v>0</v>
      </c>
      <c r="AY402" s="16" t="n">
        <v>0</v>
      </c>
      <c r="AZ402" s="16" t="n">
        <v>0</v>
      </c>
      <c r="BA402" s="16" t="n">
        <v>0</v>
      </c>
      <c r="BB402" s="16" t="n">
        <v>0</v>
      </c>
      <c r="BC402" s="16" t="n">
        <v>0</v>
      </c>
      <c r="BD402" s="16" t="n">
        <v>0</v>
      </c>
      <c r="BE402" s="16" t="n">
        <v>0</v>
      </c>
      <c r="BF402" s="16" t="n">
        <v>0</v>
      </c>
      <c r="BG402" s="16" t="n">
        <v>0</v>
      </c>
      <c r="BH402" s="16" t="n">
        <v>0</v>
      </c>
      <c r="BI402" s="16" t="n">
        <v>0</v>
      </c>
      <c r="BJ402" s="16" t="n">
        <v>0</v>
      </c>
      <c r="BK402" s="16" t="n">
        <v>0</v>
      </c>
      <c r="BL402" s="16" t="n">
        <v>0</v>
      </c>
      <c r="BM402" s="16" t="n">
        <v>0</v>
      </c>
      <c r="BN402" s="16" t="n">
        <v>0</v>
      </c>
      <c r="BO402" s="16" t="n">
        <v>0</v>
      </c>
      <c r="BP402" s="16" t="n">
        <v>0</v>
      </c>
      <c r="BQ402" s="16" t="n">
        <v>0</v>
      </c>
      <c r="BR402" s="16" t="n">
        <v>0</v>
      </c>
      <c r="BS402" s="16" t="n">
        <v>0</v>
      </c>
      <c r="BT402" s="16" t="n">
        <v>0</v>
      </c>
      <c r="BU402" s="16" t="n">
        <v>0</v>
      </c>
      <c r="BV402" s="16" t="n">
        <v>0</v>
      </c>
      <c r="BW402" s="16" t="n">
        <v>0</v>
      </c>
      <c r="BX402" s="16" t="n">
        <v>0</v>
      </c>
      <c r="BY402" s="16" t="n">
        <v>0</v>
      </c>
      <c r="BZ402" s="16" t="n">
        <v>0</v>
      </c>
      <c r="CA402" s="16" t="n">
        <v>0</v>
      </c>
      <c r="CB402" s="16" t="n">
        <v>0</v>
      </c>
      <c r="CC402" s="16" t="n">
        <v>0</v>
      </c>
      <c r="CD402" s="16" t="n">
        <v>0</v>
      </c>
      <c r="CE402" s="16" t="n">
        <v>0</v>
      </c>
      <c r="CF402" s="16" t="n">
        <v>0</v>
      </c>
      <c r="CG402" s="16" t="n">
        <v>0</v>
      </c>
      <c r="CH402" s="16" t="n">
        <v>0</v>
      </c>
      <c r="CI402" s="16" t="n">
        <v>0</v>
      </c>
      <c r="CJ402" s="16" t="n">
        <v>0</v>
      </c>
      <c r="CK402" s="16" t="n">
        <v>0</v>
      </c>
      <c r="CL402" s="16" t="n">
        <v>0</v>
      </c>
      <c r="CM402" s="16" t="n">
        <v>0</v>
      </c>
      <c r="CN402" s="16" t="n">
        <v>0</v>
      </c>
      <c r="CO402" s="16" t="n">
        <v>0</v>
      </c>
      <c r="CP402" s="16" t="n">
        <v>0</v>
      </c>
      <c r="CQ402" s="16" t="n">
        <v>0</v>
      </c>
      <c r="CR402" s="16" t="n">
        <v>0</v>
      </c>
      <c r="CS402" s="16" t="n">
        <v>5</v>
      </c>
      <c r="CT402" s="16" t="n">
        <v>2</v>
      </c>
      <c r="CU402" s="16" t="n">
        <v>14</v>
      </c>
      <c r="CV402" s="16" t="n">
        <v>2</v>
      </c>
      <c r="CW402" s="16" t="n">
        <v>2</v>
      </c>
      <c r="CX402" s="16" t="n">
        <v>9</v>
      </c>
      <c r="CY402" s="16" t="n">
        <v>40</v>
      </c>
      <c r="CZ402" s="16" t="n">
        <v>14</v>
      </c>
      <c r="DA402" s="16" t="n">
        <v>2</v>
      </c>
      <c r="DB402" s="16" t="n">
        <v>2</v>
      </c>
      <c r="DC402" s="16" t="n">
        <v>2</v>
      </c>
      <c r="DD402" s="16" t="n">
        <v>2</v>
      </c>
      <c r="DE402" s="16" t="n">
        <v>2</v>
      </c>
      <c r="DF402" s="16" t="n">
        <v>2</v>
      </c>
      <c r="DG402" s="16" t="n">
        <v>2</v>
      </c>
      <c r="DH402" s="16" t="n">
        <v>14</v>
      </c>
      <c r="DI402" s="16" t="n">
        <v>2</v>
      </c>
      <c r="DJ402" s="16" t="n">
        <v>0</v>
      </c>
      <c r="DK402" s="16" t="n">
        <v>9</v>
      </c>
      <c r="DL402" s="16" t="n">
        <v>40</v>
      </c>
      <c r="DM402" s="16" t="n">
        <v>12</v>
      </c>
      <c r="DN402" s="16" t="n">
        <v>4</v>
      </c>
      <c r="DO402" s="16" t="n">
        <v>25</v>
      </c>
      <c r="DP402" s="16" t="n">
        <v>14</v>
      </c>
      <c r="DQ402" s="16" t="n">
        <v>10</v>
      </c>
      <c r="DR402" s="16" t="n">
        <v>2</v>
      </c>
      <c r="DS402" s="16" t="n">
        <v>0</v>
      </c>
      <c r="DT402" s="16" t="n">
        <v>0</v>
      </c>
      <c r="DU402" s="16" t="n">
        <v>0</v>
      </c>
      <c r="DV402" s="16" t="n">
        <v>0</v>
      </c>
      <c r="DW402" s="16" t="n">
        <v>0</v>
      </c>
      <c r="DX402" s="16" t="n">
        <v>0</v>
      </c>
      <c r="DY402" s="16" t="n">
        <v>0</v>
      </c>
      <c r="DZ402" s="16" t="n">
        <v>0</v>
      </c>
      <c r="EA402" s="16" t="n">
        <v>0</v>
      </c>
      <c r="EB402" s="16" t="n">
        <v>0</v>
      </c>
      <c r="EC402" s="16" t="n">
        <v>0</v>
      </c>
      <c r="ED402" s="16" t="n">
        <v>0</v>
      </c>
      <c r="EE402" s="16" t="n">
        <v>0</v>
      </c>
      <c r="EF402" s="16" t="n">
        <v>0</v>
      </c>
    </row>
    <row r="403" customFormat="false" ht="15" hidden="false" customHeight="true" outlineLevel="0" collapsed="false">
      <c r="A403" s="9" t="s">
        <v>12</v>
      </c>
      <c r="B403" s="9" t="s">
        <v>30</v>
      </c>
      <c r="C403" s="9" t="s">
        <v>30</v>
      </c>
      <c r="D403" s="9" t="s">
        <v>336</v>
      </c>
      <c r="E403" s="9" t="s">
        <v>14</v>
      </c>
      <c r="F403" s="9" t="s">
        <v>85</v>
      </c>
      <c r="G403" s="16" t="n">
        <v>150.5</v>
      </c>
      <c r="H403" s="16" t="n">
        <v>518.5</v>
      </c>
      <c r="I403" s="16" t="n">
        <v>15.5</v>
      </c>
      <c r="J403" s="16" t="n">
        <v>503</v>
      </c>
      <c r="K403" s="16" t="n">
        <v>0</v>
      </c>
      <c r="L403" s="16" t="n">
        <v>0</v>
      </c>
      <c r="M403" s="16" t="n">
        <v>0</v>
      </c>
      <c r="N403" s="16" t="n">
        <v>0</v>
      </c>
      <c r="O403" s="16" t="n">
        <v>0</v>
      </c>
      <c r="P403" s="16" t="n">
        <v>0</v>
      </c>
      <c r="Q403" s="16" t="n">
        <v>0</v>
      </c>
      <c r="R403" s="16" t="n">
        <v>0</v>
      </c>
      <c r="S403" s="16" t="n">
        <v>0</v>
      </c>
      <c r="T403" s="16" t="n">
        <v>0</v>
      </c>
      <c r="U403" s="16" t="n">
        <v>0</v>
      </c>
      <c r="V403" s="16" t="n">
        <v>0</v>
      </c>
      <c r="W403" s="16" t="n">
        <v>0</v>
      </c>
      <c r="X403" s="16" t="n">
        <v>0</v>
      </c>
      <c r="Y403" s="16" t="n">
        <v>0</v>
      </c>
      <c r="Z403" s="16" t="n">
        <v>0</v>
      </c>
      <c r="AA403" s="16" t="n">
        <v>0</v>
      </c>
      <c r="AB403" s="16" t="n">
        <v>0</v>
      </c>
      <c r="AC403" s="16" t="n">
        <v>0</v>
      </c>
      <c r="AD403" s="16" t="n">
        <v>0</v>
      </c>
      <c r="AE403" s="16" t="n">
        <v>3</v>
      </c>
      <c r="AF403" s="16" t="n">
        <v>2.5</v>
      </c>
      <c r="AG403" s="16" t="n">
        <v>5</v>
      </c>
      <c r="AH403" s="16" t="n">
        <v>3</v>
      </c>
      <c r="AI403" s="16" t="n">
        <v>2</v>
      </c>
      <c r="AJ403" s="16" t="n">
        <v>0</v>
      </c>
      <c r="AK403" s="16" t="n">
        <v>0</v>
      </c>
      <c r="AL403" s="16" t="n">
        <v>0</v>
      </c>
      <c r="AM403" s="16" t="n">
        <v>0</v>
      </c>
      <c r="AN403" s="16" t="n">
        <v>0</v>
      </c>
      <c r="AO403" s="16" t="n">
        <v>0</v>
      </c>
      <c r="AP403" s="16" t="n">
        <v>0</v>
      </c>
      <c r="AQ403" s="16" t="n">
        <v>0</v>
      </c>
      <c r="AR403" s="16" t="n">
        <v>0</v>
      </c>
      <c r="AS403" s="16" t="n">
        <v>0</v>
      </c>
      <c r="AT403" s="16" t="n">
        <v>0</v>
      </c>
      <c r="AU403" s="16" t="n">
        <v>0</v>
      </c>
      <c r="AV403" s="16" t="n">
        <v>0</v>
      </c>
      <c r="AW403" s="16" t="n">
        <v>0</v>
      </c>
      <c r="AX403" s="16" t="n">
        <v>0</v>
      </c>
      <c r="AY403" s="16" t="n">
        <v>0</v>
      </c>
      <c r="AZ403" s="16" t="n">
        <v>0</v>
      </c>
      <c r="BA403" s="16" t="n">
        <v>0</v>
      </c>
      <c r="BB403" s="16" t="n">
        <v>0</v>
      </c>
      <c r="BC403" s="16" t="n">
        <v>0</v>
      </c>
      <c r="BD403" s="16" t="n">
        <v>0</v>
      </c>
      <c r="BE403" s="16" t="n">
        <v>0</v>
      </c>
      <c r="BF403" s="16" t="n">
        <v>0</v>
      </c>
      <c r="BG403" s="16" t="n">
        <v>0</v>
      </c>
      <c r="BH403" s="16" t="n">
        <v>0</v>
      </c>
      <c r="BI403" s="16" t="n">
        <v>0</v>
      </c>
      <c r="BJ403" s="16" t="n">
        <v>0</v>
      </c>
      <c r="BK403" s="16" t="n">
        <v>0</v>
      </c>
      <c r="BL403" s="16" t="n">
        <v>0</v>
      </c>
      <c r="BM403" s="16" t="n">
        <v>0</v>
      </c>
      <c r="BN403" s="16" t="n">
        <v>0</v>
      </c>
      <c r="BO403" s="16" t="n">
        <v>0</v>
      </c>
      <c r="BP403" s="16" t="n">
        <v>0</v>
      </c>
      <c r="BQ403" s="16" t="n">
        <v>0</v>
      </c>
      <c r="BR403" s="16" t="n">
        <v>0</v>
      </c>
      <c r="BS403" s="16" t="n">
        <v>0</v>
      </c>
      <c r="BT403" s="16" t="n">
        <v>0</v>
      </c>
      <c r="BU403" s="16" t="n">
        <v>0</v>
      </c>
      <c r="BV403" s="16" t="n">
        <v>0</v>
      </c>
      <c r="BW403" s="16" t="n">
        <v>0</v>
      </c>
      <c r="BX403" s="16" t="n">
        <v>0</v>
      </c>
      <c r="BY403" s="16" t="n">
        <v>0</v>
      </c>
      <c r="BZ403" s="16" t="n">
        <v>0</v>
      </c>
      <c r="CA403" s="16" t="n">
        <v>0</v>
      </c>
      <c r="CB403" s="16" t="n">
        <v>0</v>
      </c>
      <c r="CC403" s="16" t="n">
        <v>0</v>
      </c>
      <c r="CD403" s="16" t="n">
        <v>0</v>
      </c>
      <c r="CE403" s="16" t="n">
        <v>0</v>
      </c>
      <c r="CF403" s="16" t="n">
        <v>0</v>
      </c>
      <c r="CG403" s="16" t="n">
        <v>0</v>
      </c>
      <c r="CH403" s="16" t="n">
        <v>0</v>
      </c>
      <c r="CI403" s="16" t="n">
        <v>0</v>
      </c>
      <c r="CJ403" s="16" t="n">
        <v>0</v>
      </c>
      <c r="CK403" s="16" t="n">
        <v>0</v>
      </c>
      <c r="CL403" s="16" t="n">
        <v>0</v>
      </c>
      <c r="CM403" s="16" t="n">
        <v>0</v>
      </c>
      <c r="CN403" s="16" t="n">
        <v>0</v>
      </c>
      <c r="CO403" s="16" t="n">
        <v>0</v>
      </c>
      <c r="CP403" s="16" t="n">
        <v>0</v>
      </c>
      <c r="CQ403" s="16" t="n">
        <v>0</v>
      </c>
      <c r="CR403" s="16" t="n">
        <v>0</v>
      </c>
      <c r="CS403" s="16" t="n">
        <v>0</v>
      </c>
      <c r="CT403" s="16" t="n">
        <v>0</v>
      </c>
      <c r="CU403" s="16" t="n">
        <v>0</v>
      </c>
      <c r="CV403" s="16" t="n">
        <v>0</v>
      </c>
      <c r="CW403" s="16" t="n">
        <v>0</v>
      </c>
      <c r="CX403" s="16" t="n">
        <v>0</v>
      </c>
      <c r="CY403" s="16" t="n">
        <v>0</v>
      </c>
      <c r="CZ403" s="16" t="n">
        <v>0</v>
      </c>
      <c r="DA403" s="16" t="n">
        <v>0</v>
      </c>
      <c r="DB403" s="16" t="n">
        <v>0</v>
      </c>
      <c r="DC403" s="16" t="n">
        <v>0</v>
      </c>
      <c r="DD403" s="16" t="n">
        <v>0</v>
      </c>
      <c r="DE403" s="16" t="n">
        <v>0</v>
      </c>
      <c r="DF403" s="16" t="n">
        <v>0</v>
      </c>
      <c r="DG403" s="16" t="n">
        <v>0</v>
      </c>
      <c r="DH403" s="16" t="n">
        <v>0</v>
      </c>
      <c r="DI403" s="16" t="n">
        <v>0</v>
      </c>
      <c r="DJ403" s="16" t="n">
        <v>0</v>
      </c>
      <c r="DK403" s="16" t="n">
        <v>0</v>
      </c>
      <c r="DL403" s="16" t="n">
        <v>0</v>
      </c>
      <c r="DM403" s="16" t="n">
        <v>0</v>
      </c>
      <c r="DN403" s="16" t="n">
        <v>0</v>
      </c>
      <c r="DO403" s="16" t="n">
        <v>0</v>
      </c>
      <c r="DP403" s="16" t="n">
        <v>0</v>
      </c>
      <c r="DQ403" s="16" t="n">
        <v>0</v>
      </c>
      <c r="DR403" s="16" t="n">
        <v>0</v>
      </c>
      <c r="DS403" s="16" t="n">
        <v>0</v>
      </c>
      <c r="DT403" s="16" t="n">
        <v>0</v>
      </c>
      <c r="DU403" s="16" t="n">
        <v>0</v>
      </c>
      <c r="DV403" s="16" t="n">
        <v>0</v>
      </c>
      <c r="DW403" s="16" t="n">
        <v>0</v>
      </c>
      <c r="DX403" s="16" t="n">
        <v>0</v>
      </c>
      <c r="DY403" s="16" t="n">
        <v>0</v>
      </c>
      <c r="DZ403" s="16" t="n">
        <v>0</v>
      </c>
      <c r="EA403" s="16" t="n">
        <v>0</v>
      </c>
      <c r="EB403" s="16" t="n">
        <v>0</v>
      </c>
      <c r="EC403" s="16" t="n">
        <v>0</v>
      </c>
      <c r="ED403" s="16" t="n">
        <v>0</v>
      </c>
      <c r="EE403" s="16" t="n">
        <v>0</v>
      </c>
      <c r="EF403" s="16" t="n">
        <v>0</v>
      </c>
    </row>
    <row r="404" customFormat="false" ht="15" hidden="false" customHeight="true" outlineLevel="0" collapsed="false">
      <c r="A404" s="9" t="s">
        <v>12</v>
      </c>
      <c r="B404" s="9" t="s">
        <v>30</v>
      </c>
      <c r="C404" s="9" t="s">
        <v>30</v>
      </c>
      <c r="D404" s="9" t="s">
        <v>335</v>
      </c>
      <c r="E404" s="9" t="s">
        <v>14</v>
      </c>
      <c r="F404" s="9" t="s">
        <v>99</v>
      </c>
      <c r="G404" s="16" t="n">
        <v>0</v>
      </c>
      <c r="H404" s="16" t="n">
        <v>0</v>
      </c>
      <c r="I404" s="16" t="n">
        <v>73.5</v>
      </c>
      <c r="J404" s="16" t="n">
        <v>-73.5</v>
      </c>
      <c r="K404" s="16" t="n">
        <v>0</v>
      </c>
      <c r="L404" s="16" t="n">
        <v>0</v>
      </c>
      <c r="M404" s="16" t="n">
        <v>0</v>
      </c>
      <c r="N404" s="16" t="n">
        <v>0</v>
      </c>
      <c r="O404" s="16" t="n">
        <v>0</v>
      </c>
      <c r="P404" s="16" t="n">
        <v>0</v>
      </c>
      <c r="Q404" s="16" t="n">
        <v>0</v>
      </c>
      <c r="R404" s="16" t="n">
        <v>0</v>
      </c>
      <c r="S404" s="16" t="n">
        <v>0</v>
      </c>
      <c r="T404" s="16" t="n">
        <v>0</v>
      </c>
      <c r="U404" s="16" t="n">
        <v>0</v>
      </c>
      <c r="V404" s="16" t="n">
        <v>0</v>
      </c>
      <c r="W404" s="16" t="n">
        <v>0</v>
      </c>
      <c r="X404" s="16" t="n">
        <v>0</v>
      </c>
      <c r="Y404" s="16" t="n">
        <v>0</v>
      </c>
      <c r="Z404" s="16" t="n">
        <v>0</v>
      </c>
      <c r="AA404" s="16" t="n">
        <v>0</v>
      </c>
      <c r="AB404" s="16" t="n">
        <v>0</v>
      </c>
      <c r="AC404" s="16" t="n">
        <v>0</v>
      </c>
      <c r="AD404" s="16" t="n">
        <v>0</v>
      </c>
      <c r="AE404" s="16" t="n">
        <v>0</v>
      </c>
      <c r="AF404" s="16" t="n">
        <v>0</v>
      </c>
      <c r="AG404" s="16" t="n">
        <v>0</v>
      </c>
      <c r="AH404" s="16" t="n">
        <v>0</v>
      </c>
      <c r="AI404" s="16" t="n">
        <v>0</v>
      </c>
      <c r="AJ404" s="16" t="n">
        <v>8</v>
      </c>
      <c r="AK404" s="16" t="n">
        <v>6</v>
      </c>
      <c r="AL404" s="16" t="n">
        <v>13</v>
      </c>
      <c r="AM404" s="16" t="n">
        <v>5</v>
      </c>
      <c r="AN404" s="16" t="n">
        <v>0</v>
      </c>
      <c r="AO404" s="16" t="n">
        <v>0</v>
      </c>
      <c r="AP404" s="16" t="n">
        <v>0</v>
      </c>
      <c r="AQ404" s="16" t="n">
        <v>0</v>
      </c>
      <c r="AR404" s="16" t="n">
        <v>2.5</v>
      </c>
      <c r="AS404" s="16" t="n">
        <v>3</v>
      </c>
      <c r="AT404" s="16" t="n">
        <v>0</v>
      </c>
      <c r="AU404" s="16" t="n">
        <v>0</v>
      </c>
      <c r="AV404" s="16" t="n">
        <v>0</v>
      </c>
      <c r="AW404" s="16" t="n">
        <v>0</v>
      </c>
      <c r="AX404" s="16" t="n">
        <v>0</v>
      </c>
      <c r="AY404" s="16" t="n">
        <v>0</v>
      </c>
      <c r="AZ404" s="16" t="n">
        <v>0</v>
      </c>
      <c r="BA404" s="16" t="n">
        <v>0</v>
      </c>
      <c r="BB404" s="16" t="n">
        <v>0</v>
      </c>
      <c r="BC404" s="16" t="n">
        <v>0</v>
      </c>
      <c r="BD404" s="16" t="n">
        <v>0</v>
      </c>
      <c r="BE404" s="16" t="n">
        <v>0</v>
      </c>
      <c r="BF404" s="16" t="n">
        <v>0</v>
      </c>
      <c r="BG404" s="16" t="n">
        <v>0</v>
      </c>
      <c r="BH404" s="16" t="n">
        <v>0</v>
      </c>
      <c r="BI404" s="16" t="n">
        <v>0</v>
      </c>
      <c r="BJ404" s="16" t="n">
        <v>0</v>
      </c>
      <c r="BK404" s="16" t="n">
        <v>0</v>
      </c>
      <c r="BL404" s="16" t="n">
        <v>0</v>
      </c>
      <c r="BM404" s="16" t="n">
        <v>0</v>
      </c>
      <c r="BN404" s="16" t="n">
        <v>0</v>
      </c>
      <c r="BO404" s="16" t="n">
        <v>0</v>
      </c>
      <c r="BP404" s="16" t="n">
        <v>0</v>
      </c>
      <c r="BQ404" s="16" t="n">
        <v>0</v>
      </c>
      <c r="BR404" s="16" t="n">
        <v>0</v>
      </c>
      <c r="BS404" s="16" t="n">
        <v>0</v>
      </c>
      <c r="BT404" s="16" t="n">
        <v>0</v>
      </c>
      <c r="BU404" s="16" t="n">
        <v>0</v>
      </c>
      <c r="BV404" s="16" t="n">
        <v>0</v>
      </c>
      <c r="BW404" s="16" t="n">
        <v>0</v>
      </c>
      <c r="BX404" s="16" t="n">
        <v>0</v>
      </c>
      <c r="BY404" s="16" t="n">
        <v>0</v>
      </c>
      <c r="BZ404" s="16" t="n">
        <v>0</v>
      </c>
      <c r="CA404" s="16" t="n">
        <v>0</v>
      </c>
      <c r="CB404" s="16" t="n">
        <v>0</v>
      </c>
      <c r="CC404" s="16" t="n">
        <v>0</v>
      </c>
      <c r="CD404" s="16" t="n">
        <v>0</v>
      </c>
      <c r="CE404" s="16" t="n">
        <v>0</v>
      </c>
      <c r="CF404" s="16" t="n">
        <v>0</v>
      </c>
      <c r="CG404" s="16" t="n">
        <v>0</v>
      </c>
      <c r="CH404" s="16" t="n">
        <v>0</v>
      </c>
      <c r="CI404" s="16" t="n">
        <v>0</v>
      </c>
      <c r="CJ404" s="16" t="n">
        <v>0</v>
      </c>
      <c r="CK404" s="16" t="n">
        <v>0</v>
      </c>
      <c r="CL404" s="16" t="n">
        <v>0</v>
      </c>
      <c r="CM404" s="16" t="n">
        <v>0</v>
      </c>
      <c r="CN404" s="16" t="n">
        <v>0</v>
      </c>
      <c r="CO404" s="16" t="n">
        <v>0</v>
      </c>
      <c r="CP404" s="16" t="n">
        <v>0</v>
      </c>
      <c r="CQ404" s="16" t="n">
        <v>0</v>
      </c>
      <c r="CR404" s="16" t="n">
        <v>0</v>
      </c>
      <c r="CS404" s="16" t="n">
        <v>10</v>
      </c>
      <c r="CT404" s="16" t="n">
        <v>12</v>
      </c>
      <c r="CU404" s="16" t="n">
        <v>10</v>
      </c>
      <c r="CV404" s="16" t="n">
        <v>7</v>
      </c>
      <c r="CW404" s="16" t="n">
        <v>0</v>
      </c>
      <c r="CX404" s="16" t="n">
        <v>0</v>
      </c>
      <c r="CY404" s="16" t="n">
        <v>0</v>
      </c>
      <c r="CZ404" s="16" t="n">
        <v>0</v>
      </c>
      <c r="DA404" s="16" t="n">
        <v>0</v>
      </c>
      <c r="DB404" s="16" t="n">
        <v>0</v>
      </c>
      <c r="DC404" s="16" t="n">
        <v>0</v>
      </c>
      <c r="DD404" s="16" t="n">
        <v>0</v>
      </c>
      <c r="DE404" s="16" t="n">
        <v>0</v>
      </c>
      <c r="DF404" s="16" t="n">
        <v>0</v>
      </c>
      <c r="DG404" s="16" t="n">
        <v>0</v>
      </c>
      <c r="DH404" s="16" t="n">
        <v>0</v>
      </c>
      <c r="DI404" s="16" t="n">
        <v>0</v>
      </c>
      <c r="DJ404" s="16" t="n">
        <v>0</v>
      </c>
      <c r="DK404" s="16" t="n">
        <v>0</v>
      </c>
      <c r="DL404" s="16" t="n">
        <v>0</v>
      </c>
      <c r="DM404" s="16" t="n">
        <v>0</v>
      </c>
      <c r="DN404" s="16" t="n">
        <v>0</v>
      </c>
      <c r="DO404" s="16" t="n">
        <v>0</v>
      </c>
      <c r="DP404" s="16" t="n">
        <v>0</v>
      </c>
      <c r="DQ404" s="16" t="n">
        <v>0</v>
      </c>
      <c r="DR404" s="16" t="n">
        <v>0</v>
      </c>
      <c r="DS404" s="16" t="n">
        <v>0</v>
      </c>
      <c r="DT404" s="16" t="n">
        <v>0</v>
      </c>
      <c r="DU404" s="16" t="n">
        <v>0</v>
      </c>
      <c r="DV404" s="16" t="n">
        <v>0</v>
      </c>
      <c r="DW404" s="16" t="n">
        <v>0</v>
      </c>
      <c r="DX404" s="16" t="n">
        <v>0</v>
      </c>
      <c r="DY404" s="16" t="n">
        <v>0</v>
      </c>
      <c r="DZ404" s="16" t="n">
        <v>0</v>
      </c>
      <c r="EA404" s="16" t="n">
        <v>0</v>
      </c>
      <c r="EB404" s="16" t="n">
        <v>0</v>
      </c>
      <c r="EC404" s="16" t="n">
        <v>0</v>
      </c>
      <c r="ED404" s="16" t="n">
        <v>0</v>
      </c>
      <c r="EE404" s="16" t="n">
        <v>0</v>
      </c>
      <c r="EF404" s="16" t="n">
        <v>0</v>
      </c>
    </row>
    <row r="405" customFormat="false" ht="15" hidden="false" customHeight="true" outlineLevel="0" collapsed="false">
      <c r="A405" s="9" t="s">
        <v>12</v>
      </c>
      <c r="B405" s="9" t="s">
        <v>30</v>
      </c>
      <c r="C405" s="9" t="s">
        <v>30</v>
      </c>
      <c r="D405" s="9" t="s">
        <v>336</v>
      </c>
      <c r="E405" s="9" t="s">
        <v>14</v>
      </c>
      <c r="F405" s="9" t="s">
        <v>99</v>
      </c>
      <c r="G405" s="16" t="n">
        <v>162</v>
      </c>
      <c r="H405" s="16" t="n">
        <v>200</v>
      </c>
      <c r="I405" s="16" t="n">
        <v>59</v>
      </c>
      <c r="J405" s="16" t="n">
        <v>141</v>
      </c>
      <c r="K405" s="16" t="n">
        <v>0</v>
      </c>
      <c r="L405" s="16" t="n">
        <v>0</v>
      </c>
      <c r="M405" s="16" t="n">
        <v>0</v>
      </c>
      <c r="N405" s="16" t="n">
        <v>0</v>
      </c>
      <c r="O405" s="16" t="n">
        <v>0</v>
      </c>
      <c r="P405" s="16" t="n">
        <v>0</v>
      </c>
      <c r="Q405" s="16" t="n">
        <v>0</v>
      </c>
      <c r="R405" s="16" t="n">
        <v>0</v>
      </c>
      <c r="S405" s="16" t="n">
        <v>0</v>
      </c>
      <c r="T405" s="16" t="n">
        <v>0</v>
      </c>
      <c r="U405" s="16" t="n">
        <v>0</v>
      </c>
      <c r="V405" s="16" t="n">
        <v>0</v>
      </c>
      <c r="W405" s="16" t="n">
        <v>0</v>
      </c>
      <c r="X405" s="16" t="n">
        <v>0</v>
      </c>
      <c r="Y405" s="16" t="n">
        <v>0</v>
      </c>
      <c r="Z405" s="16" t="n">
        <v>0</v>
      </c>
      <c r="AA405" s="16" t="n">
        <v>0</v>
      </c>
      <c r="AB405" s="16" t="n">
        <v>0</v>
      </c>
      <c r="AC405" s="16" t="n">
        <v>0</v>
      </c>
      <c r="AD405" s="16" t="n">
        <v>0</v>
      </c>
      <c r="AE405" s="16" t="n">
        <v>0</v>
      </c>
      <c r="AF405" s="16" t="n">
        <v>0</v>
      </c>
      <c r="AG405" s="16" t="n">
        <v>0</v>
      </c>
      <c r="AH405" s="16" t="n">
        <v>16</v>
      </c>
      <c r="AI405" s="16" t="n">
        <v>31</v>
      </c>
      <c r="AJ405" s="16" t="n">
        <v>12</v>
      </c>
      <c r="AK405" s="16" t="n">
        <v>0</v>
      </c>
      <c r="AL405" s="16" t="n">
        <v>0</v>
      </c>
      <c r="AM405" s="16" t="n">
        <v>0</v>
      </c>
      <c r="AN405" s="16" t="n">
        <v>0</v>
      </c>
      <c r="AO405" s="16" t="n">
        <v>0</v>
      </c>
      <c r="AP405" s="16" t="n">
        <v>0</v>
      </c>
      <c r="AQ405" s="16" t="n">
        <v>0</v>
      </c>
      <c r="AR405" s="16" t="n">
        <v>0</v>
      </c>
      <c r="AS405" s="16" t="n">
        <v>0</v>
      </c>
      <c r="AT405" s="16" t="n">
        <v>0</v>
      </c>
      <c r="AU405" s="16" t="n">
        <v>0</v>
      </c>
      <c r="AV405" s="16" t="n">
        <v>0</v>
      </c>
      <c r="AW405" s="16" t="n">
        <v>0</v>
      </c>
      <c r="AX405" s="16" t="n">
        <v>0</v>
      </c>
      <c r="AY405" s="16" t="n">
        <v>0</v>
      </c>
      <c r="AZ405" s="16" t="n">
        <v>0</v>
      </c>
      <c r="BA405" s="16" t="n">
        <v>0</v>
      </c>
      <c r="BB405" s="16" t="n">
        <v>0</v>
      </c>
      <c r="BC405" s="16" t="n">
        <v>0</v>
      </c>
      <c r="BD405" s="16" t="n">
        <v>0</v>
      </c>
      <c r="BE405" s="16" t="n">
        <v>0</v>
      </c>
      <c r="BF405" s="16" t="n">
        <v>0</v>
      </c>
      <c r="BG405" s="16" t="n">
        <v>0</v>
      </c>
      <c r="BH405" s="16" t="n">
        <v>0</v>
      </c>
      <c r="BI405" s="16" t="n">
        <v>0</v>
      </c>
      <c r="BJ405" s="16" t="n">
        <v>0</v>
      </c>
      <c r="BK405" s="16" t="n">
        <v>0</v>
      </c>
      <c r="BL405" s="16" t="n">
        <v>0</v>
      </c>
      <c r="BM405" s="16" t="n">
        <v>0</v>
      </c>
      <c r="BN405" s="16" t="n">
        <v>0</v>
      </c>
      <c r="BO405" s="16" t="n">
        <v>0</v>
      </c>
      <c r="BP405" s="16" t="n">
        <v>0</v>
      </c>
      <c r="BQ405" s="16" t="n">
        <v>0</v>
      </c>
      <c r="BR405" s="16" t="n">
        <v>0</v>
      </c>
      <c r="BS405" s="16" t="n">
        <v>0</v>
      </c>
      <c r="BT405" s="16" t="n">
        <v>0</v>
      </c>
      <c r="BU405" s="16" t="n">
        <v>0</v>
      </c>
      <c r="BV405" s="16" t="n">
        <v>0</v>
      </c>
      <c r="BW405" s="16" t="n">
        <v>0</v>
      </c>
      <c r="BX405" s="16" t="n">
        <v>0</v>
      </c>
      <c r="BY405" s="16" t="n">
        <v>0</v>
      </c>
      <c r="BZ405" s="16" t="n">
        <v>0</v>
      </c>
      <c r="CA405" s="16" t="n">
        <v>0</v>
      </c>
      <c r="CB405" s="16" t="n">
        <v>0</v>
      </c>
      <c r="CC405" s="16" t="n">
        <v>0</v>
      </c>
      <c r="CD405" s="16" t="n">
        <v>0</v>
      </c>
      <c r="CE405" s="16" t="n">
        <v>0</v>
      </c>
      <c r="CF405" s="16" t="n">
        <v>0</v>
      </c>
      <c r="CG405" s="16" t="n">
        <v>0</v>
      </c>
      <c r="CH405" s="16" t="n">
        <v>0</v>
      </c>
      <c r="CI405" s="16" t="n">
        <v>0</v>
      </c>
      <c r="CJ405" s="16" t="n">
        <v>0</v>
      </c>
      <c r="CK405" s="16" t="n">
        <v>0</v>
      </c>
      <c r="CL405" s="16" t="n">
        <v>0</v>
      </c>
      <c r="CM405" s="16" t="n">
        <v>0</v>
      </c>
      <c r="CN405" s="16" t="n">
        <v>0</v>
      </c>
      <c r="CO405" s="16" t="n">
        <v>0</v>
      </c>
      <c r="CP405" s="16" t="n">
        <v>0</v>
      </c>
      <c r="CQ405" s="16" t="n">
        <v>0</v>
      </c>
      <c r="CR405" s="16" t="n">
        <v>0</v>
      </c>
      <c r="CS405" s="16" t="n">
        <v>0</v>
      </c>
      <c r="CT405" s="16" t="n">
        <v>0</v>
      </c>
      <c r="CU405" s="16" t="n">
        <v>0</v>
      </c>
      <c r="CV405" s="16" t="n">
        <v>0</v>
      </c>
      <c r="CW405" s="16" t="n">
        <v>0</v>
      </c>
      <c r="CX405" s="16" t="n">
        <v>0</v>
      </c>
      <c r="CY405" s="16" t="n">
        <v>0</v>
      </c>
      <c r="CZ405" s="16" t="n">
        <v>0</v>
      </c>
      <c r="DA405" s="16" t="n">
        <v>0</v>
      </c>
      <c r="DB405" s="16" t="n">
        <v>0</v>
      </c>
      <c r="DC405" s="16" t="n">
        <v>0</v>
      </c>
      <c r="DD405" s="16" t="n">
        <v>0</v>
      </c>
      <c r="DE405" s="16" t="n">
        <v>0</v>
      </c>
      <c r="DF405" s="16" t="n">
        <v>0</v>
      </c>
      <c r="DG405" s="16" t="n">
        <v>0</v>
      </c>
      <c r="DH405" s="16" t="n">
        <v>0</v>
      </c>
      <c r="DI405" s="16" t="n">
        <v>0</v>
      </c>
      <c r="DJ405" s="16" t="n">
        <v>0</v>
      </c>
      <c r="DK405" s="16" t="n">
        <v>0</v>
      </c>
      <c r="DL405" s="16" t="n">
        <v>0</v>
      </c>
      <c r="DM405" s="16" t="n">
        <v>0</v>
      </c>
      <c r="DN405" s="16" t="n">
        <v>0</v>
      </c>
      <c r="DO405" s="16" t="n">
        <v>0</v>
      </c>
      <c r="DP405" s="16" t="n">
        <v>0</v>
      </c>
      <c r="DQ405" s="16" t="n">
        <v>0</v>
      </c>
      <c r="DR405" s="16" t="n">
        <v>0</v>
      </c>
      <c r="DS405" s="16" t="n">
        <v>0</v>
      </c>
      <c r="DT405" s="16" t="n">
        <v>0</v>
      </c>
      <c r="DU405" s="16" t="n">
        <v>0</v>
      </c>
      <c r="DV405" s="16" t="n">
        <v>0</v>
      </c>
      <c r="DW405" s="16" t="n">
        <v>0</v>
      </c>
      <c r="DX405" s="16" t="n">
        <v>0</v>
      </c>
      <c r="DY405" s="16" t="n">
        <v>0</v>
      </c>
      <c r="DZ405" s="16" t="n">
        <v>0</v>
      </c>
      <c r="EA405" s="16" t="n">
        <v>0</v>
      </c>
      <c r="EB405" s="16" t="n">
        <v>0</v>
      </c>
      <c r="EC405" s="16" t="n">
        <v>0</v>
      </c>
      <c r="ED405" s="16" t="n">
        <v>0</v>
      </c>
      <c r="EE405" s="16" t="n">
        <v>0</v>
      </c>
      <c r="EF405" s="16" t="n">
        <v>0</v>
      </c>
    </row>
    <row r="406" customFormat="false" ht="15" hidden="false" customHeight="true" outlineLevel="0" collapsed="false">
      <c r="A406" s="9" t="s">
        <v>12</v>
      </c>
      <c r="B406" s="9" t="s">
        <v>30</v>
      </c>
      <c r="C406" s="9" t="s">
        <v>30</v>
      </c>
      <c r="D406" s="9" t="s">
        <v>335</v>
      </c>
      <c r="E406" s="9" t="s">
        <v>14</v>
      </c>
      <c r="F406" s="9" t="s">
        <v>100</v>
      </c>
      <c r="G406" s="16" t="n">
        <v>0</v>
      </c>
      <c r="H406" s="16" t="n">
        <v>0</v>
      </c>
      <c r="I406" s="16" t="n">
        <v>303</v>
      </c>
      <c r="J406" s="16" t="n">
        <v>-303</v>
      </c>
      <c r="K406" s="16" t="n">
        <v>0</v>
      </c>
      <c r="L406" s="16" t="n">
        <v>0</v>
      </c>
      <c r="M406" s="16" t="n">
        <v>0</v>
      </c>
      <c r="N406" s="16" t="n">
        <v>0</v>
      </c>
      <c r="O406" s="16" t="n">
        <v>0</v>
      </c>
      <c r="P406" s="16" t="n">
        <v>0</v>
      </c>
      <c r="Q406" s="16" t="n">
        <v>0</v>
      </c>
      <c r="R406" s="16" t="n">
        <v>0</v>
      </c>
      <c r="S406" s="16" t="n">
        <v>0</v>
      </c>
      <c r="T406" s="16" t="n">
        <v>0</v>
      </c>
      <c r="U406" s="16" t="n">
        <v>0</v>
      </c>
      <c r="V406" s="16" t="n">
        <v>0</v>
      </c>
      <c r="W406" s="16" t="n">
        <v>0</v>
      </c>
      <c r="X406" s="16" t="n">
        <v>0</v>
      </c>
      <c r="Y406" s="16" t="n">
        <v>0</v>
      </c>
      <c r="Z406" s="16" t="n">
        <v>0</v>
      </c>
      <c r="AA406" s="16" t="n">
        <v>0</v>
      </c>
      <c r="AB406" s="16" t="n">
        <v>0</v>
      </c>
      <c r="AC406" s="16" t="n">
        <v>0</v>
      </c>
      <c r="AD406" s="16" t="n">
        <v>0</v>
      </c>
      <c r="AE406" s="16" t="n">
        <v>0</v>
      </c>
      <c r="AF406" s="16" t="n">
        <v>0</v>
      </c>
      <c r="AG406" s="16" t="n">
        <v>0</v>
      </c>
      <c r="AH406" s="16" t="n">
        <v>0</v>
      </c>
      <c r="AI406" s="16" t="n">
        <v>0</v>
      </c>
      <c r="AJ406" s="16" t="n">
        <v>0</v>
      </c>
      <c r="AK406" s="16" t="n">
        <v>0</v>
      </c>
      <c r="AL406" s="16" t="n">
        <v>4</v>
      </c>
      <c r="AM406" s="16" t="n">
        <v>13</v>
      </c>
      <c r="AN406" s="16" t="n">
        <v>4</v>
      </c>
      <c r="AO406" s="16" t="n">
        <v>40</v>
      </c>
      <c r="AP406" s="16" t="n">
        <v>10</v>
      </c>
      <c r="AQ406" s="16" t="n">
        <v>0</v>
      </c>
      <c r="AR406" s="16" t="n">
        <v>0</v>
      </c>
      <c r="AS406" s="16" t="n">
        <v>0</v>
      </c>
      <c r="AT406" s="16" t="n">
        <v>0</v>
      </c>
      <c r="AU406" s="16" t="n">
        <v>0</v>
      </c>
      <c r="AV406" s="16" t="n">
        <v>0</v>
      </c>
      <c r="AW406" s="16" t="n">
        <v>0</v>
      </c>
      <c r="AX406" s="16" t="n">
        <v>0</v>
      </c>
      <c r="AY406" s="16" t="n">
        <v>0</v>
      </c>
      <c r="AZ406" s="16" t="n">
        <v>0</v>
      </c>
      <c r="BA406" s="16" t="n">
        <v>0</v>
      </c>
      <c r="BB406" s="16" t="n">
        <v>0</v>
      </c>
      <c r="BC406" s="16" t="n">
        <v>0</v>
      </c>
      <c r="BD406" s="16" t="n">
        <v>0</v>
      </c>
      <c r="BE406" s="16" t="n">
        <v>0</v>
      </c>
      <c r="BF406" s="16" t="n">
        <v>0</v>
      </c>
      <c r="BG406" s="16" t="n">
        <v>0</v>
      </c>
      <c r="BH406" s="16" t="n">
        <v>0</v>
      </c>
      <c r="BI406" s="16" t="n">
        <v>0</v>
      </c>
      <c r="BJ406" s="16" t="n">
        <v>0</v>
      </c>
      <c r="BK406" s="16" t="n">
        <v>0</v>
      </c>
      <c r="BL406" s="16" t="n">
        <v>0</v>
      </c>
      <c r="BM406" s="16" t="n">
        <v>0</v>
      </c>
      <c r="BN406" s="16" t="n">
        <v>0</v>
      </c>
      <c r="BO406" s="16" t="n">
        <v>0</v>
      </c>
      <c r="BP406" s="16" t="n">
        <v>0</v>
      </c>
      <c r="BQ406" s="16" t="n">
        <v>0</v>
      </c>
      <c r="BR406" s="16" t="n">
        <v>0</v>
      </c>
      <c r="BS406" s="16" t="n">
        <v>0</v>
      </c>
      <c r="BT406" s="16" t="n">
        <v>0</v>
      </c>
      <c r="BU406" s="16" t="n">
        <v>0</v>
      </c>
      <c r="BV406" s="16" t="n">
        <v>0</v>
      </c>
      <c r="BW406" s="16" t="n">
        <v>0</v>
      </c>
      <c r="BX406" s="16" t="n">
        <v>0</v>
      </c>
      <c r="BY406" s="16" t="n">
        <v>0</v>
      </c>
      <c r="BZ406" s="16" t="n">
        <v>0</v>
      </c>
      <c r="CA406" s="16" t="n">
        <v>0</v>
      </c>
      <c r="CB406" s="16" t="n">
        <v>0</v>
      </c>
      <c r="CC406" s="16" t="n">
        <v>0</v>
      </c>
      <c r="CD406" s="16" t="n">
        <v>0</v>
      </c>
      <c r="CE406" s="16" t="n">
        <v>0</v>
      </c>
      <c r="CF406" s="16" t="n">
        <v>0</v>
      </c>
      <c r="CG406" s="16" t="n">
        <v>0</v>
      </c>
      <c r="CH406" s="16" t="n">
        <v>0</v>
      </c>
      <c r="CI406" s="16" t="n">
        <v>0</v>
      </c>
      <c r="CJ406" s="16" t="n">
        <v>0</v>
      </c>
      <c r="CK406" s="16" t="n">
        <v>0</v>
      </c>
      <c r="CL406" s="16" t="n">
        <v>0</v>
      </c>
      <c r="CM406" s="16" t="n">
        <v>0</v>
      </c>
      <c r="CN406" s="16" t="n">
        <v>0</v>
      </c>
      <c r="CO406" s="16" t="n">
        <v>0</v>
      </c>
      <c r="CP406" s="16" t="n">
        <v>0</v>
      </c>
      <c r="CQ406" s="16" t="n">
        <v>0</v>
      </c>
      <c r="CR406" s="16" t="n">
        <v>0</v>
      </c>
      <c r="CS406" s="16" t="n">
        <v>0</v>
      </c>
      <c r="CT406" s="16" t="n">
        <v>5</v>
      </c>
      <c r="CU406" s="16" t="n">
        <v>10</v>
      </c>
      <c r="CV406" s="16" t="n">
        <v>10</v>
      </c>
      <c r="CW406" s="16" t="n">
        <v>15</v>
      </c>
      <c r="CX406" s="16" t="n">
        <v>15</v>
      </c>
      <c r="CY406" s="16" t="n">
        <v>15</v>
      </c>
      <c r="CZ406" s="16" t="n">
        <v>15</v>
      </c>
      <c r="DA406" s="16" t="n">
        <v>15</v>
      </c>
      <c r="DB406" s="16" t="n">
        <v>3</v>
      </c>
      <c r="DC406" s="16" t="n">
        <v>1</v>
      </c>
      <c r="DD406" s="16" t="n">
        <v>0</v>
      </c>
      <c r="DE406" s="16" t="n">
        <v>0</v>
      </c>
      <c r="DF406" s="16" t="n">
        <v>0</v>
      </c>
      <c r="DG406" s="16" t="n">
        <v>0</v>
      </c>
      <c r="DH406" s="16" t="n">
        <v>3</v>
      </c>
      <c r="DI406" s="16" t="n">
        <v>0</v>
      </c>
      <c r="DJ406" s="16" t="n">
        <v>0</v>
      </c>
      <c r="DK406" s="16" t="n">
        <v>0</v>
      </c>
      <c r="DL406" s="16" t="n">
        <v>0</v>
      </c>
      <c r="DM406" s="16" t="n">
        <v>0</v>
      </c>
      <c r="DN406" s="16" t="n">
        <v>10</v>
      </c>
      <c r="DO406" s="16" t="n">
        <v>25</v>
      </c>
      <c r="DP406" s="16" t="n">
        <v>30</v>
      </c>
      <c r="DQ406" s="16" t="n">
        <v>30</v>
      </c>
      <c r="DR406" s="16" t="n">
        <v>30</v>
      </c>
      <c r="DS406" s="16" t="n">
        <v>0</v>
      </c>
      <c r="DT406" s="16" t="n">
        <v>0</v>
      </c>
      <c r="DU406" s="16" t="n">
        <v>0</v>
      </c>
      <c r="DV406" s="16" t="n">
        <v>0</v>
      </c>
      <c r="DW406" s="16" t="n">
        <v>0</v>
      </c>
      <c r="DX406" s="16" t="n">
        <v>0</v>
      </c>
      <c r="DY406" s="16" t="n">
        <v>0</v>
      </c>
      <c r="DZ406" s="16" t="n">
        <v>0</v>
      </c>
      <c r="EA406" s="16" t="n">
        <v>0</v>
      </c>
      <c r="EB406" s="16" t="n">
        <v>0</v>
      </c>
      <c r="EC406" s="16" t="n">
        <v>0</v>
      </c>
      <c r="ED406" s="16" t="n">
        <v>0</v>
      </c>
      <c r="EE406" s="16" t="n">
        <v>0</v>
      </c>
      <c r="EF406" s="16" t="n">
        <v>0</v>
      </c>
    </row>
    <row r="407" customFormat="false" ht="15" hidden="false" customHeight="true" outlineLevel="0" collapsed="false">
      <c r="A407" s="9" t="s">
        <v>12</v>
      </c>
      <c r="B407" s="9" t="s">
        <v>30</v>
      </c>
      <c r="C407" s="9" t="s">
        <v>30</v>
      </c>
      <c r="D407" s="9" t="s">
        <v>336</v>
      </c>
      <c r="E407" s="9" t="s">
        <v>14</v>
      </c>
      <c r="F407" s="9" t="s">
        <v>100</v>
      </c>
      <c r="G407" s="16" t="n">
        <v>0</v>
      </c>
      <c r="H407" s="16" t="n">
        <v>0</v>
      </c>
      <c r="I407" s="16" t="n">
        <v>39</v>
      </c>
      <c r="J407" s="16" t="n">
        <v>-39</v>
      </c>
      <c r="K407" s="16" t="n">
        <v>0</v>
      </c>
      <c r="L407" s="16" t="n">
        <v>0</v>
      </c>
      <c r="M407" s="16" t="n">
        <v>0</v>
      </c>
      <c r="N407" s="16" t="n">
        <v>0</v>
      </c>
      <c r="O407" s="16" t="n">
        <v>0</v>
      </c>
      <c r="P407" s="16" t="n">
        <v>0</v>
      </c>
      <c r="Q407" s="16" t="n">
        <v>0</v>
      </c>
      <c r="R407" s="16" t="n">
        <v>0</v>
      </c>
      <c r="S407" s="16" t="n">
        <v>0</v>
      </c>
      <c r="T407" s="16" t="n">
        <v>0</v>
      </c>
      <c r="U407" s="16" t="n">
        <v>0</v>
      </c>
      <c r="V407" s="16" t="n">
        <v>0</v>
      </c>
      <c r="W407" s="16" t="n">
        <v>0</v>
      </c>
      <c r="X407" s="16" t="n">
        <v>0</v>
      </c>
      <c r="Y407" s="16" t="n">
        <v>0</v>
      </c>
      <c r="Z407" s="16" t="n">
        <v>0</v>
      </c>
      <c r="AA407" s="16" t="n">
        <v>0</v>
      </c>
      <c r="AB407" s="16" t="n">
        <v>39</v>
      </c>
      <c r="AC407" s="16" t="n">
        <v>0</v>
      </c>
      <c r="AD407" s="16" t="n">
        <v>0</v>
      </c>
      <c r="AE407" s="16" t="n">
        <v>0</v>
      </c>
      <c r="AF407" s="16" t="n">
        <v>0</v>
      </c>
      <c r="AG407" s="16" t="n">
        <v>0</v>
      </c>
      <c r="AH407" s="16" t="n">
        <v>0</v>
      </c>
      <c r="AI407" s="16" t="n">
        <v>0</v>
      </c>
      <c r="AJ407" s="16" t="n">
        <v>0</v>
      </c>
      <c r="AK407" s="16" t="n">
        <v>0</v>
      </c>
      <c r="AL407" s="16" t="n">
        <v>0</v>
      </c>
      <c r="AM407" s="16" t="n">
        <v>0</v>
      </c>
      <c r="AN407" s="16" t="n">
        <v>0</v>
      </c>
      <c r="AO407" s="16" t="n">
        <v>0</v>
      </c>
      <c r="AP407" s="16" t="n">
        <v>0</v>
      </c>
      <c r="AQ407" s="16" t="n">
        <v>0</v>
      </c>
      <c r="AR407" s="16" t="n">
        <v>0</v>
      </c>
      <c r="AS407" s="16" t="n">
        <v>0</v>
      </c>
      <c r="AT407" s="16" t="n">
        <v>0</v>
      </c>
      <c r="AU407" s="16" t="n">
        <v>0</v>
      </c>
      <c r="AV407" s="16" t="n">
        <v>0</v>
      </c>
      <c r="AW407" s="16" t="n">
        <v>0</v>
      </c>
      <c r="AX407" s="16" t="n">
        <v>0</v>
      </c>
      <c r="AY407" s="16" t="n">
        <v>0</v>
      </c>
      <c r="AZ407" s="16" t="n">
        <v>0</v>
      </c>
      <c r="BA407" s="16" t="n">
        <v>0</v>
      </c>
      <c r="BB407" s="16" t="n">
        <v>0</v>
      </c>
      <c r="BC407" s="16" t="n">
        <v>0</v>
      </c>
      <c r="BD407" s="16" t="n">
        <v>0</v>
      </c>
      <c r="BE407" s="16" t="n">
        <v>0</v>
      </c>
      <c r="BF407" s="16" t="n">
        <v>0</v>
      </c>
      <c r="BG407" s="16" t="n">
        <v>0</v>
      </c>
      <c r="BH407" s="16" t="n">
        <v>0</v>
      </c>
      <c r="BI407" s="16" t="n">
        <v>0</v>
      </c>
      <c r="BJ407" s="16" t="n">
        <v>0</v>
      </c>
      <c r="BK407" s="16" t="n">
        <v>0</v>
      </c>
      <c r="BL407" s="16" t="n">
        <v>0</v>
      </c>
      <c r="BM407" s="16" t="n">
        <v>0</v>
      </c>
      <c r="BN407" s="16" t="n">
        <v>0</v>
      </c>
      <c r="BO407" s="16" t="n">
        <v>0</v>
      </c>
      <c r="BP407" s="16" t="n">
        <v>0</v>
      </c>
      <c r="BQ407" s="16" t="n">
        <v>0</v>
      </c>
      <c r="BR407" s="16" t="n">
        <v>0</v>
      </c>
      <c r="BS407" s="16" t="n">
        <v>0</v>
      </c>
      <c r="BT407" s="16" t="n">
        <v>0</v>
      </c>
      <c r="BU407" s="16" t="n">
        <v>0</v>
      </c>
      <c r="BV407" s="16" t="n">
        <v>0</v>
      </c>
      <c r="BW407" s="16" t="n">
        <v>0</v>
      </c>
      <c r="BX407" s="16" t="n">
        <v>0</v>
      </c>
      <c r="BY407" s="16" t="n">
        <v>0</v>
      </c>
      <c r="BZ407" s="16" t="n">
        <v>0</v>
      </c>
      <c r="CA407" s="16" t="n">
        <v>0</v>
      </c>
      <c r="CB407" s="16" t="n">
        <v>0</v>
      </c>
      <c r="CC407" s="16" t="n">
        <v>0</v>
      </c>
      <c r="CD407" s="16" t="n">
        <v>0</v>
      </c>
      <c r="CE407" s="16" t="n">
        <v>0</v>
      </c>
      <c r="CF407" s="16" t="n">
        <v>0</v>
      </c>
      <c r="CG407" s="16" t="n">
        <v>0</v>
      </c>
      <c r="CH407" s="16" t="n">
        <v>0</v>
      </c>
      <c r="CI407" s="16" t="n">
        <v>0</v>
      </c>
      <c r="CJ407" s="16" t="n">
        <v>0</v>
      </c>
      <c r="CK407" s="16" t="n">
        <v>0</v>
      </c>
      <c r="CL407" s="16" t="n">
        <v>0</v>
      </c>
      <c r="CM407" s="16" t="n">
        <v>0</v>
      </c>
      <c r="CN407" s="16" t="n">
        <v>0</v>
      </c>
      <c r="CO407" s="16" t="n">
        <v>0</v>
      </c>
      <c r="CP407" s="16" t="n">
        <v>0</v>
      </c>
      <c r="CQ407" s="16" t="n">
        <v>0</v>
      </c>
      <c r="CR407" s="16" t="n">
        <v>0</v>
      </c>
      <c r="CS407" s="16" t="n">
        <v>0</v>
      </c>
      <c r="CT407" s="16" t="n">
        <v>0</v>
      </c>
      <c r="CU407" s="16" t="n">
        <v>0</v>
      </c>
      <c r="CV407" s="16" t="n">
        <v>0</v>
      </c>
      <c r="CW407" s="16" t="n">
        <v>0</v>
      </c>
      <c r="CX407" s="16" t="n">
        <v>0</v>
      </c>
      <c r="CY407" s="16" t="n">
        <v>0</v>
      </c>
      <c r="CZ407" s="16" t="n">
        <v>0</v>
      </c>
      <c r="DA407" s="16" t="n">
        <v>0</v>
      </c>
      <c r="DB407" s="16" t="n">
        <v>0</v>
      </c>
      <c r="DC407" s="16" t="n">
        <v>0</v>
      </c>
      <c r="DD407" s="16" t="n">
        <v>0</v>
      </c>
      <c r="DE407" s="16" t="n">
        <v>0</v>
      </c>
      <c r="DF407" s="16" t="n">
        <v>0</v>
      </c>
      <c r="DG407" s="16" t="n">
        <v>0</v>
      </c>
      <c r="DH407" s="16" t="n">
        <v>0</v>
      </c>
      <c r="DI407" s="16" t="n">
        <v>0</v>
      </c>
      <c r="DJ407" s="16" t="n">
        <v>0</v>
      </c>
      <c r="DK407" s="16" t="n">
        <v>0</v>
      </c>
      <c r="DL407" s="16" t="n">
        <v>0</v>
      </c>
      <c r="DM407" s="16" t="n">
        <v>0</v>
      </c>
      <c r="DN407" s="16" t="n">
        <v>0</v>
      </c>
      <c r="DO407" s="16" t="n">
        <v>0</v>
      </c>
      <c r="DP407" s="16" t="n">
        <v>0</v>
      </c>
      <c r="DQ407" s="16" t="n">
        <v>0</v>
      </c>
      <c r="DR407" s="16" t="n">
        <v>0</v>
      </c>
      <c r="DS407" s="16" t="n">
        <v>0</v>
      </c>
      <c r="DT407" s="16" t="n">
        <v>0</v>
      </c>
      <c r="DU407" s="16" t="n">
        <v>0</v>
      </c>
      <c r="DV407" s="16" t="n">
        <v>0</v>
      </c>
      <c r="DW407" s="16" t="n">
        <v>0</v>
      </c>
      <c r="DX407" s="16" t="n">
        <v>0</v>
      </c>
      <c r="DY407" s="16" t="n">
        <v>0</v>
      </c>
      <c r="DZ407" s="16" t="n">
        <v>0</v>
      </c>
      <c r="EA407" s="16" t="n">
        <v>0</v>
      </c>
      <c r="EB407" s="16" t="n">
        <v>0</v>
      </c>
      <c r="EC407" s="16" t="n">
        <v>0</v>
      </c>
      <c r="ED407" s="16" t="n">
        <v>0</v>
      </c>
      <c r="EE407" s="16" t="n">
        <v>0</v>
      </c>
      <c r="EF407" s="16" t="n">
        <v>0</v>
      </c>
    </row>
    <row r="408" customFormat="false" ht="15" hidden="false" customHeight="true" outlineLevel="0" collapsed="false">
      <c r="A408" s="9" t="s">
        <v>12</v>
      </c>
      <c r="B408" s="9" t="s">
        <v>30</v>
      </c>
      <c r="C408" s="9" t="s">
        <v>30</v>
      </c>
      <c r="D408" s="9" t="s">
        <v>335</v>
      </c>
      <c r="E408" s="9" t="s">
        <v>14</v>
      </c>
      <c r="F408" s="9" t="s">
        <v>114</v>
      </c>
      <c r="G408" s="16" t="n">
        <v>0</v>
      </c>
      <c r="H408" s="16" t="n">
        <v>0</v>
      </c>
      <c r="I408" s="16" t="n">
        <v>90</v>
      </c>
      <c r="J408" s="16" t="n">
        <v>-90</v>
      </c>
      <c r="K408" s="16" t="n">
        <v>0</v>
      </c>
      <c r="L408" s="16" t="n">
        <v>0</v>
      </c>
      <c r="M408" s="16" t="n">
        <v>0</v>
      </c>
      <c r="N408" s="16" t="n">
        <v>0</v>
      </c>
      <c r="O408" s="16" t="n">
        <v>0</v>
      </c>
      <c r="P408" s="16" t="n">
        <v>0</v>
      </c>
      <c r="Q408" s="16" t="n">
        <v>0</v>
      </c>
      <c r="R408" s="16" t="n">
        <v>0</v>
      </c>
      <c r="S408" s="16" t="n">
        <v>0</v>
      </c>
      <c r="T408" s="16" t="n">
        <v>0</v>
      </c>
      <c r="U408" s="16" t="n">
        <v>0</v>
      </c>
      <c r="V408" s="16" t="n">
        <v>0</v>
      </c>
      <c r="W408" s="16" t="n">
        <v>0</v>
      </c>
      <c r="X408" s="16" t="n">
        <v>0</v>
      </c>
      <c r="Y408" s="16" t="n">
        <v>0</v>
      </c>
      <c r="Z408" s="16" t="n">
        <v>0</v>
      </c>
      <c r="AA408" s="16" t="n">
        <v>0</v>
      </c>
      <c r="AB408" s="16" t="n">
        <v>0</v>
      </c>
      <c r="AC408" s="16" t="n">
        <v>0</v>
      </c>
      <c r="AD408" s="16" t="n">
        <v>0</v>
      </c>
      <c r="AE408" s="16" t="n">
        <v>0</v>
      </c>
      <c r="AF408" s="16" t="n">
        <v>0</v>
      </c>
      <c r="AG408" s="16" t="n">
        <v>0</v>
      </c>
      <c r="AH408" s="16" t="n">
        <v>0</v>
      </c>
      <c r="AI408" s="16" t="n">
        <v>0</v>
      </c>
      <c r="AJ408" s="16" t="n">
        <v>0</v>
      </c>
      <c r="AK408" s="16" t="n">
        <v>0</v>
      </c>
      <c r="AL408" s="16" t="n">
        <v>0</v>
      </c>
      <c r="AM408" s="16" t="n">
        <v>0</v>
      </c>
      <c r="AN408" s="16" t="n">
        <v>0</v>
      </c>
      <c r="AO408" s="16" t="n">
        <v>0</v>
      </c>
      <c r="AP408" s="16" t="n">
        <v>0</v>
      </c>
      <c r="AQ408" s="16" t="n">
        <v>0</v>
      </c>
      <c r="AR408" s="16" t="n">
        <v>0</v>
      </c>
      <c r="AS408" s="16" t="n">
        <v>0</v>
      </c>
      <c r="AT408" s="16" t="n">
        <v>0</v>
      </c>
      <c r="AU408" s="16" t="n">
        <v>0</v>
      </c>
      <c r="AV408" s="16" t="n">
        <v>0</v>
      </c>
      <c r="AW408" s="16" t="n">
        <v>0</v>
      </c>
      <c r="AX408" s="16" t="n">
        <v>0</v>
      </c>
      <c r="AY408" s="16" t="n">
        <v>0</v>
      </c>
      <c r="AZ408" s="16" t="n">
        <v>0</v>
      </c>
      <c r="BA408" s="16" t="n">
        <v>0</v>
      </c>
      <c r="BB408" s="16" t="n">
        <v>0</v>
      </c>
      <c r="BC408" s="16" t="n">
        <v>0</v>
      </c>
      <c r="BD408" s="16" t="n">
        <v>0</v>
      </c>
      <c r="BE408" s="16" t="n">
        <v>0</v>
      </c>
      <c r="BF408" s="16" t="n">
        <v>0</v>
      </c>
      <c r="BG408" s="16" t="n">
        <v>0</v>
      </c>
      <c r="BH408" s="16" t="n">
        <v>0</v>
      </c>
      <c r="BI408" s="16" t="n">
        <v>0</v>
      </c>
      <c r="BJ408" s="16" t="n">
        <v>0</v>
      </c>
      <c r="BK408" s="16" t="n">
        <v>0</v>
      </c>
      <c r="BL408" s="16" t="n">
        <v>0</v>
      </c>
      <c r="BM408" s="16" t="n">
        <v>0</v>
      </c>
      <c r="BN408" s="16" t="n">
        <v>0</v>
      </c>
      <c r="BO408" s="16" t="n">
        <v>0</v>
      </c>
      <c r="BP408" s="16" t="n">
        <v>0</v>
      </c>
      <c r="BQ408" s="16" t="n">
        <v>0</v>
      </c>
      <c r="BR408" s="16" t="n">
        <v>0</v>
      </c>
      <c r="BS408" s="16" t="n">
        <v>0</v>
      </c>
      <c r="BT408" s="16" t="n">
        <v>0</v>
      </c>
      <c r="BU408" s="16" t="n">
        <v>0</v>
      </c>
      <c r="BV408" s="16" t="n">
        <v>0</v>
      </c>
      <c r="BW408" s="16" t="n">
        <v>0</v>
      </c>
      <c r="BX408" s="16" t="n">
        <v>0</v>
      </c>
      <c r="BY408" s="16" t="n">
        <v>0</v>
      </c>
      <c r="BZ408" s="16" t="n">
        <v>0</v>
      </c>
      <c r="CA408" s="16" t="n">
        <v>0</v>
      </c>
      <c r="CB408" s="16" t="n">
        <v>0</v>
      </c>
      <c r="CC408" s="16" t="n">
        <v>0</v>
      </c>
      <c r="CD408" s="16" t="n">
        <v>0</v>
      </c>
      <c r="CE408" s="16" t="n">
        <v>0</v>
      </c>
      <c r="CF408" s="16" t="n">
        <v>0</v>
      </c>
      <c r="CG408" s="16" t="n">
        <v>0</v>
      </c>
      <c r="CH408" s="16" t="n">
        <v>0</v>
      </c>
      <c r="CI408" s="16" t="n">
        <v>0</v>
      </c>
      <c r="CJ408" s="16" t="n">
        <v>0</v>
      </c>
      <c r="CK408" s="16" t="n">
        <v>0</v>
      </c>
      <c r="CL408" s="16" t="n">
        <v>0</v>
      </c>
      <c r="CM408" s="16" t="n">
        <v>0</v>
      </c>
      <c r="CN408" s="16" t="n">
        <v>0</v>
      </c>
      <c r="CO408" s="16" t="n">
        <v>0</v>
      </c>
      <c r="CP408" s="16" t="n">
        <v>0</v>
      </c>
      <c r="CQ408" s="16" t="n">
        <v>0</v>
      </c>
      <c r="CR408" s="16" t="n">
        <v>0</v>
      </c>
      <c r="CS408" s="16" t="n">
        <v>0</v>
      </c>
      <c r="CT408" s="16" t="n">
        <v>0</v>
      </c>
      <c r="CU408" s="16" t="n">
        <v>0</v>
      </c>
      <c r="CV408" s="16" t="n">
        <v>0</v>
      </c>
      <c r="CW408" s="16" t="n">
        <v>0</v>
      </c>
      <c r="CX408" s="16" t="n">
        <v>0</v>
      </c>
      <c r="CY408" s="16" t="n">
        <v>0</v>
      </c>
      <c r="CZ408" s="16" t="n">
        <v>0</v>
      </c>
      <c r="DA408" s="16" t="n">
        <v>0</v>
      </c>
      <c r="DB408" s="16" t="n">
        <v>0</v>
      </c>
      <c r="DC408" s="16" t="n">
        <v>0</v>
      </c>
      <c r="DD408" s="16" t="n">
        <v>0</v>
      </c>
      <c r="DE408" s="16" t="n">
        <v>0</v>
      </c>
      <c r="DF408" s="16" t="n">
        <v>0</v>
      </c>
      <c r="DG408" s="16" t="n">
        <v>0</v>
      </c>
      <c r="DH408" s="16" t="n">
        <v>0</v>
      </c>
      <c r="DI408" s="16" t="n">
        <v>0</v>
      </c>
      <c r="DJ408" s="16" t="n">
        <v>0</v>
      </c>
      <c r="DK408" s="16" t="n">
        <v>0</v>
      </c>
      <c r="DL408" s="16" t="n">
        <v>0</v>
      </c>
      <c r="DM408" s="16" t="n">
        <v>0</v>
      </c>
      <c r="DN408" s="16" t="n">
        <v>0</v>
      </c>
      <c r="DO408" s="16" t="n">
        <v>0</v>
      </c>
      <c r="DP408" s="16" t="n">
        <v>0</v>
      </c>
      <c r="DQ408" s="16" t="n">
        <v>0</v>
      </c>
      <c r="DR408" s="16" t="n">
        <v>0</v>
      </c>
      <c r="DS408" s="16" t="n">
        <v>30</v>
      </c>
      <c r="DT408" s="16" t="n">
        <v>30</v>
      </c>
      <c r="DU408" s="16" t="n">
        <v>30</v>
      </c>
      <c r="DV408" s="16" t="n">
        <v>0</v>
      </c>
      <c r="DW408" s="16" t="n">
        <v>0</v>
      </c>
      <c r="DX408" s="16" t="n">
        <v>0</v>
      </c>
      <c r="DY408" s="16" t="n">
        <v>0</v>
      </c>
      <c r="DZ408" s="16" t="n">
        <v>0</v>
      </c>
      <c r="EA408" s="16" t="n">
        <v>0</v>
      </c>
      <c r="EB408" s="16" t="n">
        <v>0</v>
      </c>
      <c r="EC408" s="16" t="n">
        <v>0</v>
      </c>
      <c r="ED408" s="16" t="n">
        <v>0</v>
      </c>
      <c r="EE408" s="16" t="n">
        <v>0</v>
      </c>
      <c r="EF408" s="16" t="n">
        <v>0</v>
      </c>
    </row>
    <row r="409" customFormat="false" ht="15" hidden="false" customHeight="true" outlineLevel="0" collapsed="false">
      <c r="A409" s="9" t="s">
        <v>12</v>
      </c>
      <c r="B409" s="9" t="s">
        <v>30</v>
      </c>
      <c r="C409" s="9" t="s">
        <v>30</v>
      </c>
      <c r="D409" s="9" t="s">
        <v>336</v>
      </c>
      <c r="E409" s="9" t="s">
        <v>14</v>
      </c>
      <c r="F409" s="9" t="s">
        <v>114</v>
      </c>
      <c r="G409" s="16" t="n">
        <v>0</v>
      </c>
      <c r="H409" s="16" t="n">
        <v>90</v>
      </c>
      <c r="I409" s="16" t="n">
        <v>0</v>
      </c>
      <c r="J409" s="16" t="n">
        <v>90</v>
      </c>
      <c r="K409" s="16" t="n">
        <v>0</v>
      </c>
      <c r="L409" s="16" t="n">
        <v>0</v>
      </c>
      <c r="M409" s="16" t="n">
        <v>0</v>
      </c>
      <c r="N409" s="16" t="n">
        <v>0</v>
      </c>
      <c r="O409" s="16" t="n">
        <v>0</v>
      </c>
      <c r="P409" s="16" t="n">
        <v>0</v>
      </c>
      <c r="Q409" s="16" t="n">
        <v>0</v>
      </c>
      <c r="R409" s="16" t="n">
        <v>0</v>
      </c>
      <c r="S409" s="16" t="n">
        <v>0</v>
      </c>
      <c r="T409" s="16" t="n">
        <v>0</v>
      </c>
      <c r="U409" s="16" t="n">
        <v>0</v>
      </c>
      <c r="V409" s="16" t="n">
        <v>0</v>
      </c>
      <c r="W409" s="16" t="n">
        <v>0</v>
      </c>
      <c r="X409" s="16" t="n">
        <v>0</v>
      </c>
      <c r="Y409" s="16" t="n">
        <v>0</v>
      </c>
      <c r="Z409" s="16" t="n">
        <v>0</v>
      </c>
      <c r="AA409" s="16" t="n">
        <v>0</v>
      </c>
      <c r="AB409" s="16" t="n">
        <v>0</v>
      </c>
      <c r="AC409" s="16" t="n">
        <v>0</v>
      </c>
      <c r="AD409" s="16" t="n">
        <v>0</v>
      </c>
      <c r="AE409" s="16" t="n">
        <v>0</v>
      </c>
      <c r="AF409" s="16" t="n">
        <v>0</v>
      </c>
      <c r="AG409" s="16" t="n">
        <v>0</v>
      </c>
      <c r="AH409" s="16" t="n">
        <v>0</v>
      </c>
      <c r="AI409" s="16" t="n">
        <v>0</v>
      </c>
      <c r="AJ409" s="16" t="n">
        <v>0</v>
      </c>
      <c r="AK409" s="16" t="n">
        <v>0</v>
      </c>
      <c r="AL409" s="16" t="n">
        <v>0</v>
      </c>
      <c r="AM409" s="16" t="n">
        <v>0</v>
      </c>
      <c r="AN409" s="16" t="n">
        <v>0</v>
      </c>
      <c r="AO409" s="16" t="n">
        <v>0</v>
      </c>
      <c r="AP409" s="16" t="n">
        <v>0</v>
      </c>
      <c r="AQ409" s="16" t="n">
        <v>0</v>
      </c>
      <c r="AR409" s="16" t="n">
        <v>0</v>
      </c>
      <c r="AS409" s="16" t="n">
        <v>0</v>
      </c>
      <c r="AT409" s="16" t="n">
        <v>0</v>
      </c>
      <c r="AU409" s="16" t="n">
        <v>0</v>
      </c>
      <c r="AV409" s="16" t="n">
        <v>0</v>
      </c>
      <c r="AW409" s="16" t="n">
        <v>0</v>
      </c>
      <c r="AX409" s="16" t="n">
        <v>0</v>
      </c>
      <c r="AY409" s="16" t="n">
        <v>0</v>
      </c>
      <c r="AZ409" s="16" t="n">
        <v>0</v>
      </c>
      <c r="BA409" s="16" t="n">
        <v>0</v>
      </c>
      <c r="BB409" s="16" t="n">
        <v>0</v>
      </c>
      <c r="BC409" s="16" t="n">
        <v>0</v>
      </c>
      <c r="BD409" s="16" t="n">
        <v>0</v>
      </c>
      <c r="BE409" s="16" t="n">
        <v>0</v>
      </c>
      <c r="BF409" s="16" t="n">
        <v>0</v>
      </c>
      <c r="BG409" s="16" t="n">
        <v>0</v>
      </c>
      <c r="BH409" s="16" t="n">
        <v>0</v>
      </c>
      <c r="BI409" s="16" t="n">
        <v>0</v>
      </c>
      <c r="BJ409" s="16" t="n">
        <v>0</v>
      </c>
      <c r="BK409" s="16" t="n">
        <v>0</v>
      </c>
      <c r="BL409" s="16" t="n">
        <v>0</v>
      </c>
      <c r="BM409" s="16" t="n">
        <v>0</v>
      </c>
      <c r="BN409" s="16" t="n">
        <v>0</v>
      </c>
      <c r="BO409" s="16" t="n">
        <v>0</v>
      </c>
      <c r="BP409" s="16" t="n">
        <v>0</v>
      </c>
      <c r="BQ409" s="16" t="n">
        <v>0</v>
      </c>
      <c r="BR409" s="16" t="n">
        <v>0</v>
      </c>
      <c r="BS409" s="16" t="n">
        <v>0</v>
      </c>
      <c r="BT409" s="16" t="n">
        <v>0</v>
      </c>
      <c r="BU409" s="16" t="n">
        <v>0</v>
      </c>
      <c r="BV409" s="16" t="n">
        <v>0</v>
      </c>
      <c r="BW409" s="16" t="n">
        <v>0</v>
      </c>
      <c r="BX409" s="16" t="n">
        <v>0</v>
      </c>
      <c r="BY409" s="16" t="n">
        <v>0</v>
      </c>
      <c r="BZ409" s="16" t="n">
        <v>0</v>
      </c>
      <c r="CA409" s="16" t="n">
        <v>0</v>
      </c>
      <c r="CB409" s="16" t="n">
        <v>0</v>
      </c>
      <c r="CC409" s="16" t="n">
        <v>0</v>
      </c>
      <c r="CD409" s="16" t="n">
        <v>0</v>
      </c>
      <c r="CE409" s="16" t="n">
        <v>0</v>
      </c>
      <c r="CF409" s="16" t="n">
        <v>0</v>
      </c>
      <c r="CG409" s="16" t="n">
        <v>0</v>
      </c>
      <c r="CH409" s="16" t="n">
        <v>0</v>
      </c>
      <c r="CI409" s="16" t="n">
        <v>0</v>
      </c>
      <c r="CJ409" s="16" t="n">
        <v>0</v>
      </c>
      <c r="CK409" s="16" t="n">
        <v>0</v>
      </c>
      <c r="CL409" s="16" t="n">
        <v>0</v>
      </c>
      <c r="CM409" s="16" t="n">
        <v>0</v>
      </c>
      <c r="CN409" s="16" t="n">
        <v>0</v>
      </c>
      <c r="CO409" s="16" t="n">
        <v>0</v>
      </c>
      <c r="CP409" s="16" t="n">
        <v>0</v>
      </c>
      <c r="CQ409" s="16" t="n">
        <v>0</v>
      </c>
      <c r="CR409" s="16" t="n">
        <v>0</v>
      </c>
      <c r="CS409" s="16" t="n">
        <v>0</v>
      </c>
      <c r="CT409" s="16" t="n">
        <v>0</v>
      </c>
      <c r="CU409" s="16" t="n">
        <v>0</v>
      </c>
      <c r="CV409" s="16" t="n">
        <v>0</v>
      </c>
      <c r="CW409" s="16" t="n">
        <v>0</v>
      </c>
      <c r="CX409" s="16" t="n">
        <v>0</v>
      </c>
      <c r="CY409" s="16" t="n">
        <v>0</v>
      </c>
      <c r="CZ409" s="16" t="n">
        <v>0</v>
      </c>
      <c r="DA409" s="16" t="n">
        <v>0</v>
      </c>
      <c r="DB409" s="16" t="n">
        <v>0</v>
      </c>
      <c r="DC409" s="16" t="n">
        <v>0</v>
      </c>
      <c r="DD409" s="16" t="n">
        <v>0</v>
      </c>
      <c r="DE409" s="16" t="n">
        <v>0</v>
      </c>
      <c r="DF409" s="16" t="n">
        <v>0</v>
      </c>
      <c r="DG409" s="16" t="n">
        <v>0</v>
      </c>
      <c r="DH409" s="16" t="n">
        <v>0</v>
      </c>
      <c r="DI409" s="16" t="n">
        <v>0</v>
      </c>
      <c r="DJ409" s="16" t="n">
        <v>0</v>
      </c>
      <c r="DK409" s="16" t="n">
        <v>0</v>
      </c>
      <c r="DL409" s="16" t="n">
        <v>0</v>
      </c>
      <c r="DM409" s="16" t="n">
        <v>0</v>
      </c>
      <c r="DN409" s="16" t="n">
        <v>0</v>
      </c>
      <c r="DO409" s="16" t="n">
        <v>0</v>
      </c>
      <c r="DP409" s="16" t="n">
        <v>0</v>
      </c>
      <c r="DQ409" s="16" t="n">
        <v>0</v>
      </c>
      <c r="DR409" s="16" t="n">
        <v>0</v>
      </c>
      <c r="DS409" s="16" t="n">
        <v>0</v>
      </c>
      <c r="DT409" s="16" t="n">
        <v>0</v>
      </c>
      <c r="DU409" s="16" t="n">
        <v>0</v>
      </c>
      <c r="DV409" s="16" t="n">
        <v>0</v>
      </c>
      <c r="DW409" s="16" t="n">
        <v>0</v>
      </c>
      <c r="DX409" s="16" t="n">
        <v>0</v>
      </c>
      <c r="DY409" s="16" t="n">
        <v>0</v>
      </c>
      <c r="DZ409" s="16" t="n">
        <v>0</v>
      </c>
      <c r="EA409" s="16" t="n">
        <v>0</v>
      </c>
      <c r="EB409" s="16" t="n">
        <v>0</v>
      </c>
      <c r="EC409" s="16" t="n">
        <v>0</v>
      </c>
      <c r="ED409" s="16" t="n">
        <v>0</v>
      </c>
      <c r="EE409" s="16" t="n">
        <v>0</v>
      </c>
      <c r="EF409" s="16" t="n">
        <v>0</v>
      </c>
    </row>
    <row r="410" customFormat="false" ht="15" hidden="false" customHeight="true" outlineLevel="0" collapsed="false">
      <c r="A410" s="9" t="s">
        <v>12</v>
      </c>
      <c r="B410" s="9" t="s">
        <v>30</v>
      </c>
      <c r="C410" s="9" t="s">
        <v>30</v>
      </c>
      <c r="D410" s="9" t="s">
        <v>335</v>
      </c>
      <c r="E410" s="9" t="s">
        <v>14</v>
      </c>
      <c r="F410" s="9" t="s">
        <v>87</v>
      </c>
      <c r="G410" s="16" t="n">
        <v>0</v>
      </c>
      <c r="H410" s="16" t="n">
        <v>0</v>
      </c>
      <c r="I410" s="16" t="n">
        <v>33</v>
      </c>
      <c r="J410" s="16" t="n">
        <v>-33</v>
      </c>
      <c r="K410" s="16" t="n">
        <v>0</v>
      </c>
      <c r="L410" s="16" t="n">
        <v>0</v>
      </c>
      <c r="M410" s="16" t="n">
        <v>0</v>
      </c>
      <c r="N410" s="16" t="n">
        <v>0</v>
      </c>
      <c r="O410" s="16" t="n">
        <v>0</v>
      </c>
      <c r="P410" s="16" t="n">
        <v>0</v>
      </c>
      <c r="Q410" s="16" t="n">
        <v>0</v>
      </c>
      <c r="R410" s="16" t="n">
        <v>0</v>
      </c>
      <c r="S410" s="16" t="n">
        <v>0</v>
      </c>
      <c r="T410" s="16" t="n">
        <v>0</v>
      </c>
      <c r="U410" s="16" t="n">
        <v>0</v>
      </c>
      <c r="V410" s="16" t="n">
        <v>0</v>
      </c>
      <c r="W410" s="16" t="n">
        <v>0</v>
      </c>
      <c r="X410" s="16" t="n">
        <v>0</v>
      </c>
      <c r="Y410" s="16" t="n">
        <v>0</v>
      </c>
      <c r="Z410" s="16" t="n">
        <v>0</v>
      </c>
      <c r="AA410" s="16" t="n">
        <v>0</v>
      </c>
      <c r="AB410" s="16" t="n">
        <v>0</v>
      </c>
      <c r="AC410" s="16" t="n">
        <v>0</v>
      </c>
      <c r="AD410" s="16" t="n">
        <v>0</v>
      </c>
      <c r="AE410" s="16" t="n">
        <v>0</v>
      </c>
      <c r="AF410" s="16" t="n">
        <v>0</v>
      </c>
      <c r="AG410" s="16" t="n">
        <v>0</v>
      </c>
      <c r="AH410" s="16" t="n">
        <v>0</v>
      </c>
      <c r="AI410" s="16" t="n">
        <v>0</v>
      </c>
      <c r="AJ410" s="16" t="n">
        <v>0</v>
      </c>
      <c r="AK410" s="16" t="n">
        <v>0</v>
      </c>
      <c r="AL410" s="16" t="n">
        <v>0</v>
      </c>
      <c r="AM410" s="16" t="n">
        <v>5</v>
      </c>
      <c r="AN410" s="16" t="n">
        <v>28</v>
      </c>
      <c r="AO410" s="16" t="n">
        <v>0</v>
      </c>
      <c r="AP410" s="16" t="n">
        <v>0</v>
      </c>
      <c r="AQ410" s="16" t="n">
        <v>0</v>
      </c>
      <c r="AR410" s="16" t="n">
        <v>0</v>
      </c>
      <c r="AS410" s="16" t="n">
        <v>0</v>
      </c>
      <c r="AT410" s="16" t="n">
        <v>0</v>
      </c>
      <c r="AU410" s="16" t="n">
        <v>0</v>
      </c>
      <c r="AV410" s="16" t="n">
        <v>0</v>
      </c>
      <c r="AW410" s="16" t="n">
        <v>0</v>
      </c>
      <c r="AX410" s="16" t="n">
        <v>0</v>
      </c>
      <c r="AY410" s="16" t="n">
        <v>0</v>
      </c>
      <c r="AZ410" s="16" t="n">
        <v>0</v>
      </c>
      <c r="BA410" s="16" t="n">
        <v>0</v>
      </c>
      <c r="BB410" s="16" t="n">
        <v>0</v>
      </c>
      <c r="BC410" s="16" t="n">
        <v>0</v>
      </c>
      <c r="BD410" s="16" t="n">
        <v>0</v>
      </c>
      <c r="BE410" s="16" t="n">
        <v>0</v>
      </c>
      <c r="BF410" s="16" t="n">
        <v>0</v>
      </c>
      <c r="BG410" s="16" t="n">
        <v>0</v>
      </c>
      <c r="BH410" s="16" t="n">
        <v>0</v>
      </c>
      <c r="BI410" s="16" t="n">
        <v>0</v>
      </c>
      <c r="BJ410" s="16" t="n">
        <v>0</v>
      </c>
      <c r="BK410" s="16" t="n">
        <v>0</v>
      </c>
      <c r="BL410" s="16" t="n">
        <v>0</v>
      </c>
      <c r="BM410" s="16" t="n">
        <v>0</v>
      </c>
      <c r="BN410" s="16" t="n">
        <v>0</v>
      </c>
      <c r="BO410" s="16" t="n">
        <v>0</v>
      </c>
      <c r="BP410" s="16" t="n">
        <v>0</v>
      </c>
      <c r="BQ410" s="16" t="n">
        <v>0</v>
      </c>
      <c r="BR410" s="16" t="n">
        <v>0</v>
      </c>
      <c r="BS410" s="16" t="n">
        <v>0</v>
      </c>
      <c r="BT410" s="16" t="n">
        <v>0</v>
      </c>
      <c r="BU410" s="16" t="n">
        <v>0</v>
      </c>
      <c r="BV410" s="16" t="n">
        <v>0</v>
      </c>
      <c r="BW410" s="16" t="n">
        <v>0</v>
      </c>
      <c r="BX410" s="16" t="n">
        <v>0</v>
      </c>
      <c r="BY410" s="16" t="n">
        <v>0</v>
      </c>
      <c r="BZ410" s="16" t="n">
        <v>0</v>
      </c>
      <c r="CA410" s="16" t="n">
        <v>0</v>
      </c>
      <c r="CB410" s="16" t="n">
        <v>0</v>
      </c>
      <c r="CC410" s="16" t="n">
        <v>0</v>
      </c>
      <c r="CD410" s="16" t="n">
        <v>0</v>
      </c>
      <c r="CE410" s="16" t="n">
        <v>0</v>
      </c>
      <c r="CF410" s="16" t="n">
        <v>0</v>
      </c>
      <c r="CG410" s="16" t="n">
        <v>0</v>
      </c>
      <c r="CH410" s="16" t="n">
        <v>0</v>
      </c>
      <c r="CI410" s="16" t="n">
        <v>0</v>
      </c>
      <c r="CJ410" s="16" t="n">
        <v>0</v>
      </c>
      <c r="CK410" s="16" t="n">
        <v>0</v>
      </c>
      <c r="CL410" s="16" t="n">
        <v>0</v>
      </c>
      <c r="CM410" s="16" t="n">
        <v>0</v>
      </c>
      <c r="CN410" s="16" t="n">
        <v>0</v>
      </c>
      <c r="CO410" s="16" t="n">
        <v>0</v>
      </c>
      <c r="CP410" s="16" t="n">
        <v>0</v>
      </c>
      <c r="CQ410" s="16" t="n">
        <v>0</v>
      </c>
      <c r="CR410" s="16" t="n">
        <v>0</v>
      </c>
      <c r="CS410" s="16" t="n">
        <v>0</v>
      </c>
      <c r="CT410" s="16" t="n">
        <v>0</v>
      </c>
      <c r="CU410" s="16" t="n">
        <v>0</v>
      </c>
      <c r="CV410" s="16" t="n">
        <v>0</v>
      </c>
      <c r="CW410" s="16" t="n">
        <v>0</v>
      </c>
      <c r="CX410" s="16" t="n">
        <v>0</v>
      </c>
      <c r="CY410" s="16" t="n">
        <v>0</v>
      </c>
      <c r="CZ410" s="16" t="n">
        <v>0</v>
      </c>
      <c r="DA410" s="16" t="n">
        <v>0</v>
      </c>
      <c r="DB410" s="16" t="n">
        <v>0</v>
      </c>
      <c r="DC410" s="16" t="n">
        <v>0</v>
      </c>
      <c r="DD410" s="16" t="n">
        <v>0</v>
      </c>
      <c r="DE410" s="16" t="n">
        <v>0</v>
      </c>
      <c r="DF410" s="16" t="n">
        <v>0</v>
      </c>
      <c r="DG410" s="16" t="n">
        <v>0</v>
      </c>
      <c r="DH410" s="16" t="n">
        <v>0</v>
      </c>
      <c r="DI410" s="16" t="n">
        <v>0</v>
      </c>
      <c r="DJ410" s="16" t="n">
        <v>0</v>
      </c>
      <c r="DK410" s="16" t="n">
        <v>0</v>
      </c>
      <c r="DL410" s="16" t="n">
        <v>0</v>
      </c>
      <c r="DM410" s="16" t="n">
        <v>0</v>
      </c>
      <c r="DN410" s="16" t="n">
        <v>0</v>
      </c>
      <c r="DO410" s="16" t="n">
        <v>0</v>
      </c>
      <c r="DP410" s="16" t="n">
        <v>0</v>
      </c>
      <c r="DQ410" s="16" t="n">
        <v>0</v>
      </c>
      <c r="DR410" s="16" t="n">
        <v>0</v>
      </c>
      <c r="DS410" s="16" t="n">
        <v>0</v>
      </c>
      <c r="DT410" s="16" t="n">
        <v>0</v>
      </c>
      <c r="DU410" s="16" t="n">
        <v>0</v>
      </c>
      <c r="DV410" s="16" t="n">
        <v>0</v>
      </c>
      <c r="DW410" s="16" t="n">
        <v>0</v>
      </c>
      <c r="DX410" s="16" t="n">
        <v>0</v>
      </c>
      <c r="DY410" s="16" t="n">
        <v>0</v>
      </c>
      <c r="DZ410" s="16" t="n">
        <v>0</v>
      </c>
      <c r="EA410" s="16" t="n">
        <v>0</v>
      </c>
      <c r="EB410" s="16" t="n">
        <v>0</v>
      </c>
      <c r="EC410" s="16" t="n">
        <v>0</v>
      </c>
      <c r="ED410" s="16" t="n">
        <v>0</v>
      </c>
      <c r="EE410" s="16" t="n">
        <v>0</v>
      </c>
      <c r="EF410" s="16" t="n">
        <v>0</v>
      </c>
    </row>
    <row r="411" customFormat="false" ht="15" hidden="false" customHeight="true" outlineLevel="0" collapsed="false">
      <c r="A411" s="9" t="s">
        <v>12</v>
      </c>
      <c r="B411" s="9" t="s">
        <v>18</v>
      </c>
      <c r="C411" s="9" t="s">
        <v>18</v>
      </c>
      <c r="D411" s="9" t="s">
        <v>341</v>
      </c>
      <c r="E411" s="9" t="s">
        <v>16</v>
      </c>
      <c r="F411" s="9" t="s">
        <v>79</v>
      </c>
      <c r="G411" s="16" t="n">
        <v>0</v>
      </c>
      <c r="H411" s="16" t="n">
        <v>0</v>
      </c>
      <c r="I411" s="16" t="n">
        <v>61.4</v>
      </c>
      <c r="J411" s="16" t="n">
        <v>-61.4</v>
      </c>
      <c r="K411" s="16" t="n">
        <v>0</v>
      </c>
      <c r="L411" s="16" t="n">
        <v>0</v>
      </c>
      <c r="M411" s="16" t="n">
        <v>0</v>
      </c>
      <c r="N411" s="16" t="n">
        <v>0</v>
      </c>
      <c r="O411" s="16" t="n">
        <v>0</v>
      </c>
      <c r="P411" s="16" t="n">
        <v>0</v>
      </c>
      <c r="Q411" s="16" t="n">
        <v>0</v>
      </c>
      <c r="R411" s="16" t="n">
        <v>0</v>
      </c>
      <c r="S411" s="16" t="n">
        <v>0</v>
      </c>
      <c r="T411" s="16" t="n">
        <v>0</v>
      </c>
      <c r="U411" s="16" t="n">
        <v>0</v>
      </c>
      <c r="V411" s="16" t="n">
        <v>0</v>
      </c>
      <c r="W411" s="16" t="n">
        <v>0</v>
      </c>
      <c r="X411" s="16" t="n">
        <v>0</v>
      </c>
      <c r="Y411" s="16" t="n">
        <v>0</v>
      </c>
      <c r="Z411" s="16" t="n">
        <v>0</v>
      </c>
      <c r="AA411" s="16" t="n">
        <v>0</v>
      </c>
      <c r="AB411" s="16" t="n">
        <v>0</v>
      </c>
      <c r="AC411" s="16" t="n">
        <v>0</v>
      </c>
      <c r="AD411" s="16" t="n">
        <v>0</v>
      </c>
      <c r="AE411" s="16" t="n">
        <v>0</v>
      </c>
      <c r="AF411" s="16" t="n">
        <v>0</v>
      </c>
      <c r="AG411" s="16" t="n">
        <v>0</v>
      </c>
      <c r="AH411" s="16" t="n">
        <v>0</v>
      </c>
      <c r="AI411" s="16" t="n">
        <v>0</v>
      </c>
      <c r="AJ411" s="16" t="n">
        <v>0</v>
      </c>
      <c r="AK411" s="16" t="n">
        <v>0</v>
      </c>
      <c r="AL411" s="16" t="n">
        <v>2</v>
      </c>
      <c r="AM411" s="16" t="n">
        <v>1.5</v>
      </c>
      <c r="AN411" s="16" t="n">
        <v>2</v>
      </c>
      <c r="AO411" s="16" t="n">
        <v>2</v>
      </c>
      <c r="AP411" s="16" t="n">
        <v>0</v>
      </c>
      <c r="AQ411" s="16" t="n">
        <v>0</v>
      </c>
      <c r="AR411" s="16" t="n">
        <v>2</v>
      </c>
      <c r="AS411" s="16" t="n">
        <v>0</v>
      </c>
      <c r="AT411" s="16" t="n">
        <v>0</v>
      </c>
      <c r="AU411" s="16" t="n">
        <v>0</v>
      </c>
      <c r="AV411" s="16" t="n">
        <v>0</v>
      </c>
      <c r="AW411" s="16" t="n">
        <v>0</v>
      </c>
      <c r="AX411" s="16" t="n">
        <v>0</v>
      </c>
      <c r="AY411" s="16" t="n">
        <v>0</v>
      </c>
      <c r="AZ411" s="16" t="n">
        <v>0</v>
      </c>
      <c r="BA411" s="16" t="n">
        <v>0</v>
      </c>
      <c r="BB411" s="16" t="n">
        <v>0</v>
      </c>
      <c r="BC411" s="16" t="n">
        <v>0</v>
      </c>
      <c r="BD411" s="16" t="n">
        <v>0</v>
      </c>
      <c r="BE411" s="16" t="n">
        <v>0</v>
      </c>
      <c r="BF411" s="16" t="n">
        <v>0</v>
      </c>
      <c r="BG411" s="16" t="n">
        <v>0</v>
      </c>
      <c r="BH411" s="16" t="n">
        <v>0</v>
      </c>
      <c r="BI411" s="16" t="n">
        <v>0</v>
      </c>
      <c r="BJ411" s="16" t="n">
        <v>0</v>
      </c>
      <c r="BK411" s="16" t="n">
        <v>0</v>
      </c>
      <c r="BL411" s="16" t="n">
        <v>0</v>
      </c>
      <c r="BM411" s="16" t="n">
        <v>0</v>
      </c>
      <c r="BN411" s="16" t="n">
        <v>0</v>
      </c>
      <c r="BO411" s="16" t="n">
        <v>0</v>
      </c>
      <c r="BP411" s="16" t="n">
        <v>0</v>
      </c>
      <c r="BQ411" s="16" t="n">
        <v>0</v>
      </c>
      <c r="BR411" s="16" t="n">
        <v>0</v>
      </c>
      <c r="BS411" s="16" t="n">
        <v>0</v>
      </c>
      <c r="BT411" s="16" t="n">
        <v>0</v>
      </c>
      <c r="BU411" s="16" t="n">
        <v>0</v>
      </c>
      <c r="BV411" s="16" t="n">
        <v>0</v>
      </c>
      <c r="BW411" s="16" t="n">
        <v>0</v>
      </c>
      <c r="BX411" s="16" t="n">
        <v>0</v>
      </c>
      <c r="BY411" s="16" t="n">
        <v>0</v>
      </c>
      <c r="BZ411" s="16" t="n">
        <v>0</v>
      </c>
      <c r="CA411" s="16" t="n">
        <v>0</v>
      </c>
      <c r="CB411" s="16" t="n">
        <v>0</v>
      </c>
      <c r="CC411" s="16" t="n">
        <v>0</v>
      </c>
      <c r="CD411" s="16" t="n">
        <v>0</v>
      </c>
      <c r="CE411" s="16" t="n">
        <v>0</v>
      </c>
      <c r="CF411" s="16" t="n">
        <v>0</v>
      </c>
      <c r="CG411" s="16" t="n">
        <v>0</v>
      </c>
      <c r="CH411" s="16" t="n">
        <v>0</v>
      </c>
      <c r="CI411" s="16" t="n">
        <v>0</v>
      </c>
      <c r="CJ411" s="16" t="n">
        <v>0</v>
      </c>
      <c r="CK411" s="16" t="n">
        <v>0</v>
      </c>
      <c r="CL411" s="16" t="n">
        <v>0</v>
      </c>
      <c r="CM411" s="16" t="n">
        <v>0</v>
      </c>
      <c r="CN411" s="16" t="n">
        <v>0</v>
      </c>
      <c r="CO411" s="16" t="n">
        <v>0</v>
      </c>
      <c r="CP411" s="16" t="n">
        <v>0</v>
      </c>
      <c r="CQ411" s="16" t="n">
        <v>0</v>
      </c>
      <c r="CR411" s="16" t="n">
        <v>0</v>
      </c>
      <c r="CS411" s="16" t="n">
        <v>1.403509</v>
      </c>
      <c r="CT411" s="16" t="n">
        <v>1.403509</v>
      </c>
      <c r="CU411" s="16" t="n">
        <v>1.403509</v>
      </c>
      <c r="CV411" s="16" t="n">
        <v>1.403509</v>
      </c>
      <c r="CW411" s="16" t="n">
        <v>1.403509</v>
      </c>
      <c r="CX411" s="16" t="n">
        <v>1.403509</v>
      </c>
      <c r="CY411" s="16" t="n">
        <v>1.403509</v>
      </c>
      <c r="CZ411" s="16" t="n">
        <v>1.403509</v>
      </c>
      <c r="DA411" s="16" t="n">
        <v>1.403509</v>
      </c>
      <c r="DB411" s="16" t="n">
        <v>1.403509</v>
      </c>
      <c r="DC411" s="16" t="n">
        <v>1.403509</v>
      </c>
      <c r="DD411" s="16" t="n">
        <v>1.403509</v>
      </c>
      <c r="DE411" s="16" t="n">
        <v>1.403509</v>
      </c>
      <c r="DF411" s="16" t="n">
        <v>1.403509</v>
      </c>
      <c r="DG411" s="16" t="n">
        <v>1.403509</v>
      </c>
      <c r="DH411" s="16" t="n">
        <v>1.403509</v>
      </c>
      <c r="DI411" s="16" t="n">
        <v>1.403509</v>
      </c>
      <c r="DJ411" s="16" t="n">
        <v>1.403509</v>
      </c>
      <c r="DK411" s="16" t="n">
        <v>1.403509</v>
      </c>
      <c r="DL411" s="16" t="n">
        <v>1.403509</v>
      </c>
      <c r="DM411" s="16" t="n">
        <v>1.403509</v>
      </c>
      <c r="DN411" s="16" t="n">
        <v>1.403509</v>
      </c>
      <c r="DO411" s="16" t="n">
        <v>1.403509</v>
      </c>
      <c r="DP411" s="16" t="n">
        <v>1.403509</v>
      </c>
      <c r="DQ411" s="16" t="n">
        <v>1.403509</v>
      </c>
      <c r="DR411" s="16" t="n">
        <v>1.403509</v>
      </c>
      <c r="DS411" s="16" t="n">
        <v>1.403509</v>
      </c>
      <c r="DT411" s="16" t="n">
        <v>1.403509</v>
      </c>
      <c r="DU411" s="16" t="n">
        <v>1.403509</v>
      </c>
      <c r="DV411" s="16" t="n">
        <v>1.403509</v>
      </c>
      <c r="DW411" s="16" t="n">
        <v>1.403509</v>
      </c>
      <c r="DX411" s="16" t="n">
        <v>1.403509</v>
      </c>
      <c r="DY411" s="16" t="n">
        <v>1.403509</v>
      </c>
      <c r="DZ411" s="16" t="n">
        <v>1.403509</v>
      </c>
      <c r="EA411" s="16" t="n">
        <v>1.403509</v>
      </c>
      <c r="EB411" s="16" t="n">
        <v>1.403509</v>
      </c>
      <c r="EC411" s="16" t="n">
        <v>1.403509</v>
      </c>
      <c r="ED411" s="16" t="n">
        <v>0</v>
      </c>
      <c r="EE411" s="16" t="n">
        <v>0</v>
      </c>
      <c r="EF411" s="16" t="n">
        <v>0</v>
      </c>
    </row>
    <row r="412" customFormat="false" ht="15" hidden="false" customHeight="true" outlineLevel="0" collapsed="false">
      <c r="A412" s="9" t="s">
        <v>12</v>
      </c>
      <c r="B412" s="9" t="s">
        <v>18</v>
      </c>
      <c r="C412" s="9" t="s">
        <v>18</v>
      </c>
      <c r="D412" s="9" t="s">
        <v>340</v>
      </c>
      <c r="E412" s="9" t="s">
        <v>16</v>
      </c>
      <c r="F412" s="9" t="s">
        <v>79</v>
      </c>
      <c r="G412" s="16" t="n">
        <v>22.9</v>
      </c>
      <c r="H412" s="16" t="n">
        <v>74.9</v>
      </c>
      <c r="I412" s="16" t="n">
        <v>7.5</v>
      </c>
      <c r="J412" s="16" t="n">
        <v>67.4</v>
      </c>
      <c r="K412" s="16" t="n">
        <v>0</v>
      </c>
      <c r="L412" s="16" t="n">
        <v>0</v>
      </c>
      <c r="M412" s="16" t="n">
        <v>0</v>
      </c>
      <c r="N412" s="16" t="n">
        <v>0</v>
      </c>
      <c r="O412" s="16" t="n">
        <v>0</v>
      </c>
      <c r="P412" s="16" t="n">
        <v>0</v>
      </c>
      <c r="Q412" s="16" t="n">
        <v>0</v>
      </c>
      <c r="R412" s="16" t="n">
        <v>0</v>
      </c>
      <c r="S412" s="16" t="n">
        <v>0</v>
      </c>
      <c r="T412" s="16" t="n">
        <v>0</v>
      </c>
      <c r="U412" s="16" t="n">
        <v>0</v>
      </c>
      <c r="V412" s="16" t="n">
        <v>0</v>
      </c>
      <c r="W412" s="16" t="n">
        <v>0</v>
      </c>
      <c r="X412" s="16" t="n">
        <v>0</v>
      </c>
      <c r="Y412" s="16" t="n">
        <v>0</v>
      </c>
      <c r="Z412" s="16" t="n">
        <v>0</v>
      </c>
      <c r="AA412" s="16" t="n">
        <v>0</v>
      </c>
      <c r="AB412" s="16" t="n">
        <v>0</v>
      </c>
      <c r="AC412" s="16" t="n">
        <v>0</v>
      </c>
      <c r="AD412" s="16" t="n">
        <v>6</v>
      </c>
      <c r="AE412" s="16" t="n">
        <v>0</v>
      </c>
      <c r="AF412" s="16" t="n">
        <v>1.5</v>
      </c>
      <c r="AG412" s="16" t="n">
        <v>0</v>
      </c>
      <c r="AH412" s="16" t="n">
        <v>0</v>
      </c>
      <c r="AI412" s="16" t="n">
        <v>0</v>
      </c>
      <c r="AJ412" s="16" t="n">
        <v>0</v>
      </c>
      <c r="AK412" s="16" t="n">
        <v>0</v>
      </c>
      <c r="AL412" s="16" t="n">
        <v>0</v>
      </c>
      <c r="AM412" s="16" t="n">
        <v>0</v>
      </c>
      <c r="AN412" s="16" t="n">
        <v>0</v>
      </c>
      <c r="AO412" s="16" t="n">
        <v>0</v>
      </c>
      <c r="AP412" s="16" t="n">
        <v>0</v>
      </c>
      <c r="AQ412" s="16" t="n">
        <v>0</v>
      </c>
      <c r="AR412" s="16" t="n">
        <v>0</v>
      </c>
      <c r="AS412" s="16" t="n">
        <v>0</v>
      </c>
      <c r="AT412" s="16" t="n">
        <v>0</v>
      </c>
      <c r="AU412" s="16" t="n">
        <v>0</v>
      </c>
      <c r="AV412" s="16" t="n">
        <v>0</v>
      </c>
      <c r="AW412" s="16" t="n">
        <v>0</v>
      </c>
      <c r="AX412" s="16" t="n">
        <v>0</v>
      </c>
      <c r="AY412" s="16" t="n">
        <v>0</v>
      </c>
      <c r="AZ412" s="16" t="n">
        <v>0</v>
      </c>
      <c r="BA412" s="16" t="n">
        <v>0</v>
      </c>
      <c r="BB412" s="16" t="n">
        <v>0</v>
      </c>
      <c r="BC412" s="16" t="n">
        <v>0</v>
      </c>
      <c r="BD412" s="16" t="n">
        <v>0</v>
      </c>
      <c r="BE412" s="16" t="n">
        <v>0</v>
      </c>
      <c r="BF412" s="16" t="n">
        <v>0</v>
      </c>
      <c r="BG412" s="16" t="n">
        <v>0</v>
      </c>
      <c r="BH412" s="16" t="n">
        <v>0</v>
      </c>
      <c r="BI412" s="16" t="n">
        <v>0</v>
      </c>
      <c r="BJ412" s="16" t="n">
        <v>0</v>
      </c>
      <c r="BK412" s="16" t="n">
        <v>0</v>
      </c>
      <c r="BL412" s="16" t="n">
        <v>0</v>
      </c>
      <c r="BM412" s="16" t="n">
        <v>0</v>
      </c>
      <c r="BN412" s="16" t="n">
        <v>0</v>
      </c>
      <c r="BO412" s="16" t="n">
        <v>0</v>
      </c>
      <c r="BP412" s="16" t="n">
        <v>0</v>
      </c>
      <c r="BQ412" s="16" t="n">
        <v>0</v>
      </c>
      <c r="BR412" s="16" t="n">
        <v>0</v>
      </c>
      <c r="BS412" s="16" t="n">
        <v>0</v>
      </c>
      <c r="BT412" s="16" t="n">
        <v>0</v>
      </c>
      <c r="BU412" s="16" t="n">
        <v>0</v>
      </c>
      <c r="BV412" s="16" t="n">
        <v>0</v>
      </c>
      <c r="BW412" s="16" t="n">
        <v>0</v>
      </c>
      <c r="BX412" s="16" t="n">
        <v>0</v>
      </c>
      <c r="BY412" s="16" t="n">
        <v>0</v>
      </c>
      <c r="BZ412" s="16" t="n">
        <v>0</v>
      </c>
      <c r="CA412" s="16" t="n">
        <v>0</v>
      </c>
      <c r="CB412" s="16" t="n">
        <v>0</v>
      </c>
      <c r="CC412" s="16" t="n">
        <v>0</v>
      </c>
      <c r="CD412" s="16" t="n">
        <v>0</v>
      </c>
      <c r="CE412" s="16" t="n">
        <v>0</v>
      </c>
      <c r="CF412" s="16" t="n">
        <v>0</v>
      </c>
      <c r="CG412" s="16" t="n">
        <v>0</v>
      </c>
      <c r="CH412" s="16" t="n">
        <v>0</v>
      </c>
      <c r="CI412" s="16" t="n">
        <v>0</v>
      </c>
      <c r="CJ412" s="16" t="n">
        <v>0</v>
      </c>
      <c r="CK412" s="16" t="n">
        <v>0</v>
      </c>
      <c r="CL412" s="16" t="n">
        <v>0</v>
      </c>
      <c r="CM412" s="16" t="n">
        <v>0</v>
      </c>
      <c r="CN412" s="16" t="n">
        <v>0</v>
      </c>
      <c r="CO412" s="16" t="n">
        <v>0</v>
      </c>
      <c r="CP412" s="16" t="n">
        <v>0</v>
      </c>
      <c r="CQ412" s="16" t="n">
        <v>0</v>
      </c>
      <c r="CR412" s="16" t="n">
        <v>0</v>
      </c>
      <c r="CS412" s="16" t="n">
        <v>0</v>
      </c>
      <c r="CT412" s="16" t="n">
        <v>0</v>
      </c>
      <c r="CU412" s="16" t="n">
        <v>0</v>
      </c>
      <c r="CV412" s="16" t="n">
        <v>0</v>
      </c>
      <c r="CW412" s="16" t="n">
        <v>0</v>
      </c>
      <c r="CX412" s="16" t="n">
        <v>0</v>
      </c>
      <c r="CY412" s="16" t="n">
        <v>0</v>
      </c>
      <c r="CZ412" s="16" t="n">
        <v>0</v>
      </c>
      <c r="DA412" s="16" t="n">
        <v>0</v>
      </c>
      <c r="DB412" s="16" t="n">
        <v>0</v>
      </c>
      <c r="DC412" s="16" t="n">
        <v>0</v>
      </c>
      <c r="DD412" s="16" t="n">
        <v>0</v>
      </c>
      <c r="DE412" s="16" t="n">
        <v>0</v>
      </c>
      <c r="DF412" s="16" t="n">
        <v>0</v>
      </c>
      <c r="DG412" s="16" t="n">
        <v>0</v>
      </c>
      <c r="DH412" s="16" t="n">
        <v>0</v>
      </c>
      <c r="DI412" s="16" t="n">
        <v>0</v>
      </c>
      <c r="DJ412" s="16" t="n">
        <v>0</v>
      </c>
      <c r="DK412" s="16" t="n">
        <v>0</v>
      </c>
      <c r="DL412" s="16" t="n">
        <v>0</v>
      </c>
      <c r="DM412" s="16" t="n">
        <v>0</v>
      </c>
      <c r="DN412" s="16" t="n">
        <v>0</v>
      </c>
      <c r="DO412" s="16" t="n">
        <v>0</v>
      </c>
      <c r="DP412" s="16" t="n">
        <v>0</v>
      </c>
      <c r="DQ412" s="16" t="n">
        <v>0</v>
      </c>
      <c r="DR412" s="16" t="n">
        <v>0</v>
      </c>
      <c r="DS412" s="16" t="n">
        <v>0</v>
      </c>
      <c r="DT412" s="16" t="n">
        <v>0</v>
      </c>
      <c r="DU412" s="16" t="n">
        <v>0</v>
      </c>
      <c r="DV412" s="16" t="n">
        <v>0</v>
      </c>
      <c r="DW412" s="16" t="n">
        <v>0</v>
      </c>
      <c r="DX412" s="16" t="n">
        <v>0</v>
      </c>
      <c r="DY412" s="16" t="n">
        <v>0</v>
      </c>
      <c r="DZ412" s="16" t="n">
        <v>0</v>
      </c>
      <c r="EA412" s="16" t="n">
        <v>0</v>
      </c>
      <c r="EB412" s="16" t="n">
        <v>0</v>
      </c>
      <c r="EC412" s="16" t="n">
        <v>0</v>
      </c>
      <c r="ED412" s="16" t="n">
        <v>0</v>
      </c>
      <c r="EE412" s="16" t="n">
        <v>0</v>
      </c>
      <c r="EF412" s="16" t="n">
        <v>0</v>
      </c>
    </row>
    <row r="413" customFormat="false" ht="15" hidden="false" customHeight="true" outlineLevel="0" collapsed="false">
      <c r="A413" s="9" t="s">
        <v>12</v>
      </c>
      <c r="B413" s="9" t="s">
        <v>18</v>
      </c>
      <c r="C413" s="9" t="s">
        <v>18</v>
      </c>
      <c r="D413" s="9" t="s">
        <v>340</v>
      </c>
      <c r="E413" s="9" t="s">
        <v>16</v>
      </c>
      <c r="F413" s="9" t="s">
        <v>79</v>
      </c>
      <c r="G413" s="16" t="n">
        <v>0</v>
      </c>
      <c r="H413" s="16" t="n">
        <v>0</v>
      </c>
      <c r="I413" s="16" t="n">
        <v>12</v>
      </c>
      <c r="J413" s="16" t="n">
        <v>-12</v>
      </c>
      <c r="K413" s="16" t="n">
        <v>0</v>
      </c>
      <c r="L413" s="16" t="n">
        <v>0</v>
      </c>
      <c r="M413" s="16" t="n">
        <v>0</v>
      </c>
      <c r="N413" s="16" t="n">
        <v>0</v>
      </c>
      <c r="O413" s="16" t="n">
        <v>0</v>
      </c>
      <c r="P413" s="16" t="n">
        <v>0</v>
      </c>
      <c r="Q413" s="16" t="n">
        <v>0</v>
      </c>
      <c r="R413" s="16" t="n">
        <v>0</v>
      </c>
      <c r="S413" s="16" t="n">
        <v>0</v>
      </c>
      <c r="T413" s="16" t="n">
        <v>0</v>
      </c>
      <c r="U413" s="16" t="n">
        <v>0</v>
      </c>
      <c r="V413" s="16" t="n">
        <v>0</v>
      </c>
      <c r="W413" s="16" t="n">
        <v>0</v>
      </c>
      <c r="X413" s="16" t="n">
        <v>0</v>
      </c>
      <c r="Y413" s="16" t="n">
        <v>9</v>
      </c>
      <c r="Z413" s="16" t="n">
        <v>2</v>
      </c>
      <c r="AA413" s="16" t="n">
        <v>1</v>
      </c>
      <c r="AB413" s="16" t="n">
        <v>0</v>
      </c>
      <c r="AC413" s="16" t="n">
        <v>0</v>
      </c>
      <c r="AD413" s="16" t="n">
        <v>0</v>
      </c>
      <c r="AE413" s="16" t="n">
        <v>0</v>
      </c>
      <c r="AF413" s="16" t="n">
        <v>0</v>
      </c>
      <c r="AG413" s="16" t="n">
        <v>0</v>
      </c>
      <c r="AH413" s="16" t="n">
        <v>0</v>
      </c>
      <c r="AI413" s="16" t="n">
        <v>0</v>
      </c>
      <c r="AJ413" s="16" t="n">
        <v>0</v>
      </c>
      <c r="AK413" s="16" t="n">
        <v>0</v>
      </c>
      <c r="AL413" s="16" t="n">
        <v>0</v>
      </c>
      <c r="AM413" s="16" t="n">
        <v>0</v>
      </c>
      <c r="AN413" s="16" t="n">
        <v>0</v>
      </c>
      <c r="AO413" s="16" t="n">
        <v>0</v>
      </c>
      <c r="AP413" s="16" t="n">
        <v>0</v>
      </c>
      <c r="AQ413" s="16" t="n">
        <v>0</v>
      </c>
      <c r="AR413" s="16" t="n">
        <v>0</v>
      </c>
      <c r="AS413" s="16" t="n">
        <v>0</v>
      </c>
      <c r="AT413" s="16" t="n">
        <v>0</v>
      </c>
      <c r="AU413" s="16" t="n">
        <v>0</v>
      </c>
      <c r="AV413" s="16" t="n">
        <v>0</v>
      </c>
      <c r="AW413" s="16" t="n">
        <v>0</v>
      </c>
      <c r="AX413" s="16" t="n">
        <v>0</v>
      </c>
      <c r="AY413" s="16" t="n">
        <v>0</v>
      </c>
      <c r="AZ413" s="16" t="n">
        <v>0</v>
      </c>
      <c r="BA413" s="16" t="n">
        <v>0</v>
      </c>
      <c r="BB413" s="16" t="n">
        <v>0</v>
      </c>
      <c r="BC413" s="16" t="n">
        <v>0</v>
      </c>
      <c r="BD413" s="16" t="n">
        <v>0</v>
      </c>
      <c r="BE413" s="16" t="n">
        <v>0</v>
      </c>
      <c r="BF413" s="16" t="n">
        <v>0</v>
      </c>
      <c r="BG413" s="16" t="n">
        <v>0</v>
      </c>
      <c r="BH413" s="16" t="n">
        <v>0</v>
      </c>
      <c r="BI413" s="16" t="n">
        <v>0</v>
      </c>
      <c r="BJ413" s="16" t="n">
        <v>0</v>
      </c>
      <c r="BK413" s="16" t="n">
        <v>0</v>
      </c>
      <c r="BL413" s="16" t="n">
        <v>0</v>
      </c>
      <c r="BM413" s="16" t="n">
        <v>0</v>
      </c>
      <c r="BN413" s="16" t="n">
        <v>0</v>
      </c>
      <c r="BO413" s="16" t="n">
        <v>0</v>
      </c>
      <c r="BP413" s="16" t="n">
        <v>0</v>
      </c>
      <c r="BQ413" s="16" t="n">
        <v>0</v>
      </c>
      <c r="BR413" s="16" t="n">
        <v>0</v>
      </c>
      <c r="BS413" s="16" t="n">
        <v>0</v>
      </c>
      <c r="BT413" s="16" t="n">
        <v>0</v>
      </c>
      <c r="BU413" s="16" t="n">
        <v>0</v>
      </c>
      <c r="BV413" s="16" t="n">
        <v>0</v>
      </c>
      <c r="BW413" s="16" t="n">
        <v>0</v>
      </c>
      <c r="BX413" s="16" t="n">
        <v>0</v>
      </c>
      <c r="BY413" s="16" t="n">
        <v>0</v>
      </c>
      <c r="BZ413" s="16" t="n">
        <v>0</v>
      </c>
      <c r="CA413" s="16" t="n">
        <v>0</v>
      </c>
      <c r="CB413" s="16" t="n">
        <v>0</v>
      </c>
      <c r="CC413" s="16" t="n">
        <v>0</v>
      </c>
      <c r="CD413" s="16" t="n">
        <v>0</v>
      </c>
      <c r="CE413" s="16" t="n">
        <v>0</v>
      </c>
      <c r="CF413" s="16" t="n">
        <v>0</v>
      </c>
      <c r="CG413" s="16" t="n">
        <v>0</v>
      </c>
      <c r="CH413" s="16" t="n">
        <v>0</v>
      </c>
      <c r="CI413" s="16" t="n">
        <v>0</v>
      </c>
      <c r="CJ413" s="16" t="n">
        <v>0</v>
      </c>
      <c r="CK413" s="16" t="n">
        <v>0</v>
      </c>
      <c r="CL413" s="16" t="n">
        <v>0</v>
      </c>
      <c r="CM413" s="16" t="n">
        <v>0</v>
      </c>
      <c r="CN413" s="16" t="n">
        <v>0</v>
      </c>
      <c r="CO413" s="16" t="n">
        <v>0</v>
      </c>
      <c r="CP413" s="16" t="n">
        <v>0</v>
      </c>
      <c r="CQ413" s="16" t="n">
        <v>0</v>
      </c>
      <c r="CR413" s="16" t="n">
        <v>0</v>
      </c>
      <c r="CS413" s="16" t="n">
        <v>0</v>
      </c>
      <c r="CT413" s="16" t="n">
        <v>0</v>
      </c>
      <c r="CU413" s="16" t="n">
        <v>0</v>
      </c>
      <c r="CV413" s="16" t="n">
        <v>0</v>
      </c>
      <c r="CW413" s="16" t="n">
        <v>0</v>
      </c>
      <c r="CX413" s="16" t="n">
        <v>0</v>
      </c>
      <c r="CY413" s="16" t="n">
        <v>0</v>
      </c>
      <c r="CZ413" s="16" t="n">
        <v>0</v>
      </c>
      <c r="DA413" s="16" t="n">
        <v>0</v>
      </c>
      <c r="DB413" s="16" t="n">
        <v>0</v>
      </c>
      <c r="DC413" s="16" t="n">
        <v>0</v>
      </c>
      <c r="DD413" s="16" t="n">
        <v>0</v>
      </c>
      <c r="DE413" s="16" t="n">
        <v>0</v>
      </c>
      <c r="DF413" s="16" t="n">
        <v>0</v>
      </c>
      <c r="DG413" s="16" t="n">
        <v>0</v>
      </c>
      <c r="DH413" s="16" t="n">
        <v>0</v>
      </c>
      <c r="DI413" s="16" t="n">
        <v>0</v>
      </c>
      <c r="DJ413" s="16" t="n">
        <v>0</v>
      </c>
      <c r="DK413" s="16" t="n">
        <v>0</v>
      </c>
      <c r="DL413" s="16" t="n">
        <v>0</v>
      </c>
      <c r="DM413" s="16" t="n">
        <v>0</v>
      </c>
      <c r="DN413" s="16" t="n">
        <v>0</v>
      </c>
      <c r="DO413" s="16" t="n">
        <v>0</v>
      </c>
      <c r="DP413" s="16" t="n">
        <v>0</v>
      </c>
      <c r="DQ413" s="16" t="n">
        <v>0</v>
      </c>
      <c r="DR413" s="16" t="n">
        <v>0</v>
      </c>
      <c r="DS413" s="16" t="n">
        <v>0</v>
      </c>
      <c r="DT413" s="16" t="n">
        <v>0</v>
      </c>
      <c r="DU413" s="16" t="n">
        <v>0</v>
      </c>
      <c r="DV413" s="16" t="n">
        <v>0</v>
      </c>
      <c r="DW413" s="16" t="n">
        <v>0</v>
      </c>
      <c r="DX413" s="16" t="n">
        <v>0</v>
      </c>
      <c r="DY413" s="16" t="n">
        <v>0</v>
      </c>
      <c r="DZ413" s="16" t="n">
        <v>0</v>
      </c>
      <c r="EA413" s="16" t="n">
        <v>0</v>
      </c>
      <c r="EB413" s="16" t="n">
        <v>0</v>
      </c>
      <c r="EC413" s="16" t="n">
        <v>0</v>
      </c>
      <c r="ED413" s="16" t="n">
        <v>0</v>
      </c>
      <c r="EE413" s="16" t="n">
        <v>0</v>
      </c>
      <c r="EF413" s="16" t="n">
        <v>0</v>
      </c>
    </row>
    <row r="414" customFormat="false" ht="15" hidden="false" customHeight="true" outlineLevel="0" collapsed="false">
      <c r="A414" s="9" t="s">
        <v>12</v>
      </c>
      <c r="B414" s="9" t="s">
        <v>18</v>
      </c>
      <c r="C414" s="9" t="s">
        <v>18</v>
      </c>
      <c r="D414" s="9" t="s">
        <v>341</v>
      </c>
      <c r="E414" s="9" t="s">
        <v>16</v>
      </c>
      <c r="F414" s="9" t="s">
        <v>81</v>
      </c>
      <c r="G414" s="16" t="n">
        <v>0</v>
      </c>
      <c r="H414" s="16" t="n">
        <v>0</v>
      </c>
      <c r="I414" s="16" t="n">
        <v>9.3</v>
      </c>
      <c r="J414" s="16" t="n">
        <v>-9.3</v>
      </c>
      <c r="K414" s="16" t="n">
        <v>0</v>
      </c>
      <c r="L414" s="16" t="n">
        <v>0</v>
      </c>
      <c r="M414" s="16" t="n">
        <v>0</v>
      </c>
      <c r="N414" s="16" t="n">
        <v>0</v>
      </c>
      <c r="O414" s="16" t="n">
        <v>0</v>
      </c>
      <c r="P414" s="16" t="n">
        <v>0</v>
      </c>
      <c r="Q414" s="16" t="n">
        <v>0</v>
      </c>
      <c r="R414" s="16" t="n">
        <v>0</v>
      </c>
      <c r="S414" s="16" t="n">
        <v>0</v>
      </c>
      <c r="T414" s="16" t="n">
        <v>0</v>
      </c>
      <c r="U414" s="16" t="n">
        <v>0</v>
      </c>
      <c r="V414" s="16" t="n">
        <v>0</v>
      </c>
      <c r="W414" s="16" t="n">
        <v>0</v>
      </c>
      <c r="X414" s="16" t="n">
        <v>0</v>
      </c>
      <c r="Y414" s="16" t="n">
        <v>0</v>
      </c>
      <c r="Z414" s="16" t="n">
        <v>0</v>
      </c>
      <c r="AA414" s="16" t="n">
        <v>0</v>
      </c>
      <c r="AB414" s="16" t="n">
        <v>0</v>
      </c>
      <c r="AC414" s="16" t="n">
        <v>0</v>
      </c>
      <c r="AD414" s="16" t="n">
        <v>0</v>
      </c>
      <c r="AE414" s="16" t="n">
        <v>0</v>
      </c>
      <c r="AF414" s="16" t="n">
        <v>0</v>
      </c>
      <c r="AG414" s="16" t="n">
        <v>0</v>
      </c>
      <c r="AH414" s="16" t="n">
        <v>0</v>
      </c>
      <c r="AI414" s="16" t="n">
        <v>0</v>
      </c>
      <c r="AJ414" s="16" t="n">
        <v>0</v>
      </c>
      <c r="AK414" s="16" t="n">
        <v>0</v>
      </c>
      <c r="AL414" s="16" t="n">
        <v>0</v>
      </c>
      <c r="AM414" s="16" t="n">
        <v>0</v>
      </c>
      <c r="AN414" s="16" t="n">
        <v>0</v>
      </c>
      <c r="AO414" s="16" t="n">
        <v>0</v>
      </c>
      <c r="AP414" s="16" t="n">
        <v>0</v>
      </c>
      <c r="AQ414" s="16" t="n">
        <v>0</v>
      </c>
      <c r="AR414" s="16" t="n">
        <v>0</v>
      </c>
      <c r="AS414" s="16" t="n">
        <v>0</v>
      </c>
      <c r="AT414" s="16" t="n">
        <v>0</v>
      </c>
      <c r="AU414" s="16" t="n">
        <v>0</v>
      </c>
      <c r="AV414" s="16" t="n">
        <v>0</v>
      </c>
      <c r="AW414" s="16" t="n">
        <v>0</v>
      </c>
      <c r="AX414" s="16" t="n">
        <v>0</v>
      </c>
      <c r="AY414" s="16" t="n">
        <v>0</v>
      </c>
      <c r="AZ414" s="16" t="n">
        <v>0</v>
      </c>
      <c r="BA414" s="16" t="n">
        <v>0</v>
      </c>
      <c r="BB414" s="16" t="n">
        <v>0</v>
      </c>
      <c r="BC414" s="16" t="n">
        <v>0</v>
      </c>
      <c r="BD414" s="16" t="n">
        <v>0</v>
      </c>
      <c r="BE414" s="16" t="n">
        <v>0</v>
      </c>
      <c r="BF414" s="16" t="n">
        <v>0</v>
      </c>
      <c r="BG414" s="16" t="n">
        <v>0</v>
      </c>
      <c r="BH414" s="16" t="n">
        <v>0</v>
      </c>
      <c r="BI414" s="16" t="n">
        <v>0</v>
      </c>
      <c r="BJ414" s="16" t="n">
        <v>0</v>
      </c>
      <c r="BK414" s="16" t="n">
        <v>0</v>
      </c>
      <c r="BL414" s="16" t="n">
        <v>0</v>
      </c>
      <c r="BM414" s="16" t="n">
        <v>0</v>
      </c>
      <c r="BN414" s="16" t="n">
        <v>0</v>
      </c>
      <c r="BO414" s="16" t="n">
        <v>0</v>
      </c>
      <c r="BP414" s="16" t="n">
        <v>0</v>
      </c>
      <c r="BQ414" s="16" t="n">
        <v>0</v>
      </c>
      <c r="BR414" s="16" t="n">
        <v>0</v>
      </c>
      <c r="BS414" s="16" t="n">
        <v>0</v>
      </c>
      <c r="BT414" s="16" t="n">
        <v>0</v>
      </c>
      <c r="BU414" s="16" t="n">
        <v>0</v>
      </c>
      <c r="BV414" s="16" t="n">
        <v>0</v>
      </c>
      <c r="BW414" s="16" t="n">
        <v>0</v>
      </c>
      <c r="BX414" s="16" t="n">
        <v>0</v>
      </c>
      <c r="BY414" s="16" t="n">
        <v>0</v>
      </c>
      <c r="BZ414" s="16" t="n">
        <v>0</v>
      </c>
      <c r="CA414" s="16" t="n">
        <v>0</v>
      </c>
      <c r="CB414" s="16" t="n">
        <v>0</v>
      </c>
      <c r="CC414" s="16" t="n">
        <v>0</v>
      </c>
      <c r="CD414" s="16" t="n">
        <v>0</v>
      </c>
      <c r="CE414" s="16" t="n">
        <v>0</v>
      </c>
      <c r="CF414" s="16" t="n">
        <v>0</v>
      </c>
      <c r="CG414" s="16" t="n">
        <v>0</v>
      </c>
      <c r="CH414" s="16" t="n">
        <v>0</v>
      </c>
      <c r="CI414" s="16" t="n">
        <v>0</v>
      </c>
      <c r="CJ414" s="16" t="n">
        <v>0</v>
      </c>
      <c r="CK414" s="16" t="n">
        <v>0</v>
      </c>
      <c r="CL414" s="16" t="n">
        <v>0</v>
      </c>
      <c r="CM414" s="16" t="n">
        <v>0</v>
      </c>
      <c r="CN414" s="16" t="n">
        <v>0</v>
      </c>
      <c r="CO414" s="16" t="n">
        <v>0</v>
      </c>
      <c r="CP414" s="16" t="n">
        <v>0</v>
      </c>
      <c r="CQ414" s="16" t="n">
        <v>0</v>
      </c>
      <c r="CR414" s="16" t="n">
        <v>0</v>
      </c>
      <c r="CS414" s="16" t="n">
        <v>0.25</v>
      </c>
      <c r="CT414" s="16" t="n">
        <v>0.25</v>
      </c>
      <c r="CU414" s="16" t="n">
        <v>0.25</v>
      </c>
      <c r="CV414" s="16" t="n">
        <v>0.25</v>
      </c>
      <c r="CW414" s="16" t="n">
        <v>0.25</v>
      </c>
      <c r="CX414" s="16" t="n">
        <v>0.25</v>
      </c>
      <c r="CY414" s="16" t="n">
        <v>0.25</v>
      </c>
      <c r="CZ414" s="16" t="n">
        <v>0.25</v>
      </c>
      <c r="DA414" s="16" t="n">
        <v>0.25</v>
      </c>
      <c r="DB414" s="16" t="n">
        <v>0.25</v>
      </c>
      <c r="DC414" s="16" t="n">
        <v>0.25</v>
      </c>
      <c r="DD414" s="16" t="n">
        <v>0.25</v>
      </c>
      <c r="DE414" s="16" t="n">
        <v>0.25</v>
      </c>
      <c r="DF414" s="16" t="n">
        <v>0.25</v>
      </c>
      <c r="DG414" s="16" t="n">
        <v>0.25</v>
      </c>
      <c r="DH414" s="16" t="n">
        <v>0.25</v>
      </c>
      <c r="DI414" s="16" t="n">
        <v>0.25</v>
      </c>
      <c r="DJ414" s="16" t="n">
        <v>0.25</v>
      </c>
      <c r="DK414" s="16" t="n">
        <v>0.5</v>
      </c>
      <c r="DL414" s="16" t="n">
        <v>0.5</v>
      </c>
      <c r="DM414" s="16" t="n">
        <v>0.5</v>
      </c>
      <c r="DN414" s="16" t="n">
        <v>0.5</v>
      </c>
      <c r="DO414" s="16" t="n">
        <v>0.6</v>
      </c>
      <c r="DP414" s="16" t="n">
        <v>0.5</v>
      </c>
      <c r="DQ414" s="16" t="n">
        <v>1</v>
      </c>
      <c r="DR414" s="16" t="n">
        <v>0.7</v>
      </c>
      <c r="DS414" s="16" t="n">
        <v>0</v>
      </c>
      <c r="DT414" s="16" t="n">
        <v>0</v>
      </c>
      <c r="DU414" s="16" t="n">
        <v>0</v>
      </c>
      <c r="DV414" s="16" t="n">
        <v>0</v>
      </c>
      <c r="DW414" s="16" t="n">
        <v>0</v>
      </c>
      <c r="DX414" s="16" t="n">
        <v>0</v>
      </c>
      <c r="DY414" s="16" t="n">
        <v>0</v>
      </c>
      <c r="DZ414" s="16" t="n">
        <v>0</v>
      </c>
      <c r="EA414" s="16" t="n">
        <v>0</v>
      </c>
      <c r="EB414" s="16" t="n">
        <v>0</v>
      </c>
      <c r="EC414" s="16" t="n">
        <v>0</v>
      </c>
      <c r="ED414" s="16" t="n">
        <v>0</v>
      </c>
      <c r="EE414" s="16" t="n">
        <v>0</v>
      </c>
      <c r="EF414" s="16" t="n">
        <v>0</v>
      </c>
    </row>
    <row r="415" customFormat="false" ht="15" hidden="false" customHeight="true" outlineLevel="0" collapsed="false">
      <c r="A415" s="9" t="s">
        <v>12</v>
      </c>
      <c r="B415" s="9" t="s">
        <v>18</v>
      </c>
      <c r="C415" s="9" t="s">
        <v>18</v>
      </c>
      <c r="D415" s="9" t="s">
        <v>340</v>
      </c>
      <c r="E415" s="9" t="s">
        <v>16</v>
      </c>
      <c r="F415" s="9" t="s">
        <v>81</v>
      </c>
      <c r="G415" s="16" t="n">
        <v>3.3</v>
      </c>
      <c r="H415" s="16" t="n">
        <v>12.1</v>
      </c>
      <c r="I415" s="16" t="n">
        <v>0</v>
      </c>
      <c r="J415" s="16" t="n">
        <v>12.1</v>
      </c>
      <c r="K415" s="16" t="n">
        <v>0</v>
      </c>
      <c r="L415" s="16" t="n">
        <v>0</v>
      </c>
      <c r="M415" s="16" t="n">
        <v>0</v>
      </c>
      <c r="N415" s="16" t="n">
        <v>0</v>
      </c>
      <c r="O415" s="16" t="n">
        <v>0</v>
      </c>
      <c r="P415" s="16" t="n">
        <v>0</v>
      </c>
      <c r="Q415" s="16" t="n">
        <v>0</v>
      </c>
      <c r="R415" s="16" t="n">
        <v>0</v>
      </c>
      <c r="S415" s="16" t="n">
        <v>0</v>
      </c>
      <c r="T415" s="16" t="n">
        <v>0</v>
      </c>
      <c r="U415" s="16" t="n">
        <v>0</v>
      </c>
      <c r="V415" s="16" t="n">
        <v>0</v>
      </c>
      <c r="W415" s="16" t="n">
        <v>0</v>
      </c>
      <c r="X415" s="16" t="n">
        <v>0</v>
      </c>
      <c r="Y415" s="16" t="n">
        <v>0</v>
      </c>
      <c r="Z415" s="16" t="n">
        <v>0</v>
      </c>
      <c r="AA415" s="16" t="n">
        <v>0</v>
      </c>
      <c r="AB415" s="16" t="n">
        <v>0</v>
      </c>
      <c r="AC415" s="16" t="n">
        <v>0</v>
      </c>
      <c r="AD415" s="16" t="n">
        <v>0</v>
      </c>
      <c r="AE415" s="16" t="n">
        <v>0</v>
      </c>
      <c r="AF415" s="16" t="n">
        <v>0</v>
      </c>
      <c r="AG415" s="16" t="n">
        <v>0</v>
      </c>
      <c r="AH415" s="16" t="n">
        <v>0</v>
      </c>
      <c r="AI415" s="16" t="n">
        <v>0</v>
      </c>
      <c r="AJ415" s="16" t="n">
        <v>0</v>
      </c>
      <c r="AK415" s="16" t="n">
        <v>0</v>
      </c>
      <c r="AL415" s="16" t="n">
        <v>0</v>
      </c>
      <c r="AM415" s="16" t="n">
        <v>0</v>
      </c>
      <c r="AN415" s="16" t="n">
        <v>0</v>
      </c>
      <c r="AO415" s="16" t="n">
        <v>0</v>
      </c>
      <c r="AP415" s="16" t="n">
        <v>0</v>
      </c>
      <c r="AQ415" s="16" t="n">
        <v>0</v>
      </c>
      <c r="AR415" s="16" t="n">
        <v>0</v>
      </c>
      <c r="AS415" s="16" t="n">
        <v>0</v>
      </c>
      <c r="AT415" s="16" t="n">
        <v>0</v>
      </c>
      <c r="AU415" s="16" t="n">
        <v>0</v>
      </c>
      <c r="AV415" s="16" t="n">
        <v>0</v>
      </c>
      <c r="AW415" s="16" t="n">
        <v>0</v>
      </c>
      <c r="AX415" s="16" t="n">
        <v>0</v>
      </c>
      <c r="AY415" s="16" t="n">
        <v>0</v>
      </c>
      <c r="AZ415" s="16" t="n">
        <v>0</v>
      </c>
      <c r="BA415" s="16" t="n">
        <v>0</v>
      </c>
      <c r="BB415" s="16" t="n">
        <v>0</v>
      </c>
      <c r="BC415" s="16" t="n">
        <v>0</v>
      </c>
      <c r="BD415" s="16" t="n">
        <v>0</v>
      </c>
      <c r="BE415" s="16" t="n">
        <v>0</v>
      </c>
      <c r="BF415" s="16" t="n">
        <v>0</v>
      </c>
      <c r="BG415" s="16" t="n">
        <v>0</v>
      </c>
      <c r="BH415" s="16" t="n">
        <v>0</v>
      </c>
      <c r="BI415" s="16" t="n">
        <v>0</v>
      </c>
      <c r="BJ415" s="16" t="n">
        <v>0</v>
      </c>
      <c r="BK415" s="16" t="n">
        <v>0</v>
      </c>
      <c r="BL415" s="16" t="n">
        <v>0</v>
      </c>
      <c r="BM415" s="16" t="n">
        <v>0</v>
      </c>
      <c r="BN415" s="16" t="n">
        <v>0</v>
      </c>
      <c r="BO415" s="16" t="n">
        <v>0</v>
      </c>
      <c r="BP415" s="16" t="n">
        <v>0</v>
      </c>
      <c r="BQ415" s="16" t="n">
        <v>0</v>
      </c>
      <c r="BR415" s="16" t="n">
        <v>0</v>
      </c>
      <c r="BS415" s="16" t="n">
        <v>0</v>
      </c>
      <c r="BT415" s="16" t="n">
        <v>0</v>
      </c>
      <c r="BU415" s="16" t="n">
        <v>0</v>
      </c>
      <c r="BV415" s="16" t="n">
        <v>0</v>
      </c>
      <c r="BW415" s="16" t="n">
        <v>0</v>
      </c>
      <c r="BX415" s="16" t="n">
        <v>0</v>
      </c>
      <c r="BY415" s="16" t="n">
        <v>0</v>
      </c>
      <c r="BZ415" s="16" t="n">
        <v>0</v>
      </c>
      <c r="CA415" s="16" t="n">
        <v>0</v>
      </c>
      <c r="CB415" s="16" t="n">
        <v>0</v>
      </c>
      <c r="CC415" s="16" t="n">
        <v>0</v>
      </c>
      <c r="CD415" s="16" t="n">
        <v>0</v>
      </c>
      <c r="CE415" s="16" t="n">
        <v>0</v>
      </c>
      <c r="CF415" s="16" t="n">
        <v>0</v>
      </c>
      <c r="CG415" s="16" t="n">
        <v>0</v>
      </c>
      <c r="CH415" s="16" t="n">
        <v>0</v>
      </c>
      <c r="CI415" s="16" t="n">
        <v>0</v>
      </c>
      <c r="CJ415" s="16" t="n">
        <v>0</v>
      </c>
      <c r="CK415" s="16" t="n">
        <v>0</v>
      </c>
      <c r="CL415" s="16" t="n">
        <v>0</v>
      </c>
      <c r="CM415" s="16" t="n">
        <v>0</v>
      </c>
      <c r="CN415" s="16" t="n">
        <v>0</v>
      </c>
      <c r="CO415" s="16" t="n">
        <v>0</v>
      </c>
      <c r="CP415" s="16" t="n">
        <v>0</v>
      </c>
      <c r="CQ415" s="16" t="n">
        <v>0</v>
      </c>
      <c r="CR415" s="16" t="n">
        <v>0</v>
      </c>
      <c r="CS415" s="16" t="n">
        <v>0</v>
      </c>
      <c r="CT415" s="16" t="n">
        <v>0</v>
      </c>
      <c r="CU415" s="16" t="n">
        <v>0</v>
      </c>
      <c r="CV415" s="16" t="n">
        <v>0</v>
      </c>
      <c r="CW415" s="16" t="n">
        <v>0</v>
      </c>
      <c r="CX415" s="16" t="n">
        <v>0</v>
      </c>
      <c r="CY415" s="16" t="n">
        <v>0</v>
      </c>
      <c r="CZ415" s="16" t="n">
        <v>0</v>
      </c>
      <c r="DA415" s="16" t="n">
        <v>0</v>
      </c>
      <c r="DB415" s="16" t="n">
        <v>0</v>
      </c>
      <c r="DC415" s="16" t="n">
        <v>0</v>
      </c>
      <c r="DD415" s="16" t="n">
        <v>0</v>
      </c>
      <c r="DE415" s="16" t="n">
        <v>0</v>
      </c>
      <c r="DF415" s="16" t="n">
        <v>0</v>
      </c>
      <c r="DG415" s="16" t="n">
        <v>0</v>
      </c>
      <c r="DH415" s="16" t="n">
        <v>0</v>
      </c>
      <c r="DI415" s="16" t="n">
        <v>0</v>
      </c>
      <c r="DJ415" s="16" t="n">
        <v>0</v>
      </c>
      <c r="DK415" s="16" t="n">
        <v>0</v>
      </c>
      <c r="DL415" s="16" t="n">
        <v>0</v>
      </c>
      <c r="DM415" s="16" t="n">
        <v>0</v>
      </c>
      <c r="DN415" s="16" t="n">
        <v>0</v>
      </c>
      <c r="DO415" s="16" t="n">
        <v>0</v>
      </c>
      <c r="DP415" s="16" t="n">
        <v>0</v>
      </c>
      <c r="DQ415" s="16" t="n">
        <v>0</v>
      </c>
      <c r="DR415" s="16" t="n">
        <v>0</v>
      </c>
      <c r="DS415" s="16" t="n">
        <v>0</v>
      </c>
      <c r="DT415" s="16" t="n">
        <v>0</v>
      </c>
      <c r="DU415" s="16" t="n">
        <v>0</v>
      </c>
      <c r="DV415" s="16" t="n">
        <v>0</v>
      </c>
      <c r="DW415" s="16" t="n">
        <v>0</v>
      </c>
      <c r="DX415" s="16" t="n">
        <v>0</v>
      </c>
      <c r="DY415" s="16" t="n">
        <v>0</v>
      </c>
      <c r="DZ415" s="16" t="n">
        <v>0</v>
      </c>
      <c r="EA415" s="16" t="n">
        <v>0</v>
      </c>
      <c r="EB415" s="16" t="n">
        <v>0</v>
      </c>
      <c r="EC415" s="16" t="n">
        <v>0</v>
      </c>
      <c r="ED415" s="16" t="n">
        <v>0</v>
      </c>
      <c r="EE415" s="16" t="n">
        <v>0</v>
      </c>
      <c r="EF415" s="16" t="n">
        <v>0</v>
      </c>
    </row>
    <row r="416" customFormat="false" ht="15" hidden="false" customHeight="true" outlineLevel="0" collapsed="false">
      <c r="A416" s="9" t="s">
        <v>12</v>
      </c>
      <c r="B416" s="9" t="s">
        <v>18</v>
      </c>
      <c r="C416" s="9" t="s">
        <v>18</v>
      </c>
      <c r="D416" s="9" t="s">
        <v>341</v>
      </c>
      <c r="E416" s="9" t="s">
        <v>16</v>
      </c>
      <c r="F416" s="9" t="s">
        <v>82</v>
      </c>
      <c r="G416" s="16" t="n">
        <v>0</v>
      </c>
      <c r="H416" s="16" t="n">
        <v>0</v>
      </c>
      <c r="I416" s="16" t="n">
        <v>0</v>
      </c>
      <c r="J416" s="16" t="n">
        <v>0</v>
      </c>
      <c r="K416" s="16" t="n">
        <v>0</v>
      </c>
      <c r="L416" s="16" t="n">
        <v>0</v>
      </c>
      <c r="M416" s="16" t="n">
        <v>0</v>
      </c>
      <c r="N416" s="16" t="n">
        <v>0</v>
      </c>
      <c r="O416" s="16" t="n">
        <v>0</v>
      </c>
      <c r="P416" s="16" t="n">
        <v>0</v>
      </c>
      <c r="Q416" s="16" t="n">
        <v>0</v>
      </c>
      <c r="R416" s="16" t="n">
        <v>0</v>
      </c>
      <c r="S416" s="16" t="n">
        <v>0</v>
      </c>
      <c r="T416" s="16" t="n">
        <v>0</v>
      </c>
      <c r="U416" s="16" t="n">
        <v>0</v>
      </c>
      <c r="V416" s="16" t="n">
        <v>0</v>
      </c>
      <c r="W416" s="16" t="n">
        <v>0</v>
      </c>
      <c r="X416" s="16" t="n">
        <v>0</v>
      </c>
      <c r="Y416" s="16" t="n">
        <v>0</v>
      </c>
      <c r="Z416" s="16" t="n">
        <v>0</v>
      </c>
      <c r="AA416" s="16" t="n">
        <v>0</v>
      </c>
      <c r="AB416" s="16" t="n">
        <v>0</v>
      </c>
      <c r="AC416" s="16" t="n">
        <v>0</v>
      </c>
      <c r="AD416" s="16" t="n">
        <v>0</v>
      </c>
      <c r="AE416" s="16" t="n">
        <v>0</v>
      </c>
      <c r="AF416" s="16" t="n">
        <v>0</v>
      </c>
      <c r="AG416" s="16" t="n">
        <v>0</v>
      </c>
      <c r="AH416" s="16" t="n">
        <v>0</v>
      </c>
      <c r="AI416" s="16" t="n">
        <v>0</v>
      </c>
      <c r="AJ416" s="16" t="n">
        <v>0</v>
      </c>
      <c r="AK416" s="16" t="n">
        <v>0</v>
      </c>
      <c r="AL416" s="16" t="n">
        <v>0</v>
      </c>
      <c r="AM416" s="16" t="n">
        <v>0</v>
      </c>
      <c r="AN416" s="16" t="n">
        <v>0</v>
      </c>
      <c r="AO416" s="16" t="n">
        <v>0</v>
      </c>
      <c r="AP416" s="16" t="n">
        <v>0</v>
      </c>
      <c r="AQ416" s="16" t="n">
        <v>0</v>
      </c>
      <c r="AR416" s="16" t="n">
        <v>0</v>
      </c>
      <c r="AS416" s="16" t="n">
        <v>0</v>
      </c>
      <c r="AT416" s="16" t="n">
        <v>0</v>
      </c>
      <c r="AU416" s="16" t="n">
        <v>0</v>
      </c>
      <c r="AV416" s="16" t="n">
        <v>0</v>
      </c>
      <c r="AW416" s="16" t="n">
        <v>0</v>
      </c>
      <c r="AX416" s="16" t="n">
        <v>0</v>
      </c>
      <c r="AY416" s="16" t="n">
        <v>0</v>
      </c>
      <c r="AZ416" s="16" t="n">
        <v>0</v>
      </c>
      <c r="BA416" s="16" t="n">
        <v>0</v>
      </c>
      <c r="BB416" s="16" t="n">
        <v>0</v>
      </c>
      <c r="BC416" s="16" t="n">
        <v>0</v>
      </c>
      <c r="BD416" s="16" t="n">
        <v>0</v>
      </c>
      <c r="BE416" s="16" t="n">
        <v>0</v>
      </c>
      <c r="BF416" s="16" t="n">
        <v>0</v>
      </c>
      <c r="BG416" s="16" t="n">
        <v>0</v>
      </c>
      <c r="BH416" s="16" t="n">
        <v>0</v>
      </c>
      <c r="BI416" s="16" t="n">
        <v>0</v>
      </c>
      <c r="BJ416" s="16" t="n">
        <v>0</v>
      </c>
      <c r="BK416" s="16" t="n">
        <v>0</v>
      </c>
      <c r="BL416" s="16" t="n">
        <v>0</v>
      </c>
      <c r="BM416" s="16" t="n">
        <v>0</v>
      </c>
      <c r="BN416" s="16" t="n">
        <v>0</v>
      </c>
      <c r="BO416" s="16" t="n">
        <v>0</v>
      </c>
      <c r="BP416" s="16" t="n">
        <v>0</v>
      </c>
      <c r="BQ416" s="16" t="n">
        <v>0</v>
      </c>
      <c r="BR416" s="16" t="n">
        <v>0</v>
      </c>
      <c r="BS416" s="16" t="n">
        <v>0</v>
      </c>
      <c r="BT416" s="16" t="n">
        <v>0</v>
      </c>
      <c r="BU416" s="16" t="n">
        <v>0</v>
      </c>
      <c r="BV416" s="16" t="n">
        <v>0</v>
      </c>
      <c r="BW416" s="16" t="n">
        <v>0</v>
      </c>
      <c r="BX416" s="16" t="n">
        <v>0</v>
      </c>
      <c r="BY416" s="16" t="n">
        <v>0</v>
      </c>
      <c r="BZ416" s="16" t="n">
        <v>0</v>
      </c>
      <c r="CA416" s="16" t="n">
        <v>0</v>
      </c>
      <c r="CB416" s="16" t="n">
        <v>0</v>
      </c>
      <c r="CC416" s="16" t="n">
        <v>0</v>
      </c>
      <c r="CD416" s="16" t="n">
        <v>0</v>
      </c>
      <c r="CE416" s="16" t="n">
        <v>0</v>
      </c>
      <c r="CF416" s="16" t="n">
        <v>0</v>
      </c>
      <c r="CG416" s="16" t="n">
        <v>0</v>
      </c>
      <c r="CH416" s="16" t="n">
        <v>0</v>
      </c>
      <c r="CI416" s="16" t="n">
        <v>0</v>
      </c>
      <c r="CJ416" s="16" t="n">
        <v>0</v>
      </c>
      <c r="CK416" s="16" t="n">
        <v>0</v>
      </c>
      <c r="CL416" s="16" t="n">
        <v>0</v>
      </c>
      <c r="CM416" s="16" t="n">
        <v>0</v>
      </c>
      <c r="CN416" s="16" t="n">
        <v>0</v>
      </c>
      <c r="CO416" s="16" t="n">
        <v>0</v>
      </c>
      <c r="CP416" s="16" t="n">
        <v>0</v>
      </c>
      <c r="CQ416" s="16" t="n">
        <v>0</v>
      </c>
      <c r="CR416" s="16" t="n">
        <v>0</v>
      </c>
      <c r="CS416" s="16" t="n">
        <v>0</v>
      </c>
      <c r="CT416" s="16" t="n">
        <v>0</v>
      </c>
      <c r="CU416" s="16" t="n">
        <v>0</v>
      </c>
      <c r="CV416" s="16" t="n">
        <v>0</v>
      </c>
      <c r="CW416" s="16" t="n">
        <v>0</v>
      </c>
      <c r="CX416" s="16" t="n">
        <v>0</v>
      </c>
      <c r="CY416" s="16" t="n">
        <v>0</v>
      </c>
      <c r="CZ416" s="16" t="n">
        <v>0</v>
      </c>
      <c r="DA416" s="16" t="n">
        <v>0</v>
      </c>
      <c r="DB416" s="16" t="n">
        <v>0</v>
      </c>
      <c r="DC416" s="16" t="n">
        <v>0</v>
      </c>
      <c r="DD416" s="16" t="n">
        <v>0</v>
      </c>
      <c r="DE416" s="16" t="n">
        <v>0</v>
      </c>
      <c r="DF416" s="16" t="n">
        <v>0</v>
      </c>
      <c r="DG416" s="16" t="n">
        <v>0</v>
      </c>
      <c r="DH416" s="16" t="n">
        <v>0</v>
      </c>
      <c r="DI416" s="16" t="n">
        <v>0</v>
      </c>
      <c r="DJ416" s="16" t="n">
        <v>0</v>
      </c>
      <c r="DK416" s="16" t="n">
        <v>0</v>
      </c>
      <c r="DL416" s="16" t="n">
        <v>0</v>
      </c>
      <c r="DM416" s="16" t="n">
        <v>0</v>
      </c>
      <c r="DN416" s="16" t="n">
        <v>0</v>
      </c>
      <c r="DO416" s="16" t="n">
        <v>0</v>
      </c>
      <c r="DP416" s="16" t="n">
        <v>0</v>
      </c>
      <c r="DQ416" s="16" t="n">
        <v>0</v>
      </c>
      <c r="DR416" s="16" t="n">
        <v>0</v>
      </c>
      <c r="DS416" s="16" t="n">
        <v>0</v>
      </c>
      <c r="DT416" s="16" t="n">
        <v>0</v>
      </c>
      <c r="DU416" s="16" t="n">
        <v>0</v>
      </c>
      <c r="DV416" s="16" t="n">
        <v>0</v>
      </c>
      <c r="DW416" s="16" t="n">
        <v>0</v>
      </c>
      <c r="DX416" s="16" t="n">
        <v>0</v>
      </c>
      <c r="DY416" s="16" t="n">
        <v>0</v>
      </c>
      <c r="DZ416" s="16" t="n">
        <v>0</v>
      </c>
      <c r="EA416" s="16" t="n">
        <v>0</v>
      </c>
      <c r="EB416" s="16" t="n">
        <v>0</v>
      </c>
      <c r="EC416" s="16" t="n">
        <v>0</v>
      </c>
      <c r="ED416" s="16" t="n">
        <v>0</v>
      </c>
      <c r="EE416" s="16" t="n">
        <v>0</v>
      </c>
      <c r="EF416" s="16" t="n">
        <v>0</v>
      </c>
    </row>
    <row r="417" customFormat="false" ht="15" hidden="false" customHeight="true" outlineLevel="0" collapsed="false">
      <c r="A417" s="9" t="s">
        <v>12</v>
      </c>
      <c r="B417" s="9" t="s">
        <v>18</v>
      </c>
      <c r="C417" s="9" t="s">
        <v>18</v>
      </c>
      <c r="D417" s="9" t="s">
        <v>340</v>
      </c>
      <c r="E417" s="9" t="s">
        <v>16</v>
      </c>
      <c r="F417" s="9" t="s">
        <v>82</v>
      </c>
      <c r="G417" s="16" t="n">
        <v>4</v>
      </c>
      <c r="H417" s="16" t="n">
        <v>4</v>
      </c>
      <c r="I417" s="16" t="n">
        <v>4</v>
      </c>
      <c r="J417" s="16" t="n">
        <v>0</v>
      </c>
      <c r="K417" s="16" t="n">
        <v>0</v>
      </c>
      <c r="L417" s="16" t="n">
        <v>0</v>
      </c>
      <c r="M417" s="16" t="n">
        <v>0</v>
      </c>
      <c r="N417" s="16" t="n">
        <v>0</v>
      </c>
      <c r="O417" s="16" t="n">
        <v>0</v>
      </c>
      <c r="P417" s="16" t="n">
        <v>0</v>
      </c>
      <c r="Q417" s="16" t="n">
        <v>0</v>
      </c>
      <c r="R417" s="16" t="n">
        <v>0</v>
      </c>
      <c r="S417" s="16" t="n">
        <v>0</v>
      </c>
      <c r="T417" s="16" t="n">
        <v>0</v>
      </c>
      <c r="U417" s="16" t="n">
        <v>0</v>
      </c>
      <c r="V417" s="16" t="n">
        <v>0</v>
      </c>
      <c r="W417" s="16" t="n">
        <v>0</v>
      </c>
      <c r="X417" s="16" t="n">
        <v>0</v>
      </c>
      <c r="Y417" s="16" t="n">
        <v>0</v>
      </c>
      <c r="Z417" s="16" t="n">
        <v>0</v>
      </c>
      <c r="AA417" s="16" t="n">
        <v>0</v>
      </c>
      <c r="AB417" s="16" t="n">
        <v>4</v>
      </c>
      <c r="AC417" s="16" t="n">
        <v>0</v>
      </c>
      <c r="AD417" s="16" t="n">
        <v>0</v>
      </c>
      <c r="AE417" s="16" t="n">
        <v>0</v>
      </c>
      <c r="AF417" s="16" t="n">
        <v>0</v>
      </c>
      <c r="AG417" s="16" t="n">
        <v>0</v>
      </c>
      <c r="AH417" s="16" t="n">
        <v>0</v>
      </c>
      <c r="AI417" s="16" t="n">
        <v>0</v>
      </c>
      <c r="AJ417" s="16" t="n">
        <v>0</v>
      </c>
      <c r="AK417" s="16" t="n">
        <v>0</v>
      </c>
      <c r="AL417" s="16" t="n">
        <v>0</v>
      </c>
      <c r="AM417" s="16" t="n">
        <v>0</v>
      </c>
      <c r="AN417" s="16" t="n">
        <v>0</v>
      </c>
      <c r="AO417" s="16" t="n">
        <v>0</v>
      </c>
      <c r="AP417" s="16" t="n">
        <v>0</v>
      </c>
      <c r="AQ417" s="16" t="n">
        <v>0</v>
      </c>
      <c r="AR417" s="16" t="n">
        <v>0</v>
      </c>
      <c r="AS417" s="16" t="n">
        <v>0</v>
      </c>
      <c r="AT417" s="16" t="n">
        <v>0</v>
      </c>
      <c r="AU417" s="16" t="n">
        <v>0</v>
      </c>
      <c r="AV417" s="16" t="n">
        <v>0</v>
      </c>
      <c r="AW417" s="16" t="n">
        <v>0</v>
      </c>
      <c r="AX417" s="16" t="n">
        <v>0</v>
      </c>
      <c r="AY417" s="16" t="n">
        <v>0</v>
      </c>
      <c r="AZ417" s="16" t="n">
        <v>0</v>
      </c>
      <c r="BA417" s="16" t="n">
        <v>0</v>
      </c>
      <c r="BB417" s="16" t="n">
        <v>0</v>
      </c>
      <c r="BC417" s="16" t="n">
        <v>0</v>
      </c>
      <c r="BD417" s="16" t="n">
        <v>0</v>
      </c>
      <c r="BE417" s="16" t="n">
        <v>0</v>
      </c>
      <c r="BF417" s="16" t="n">
        <v>0</v>
      </c>
      <c r="BG417" s="16" t="n">
        <v>0</v>
      </c>
      <c r="BH417" s="16" t="n">
        <v>0</v>
      </c>
      <c r="BI417" s="16" t="n">
        <v>0</v>
      </c>
      <c r="BJ417" s="16" t="n">
        <v>0</v>
      </c>
      <c r="BK417" s="16" t="n">
        <v>0</v>
      </c>
      <c r="BL417" s="16" t="n">
        <v>0</v>
      </c>
      <c r="BM417" s="16" t="n">
        <v>0</v>
      </c>
      <c r="BN417" s="16" t="n">
        <v>0</v>
      </c>
      <c r="BO417" s="16" t="n">
        <v>0</v>
      </c>
      <c r="BP417" s="16" t="n">
        <v>0</v>
      </c>
      <c r="BQ417" s="16" t="n">
        <v>0</v>
      </c>
      <c r="BR417" s="16" t="n">
        <v>0</v>
      </c>
      <c r="BS417" s="16" t="n">
        <v>0</v>
      </c>
      <c r="BT417" s="16" t="n">
        <v>0</v>
      </c>
      <c r="BU417" s="16" t="n">
        <v>0</v>
      </c>
      <c r="BV417" s="16" t="n">
        <v>0</v>
      </c>
      <c r="BW417" s="16" t="n">
        <v>0</v>
      </c>
      <c r="BX417" s="16" t="n">
        <v>0</v>
      </c>
      <c r="BY417" s="16" t="n">
        <v>0</v>
      </c>
      <c r="BZ417" s="16" t="n">
        <v>0</v>
      </c>
      <c r="CA417" s="16" t="n">
        <v>0</v>
      </c>
      <c r="CB417" s="16" t="n">
        <v>0</v>
      </c>
      <c r="CC417" s="16" t="n">
        <v>0</v>
      </c>
      <c r="CD417" s="16" t="n">
        <v>0</v>
      </c>
      <c r="CE417" s="16" t="n">
        <v>0</v>
      </c>
      <c r="CF417" s="16" t="n">
        <v>0</v>
      </c>
      <c r="CG417" s="16" t="n">
        <v>0</v>
      </c>
      <c r="CH417" s="16" t="n">
        <v>0</v>
      </c>
      <c r="CI417" s="16" t="n">
        <v>0</v>
      </c>
      <c r="CJ417" s="16" t="n">
        <v>0</v>
      </c>
      <c r="CK417" s="16" t="n">
        <v>0</v>
      </c>
      <c r="CL417" s="16" t="n">
        <v>0</v>
      </c>
      <c r="CM417" s="16" t="n">
        <v>0</v>
      </c>
      <c r="CN417" s="16" t="n">
        <v>0</v>
      </c>
      <c r="CO417" s="16" t="n">
        <v>0</v>
      </c>
      <c r="CP417" s="16" t="n">
        <v>0</v>
      </c>
      <c r="CQ417" s="16" t="n">
        <v>0</v>
      </c>
      <c r="CR417" s="16" t="n">
        <v>0</v>
      </c>
      <c r="CS417" s="16" t="n">
        <v>0</v>
      </c>
      <c r="CT417" s="16" t="n">
        <v>0</v>
      </c>
      <c r="CU417" s="16" t="n">
        <v>0</v>
      </c>
      <c r="CV417" s="16" t="n">
        <v>0</v>
      </c>
      <c r="CW417" s="16" t="n">
        <v>0</v>
      </c>
      <c r="CX417" s="16" t="n">
        <v>0</v>
      </c>
      <c r="CY417" s="16" t="n">
        <v>0</v>
      </c>
      <c r="CZ417" s="16" t="n">
        <v>0</v>
      </c>
      <c r="DA417" s="16" t="n">
        <v>0</v>
      </c>
      <c r="DB417" s="16" t="n">
        <v>0</v>
      </c>
      <c r="DC417" s="16" t="n">
        <v>0</v>
      </c>
      <c r="DD417" s="16" t="n">
        <v>0</v>
      </c>
      <c r="DE417" s="16" t="n">
        <v>0</v>
      </c>
      <c r="DF417" s="16" t="n">
        <v>0</v>
      </c>
      <c r="DG417" s="16" t="n">
        <v>0</v>
      </c>
      <c r="DH417" s="16" t="n">
        <v>0</v>
      </c>
      <c r="DI417" s="16" t="n">
        <v>0</v>
      </c>
      <c r="DJ417" s="16" t="n">
        <v>0</v>
      </c>
      <c r="DK417" s="16" t="n">
        <v>0</v>
      </c>
      <c r="DL417" s="16" t="n">
        <v>0</v>
      </c>
      <c r="DM417" s="16" t="n">
        <v>0</v>
      </c>
      <c r="DN417" s="16" t="n">
        <v>0</v>
      </c>
      <c r="DO417" s="16" t="n">
        <v>0</v>
      </c>
      <c r="DP417" s="16" t="n">
        <v>0</v>
      </c>
      <c r="DQ417" s="16" t="n">
        <v>0</v>
      </c>
      <c r="DR417" s="16" t="n">
        <v>0</v>
      </c>
      <c r="DS417" s="16" t="n">
        <v>0</v>
      </c>
      <c r="DT417" s="16" t="n">
        <v>0</v>
      </c>
      <c r="DU417" s="16" t="n">
        <v>0</v>
      </c>
      <c r="DV417" s="16" t="n">
        <v>0</v>
      </c>
      <c r="DW417" s="16" t="n">
        <v>0</v>
      </c>
      <c r="DX417" s="16" t="n">
        <v>0</v>
      </c>
      <c r="DY417" s="16" t="n">
        <v>0</v>
      </c>
      <c r="DZ417" s="16" t="n">
        <v>0</v>
      </c>
      <c r="EA417" s="16" t="n">
        <v>0</v>
      </c>
      <c r="EB417" s="16" t="n">
        <v>0</v>
      </c>
      <c r="EC417" s="16" t="n">
        <v>0</v>
      </c>
      <c r="ED417" s="16" t="n">
        <v>0</v>
      </c>
      <c r="EE417" s="16" t="n">
        <v>0</v>
      </c>
      <c r="EF417" s="16" t="n">
        <v>0</v>
      </c>
    </row>
    <row r="418" customFormat="false" ht="15" hidden="false" customHeight="true" outlineLevel="0" collapsed="false">
      <c r="A418" s="9" t="s">
        <v>12</v>
      </c>
      <c r="B418" s="9" t="s">
        <v>18</v>
      </c>
      <c r="C418" s="9" t="s">
        <v>18</v>
      </c>
      <c r="D418" s="9" t="s">
        <v>341</v>
      </c>
      <c r="E418" s="9" t="s">
        <v>16</v>
      </c>
      <c r="F418" s="9" t="s">
        <v>83</v>
      </c>
      <c r="G418" s="16" t="n">
        <v>0</v>
      </c>
      <c r="H418" s="16" t="n">
        <v>0</v>
      </c>
      <c r="I418" s="16" t="n">
        <v>9</v>
      </c>
      <c r="J418" s="16" t="n">
        <v>-9</v>
      </c>
      <c r="K418" s="16" t="n">
        <v>0</v>
      </c>
      <c r="L418" s="16" t="n">
        <v>0</v>
      </c>
      <c r="M418" s="16" t="n">
        <v>0</v>
      </c>
      <c r="N418" s="16" t="n">
        <v>0</v>
      </c>
      <c r="O418" s="16" t="n">
        <v>0</v>
      </c>
      <c r="P418" s="16" t="n">
        <v>0</v>
      </c>
      <c r="Q418" s="16" t="n">
        <v>0</v>
      </c>
      <c r="R418" s="16" t="n">
        <v>0</v>
      </c>
      <c r="S418" s="16" t="n">
        <v>0</v>
      </c>
      <c r="T418" s="16" t="n">
        <v>0</v>
      </c>
      <c r="U418" s="16" t="n">
        <v>0</v>
      </c>
      <c r="V418" s="16" t="n">
        <v>0</v>
      </c>
      <c r="W418" s="16" t="n">
        <v>0</v>
      </c>
      <c r="X418" s="16" t="n">
        <v>0</v>
      </c>
      <c r="Y418" s="16" t="n">
        <v>0</v>
      </c>
      <c r="Z418" s="16" t="n">
        <v>0</v>
      </c>
      <c r="AA418" s="16" t="n">
        <v>0</v>
      </c>
      <c r="AB418" s="16" t="n">
        <v>0</v>
      </c>
      <c r="AC418" s="16" t="n">
        <v>0</v>
      </c>
      <c r="AD418" s="16" t="n">
        <v>0</v>
      </c>
      <c r="AE418" s="16" t="n">
        <v>0</v>
      </c>
      <c r="AF418" s="16" t="n">
        <v>0</v>
      </c>
      <c r="AG418" s="16" t="n">
        <v>0</v>
      </c>
      <c r="AH418" s="16" t="n">
        <v>0</v>
      </c>
      <c r="AI418" s="16" t="n">
        <v>0</v>
      </c>
      <c r="AJ418" s="16" t="n">
        <v>0</v>
      </c>
      <c r="AK418" s="16" t="n">
        <v>0</v>
      </c>
      <c r="AL418" s="16" t="n">
        <v>0</v>
      </c>
      <c r="AM418" s="16" t="n">
        <v>0</v>
      </c>
      <c r="AN418" s="16" t="n">
        <v>4</v>
      </c>
      <c r="AO418" s="16" t="n">
        <v>5</v>
      </c>
      <c r="AP418" s="16" t="n">
        <v>0</v>
      </c>
      <c r="AQ418" s="16" t="n">
        <v>0</v>
      </c>
      <c r="AR418" s="16" t="n">
        <v>0</v>
      </c>
      <c r="AS418" s="16" t="n">
        <v>0</v>
      </c>
      <c r="AT418" s="16" t="n">
        <v>0</v>
      </c>
      <c r="AU418" s="16" t="n">
        <v>0</v>
      </c>
      <c r="AV418" s="16" t="n">
        <v>0</v>
      </c>
      <c r="AW418" s="16" t="n">
        <v>0</v>
      </c>
      <c r="AX418" s="16" t="n">
        <v>0</v>
      </c>
      <c r="AY418" s="16" t="n">
        <v>0</v>
      </c>
      <c r="AZ418" s="16" t="n">
        <v>0</v>
      </c>
      <c r="BA418" s="16" t="n">
        <v>0</v>
      </c>
      <c r="BB418" s="16" t="n">
        <v>0</v>
      </c>
      <c r="BC418" s="16" t="n">
        <v>0</v>
      </c>
      <c r="BD418" s="16" t="n">
        <v>0</v>
      </c>
      <c r="BE418" s="16" t="n">
        <v>0</v>
      </c>
      <c r="BF418" s="16" t="n">
        <v>0</v>
      </c>
      <c r="BG418" s="16" t="n">
        <v>0</v>
      </c>
      <c r="BH418" s="16" t="n">
        <v>0</v>
      </c>
      <c r="BI418" s="16" t="n">
        <v>0</v>
      </c>
      <c r="BJ418" s="16" t="n">
        <v>0</v>
      </c>
      <c r="BK418" s="16" t="n">
        <v>0</v>
      </c>
      <c r="BL418" s="16" t="n">
        <v>0</v>
      </c>
      <c r="BM418" s="16" t="n">
        <v>0</v>
      </c>
      <c r="BN418" s="16" t="n">
        <v>0</v>
      </c>
      <c r="BO418" s="16" t="n">
        <v>0</v>
      </c>
      <c r="BP418" s="16" t="n">
        <v>0</v>
      </c>
      <c r="BQ418" s="16" t="n">
        <v>0</v>
      </c>
      <c r="BR418" s="16" t="n">
        <v>0</v>
      </c>
      <c r="BS418" s="16" t="n">
        <v>0</v>
      </c>
      <c r="BT418" s="16" t="n">
        <v>0</v>
      </c>
      <c r="BU418" s="16" t="n">
        <v>0</v>
      </c>
      <c r="BV418" s="16" t="n">
        <v>0</v>
      </c>
      <c r="BW418" s="16" t="n">
        <v>0</v>
      </c>
      <c r="BX418" s="16" t="n">
        <v>0</v>
      </c>
      <c r="BY418" s="16" t="n">
        <v>0</v>
      </c>
      <c r="BZ418" s="16" t="n">
        <v>0</v>
      </c>
      <c r="CA418" s="16" t="n">
        <v>0</v>
      </c>
      <c r="CB418" s="16" t="n">
        <v>0</v>
      </c>
      <c r="CC418" s="16" t="n">
        <v>0</v>
      </c>
      <c r="CD418" s="16" t="n">
        <v>0</v>
      </c>
      <c r="CE418" s="16" t="n">
        <v>0</v>
      </c>
      <c r="CF418" s="16" t="n">
        <v>0</v>
      </c>
      <c r="CG418" s="16" t="n">
        <v>0</v>
      </c>
      <c r="CH418" s="16" t="n">
        <v>0</v>
      </c>
      <c r="CI418" s="16" t="n">
        <v>0</v>
      </c>
      <c r="CJ418" s="16" t="n">
        <v>0</v>
      </c>
      <c r="CK418" s="16" t="n">
        <v>0</v>
      </c>
      <c r="CL418" s="16" t="n">
        <v>0</v>
      </c>
      <c r="CM418" s="16" t="n">
        <v>0</v>
      </c>
      <c r="CN418" s="16" t="n">
        <v>0</v>
      </c>
      <c r="CO418" s="16" t="n">
        <v>0</v>
      </c>
      <c r="CP418" s="16" t="n">
        <v>0</v>
      </c>
      <c r="CQ418" s="16" t="n">
        <v>0</v>
      </c>
      <c r="CR418" s="16" t="n">
        <v>0</v>
      </c>
      <c r="CS418" s="16" t="n">
        <v>0</v>
      </c>
      <c r="CT418" s="16" t="n">
        <v>0</v>
      </c>
      <c r="CU418" s="16" t="n">
        <v>0</v>
      </c>
      <c r="CV418" s="16" t="n">
        <v>0</v>
      </c>
      <c r="CW418" s="16" t="n">
        <v>0</v>
      </c>
      <c r="CX418" s="16" t="n">
        <v>0</v>
      </c>
      <c r="CY418" s="16" t="n">
        <v>0</v>
      </c>
      <c r="CZ418" s="16" t="n">
        <v>0</v>
      </c>
      <c r="DA418" s="16" t="n">
        <v>0</v>
      </c>
      <c r="DB418" s="16" t="n">
        <v>0</v>
      </c>
      <c r="DC418" s="16" t="n">
        <v>0</v>
      </c>
      <c r="DD418" s="16" t="n">
        <v>0</v>
      </c>
      <c r="DE418" s="16" t="n">
        <v>0</v>
      </c>
      <c r="DF418" s="16" t="n">
        <v>0</v>
      </c>
      <c r="DG418" s="16" t="n">
        <v>0</v>
      </c>
      <c r="DH418" s="16" t="n">
        <v>0</v>
      </c>
      <c r="DI418" s="16" t="n">
        <v>0</v>
      </c>
      <c r="DJ418" s="16" t="n">
        <v>0</v>
      </c>
      <c r="DK418" s="16" t="n">
        <v>0</v>
      </c>
      <c r="DL418" s="16" t="n">
        <v>0</v>
      </c>
      <c r="DM418" s="16" t="n">
        <v>0</v>
      </c>
      <c r="DN418" s="16" t="n">
        <v>0</v>
      </c>
      <c r="DO418" s="16" t="n">
        <v>0</v>
      </c>
      <c r="DP418" s="16" t="n">
        <v>0</v>
      </c>
      <c r="DQ418" s="16" t="n">
        <v>0</v>
      </c>
      <c r="DR418" s="16" t="n">
        <v>0</v>
      </c>
      <c r="DS418" s="16" t="n">
        <v>0</v>
      </c>
      <c r="DT418" s="16" t="n">
        <v>0</v>
      </c>
      <c r="DU418" s="16" t="n">
        <v>0</v>
      </c>
      <c r="DV418" s="16" t="n">
        <v>0</v>
      </c>
      <c r="DW418" s="16" t="n">
        <v>0</v>
      </c>
      <c r="DX418" s="16" t="n">
        <v>0</v>
      </c>
      <c r="DY418" s="16" t="n">
        <v>0</v>
      </c>
      <c r="DZ418" s="16" t="n">
        <v>0</v>
      </c>
      <c r="EA418" s="16" t="n">
        <v>0</v>
      </c>
      <c r="EB418" s="16" t="n">
        <v>0</v>
      </c>
      <c r="EC418" s="16" t="n">
        <v>0</v>
      </c>
      <c r="ED418" s="16" t="n">
        <v>0</v>
      </c>
      <c r="EE418" s="16" t="n">
        <v>0</v>
      </c>
      <c r="EF418" s="16" t="n">
        <v>0</v>
      </c>
    </row>
    <row r="419" customFormat="false" ht="15" hidden="false" customHeight="true" outlineLevel="0" collapsed="false">
      <c r="A419" s="9" t="s">
        <v>12</v>
      </c>
      <c r="B419" s="9" t="s">
        <v>18</v>
      </c>
      <c r="C419" s="9" t="s">
        <v>18</v>
      </c>
      <c r="D419" s="9" t="s">
        <v>340</v>
      </c>
      <c r="E419" s="9" t="s">
        <v>16</v>
      </c>
      <c r="F419" s="9" t="s">
        <v>83</v>
      </c>
      <c r="G419" s="16" t="n">
        <v>3</v>
      </c>
      <c r="H419" s="16" t="n">
        <v>3</v>
      </c>
      <c r="I419" s="16" t="n">
        <v>0</v>
      </c>
      <c r="J419" s="16" t="n">
        <v>3</v>
      </c>
      <c r="K419" s="16" t="n">
        <v>0</v>
      </c>
      <c r="L419" s="16" t="n">
        <v>0</v>
      </c>
      <c r="M419" s="16" t="n">
        <v>0</v>
      </c>
      <c r="N419" s="16" t="n">
        <v>0</v>
      </c>
      <c r="O419" s="16" t="n">
        <v>0</v>
      </c>
      <c r="P419" s="16" t="n">
        <v>0</v>
      </c>
      <c r="Q419" s="16" t="n">
        <v>0</v>
      </c>
      <c r="R419" s="16" t="n">
        <v>0</v>
      </c>
      <c r="S419" s="16" t="n">
        <v>0</v>
      </c>
      <c r="T419" s="16" t="n">
        <v>0</v>
      </c>
      <c r="U419" s="16" t="n">
        <v>0</v>
      </c>
      <c r="V419" s="16" t="n">
        <v>0</v>
      </c>
      <c r="W419" s="16" t="n">
        <v>0</v>
      </c>
      <c r="X419" s="16" t="n">
        <v>0</v>
      </c>
      <c r="Y419" s="16" t="n">
        <v>0</v>
      </c>
      <c r="Z419" s="16" t="n">
        <v>0</v>
      </c>
      <c r="AA419" s="16" t="n">
        <v>0</v>
      </c>
      <c r="AB419" s="16" t="n">
        <v>0</v>
      </c>
      <c r="AC419" s="16" t="n">
        <v>0</v>
      </c>
      <c r="AD419" s="16" t="n">
        <v>0</v>
      </c>
      <c r="AE419" s="16" t="n">
        <v>0</v>
      </c>
      <c r="AF419" s="16" t="n">
        <v>0</v>
      </c>
      <c r="AG419" s="16" t="n">
        <v>0</v>
      </c>
      <c r="AH419" s="16" t="n">
        <v>0</v>
      </c>
      <c r="AI419" s="16" t="n">
        <v>0</v>
      </c>
      <c r="AJ419" s="16" t="n">
        <v>0</v>
      </c>
      <c r="AK419" s="16" t="n">
        <v>0</v>
      </c>
      <c r="AL419" s="16" t="n">
        <v>0</v>
      </c>
      <c r="AM419" s="16" t="n">
        <v>0</v>
      </c>
      <c r="AN419" s="16" t="n">
        <v>0</v>
      </c>
      <c r="AO419" s="16" t="n">
        <v>0</v>
      </c>
      <c r="AP419" s="16" t="n">
        <v>0</v>
      </c>
      <c r="AQ419" s="16" t="n">
        <v>0</v>
      </c>
      <c r="AR419" s="16" t="n">
        <v>0</v>
      </c>
      <c r="AS419" s="16" t="n">
        <v>0</v>
      </c>
      <c r="AT419" s="16" t="n">
        <v>0</v>
      </c>
      <c r="AU419" s="16" t="n">
        <v>0</v>
      </c>
      <c r="AV419" s="16" t="n">
        <v>0</v>
      </c>
      <c r="AW419" s="16" t="n">
        <v>0</v>
      </c>
      <c r="AX419" s="16" t="n">
        <v>0</v>
      </c>
      <c r="AY419" s="16" t="n">
        <v>0</v>
      </c>
      <c r="AZ419" s="16" t="n">
        <v>0</v>
      </c>
      <c r="BA419" s="16" t="n">
        <v>0</v>
      </c>
      <c r="BB419" s="16" t="n">
        <v>0</v>
      </c>
      <c r="BC419" s="16" t="n">
        <v>0</v>
      </c>
      <c r="BD419" s="16" t="n">
        <v>0</v>
      </c>
      <c r="BE419" s="16" t="n">
        <v>0</v>
      </c>
      <c r="BF419" s="16" t="n">
        <v>0</v>
      </c>
      <c r="BG419" s="16" t="n">
        <v>0</v>
      </c>
      <c r="BH419" s="16" t="n">
        <v>0</v>
      </c>
      <c r="BI419" s="16" t="n">
        <v>0</v>
      </c>
      <c r="BJ419" s="16" t="n">
        <v>0</v>
      </c>
      <c r="BK419" s="16" t="n">
        <v>0</v>
      </c>
      <c r="BL419" s="16" t="n">
        <v>0</v>
      </c>
      <c r="BM419" s="16" t="n">
        <v>0</v>
      </c>
      <c r="BN419" s="16" t="n">
        <v>0</v>
      </c>
      <c r="BO419" s="16" t="n">
        <v>0</v>
      </c>
      <c r="BP419" s="16" t="n">
        <v>0</v>
      </c>
      <c r="BQ419" s="16" t="n">
        <v>0</v>
      </c>
      <c r="BR419" s="16" t="n">
        <v>0</v>
      </c>
      <c r="BS419" s="16" t="n">
        <v>0</v>
      </c>
      <c r="BT419" s="16" t="n">
        <v>0</v>
      </c>
      <c r="BU419" s="16" t="n">
        <v>0</v>
      </c>
      <c r="BV419" s="16" t="n">
        <v>0</v>
      </c>
      <c r="BW419" s="16" t="n">
        <v>0</v>
      </c>
      <c r="BX419" s="16" t="n">
        <v>0</v>
      </c>
      <c r="BY419" s="16" t="n">
        <v>0</v>
      </c>
      <c r="BZ419" s="16" t="n">
        <v>0</v>
      </c>
      <c r="CA419" s="16" t="n">
        <v>0</v>
      </c>
      <c r="CB419" s="16" t="n">
        <v>0</v>
      </c>
      <c r="CC419" s="16" t="n">
        <v>0</v>
      </c>
      <c r="CD419" s="16" t="n">
        <v>0</v>
      </c>
      <c r="CE419" s="16" t="n">
        <v>0</v>
      </c>
      <c r="CF419" s="16" t="n">
        <v>0</v>
      </c>
      <c r="CG419" s="16" t="n">
        <v>0</v>
      </c>
      <c r="CH419" s="16" t="n">
        <v>0</v>
      </c>
      <c r="CI419" s="16" t="n">
        <v>0</v>
      </c>
      <c r="CJ419" s="16" t="n">
        <v>0</v>
      </c>
      <c r="CK419" s="16" t="n">
        <v>0</v>
      </c>
      <c r="CL419" s="16" t="n">
        <v>0</v>
      </c>
      <c r="CM419" s="16" t="n">
        <v>0</v>
      </c>
      <c r="CN419" s="16" t="n">
        <v>0</v>
      </c>
      <c r="CO419" s="16" t="n">
        <v>0</v>
      </c>
      <c r="CP419" s="16" t="n">
        <v>0</v>
      </c>
      <c r="CQ419" s="16" t="n">
        <v>0</v>
      </c>
      <c r="CR419" s="16" t="n">
        <v>0</v>
      </c>
      <c r="CS419" s="16" t="n">
        <v>0</v>
      </c>
      <c r="CT419" s="16" t="n">
        <v>0</v>
      </c>
      <c r="CU419" s="16" t="n">
        <v>0</v>
      </c>
      <c r="CV419" s="16" t="n">
        <v>0</v>
      </c>
      <c r="CW419" s="16" t="n">
        <v>0</v>
      </c>
      <c r="CX419" s="16" t="n">
        <v>0</v>
      </c>
      <c r="CY419" s="16" t="n">
        <v>0</v>
      </c>
      <c r="CZ419" s="16" t="n">
        <v>0</v>
      </c>
      <c r="DA419" s="16" t="n">
        <v>0</v>
      </c>
      <c r="DB419" s="16" t="n">
        <v>0</v>
      </c>
      <c r="DC419" s="16" t="n">
        <v>0</v>
      </c>
      <c r="DD419" s="16" t="n">
        <v>0</v>
      </c>
      <c r="DE419" s="16" t="n">
        <v>0</v>
      </c>
      <c r="DF419" s="16" t="n">
        <v>0</v>
      </c>
      <c r="DG419" s="16" t="n">
        <v>0</v>
      </c>
      <c r="DH419" s="16" t="n">
        <v>0</v>
      </c>
      <c r="DI419" s="16" t="n">
        <v>0</v>
      </c>
      <c r="DJ419" s="16" t="n">
        <v>0</v>
      </c>
      <c r="DK419" s="16" t="n">
        <v>0</v>
      </c>
      <c r="DL419" s="16" t="n">
        <v>0</v>
      </c>
      <c r="DM419" s="16" t="n">
        <v>0</v>
      </c>
      <c r="DN419" s="16" t="n">
        <v>0</v>
      </c>
      <c r="DO419" s="16" t="n">
        <v>0</v>
      </c>
      <c r="DP419" s="16" t="n">
        <v>0</v>
      </c>
      <c r="DQ419" s="16" t="n">
        <v>0</v>
      </c>
      <c r="DR419" s="16" t="n">
        <v>0</v>
      </c>
      <c r="DS419" s="16" t="n">
        <v>0</v>
      </c>
      <c r="DT419" s="16" t="n">
        <v>0</v>
      </c>
      <c r="DU419" s="16" t="n">
        <v>0</v>
      </c>
      <c r="DV419" s="16" t="n">
        <v>0</v>
      </c>
      <c r="DW419" s="16" t="n">
        <v>0</v>
      </c>
      <c r="DX419" s="16" t="n">
        <v>0</v>
      </c>
      <c r="DY419" s="16" t="n">
        <v>0</v>
      </c>
      <c r="DZ419" s="16" t="n">
        <v>0</v>
      </c>
      <c r="EA419" s="16" t="n">
        <v>0</v>
      </c>
      <c r="EB419" s="16" t="n">
        <v>0</v>
      </c>
      <c r="EC419" s="16" t="n">
        <v>0</v>
      </c>
      <c r="ED419" s="16" t="n">
        <v>0</v>
      </c>
      <c r="EE419" s="16" t="n">
        <v>0</v>
      </c>
      <c r="EF419" s="16" t="n">
        <v>0</v>
      </c>
    </row>
    <row r="420" customFormat="false" ht="15" hidden="false" customHeight="true" outlineLevel="0" collapsed="false">
      <c r="A420" s="9" t="s">
        <v>12</v>
      </c>
      <c r="B420" s="9" t="s">
        <v>18</v>
      </c>
      <c r="C420" s="9" t="s">
        <v>18</v>
      </c>
      <c r="D420" s="9" t="s">
        <v>341</v>
      </c>
      <c r="E420" s="9" t="s">
        <v>16</v>
      </c>
      <c r="F420" s="9" t="s">
        <v>84</v>
      </c>
      <c r="G420" s="16" t="n">
        <v>0</v>
      </c>
      <c r="H420" s="16" t="n">
        <v>0</v>
      </c>
      <c r="I420" s="16" t="n">
        <v>3</v>
      </c>
      <c r="J420" s="16" t="n">
        <v>-3</v>
      </c>
      <c r="K420" s="16" t="n">
        <v>0</v>
      </c>
      <c r="L420" s="16" t="n">
        <v>0</v>
      </c>
      <c r="M420" s="16" t="n">
        <v>0</v>
      </c>
      <c r="N420" s="16" t="n">
        <v>0</v>
      </c>
      <c r="O420" s="16" t="n">
        <v>0</v>
      </c>
      <c r="P420" s="16" t="n">
        <v>0</v>
      </c>
      <c r="Q420" s="16" t="n">
        <v>0</v>
      </c>
      <c r="R420" s="16" t="n">
        <v>0</v>
      </c>
      <c r="S420" s="16" t="n">
        <v>0</v>
      </c>
      <c r="T420" s="16" t="n">
        <v>0</v>
      </c>
      <c r="U420" s="16" t="n">
        <v>0</v>
      </c>
      <c r="V420" s="16" t="n">
        <v>0</v>
      </c>
      <c r="W420" s="16" t="n">
        <v>0</v>
      </c>
      <c r="X420" s="16" t="n">
        <v>0</v>
      </c>
      <c r="Y420" s="16" t="n">
        <v>0</v>
      </c>
      <c r="Z420" s="16" t="n">
        <v>0</v>
      </c>
      <c r="AA420" s="16" t="n">
        <v>0</v>
      </c>
      <c r="AB420" s="16" t="n">
        <v>0</v>
      </c>
      <c r="AC420" s="16" t="n">
        <v>0</v>
      </c>
      <c r="AD420" s="16" t="n">
        <v>0</v>
      </c>
      <c r="AE420" s="16" t="n">
        <v>0</v>
      </c>
      <c r="AF420" s="16" t="n">
        <v>0</v>
      </c>
      <c r="AG420" s="16" t="n">
        <v>0</v>
      </c>
      <c r="AH420" s="16" t="n">
        <v>0</v>
      </c>
      <c r="AI420" s="16" t="n">
        <v>0</v>
      </c>
      <c r="AJ420" s="16" t="n">
        <v>0</v>
      </c>
      <c r="AK420" s="16" t="n">
        <v>0</v>
      </c>
      <c r="AL420" s="16" t="n">
        <v>0</v>
      </c>
      <c r="AM420" s="16" t="n">
        <v>0</v>
      </c>
      <c r="AN420" s="16" t="n">
        <v>0</v>
      </c>
      <c r="AO420" s="16" t="n">
        <v>0</v>
      </c>
      <c r="AP420" s="16" t="n">
        <v>0</v>
      </c>
      <c r="AQ420" s="16" t="n">
        <v>0</v>
      </c>
      <c r="AR420" s="16" t="n">
        <v>0</v>
      </c>
      <c r="AS420" s="16" t="n">
        <v>0</v>
      </c>
      <c r="AT420" s="16" t="n">
        <v>0</v>
      </c>
      <c r="AU420" s="16" t="n">
        <v>0</v>
      </c>
      <c r="AV420" s="16" t="n">
        <v>0</v>
      </c>
      <c r="AW420" s="16" t="n">
        <v>0</v>
      </c>
      <c r="AX420" s="16" t="n">
        <v>0</v>
      </c>
      <c r="AY420" s="16" t="n">
        <v>0</v>
      </c>
      <c r="AZ420" s="16" t="n">
        <v>0</v>
      </c>
      <c r="BA420" s="16" t="n">
        <v>0</v>
      </c>
      <c r="BB420" s="16" t="n">
        <v>0</v>
      </c>
      <c r="BC420" s="16" t="n">
        <v>0</v>
      </c>
      <c r="BD420" s="16" t="n">
        <v>0</v>
      </c>
      <c r="BE420" s="16" t="n">
        <v>0</v>
      </c>
      <c r="BF420" s="16" t="n">
        <v>0</v>
      </c>
      <c r="BG420" s="16" t="n">
        <v>0</v>
      </c>
      <c r="BH420" s="16" t="n">
        <v>0</v>
      </c>
      <c r="BI420" s="16" t="n">
        <v>0</v>
      </c>
      <c r="BJ420" s="16" t="n">
        <v>0</v>
      </c>
      <c r="BK420" s="16" t="n">
        <v>0</v>
      </c>
      <c r="BL420" s="16" t="n">
        <v>0</v>
      </c>
      <c r="BM420" s="16" t="n">
        <v>0</v>
      </c>
      <c r="BN420" s="16" t="n">
        <v>0</v>
      </c>
      <c r="BO420" s="16" t="n">
        <v>0</v>
      </c>
      <c r="BP420" s="16" t="n">
        <v>0</v>
      </c>
      <c r="BQ420" s="16" t="n">
        <v>0</v>
      </c>
      <c r="BR420" s="16" t="n">
        <v>0</v>
      </c>
      <c r="BS420" s="16" t="n">
        <v>0</v>
      </c>
      <c r="BT420" s="16" t="n">
        <v>0</v>
      </c>
      <c r="BU420" s="16" t="n">
        <v>0</v>
      </c>
      <c r="BV420" s="16" t="n">
        <v>0</v>
      </c>
      <c r="BW420" s="16" t="n">
        <v>0</v>
      </c>
      <c r="BX420" s="16" t="n">
        <v>0</v>
      </c>
      <c r="BY420" s="16" t="n">
        <v>0</v>
      </c>
      <c r="BZ420" s="16" t="n">
        <v>0</v>
      </c>
      <c r="CA420" s="16" t="n">
        <v>0</v>
      </c>
      <c r="CB420" s="16" t="n">
        <v>0</v>
      </c>
      <c r="CC420" s="16" t="n">
        <v>0</v>
      </c>
      <c r="CD420" s="16" t="n">
        <v>0</v>
      </c>
      <c r="CE420" s="16" t="n">
        <v>0</v>
      </c>
      <c r="CF420" s="16" t="n">
        <v>0</v>
      </c>
      <c r="CG420" s="16" t="n">
        <v>0</v>
      </c>
      <c r="CH420" s="16" t="n">
        <v>0</v>
      </c>
      <c r="CI420" s="16" t="n">
        <v>0</v>
      </c>
      <c r="CJ420" s="16" t="n">
        <v>0</v>
      </c>
      <c r="CK420" s="16" t="n">
        <v>0</v>
      </c>
      <c r="CL420" s="16" t="n">
        <v>0</v>
      </c>
      <c r="CM420" s="16" t="n">
        <v>0</v>
      </c>
      <c r="CN420" s="16" t="n">
        <v>0</v>
      </c>
      <c r="CO420" s="16" t="n">
        <v>0</v>
      </c>
      <c r="CP420" s="16" t="n">
        <v>0</v>
      </c>
      <c r="CQ420" s="16" t="n">
        <v>0</v>
      </c>
      <c r="CR420" s="16" t="n">
        <v>0</v>
      </c>
      <c r="CS420" s="16" t="n">
        <v>0</v>
      </c>
      <c r="CT420" s="16" t="n">
        <v>0</v>
      </c>
      <c r="CU420" s="16" t="n">
        <v>0</v>
      </c>
      <c r="CV420" s="16" t="n">
        <v>0</v>
      </c>
      <c r="CW420" s="16" t="n">
        <v>0</v>
      </c>
      <c r="CX420" s="16" t="n">
        <v>0</v>
      </c>
      <c r="CY420" s="16" t="n">
        <v>0</v>
      </c>
      <c r="CZ420" s="16" t="n">
        <v>1</v>
      </c>
      <c r="DA420" s="16" t="n">
        <v>2</v>
      </c>
      <c r="DB420" s="16" t="n">
        <v>0</v>
      </c>
      <c r="DC420" s="16" t="n">
        <v>0</v>
      </c>
      <c r="DD420" s="16" t="n">
        <v>0</v>
      </c>
      <c r="DE420" s="16" t="n">
        <v>0</v>
      </c>
      <c r="DF420" s="16" t="n">
        <v>0</v>
      </c>
      <c r="DG420" s="16" t="n">
        <v>0</v>
      </c>
      <c r="DH420" s="16" t="n">
        <v>0</v>
      </c>
      <c r="DI420" s="16" t="n">
        <v>0</v>
      </c>
      <c r="DJ420" s="16" t="n">
        <v>0</v>
      </c>
      <c r="DK420" s="16" t="n">
        <v>0</v>
      </c>
      <c r="DL420" s="16" t="n">
        <v>0</v>
      </c>
      <c r="DM420" s="16" t="n">
        <v>0</v>
      </c>
      <c r="DN420" s="16" t="n">
        <v>0</v>
      </c>
      <c r="DO420" s="16" t="n">
        <v>0</v>
      </c>
      <c r="DP420" s="16" t="n">
        <v>0</v>
      </c>
      <c r="DQ420" s="16" t="n">
        <v>0</v>
      </c>
      <c r="DR420" s="16" t="n">
        <v>0</v>
      </c>
      <c r="DS420" s="16" t="n">
        <v>0</v>
      </c>
      <c r="DT420" s="16" t="n">
        <v>0</v>
      </c>
      <c r="DU420" s="16" t="n">
        <v>0</v>
      </c>
      <c r="DV420" s="16" t="n">
        <v>0</v>
      </c>
      <c r="DW420" s="16" t="n">
        <v>0</v>
      </c>
      <c r="DX420" s="16" t="n">
        <v>0</v>
      </c>
      <c r="DY420" s="16" t="n">
        <v>0</v>
      </c>
      <c r="DZ420" s="16" t="n">
        <v>0</v>
      </c>
      <c r="EA420" s="16" t="n">
        <v>0</v>
      </c>
      <c r="EB420" s="16" t="n">
        <v>0</v>
      </c>
      <c r="EC420" s="16" t="n">
        <v>0</v>
      </c>
      <c r="ED420" s="16" t="n">
        <v>0</v>
      </c>
      <c r="EE420" s="16" t="n">
        <v>0</v>
      </c>
      <c r="EF420" s="16" t="n">
        <v>0</v>
      </c>
    </row>
    <row r="421" customFormat="false" ht="15" hidden="false" customHeight="true" outlineLevel="0" collapsed="false">
      <c r="A421" s="9" t="s">
        <v>12</v>
      </c>
      <c r="B421" s="9" t="s">
        <v>18</v>
      </c>
      <c r="C421" s="9" t="s">
        <v>18</v>
      </c>
      <c r="D421" s="9" t="s">
        <v>340</v>
      </c>
      <c r="E421" s="9" t="s">
        <v>16</v>
      </c>
      <c r="F421" s="9" t="s">
        <v>84</v>
      </c>
      <c r="G421" s="16" t="n">
        <v>0</v>
      </c>
      <c r="H421" s="16" t="n">
        <v>3</v>
      </c>
      <c r="I421" s="16" t="n">
        <v>0</v>
      </c>
      <c r="J421" s="16" t="n">
        <v>3</v>
      </c>
      <c r="K421" s="16" t="n">
        <v>0</v>
      </c>
      <c r="L421" s="16" t="n">
        <v>0</v>
      </c>
      <c r="M421" s="16" t="n">
        <v>0</v>
      </c>
      <c r="N421" s="16" t="n">
        <v>0</v>
      </c>
      <c r="O421" s="16" t="n">
        <v>0</v>
      </c>
      <c r="P421" s="16" t="n">
        <v>0</v>
      </c>
      <c r="Q421" s="16" t="n">
        <v>0</v>
      </c>
      <c r="R421" s="16" t="n">
        <v>0</v>
      </c>
      <c r="S421" s="16" t="n">
        <v>0</v>
      </c>
      <c r="T421" s="16" t="n">
        <v>0</v>
      </c>
      <c r="U421" s="16" t="n">
        <v>0</v>
      </c>
      <c r="V421" s="16" t="n">
        <v>0</v>
      </c>
      <c r="W421" s="16" t="n">
        <v>0</v>
      </c>
      <c r="X421" s="16" t="n">
        <v>0</v>
      </c>
      <c r="Y421" s="16" t="n">
        <v>0</v>
      </c>
      <c r="Z421" s="16" t="n">
        <v>0</v>
      </c>
      <c r="AA421" s="16" t="n">
        <v>0</v>
      </c>
      <c r="AB421" s="16" t="n">
        <v>0</v>
      </c>
      <c r="AC421" s="16" t="n">
        <v>0</v>
      </c>
      <c r="AD421" s="16" t="n">
        <v>0</v>
      </c>
      <c r="AE421" s="16" t="n">
        <v>0</v>
      </c>
      <c r="AF421" s="16" t="n">
        <v>0</v>
      </c>
      <c r="AG421" s="16" t="n">
        <v>0</v>
      </c>
      <c r="AH421" s="16" t="n">
        <v>0</v>
      </c>
      <c r="AI421" s="16" t="n">
        <v>0</v>
      </c>
      <c r="AJ421" s="16" t="n">
        <v>0</v>
      </c>
      <c r="AK421" s="16" t="n">
        <v>0</v>
      </c>
      <c r="AL421" s="16" t="n">
        <v>0</v>
      </c>
      <c r="AM421" s="16" t="n">
        <v>0</v>
      </c>
      <c r="AN421" s="16" t="n">
        <v>0</v>
      </c>
      <c r="AO421" s="16" t="n">
        <v>0</v>
      </c>
      <c r="AP421" s="16" t="n">
        <v>0</v>
      </c>
      <c r="AQ421" s="16" t="n">
        <v>0</v>
      </c>
      <c r="AR421" s="16" t="n">
        <v>0</v>
      </c>
      <c r="AS421" s="16" t="n">
        <v>0</v>
      </c>
      <c r="AT421" s="16" t="n">
        <v>0</v>
      </c>
      <c r="AU421" s="16" t="n">
        <v>0</v>
      </c>
      <c r="AV421" s="16" t="n">
        <v>0</v>
      </c>
      <c r="AW421" s="16" t="n">
        <v>0</v>
      </c>
      <c r="AX421" s="16" t="n">
        <v>0</v>
      </c>
      <c r="AY421" s="16" t="n">
        <v>0</v>
      </c>
      <c r="AZ421" s="16" t="n">
        <v>0</v>
      </c>
      <c r="BA421" s="16" t="n">
        <v>0</v>
      </c>
      <c r="BB421" s="16" t="n">
        <v>0</v>
      </c>
      <c r="BC421" s="16" t="n">
        <v>0</v>
      </c>
      <c r="BD421" s="16" t="n">
        <v>0</v>
      </c>
      <c r="BE421" s="16" t="n">
        <v>0</v>
      </c>
      <c r="BF421" s="16" t="n">
        <v>0</v>
      </c>
      <c r="BG421" s="16" t="n">
        <v>0</v>
      </c>
      <c r="BH421" s="16" t="n">
        <v>0</v>
      </c>
      <c r="BI421" s="16" t="n">
        <v>0</v>
      </c>
      <c r="BJ421" s="16" t="n">
        <v>0</v>
      </c>
      <c r="BK421" s="16" t="n">
        <v>0</v>
      </c>
      <c r="BL421" s="16" t="n">
        <v>0</v>
      </c>
      <c r="BM421" s="16" t="n">
        <v>0</v>
      </c>
      <c r="BN421" s="16" t="n">
        <v>0</v>
      </c>
      <c r="BO421" s="16" t="n">
        <v>0</v>
      </c>
      <c r="BP421" s="16" t="n">
        <v>0</v>
      </c>
      <c r="BQ421" s="16" t="n">
        <v>0</v>
      </c>
      <c r="BR421" s="16" t="n">
        <v>0</v>
      </c>
      <c r="BS421" s="16" t="n">
        <v>0</v>
      </c>
      <c r="BT421" s="16" t="n">
        <v>0</v>
      </c>
      <c r="BU421" s="16" t="n">
        <v>0</v>
      </c>
      <c r="BV421" s="16" t="n">
        <v>0</v>
      </c>
      <c r="BW421" s="16" t="n">
        <v>0</v>
      </c>
      <c r="BX421" s="16" t="n">
        <v>0</v>
      </c>
      <c r="BY421" s="16" t="n">
        <v>0</v>
      </c>
      <c r="BZ421" s="16" t="n">
        <v>0</v>
      </c>
      <c r="CA421" s="16" t="n">
        <v>0</v>
      </c>
      <c r="CB421" s="16" t="n">
        <v>0</v>
      </c>
      <c r="CC421" s="16" t="n">
        <v>0</v>
      </c>
      <c r="CD421" s="16" t="n">
        <v>0</v>
      </c>
      <c r="CE421" s="16" t="n">
        <v>0</v>
      </c>
      <c r="CF421" s="16" t="n">
        <v>0</v>
      </c>
      <c r="CG421" s="16" t="n">
        <v>0</v>
      </c>
      <c r="CH421" s="16" t="n">
        <v>0</v>
      </c>
      <c r="CI421" s="16" t="n">
        <v>0</v>
      </c>
      <c r="CJ421" s="16" t="n">
        <v>0</v>
      </c>
      <c r="CK421" s="16" t="n">
        <v>0</v>
      </c>
      <c r="CL421" s="16" t="n">
        <v>0</v>
      </c>
      <c r="CM421" s="16" t="n">
        <v>0</v>
      </c>
      <c r="CN421" s="16" t="n">
        <v>0</v>
      </c>
      <c r="CO421" s="16" t="n">
        <v>0</v>
      </c>
      <c r="CP421" s="16" t="n">
        <v>0</v>
      </c>
      <c r="CQ421" s="16" t="n">
        <v>0</v>
      </c>
      <c r="CR421" s="16" t="n">
        <v>0</v>
      </c>
      <c r="CS421" s="16" t="n">
        <v>0</v>
      </c>
      <c r="CT421" s="16" t="n">
        <v>0</v>
      </c>
      <c r="CU421" s="16" t="n">
        <v>0</v>
      </c>
      <c r="CV421" s="16" t="n">
        <v>0</v>
      </c>
      <c r="CW421" s="16" t="n">
        <v>0</v>
      </c>
      <c r="CX421" s="16" t="n">
        <v>0</v>
      </c>
      <c r="CY421" s="16" t="n">
        <v>0</v>
      </c>
      <c r="CZ421" s="16" t="n">
        <v>0</v>
      </c>
      <c r="DA421" s="16" t="n">
        <v>0</v>
      </c>
      <c r="DB421" s="16" t="n">
        <v>0</v>
      </c>
      <c r="DC421" s="16" t="n">
        <v>0</v>
      </c>
      <c r="DD421" s="16" t="n">
        <v>0</v>
      </c>
      <c r="DE421" s="16" t="n">
        <v>0</v>
      </c>
      <c r="DF421" s="16" t="n">
        <v>0</v>
      </c>
      <c r="DG421" s="16" t="n">
        <v>0</v>
      </c>
      <c r="DH421" s="16" t="n">
        <v>0</v>
      </c>
      <c r="DI421" s="16" t="n">
        <v>0</v>
      </c>
      <c r="DJ421" s="16" t="n">
        <v>0</v>
      </c>
      <c r="DK421" s="16" t="n">
        <v>0</v>
      </c>
      <c r="DL421" s="16" t="n">
        <v>0</v>
      </c>
      <c r="DM421" s="16" t="n">
        <v>0</v>
      </c>
      <c r="DN421" s="16" t="n">
        <v>0</v>
      </c>
      <c r="DO421" s="16" t="n">
        <v>0</v>
      </c>
      <c r="DP421" s="16" t="n">
        <v>0</v>
      </c>
      <c r="DQ421" s="16" t="n">
        <v>0</v>
      </c>
      <c r="DR421" s="16" t="n">
        <v>0</v>
      </c>
      <c r="DS421" s="16" t="n">
        <v>0</v>
      </c>
      <c r="DT421" s="16" t="n">
        <v>0</v>
      </c>
      <c r="DU421" s="16" t="n">
        <v>0</v>
      </c>
      <c r="DV421" s="16" t="n">
        <v>0</v>
      </c>
      <c r="DW421" s="16" t="n">
        <v>0</v>
      </c>
      <c r="DX421" s="16" t="n">
        <v>0</v>
      </c>
      <c r="DY421" s="16" t="n">
        <v>0</v>
      </c>
      <c r="DZ421" s="16" t="n">
        <v>0</v>
      </c>
      <c r="EA421" s="16" t="n">
        <v>0</v>
      </c>
      <c r="EB421" s="16" t="n">
        <v>0</v>
      </c>
      <c r="EC421" s="16" t="n">
        <v>0</v>
      </c>
      <c r="ED421" s="16" t="n">
        <v>0</v>
      </c>
      <c r="EE421" s="16" t="n">
        <v>0</v>
      </c>
      <c r="EF421" s="16" t="n">
        <v>0</v>
      </c>
    </row>
    <row r="422" customFormat="false" ht="15" hidden="false" customHeight="true" outlineLevel="0" collapsed="false">
      <c r="A422" s="9" t="s">
        <v>12</v>
      </c>
      <c r="B422" s="9" t="s">
        <v>18</v>
      </c>
      <c r="C422" s="9" t="s">
        <v>18</v>
      </c>
      <c r="D422" s="9" t="s">
        <v>341</v>
      </c>
      <c r="E422" s="9" t="s">
        <v>16</v>
      </c>
      <c r="F422" s="9" t="s">
        <v>40</v>
      </c>
      <c r="G422" s="16" t="n">
        <v>0</v>
      </c>
      <c r="H422" s="16" t="n">
        <v>0</v>
      </c>
      <c r="I422" s="16" t="n">
        <v>15</v>
      </c>
      <c r="J422" s="16" t="n">
        <v>-15</v>
      </c>
      <c r="K422" s="16" t="n">
        <v>0</v>
      </c>
      <c r="L422" s="16" t="n">
        <v>0</v>
      </c>
      <c r="M422" s="16" t="n">
        <v>0</v>
      </c>
      <c r="N422" s="16" t="n">
        <v>0</v>
      </c>
      <c r="O422" s="16" t="n">
        <v>0</v>
      </c>
      <c r="P422" s="16" t="n">
        <v>0</v>
      </c>
      <c r="Q422" s="16" t="n">
        <v>0</v>
      </c>
      <c r="R422" s="16" t="n">
        <v>0</v>
      </c>
      <c r="S422" s="16" t="n">
        <v>0</v>
      </c>
      <c r="T422" s="16" t="n">
        <v>0</v>
      </c>
      <c r="U422" s="16" t="n">
        <v>0</v>
      </c>
      <c r="V422" s="16" t="n">
        <v>0</v>
      </c>
      <c r="W422" s="16" t="n">
        <v>0</v>
      </c>
      <c r="X422" s="16" t="n">
        <v>0</v>
      </c>
      <c r="Y422" s="16" t="n">
        <v>0</v>
      </c>
      <c r="Z422" s="16" t="n">
        <v>0</v>
      </c>
      <c r="AA422" s="16" t="n">
        <v>0</v>
      </c>
      <c r="AB422" s="16" t="n">
        <v>0</v>
      </c>
      <c r="AC422" s="16" t="n">
        <v>0</v>
      </c>
      <c r="AD422" s="16" t="n">
        <v>0</v>
      </c>
      <c r="AE422" s="16" t="n">
        <v>0</v>
      </c>
      <c r="AF422" s="16" t="n">
        <v>0</v>
      </c>
      <c r="AG422" s="16" t="n">
        <v>0</v>
      </c>
      <c r="AH422" s="16" t="n">
        <v>0</v>
      </c>
      <c r="AI422" s="16" t="n">
        <v>0</v>
      </c>
      <c r="AJ422" s="16" t="n">
        <v>0</v>
      </c>
      <c r="AK422" s="16" t="n">
        <v>0</v>
      </c>
      <c r="AL422" s="16" t="n">
        <v>0</v>
      </c>
      <c r="AM422" s="16" t="n">
        <v>0</v>
      </c>
      <c r="AN422" s="16" t="n">
        <v>0</v>
      </c>
      <c r="AO422" s="16" t="n">
        <v>0</v>
      </c>
      <c r="AP422" s="16" t="n">
        <v>0</v>
      </c>
      <c r="AQ422" s="16" t="n">
        <v>0</v>
      </c>
      <c r="AR422" s="16" t="n">
        <v>0</v>
      </c>
      <c r="AS422" s="16" t="n">
        <v>0</v>
      </c>
      <c r="AT422" s="16" t="n">
        <v>0</v>
      </c>
      <c r="AU422" s="16" t="n">
        <v>0</v>
      </c>
      <c r="AV422" s="16" t="n">
        <v>0</v>
      </c>
      <c r="AW422" s="16" t="n">
        <v>0</v>
      </c>
      <c r="AX422" s="16" t="n">
        <v>0</v>
      </c>
      <c r="AY422" s="16" t="n">
        <v>0</v>
      </c>
      <c r="AZ422" s="16" t="n">
        <v>0</v>
      </c>
      <c r="BA422" s="16" t="n">
        <v>0</v>
      </c>
      <c r="BB422" s="16" t="n">
        <v>0</v>
      </c>
      <c r="BC422" s="16" t="n">
        <v>0</v>
      </c>
      <c r="BD422" s="16" t="n">
        <v>0</v>
      </c>
      <c r="BE422" s="16" t="n">
        <v>0</v>
      </c>
      <c r="BF422" s="16" t="n">
        <v>0</v>
      </c>
      <c r="BG422" s="16" t="n">
        <v>0</v>
      </c>
      <c r="BH422" s="16" t="n">
        <v>0</v>
      </c>
      <c r="BI422" s="16" t="n">
        <v>0</v>
      </c>
      <c r="BJ422" s="16" t="n">
        <v>0</v>
      </c>
      <c r="BK422" s="16" t="n">
        <v>0</v>
      </c>
      <c r="BL422" s="16" t="n">
        <v>0</v>
      </c>
      <c r="BM422" s="16" t="n">
        <v>0</v>
      </c>
      <c r="BN422" s="16" t="n">
        <v>0</v>
      </c>
      <c r="BO422" s="16" t="n">
        <v>0</v>
      </c>
      <c r="BP422" s="16" t="n">
        <v>0</v>
      </c>
      <c r="BQ422" s="16" t="n">
        <v>0</v>
      </c>
      <c r="BR422" s="16" t="n">
        <v>0</v>
      </c>
      <c r="BS422" s="16" t="n">
        <v>0</v>
      </c>
      <c r="BT422" s="16" t="n">
        <v>0</v>
      </c>
      <c r="BU422" s="16" t="n">
        <v>0</v>
      </c>
      <c r="BV422" s="16" t="n">
        <v>0</v>
      </c>
      <c r="BW422" s="16" t="n">
        <v>0</v>
      </c>
      <c r="BX422" s="16" t="n">
        <v>0</v>
      </c>
      <c r="BY422" s="16" t="n">
        <v>0</v>
      </c>
      <c r="BZ422" s="16" t="n">
        <v>0</v>
      </c>
      <c r="CA422" s="16" t="n">
        <v>0</v>
      </c>
      <c r="CB422" s="16" t="n">
        <v>0</v>
      </c>
      <c r="CC422" s="16" t="n">
        <v>0</v>
      </c>
      <c r="CD422" s="16" t="n">
        <v>0</v>
      </c>
      <c r="CE422" s="16" t="n">
        <v>0</v>
      </c>
      <c r="CF422" s="16" t="n">
        <v>0</v>
      </c>
      <c r="CG422" s="16" t="n">
        <v>0</v>
      </c>
      <c r="CH422" s="16" t="n">
        <v>0</v>
      </c>
      <c r="CI422" s="16" t="n">
        <v>0</v>
      </c>
      <c r="CJ422" s="16" t="n">
        <v>0</v>
      </c>
      <c r="CK422" s="16" t="n">
        <v>0</v>
      </c>
      <c r="CL422" s="16" t="n">
        <v>0</v>
      </c>
      <c r="CM422" s="16" t="n">
        <v>0</v>
      </c>
      <c r="CN422" s="16" t="n">
        <v>0</v>
      </c>
      <c r="CO422" s="16" t="n">
        <v>0</v>
      </c>
      <c r="CP422" s="16" t="n">
        <v>0</v>
      </c>
      <c r="CQ422" s="16" t="n">
        <v>0</v>
      </c>
      <c r="CR422" s="16" t="n">
        <v>0</v>
      </c>
      <c r="CS422" s="16" t="n">
        <v>0</v>
      </c>
      <c r="CT422" s="16" t="n">
        <v>0</v>
      </c>
      <c r="CU422" s="16" t="n">
        <v>0</v>
      </c>
      <c r="CV422" s="16" t="n">
        <v>0</v>
      </c>
      <c r="CW422" s="16" t="n">
        <v>0</v>
      </c>
      <c r="CX422" s="16" t="n">
        <v>0</v>
      </c>
      <c r="CY422" s="16" t="n">
        <v>0</v>
      </c>
      <c r="CZ422" s="16" t="n">
        <v>0</v>
      </c>
      <c r="DA422" s="16" t="n">
        <v>0</v>
      </c>
      <c r="DB422" s="16" t="n">
        <v>0</v>
      </c>
      <c r="DC422" s="16" t="n">
        <v>0</v>
      </c>
      <c r="DD422" s="16" t="n">
        <v>0</v>
      </c>
      <c r="DE422" s="16" t="n">
        <v>0</v>
      </c>
      <c r="DF422" s="16" t="n">
        <v>0</v>
      </c>
      <c r="DG422" s="16" t="n">
        <v>0</v>
      </c>
      <c r="DH422" s="16" t="n">
        <v>0</v>
      </c>
      <c r="DI422" s="16" t="n">
        <v>0</v>
      </c>
      <c r="DJ422" s="16" t="n">
        <v>0</v>
      </c>
      <c r="DK422" s="16" t="n">
        <v>0</v>
      </c>
      <c r="DL422" s="16" t="n">
        <v>0</v>
      </c>
      <c r="DM422" s="16" t="n">
        <v>0</v>
      </c>
      <c r="DN422" s="16" t="n">
        <v>0</v>
      </c>
      <c r="DO422" s="16" t="n">
        <v>0</v>
      </c>
      <c r="DP422" s="16" t="n">
        <v>5</v>
      </c>
      <c r="DQ422" s="16" t="n">
        <v>5</v>
      </c>
      <c r="DR422" s="16" t="n">
        <v>5</v>
      </c>
      <c r="DS422" s="16" t="n">
        <v>0</v>
      </c>
      <c r="DT422" s="16" t="n">
        <v>0</v>
      </c>
      <c r="DU422" s="16" t="n">
        <v>0</v>
      </c>
      <c r="DV422" s="16" t="n">
        <v>0</v>
      </c>
      <c r="DW422" s="16" t="n">
        <v>0</v>
      </c>
      <c r="DX422" s="16" t="n">
        <v>0</v>
      </c>
      <c r="DY422" s="16" t="n">
        <v>0</v>
      </c>
      <c r="DZ422" s="16" t="n">
        <v>0</v>
      </c>
      <c r="EA422" s="16" t="n">
        <v>0</v>
      </c>
      <c r="EB422" s="16" t="n">
        <v>0</v>
      </c>
      <c r="EC422" s="16" t="n">
        <v>0</v>
      </c>
      <c r="ED422" s="16" t="n">
        <v>0</v>
      </c>
      <c r="EE422" s="16" t="n">
        <v>0</v>
      </c>
      <c r="EF422" s="16" t="n">
        <v>0</v>
      </c>
    </row>
    <row r="423" customFormat="false" ht="15" hidden="false" customHeight="true" outlineLevel="0" collapsed="false">
      <c r="A423" s="9" t="s">
        <v>12</v>
      </c>
      <c r="B423" s="9" t="s">
        <v>18</v>
      </c>
      <c r="C423" s="9" t="s">
        <v>18</v>
      </c>
      <c r="D423" s="9" t="s">
        <v>340</v>
      </c>
      <c r="E423" s="9" t="s">
        <v>16</v>
      </c>
      <c r="F423" s="9" t="s">
        <v>40</v>
      </c>
      <c r="G423" s="16" t="n">
        <v>0</v>
      </c>
      <c r="H423" s="16" t="n">
        <v>15</v>
      </c>
      <c r="I423" s="16" t="n">
        <v>0</v>
      </c>
      <c r="J423" s="16" t="n">
        <v>15</v>
      </c>
      <c r="K423" s="16" t="n">
        <v>0</v>
      </c>
      <c r="L423" s="16" t="n">
        <v>0</v>
      </c>
      <c r="M423" s="16" t="n">
        <v>0</v>
      </c>
      <c r="N423" s="16" t="n">
        <v>0</v>
      </c>
      <c r="O423" s="16" t="n">
        <v>0</v>
      </c>
      <c r="P423" s="16" t="n">
        <v>0</v>
      </c>
      <c r="Q423" s="16" t="n">
        <v>0</v>
      </c>
      <c r="R423" s="16" t="n">
        <v>0</v>
      </c>
      <c r="S423" s="16" t="n">
        <v>0</v>
      </c>
      <c r="T423" s="16" t="n">
        <v>0</v>
      </c>
      <c r="U423" s="16" t="n">
        <v>0</v>
      </c>
      <c r="V423" s="16" t="n">
        <v>0</v>
      </c>
      <c r="W423" s="16" t="n">
        <v>0</v>
      </c>
      <c r="X423" s="16" t="n">
        <v>0</v>
      </c>
      <c r="Y423" s="16" t="n">
        <v>0</v>
      </c>
      <c r="Z423" s="16" t="n">
        <v>0</v>
      </c>
      <c r="AA423" s="16" t="n">
        <v>0</v>
      </c>
      <c r="AB423" s="16" t="n">
        <v>0</v>
      </c>
      <c r="AC423" s="16" t="n">
        <v>0</v>
      </c>
      <c r="AD423" s="16" t="n">
        <v>0</v>
      </c>
      <c r="AE423" s="16" t="n">
        <v>0</v>
      </c>
      <c r="AF423" s="16" t="n">
        <v>0</v>
      </c>
      <c r="AG423" s="16" t="n">
        <v>0</v>
      </c>
      <c r="AH423" s="16" t="n">
        <v>0</v>
      </c>
      <c r="AI423" s="16" t="n">
        <v>0</v>
      </c>
      <c r="AJ423" s="16" t="n">
        <v>0</v>
      </c>
      <c r="AK423" s="16" t="n">
        <v>0</v>
      </c>
      <c r="AL423" s="16" t="n">
        <v>0</v>
      </c>
      <c r="AM423" s="16" t="n">
        <v>0</v>
      </c>
      <c r="AN423" s="16" t="n">
        <v>0</v>
      </c>
      <c r="AO423" s="16" t="n">
        <v>0</v>
      </c>
      <c r="AP423" s="16" t="n">
        <v>0</v>
      </c>
      <c r="AQ423" s="16" t="n">
        <v>0</v>
      </c>
      <c r="AR423" s="16" t="n">
        <v>0</v>
      </c>
      <c r="AS423" s="16" t="n">
        <v>0</v>
      </c>
      <c r="AT423" s="16" t="n">
        <v>0</v>
      </c>
      <c r="AU423" s="16" t="n">
        <v>0</v>
      </c>
      <c r="AV423" s="16" t="n">
        <v>0</v>
      </c>
      <c r="AW423" s="16" t="n">
        <v>0</v>
      </c>
      <c r="AX423" s="16" t="n">
        <v>0</v>
      </c>
      <c r="AY423" s="16" t="n">
        <v>0</v>
      </c>
      <c r="AZ423" s="16" t="n">
        <v>0</v>
      </c>
      <c r="BA423" s="16" t="n">
        <v>0</v>
      </c>
      <c r="BB423" s="16" t="n">
        <v>0</v>
      </c>
      <c r="BC423" s="16" t="n">
        <v>0</v>
      </c>
      <c r="BD423" s="16" t="n">
        <v>0</v>
      </c>
      <c r="BE423" s="16" t="n">
        <v>0</v>
      </c>
      <c r="BF423" s="16" t="n">
        <v>0</v>
      </c>
      <c r="BG423" s="16" t="n">
        <v>0</v>
      </c>
      <c r="BH423" s="16" t="n">
        <v>0</v>
      </c>
      <c r="BI423" s="16" t="n">
        <v>0</v>
      </c>
      <c r="BJ423" s="16" t="n">
        <v>0</v>
      </c>
      <c r="BK423" s="16" t="n">
        <v>0</v>
      </c>
      <c r="BL423" s="16" t="n">
        <v>0</v>
      </c>
      <c r="BM423" s="16" t="n">
        <v>0</v>
      </c>
      <c r="BN423" s="16" t="n">
        <v>0</v>
      </c>
      <c r="BO423" s="16" t="n">
        <v>0</v>
      </c>
      <c r="BP423" s="16" t="n">
        <v>0</v>
      </c>
      <c r="BQ423" s="16" t="n">
        <v>0</v>
      </c>
      <c r="BR423" s="16" t="n">
        <v>0</v>
      </c>
      <c r="BS423" s="16" t="n">
        <v>0</v>
      </c>
      <c r="BT423" s="16" t="n">
        <v>0</v>
      </c>
      <c r="BU423" s="16" t="n">
        <v>0</v>
      </c>
      <c r="BV423" s="16" t="n">
        <v>0</v>
      </c>
      <c r="BW423" s="16" t="n">
        <v>0</v>
      </c>
      <c r="BX423" s="16" t="n">
        <v>0</v>
      </c>
      <c r="BY423" s="16" t="n">
        <v>0</v>
      </c>
      <c r="BZ423" s="16" t="n">
        <v>0</v>
      </c>
      <c r="CA423" s="16" t="n">
        <v>0</v>
      </c>
      <c r="CB423" s="16" t="n">
        <v>0</v>
      </c>
      <c r="CC423" s="16" t="n">
        <v>0</v>
      </c>
      <c r="CD423" s="16" t="n">
        <v>0</v>
      </c>
      <c r="CE423" s="16" t="n">
        <v>0</v>
      </c>
      <c r="CF423" s="16" t="n">
        <v>0</v>
      </c>
      <c r="CG423" s="16" t="n">
        <v>0</v>
      </c>
      <c r="CH423" s="16" t="n">
        <v>0</v>
      </c>
      <c r="CI423" s="16" t="n">
        <v>0</v>
      </c>
      <c r="CJ423" s="16" t="n">
        <v>0</v>
      </c>
      <c r="CK423" s="16" t="n">
        <v>0</v>
      </c>
      <c r="CL423" s="16" t="n">
        <v>0</v>
      </c>
      <c r="CM423" s="16" t="n">
        <v>0</v>
      </c>
      <c r="CN423" s="16" t="n">
        <v>0</v>
      </c>
      <c r="CO423" s="16" t="n">
        <v>0</v>
      </c>
      <c r="CP423" s="16" t="n">
        <v>0</v>
      </c>
      <c r="CQ423" s="16" t="n">
        <v>0</v>
      </c>
      <c r="CR423" s="16" t="n">
        <v>0</v>
      </c>
      <c r="CS423" s="16" t="n">
        <v>0</v>
      </c>
      <c r="CT423" s="16" t="n">
        <v>0</v>
      </c>
      <c r="CU423" s="16" t="n">
        <v>0</v>
      </c>
      <c r="CV423" s="16" t="n">
        <v>0</v>
      </c>
      <c r="CW423" s="16" t="n">
        <v>0</v>
      </c>
      <c r="CX423" s="16" t="n">
        <v>0</v>
      </c>
      <c r="CY423" s="16" t="n">
        <v>0</v>
      </c>
      <c r="CZ423" s="16" t="n">
        <v>0</v>
      </c>
      <c r="DA423" s="16" t="n">
        <v>0</v>
      </c>
      <c r="DB423" s="16" t="n">
        <v>0</v>
      </c>
      <c r="DC423" s="16" t="n">
        <v>0</v>
      </c>
      <c r="DD423" s="16" t="n">
        <v>0</v>
      </c>
      <c r="DE423" s="16" t="n">
        <v>0</v>
      </c>
      <c r="DF423" s="16" t="n">
        <v>0</v>
      </c>
      <c r="DG423" s="16" t="n">
        <v>0</v>
      </c>
      <c r="DH423" s="16" t="n">
        <v>0</v>
      </c>
      <c r="DI423" s="16" t="n">
        <v>0</v>
      </c>
      <c r="DJ423" s="16" t="n">
        <v>0</v>
      </c>
      <c r="DK423" s="16" t="n">
        <v>0</v>
      </c>
      <c r="DL423" s="16" t="n">
        <v>0</v>
      </c>
      <c r="DM423" s="16" t="n">
        <v>0</v>
      </c>
      <c r="DN423" s="16" t="n">
        <v>0</v>
      </c>
      <c r="DO423" s="16" t="n">
        <v>0</v>
      </c>
      <c r="DP423" s="16" t="n">
        <v>0</v>
      </c>
      <c r="DQ423" s="16" t="n">
        <v>0</v>
      </c>
      <c r="DR423" s="16" t="n">
        <v>0</v>
      </c>
      <c r="DS423" s="16" t="n">
        <v>0</v>
      </c>
      <c r="DT423" s="16" t="n">
        <v>0</v>
      </c>
      <c r="DU423" s="16" t="n">
        <v>0</v>
      </c>
      <c r="DV423" s="16" t="n">
        <v>0</v>
      </c>
      <c r="DW423" s="16" t="n">
        <v>0</v>
      </c>
      <c r="DX423" s="16" t="n">
        <v>0</v>
      </c>
      <c r="DY423" s="16" t="n">
        <v>0</v>
      </c>
      <c r="DZ423" s="16" t="n">
        <v>0</v>
      </c>
      <c r="EA423" s="16" t="n">
        <v>0</v>
      </c>
      <c r="EB423" s="16" t="n">
        <v>0</v>
      </c>
      <c r="EC423" s="16" t="n">
        <v>0</v>
      </c>
      <c r="ED423" s="16" t="n">
        <v>0</v>
      </c>
      <c r="EE423" s="16" t="n">
        <v>0</v>
      </c>
      <c r="EF423" s="16" t="n">
        <v>0</v>
      </c>
    </row>
    <row r="424" customFormat="false" ht="15" hidden="false" customHeight="true" outlineLevel="0" collapsed="false">
      <c r="A424" s="9" t="s">
        <v>12</v>
      </c>
      <c r="B424" s="9" t="s">
        <v>18</v>
      </c>
      <c r="C424" s="9" t="s">
        <v>18</v>
      </c>
      <c r="D424" s="9" t="s">
        <v>341</v>
      </c>
      <c r="E424" s="9" t="s">
        <v>16</v>
      </c>
      <c r="F424" s="9" t="s">
        <v>85</v>
      </c>
      <c r="G424" s="16" t="n">
        <v>0</v>
      </c>
      <c r="H424" s="16" t="n">
        <v>0</v>
      </c>
      <c r="I424" s="16" t="n">
        <v>115</v>
      </c>
      <c r="J424" s="16" t="n">
        <v>-115</v>
      </c>
      <c r="K424" s="16" t="n">
        <v>0</v>
      </c>
      <c r="L424" s="16" t="n">
        <v>0</v>
      </c>
      <c r="M424" s="16" t="n">
        <v>0</v>
      </c>
      <c r="N424" s="16" t="n">
        <v>0</v>
      </c>
      <c r="O424" s="16" t="n">
        <v>0</v>
      </c>
      <c r="P424" s="16" t="n">
        <v>0</v>
      </c>
      <c r="Q424" s="16" t="n">
        <v>0</v>
      </c>
      <c r="R424" s="16" t="n">
        <v>0</v>
      </c>
      <c r="S424" s="16" t="n">
        <v>0</v>
      </c>
      <c r="T424" s="16" t="n">
        <v>0</v>
      </c>
      <c r="U424" s="16" t="n">
        <v>0</v>
      </c>
      <c r="V424" s="16" t="n">
        <v>0</v>
      </c>
      <c r="W424" s="16" t="n">
        <v>0</v>
      </c>
      <c r="X424" s="16" t="n">
        <v>0</v>
      </c>
      <c r="Y424" s="16" t="n">
        <v>0</v>
      </c>
      <c r="Z424" s="16" t="n">
        <v>0</v>
      </c>
      <c r="AA424" s="16" t="n">
        <v>0</v>
      </c>
      <c r="AB424" s="16" t="n">
        <v>0</v>
      </c>
      <c r="AC424" s="16" t="n">
        <v>0</v>
      </c>
      <c r="AD424" s="16" t="n">
        <v>0</v>
      </c>
      <c r="AE424" s="16" t="n">
        <v>0</v>
      </c>
      <c r="AF424" s="16" t="n">
        <v>0</v>
      </c>
      <c r="AG424" s="16" t="n">
        <v>0</v>
      </c>
      <c r="AH424" s="16" t="n">
        <v>0</v>
      </c>
      <c r="AI424" s="16" t="n">
        <v>0</v>
      </c>
      <c r="AJ424" s="16" t="n">
        <v>0</v>
      </c>
      <c r="AK424" s="16" t="n">
        <v>0</v>
      </c>
      <c r="AL424" s="16" t="n">
        <v>3</v>
      </c>
      <c r="AM424" s="16" t="n">
        <v>0</v>
      </c>
      <c r="AN424" s="16" t="n">
        <v>3</v>
      </c>
      <c r="AO424" s="16" t="n">
        <v>14</v>
      </c>
      <c r="AP424" s="16" t="n">
        <v>7</v>
      </c>
      <c r="AQ424" s="16" t="n">
        <v>0</v>
      </c>
      <c r="AR424" s="16" t="n">
        <v>3</v>
      </c>
      <c r="AS424" s="16" t="n">
        <v>0</v>
      </c>
      <c r="AT424" s="16" t="n">
        <v>0</v>
      </c>
      <c r="AU424" s="16" t="n">
        <v>0</v>
      </c>
      <c r="AV424" s="16" t="n">
        <v>0</v>
      </c>
      <c r="AW424" s="16" t="n">
        <v>0</v>
      </c>
      <c r="AX424" s="16" t="n">
        <v>0</v>
      </c>
      <c r="AY424" s="16" t="n">
        <v>0</v>
      </c>
      <c r="AZ424" s="16" t="n">
        <v>0</v>
      </c>
      <c r="BA424" s="16" t="n">
        <v>0</v>
      </c>
      <c r="BB424" s="16" t="n">
        <v>0</v>
      </c>
      <c r="BC424" s="16" t="n">
        <v>0</v>
      </c>
      <c r="BD424" s="16" t="n">
        <v>0</v>
      </c>
      <c r="BE424" s="16" t="n">
        <v>0</v>
      </c>
      <c r="BF424" s="16" t="n">
        <v>0</v>
      </c>
      <c r="BG424" s="16" t="n">
        <v>0</v>
      </c>
      <c r="BH424" s="16" t="n">
        <v>0</v>
      </c>
      <c r="BI424" s="16" t="n">
        <v>0</v>
      </c>
      <c r="BJ424" s="16" t="n">
        <v>0</v>
      </c>
      <c r="BK424" s="16" t="n">
        <v>0</v>
      </c>
      <c r="BL424" s="16" t="n">
        <v>0</v>
      </c>
      <c r="BM424" s="16" t="n">
        <v>0</v>
      </c>
      <c r="BN424" s="16" t="n">
        <v>0</v>
      </c>
      <c r="BO424" s="16" t="n">
        <v>0</v>
      </c>
      <c r="BP424" s="16" t="n">
        <v>0</v>
      </c>
      <c r="BQ424" s="16" t="n">
        <v>0</v>
      </c>
      <c r="BR424" s="16" t="n">
        <v>0</v>
      </c>
      <c r="BS424" s="16" t="n">
        <v>0</v>
      </c>
      <c r="BT424" s="16" t="n">
        <v>0</v>
      </c>
      <c r="BU424" s="16" t="n">
        <v>0</v>
      </c>
      <c r="BV424" s="16" t="n">
        <v>0</v>
      </c>
      <c r="BW424" s="16" t="n">
        <v>0</v>
      </c>
      <c r="BX424" s="16" t="n">
        <v>0</v>
      </c>
      <c r="BY424" s="16" t="n">
        <v>0</v>
      </c>
      <c r="BZ424" s="16" t="n">
        <v>0</v>
      </c>
      <c r="CA424" s="16" t="n">
        <v>0</v>
      </c>
      <c r="CB424" s="16" t="n">
        <v>0</v>
      </c>
      <c r="CC424" s="16" t="n">
        <v>0</v>
      </c>
      <c r="CD424" s="16" t="n">
        <v>0</v>
      </c>
      <c r="CE424" s="16" t="n">
        <v>0</v>
      </c>
      <c r="CF424" s="16" t="n">
        <v>0</v>
      </c>
      <c r="CG424" s="16" t="n">
        <v>0</v>
      </c>
      <c r="CH424" s="16" t="n">
        <v>0</v>
      </c>
      <c r="CI424" s="16" t="n">
        <v>0</v>
      </c>
      <c r="CJ424" s="16" t="n">
        <v>0</v>
      </c>
      <c r="CK424" s="16" t="n">
        <v>0</v>
      </c>
      <c r="CL424" s="16" t="n">
        <v>0</v>
      </c>
      <c r="CM424" s="16" t="n">
        <v>0</v>
      </c>
      <c r="CN424" s="16" t="n">
        <v>0</v>
      </c>
      <c r="CO424" s="16" t="n">
        <v>0</v>
      </c>
      <c r="CP424" s="16" t="n">
        <v>0</v>
      </c>
      <c r="CQ424" s="16" t="n">
        <v>0</v>
      </c>
      <c r="CR424" s="16" t="n">
        <v>0</v>
      </c>
      <c r="CS424" s="16" t="n">
        <v>1</v>
      </c>
      <c r="CT424" s="16" t="n">
        <v>8</v>
      </c>
      <c r="CU424" s="16" t="n">
        <v>12</v>
      </c>
      <c r="CV424" s="16" t="n">
        <v>1</v>
      </c>
      <c r="CW424" s="16" t="n">
        <v>1</v>
      </c>
      <c r="CX424" s="16" t="n">
        <v>1</v>
      </c>
      <c r="CY424" s="16" t="n">
        <v>1</v>
      </c>
      <c r="CZ424" s="16" t="n">
        <v>1</v>
      </c>
      <c r="DA424" s="16" t="n">
        <v>1</v>
      </c>
      <c r="DB424" s="16" t="n">
        <v>1</v>
      </c>
      <c r="DC424" s="16" t="n">
        <v>1</v>
      </c>
      <c r="DD424" s="16" t="n">
        <v>2.5</v>
      </c>
      <c r="DE424" s="16" t="n">
        <v>8</v>
      </c>
      <c r="DF424" s="16" t="n">
        <v>10.5</v>
      </c>
      <c r="DG424" s="16" t="n">
        <v>1</v>
      </c>
      <c r="DH424" s="16" t="n">
        <v>1</v>
      </c>
      <c r="DI424" s="16" t="n">
        <v>1</v>
      </c>
      <c r="DJ424" s="16" t="n">
        <v>0</v>
      </c>
      <c r="DK424" s="16" t="n">
        <v>3</v>
      </c>
      <c r="DL424" s="16" t="n">
        <v>1</v>
      </c>
      <c r="DM424" s="16" t="n">
        <v>1</v>
      </c>
      <c r="DN424" s="16" t="n">
        <v>1</v>
      </c>
      <c r="DO424" s="16" t="n">
        <v>2</v>
      </c>
      <c r="DP424" s="16" t="n">
        <v>10</v>
      </c>
      <c r="DQ424" s="16" t="n">
        <v>12</v>
      </c>
      <c r="DR424" s="16" t="n">
        <v>2</v>
      </c>
      <c r="DS424" s="16" t="n">
        <v>0</v>
      </c>
      <c r="DT424" s="16" t="n">
        <v>0</v>
      </c>
      <c r="DU424" s="16" t="n">
        <v>0</v>
      </c>
      <c r="DV424" s="16" t="n">
        <v>0</v>
      </c>
      <c r="DW424" s="16" t="n">
        <v>0</v>
      </c>
      <c r="DX424" s="16" t="n">
        <v>0</v>
      </c>
      <c r="DY424" s="16" t="n">
        <v>0</v>
      </c>
      <c r="DZ424" s="16" t="n">
        <v>0</v>
      </c>
      <c r="EA424" s="16" t="n">
        <v>0</v>
      </c>
      <c r="EB424" s="16" t="n">
        <v>0</v>
      </c>
      <c r="EC424" s="16" t="n">
        <v>0</v>
      </c>
      <c r="ED424" s="16" t="n">
        <v>0</v>
      </c>
      <c r="EE424" s="16" t="n">
        <v>0</v>
      </c>
      <c r="EF424" s="16" t="n">
        <v>0</v>
      </c>
    </row>
    <row r="425" customFormat="false" ht="15" hidden="false" customHeight="true" outlineLevel="0" collapsed="false">
      <c r="A425" s="9" t="s">
        <v>12</v>
      </c>
      <c r="B425" s="9" t="s">
        <v>18</v>
      </c>
      <c r="C425" s="9" t="s">
        <v>18</v>
      </c>
      <c r="D425" s="9" t="s">
        <v>340</v>
      </c>
      <c r="E425" s="9" t="s">
        <v>16</v>
      </c>
      <c r="F425" s="9" t="s">
        <v>85</v>
      </c>
      <c r="G425" s="16" t="n">
        <v>8</v>
      </c>
      <c r="H425" s="16" t="n">
        <v>8</v>
      </c>
      <c r="I425" s="16" t="n">
        <v>9.5</v>
      </c>
      <c r="J425" s="16" t="n">
        <v>-1.5</v>
      </c>
      <c r="K425" s="16" t="n">
        <v>0</v>
      </c>
      <c r="L425" s="16" t="n">
        <v>0</v>
      </c>
      <c r="M425" s="16" t="n">
        <v>0</v>
      </c>
      <c r="N425" s="16" t="n">
        <v>0</v>
      </c>
      <c r="O425" s="16" t="n">
        <v>0</v>
      </c>
      <c r="P425" s="16" t="n">
        <v>0</v>
      </c>
      <c r="Q425" s="16" t="n">
        <v>0</v>
      </c>
      <c r="R425" s="16" t="n">
        <v>0</v>
      </c>
      <c r="S425" s="16" t="n">
        <v>0</v>
      </c>
      <c r="T425" s="16" t="n">
        <v>0</v>
      </c>
      <c r="U425" s="16" t="n">
        <v>0</v>
      </c>
      <c r="V425" s="16" t="n">
        <v>0</v>
      </c>
      <c r="W425" s="16" t="n">
        <v>0</v>
      </c>
      <c r="X425" s="16" t="n">
        <v>0</v>
      </c>
      <c r="Y425" s="16" t="n">
        <v>0</v>
      </c>
      <c r="Z425" s="16" t="n">
        <v>0</v>
      </c>
      <c r="AA425" s="16" t="n">
        <v>0</v>
      </c>
      <c r="AB425" s="16" t="n">
        <v>0</v>
      </c>
      <c r="AC425" s="16" t="n">
        <v>0</v>
      </c>
      <c r="AD425" s="16" t="n">
        <v>3.5</v>
      </c>
      <c r="AE425" s="16" t="n">
        <v>0</v>
      </c>
      <c r="AF425" s="16" t="n">
        <v>4</v>
      </c>
      <c r="AG425" s="16" t="n">
        <v>0.5</v>
      </c>
      <c r="AH425" s="16" t="n">
        <v>1.5</v>
      </c>
      <c r="AI425" s="16" t="n">
        <v>0</v>
      </c>
      <c r="AJ425" s="16" t="n">
        <v>0</v>
      </c>
      <c r="AK425" s="16" t="n">
        <v>0</v>
      </c>
      <c r="AL425" s="16" t="n">
        <v>0</v>
      </c>
      <c r="AM425" s="16" t="n">
        <v>0</v>
      </c>
      <c r="AN425" s="16" t="n">
        <v>0</v>
      </c>
      <c r="AO425" s="16" t="n">
        <v>0</v>
      </c>
      <c r="AP425" s="16" t="n">
        <v>0</v>
      </c>
      <c r="AQ425" s="16" t="n">
        <v>0</v>
      </c>
      <c r="AR425" s="16" t="n">
        <v>0</v>
      </c>
      <c r="AS425" s="16" t="n">
        <v>0</v>
      </c>
      <c r="AT425" s="16" t="n">
        <v>0</v>
      </c>
      <c r="AU425" s="16" t="n">
        <v>0</v>
      </c>
      <c r="AV425" s="16" t="n">
        <v>0</v>
      </c>
      <c r="AW425" s="16" t="n">
        <v>0</v>
      </c>
      <c r="AX425" s="16" t="n">
        <v>0</v>
      </c>
      <c r="AY425" s="16" t="n">
        <v>0</v>
      </c>
      <c r="AZ425" s="16" t="n">
        <v>0</v>
      </c>
      <c r="BA425" s="16" t="n">
        <v>0</v>
      </c>
      <c r="BB425" s="16" t="n">
        <v>0</v>
      </c>
      <c r="BC425" s="16" t="n">
        <v>0</v>
      </c>
      <c r="BD425" s="16" t="n">
        <v>0</v>
      </c>
      <c r="BE425" s="16" t="n">
        <v>0</v>
      </c>
      <c r="BF425" s="16" t="n">
        <v>0</v>
      </c>
      <c r="BG425" s="16" t="n">
        <v>0</v>
      </c>
      <c r="BH425" s="16" t="n">
        <v>0</v>
      </c>
      <c r="BI425" s="16" t="n">
        <v>0</v>
      </c>
      <c r="BJ425" s="16" t="n">
        <v>0</v>
      </c>
      <c r="BK425" s="16" t="n">
        <v>0</v>
      </c>
      <c r="BL425" s="16" t="n">
        <v>0</v>
      </c>
      <c r="BM425" s="16" t="n">
        <v>0</v>
      </c>
      <c r="BN425" s="16" t="n">
        <v>0</v>
      </c>
      <c r="BO425" s="16" t="n">
        <v>0</v>
      </c>
      <c r="BP425" s="16" t="n">
        <v>0</v>
      </c>
      <c r="BQ425" s="16" t="n">
        <v>0</v>
      </c>
      <c r="BR425" s="16" t="n">
        <v>0</v>
      </c>
      <c r="BS425" s="16" t="n">
        <v>0</v>
      </c>
      <c r="BT425" s="16" t="n">
        <v>0</v>
      </c>
      <c r="BU425" s="16" t="n">
        <v>0</v>
      </c>
      <c r="BV425" s="16" t="n">
        <v>0</v>
      </c>
      <c r="BW425" s="16" t="n">
        <v>0</v>
      </c>
      <c r="BX425" s="16" t="n">
        <v>0</v>
      </c>
      <c r="BY425" s="16" t="n">
        <v>0</v>
      </c>
      <c r="BZ425" s="16" t="n">
        <v>0</v>
      </c>
      <c r="CA425" s="16" t="n">
        <v>0</v>
      </c>
      <c r="CB425" s="16" t="n">
        <v>0</v>
      </c>
      <c r="CC425" s="16" t="n">
        <v>0</v>
      </c>
      <c r="CD425" s="16" t="n">
        <v>0</v>
      </c>
      <c r="CE425" s="16" t="n">
        <v>0</v>
      </c>
      <c r="CF425" s="16" t="n">
        <v>0</v>
      </c>
      <c r="CG425" s="16" t="n">
        <v>0</v>
      </c>
      <c r="CH425" s="16" t="n">
        <v>0</v>
      </c>
      <c r="CI425" s="16" t="n">
        <v>0</v>
      </c>
      <c r="CJ425" s="16" t="n">
        <v>0</v>
      </c>
      <c r="CK425" s="16" t="n">
        <v>0</v>
      </c>
      <c r="CL425" s="16" t="n">
        <v>0</v>
      </c>
      <c r="CM425" s="16" t="n">
        <v>0</v>
      </c>
      <c r="CN425" s="16" t="n">
        <v>0</v>
      </c>
      <c r="CO425" s="16" t="n">
        <v>0</v>
      </c>
      <c r="CP425" s="16" t="n">
        <v>0</v>
      </c>
      <c r="CQ425" s="16" t="n">
        <v>0</v>
      </c>
      <c r="CR425" s="16" t="n">
        <v>0</v>
      </c>
      <c r="CS425" s="16" t="n">
        <v>0</v>
      </c>
      <c r="CT425" s="16" t="n">
        <v>0</v>
      </c>
      <c r="CU425" s="16" t="n">
        <v>0</v>
      </c>
      <c r="CV425" s="16" t="n">
        <v>0</v>
      </c>
      <c r="CW425" s="16" t="n">
        <v>0</v>
      </c>
      <c r="CX425" s="16" t="n">
        <v>0</v>
      </c>
      <c r="CY425" s="16" t="n">
        <v>0</v>
      </c>
      <c r="CZ425" s="16" t="n">
        <v>0</v>
      </c>
      <c r="DA425" s="16" t="n">
        <v>0</v>
      </c>
      <c r="DB425" s="16" t="n">
        <v>0</v>
      </c>
      <c r="DC425" s="16" t="n">
        <v>0</v>
      </c>
      <c r="DD425" s="16" t="n">
        <v>0</v>
      </c>
      <c r="DE425" s="16" t="n">
        <v>0</v>
      </c>
      <c r="DF425" s="16" t="n">
        <v>0</v>
      </c>
      <c r="DG425" s="16" t="n">
        <v>0</v>
      </c>
      <c r="DH425" s="16" t="n">
        <v>0</v>
      </c>
      <c r="DI425" s="16" t="n">
        <v>0</v>
      </c>
      <c r="DJ425" s="16" t="n">
        <v>0</v>
      </c>
      <c r="DK425" s="16" t="n">
        <v>0</v>
      </c>
      <c r="DL425" s="16" t="n">
        <v>0</v>
      </c>
      <c r="DM425" s="16" t="n">
        <v>0</v>
      </c>
      <c r="DN425" s="16" t="n">
        <v>0</v>
      </c>
      <c r="DO425" s="16" t="n">
        <v>0</v>
      </c>
      <c r="DP425" s="16" t="n">
        <v>0</v>
      </c>
      <c r="DQ425" s="16" t="n">
        <v>0</v>
      </c>
      <c r="DR425" s="16" t="n">
        <v>0</v>
      </c>
      <c r="DS425" s="16" t="n">
        <v>0</v>
      </c>
      <c r="DT425" s="16" t="n">
        <v>0</v>
      </c>
      <c r="DU425" s="16" t="n">
        <v>0</v>
      </c>
      <c r="DV425" s="16" t="n">
        <v>0</v>
      </c>
      <c r="DW425" s="16" t="n">
        <v>0</v>
      </c>
      <c r="DX425" s="16" t="n">
        <v>0</v>
      </c>
      <c r="DY425" s="16" t="n">
        <v>0</v>
      </c>
      <c r="DZ425" s="16" t="n">
        <v>0</v>
      </c>
      <c r="EA425" s="16" t="n">
        <v>0</v>
      </c>
      <c r="EB425" s="16" t="n">
        <v>0</v>
      </c>
      <c r="EC425" s="16" t="n">
        <v>0</v>
      </c>
      <c r="ED425" s="16" t="n">
        <v>0</v>
      </c>
      <c r="EE425" s="16" t="n">
        <v>0</v>
      </c>
      <c r="EF425" s="16" t="n">
        <v>0</v>
      </c>
    </row>
    <row r="426" customFormat="false" ht="15" hidden="false" customHeight="true" outlineLevel="0" collapsed="false">
      <c r="A426" s="9" t="s">
        <v>12</v>
      </c>
      <c r="B426" s="9" t="s">
        <v>18</v>
      </c>
      <c r="C426" s="9" t="s">
        <v>18</v>
      </c>
      <c r="D426" s="9" t="s">
        <v>341</v>
      </c>
      <c r="E426" s="9" t="s">
        <v>16</v>
      </c>
      <c r="F426" s="9" t="s">
        <v>103</v>
      </c>
      <c r="G426" s="16" t="n">
        <v>0</v>
      </c>
      <c r="H426" s="16" t="n">
        <v>0</v>
      </c>
      <c r="I426" s="16" t="n">
        <v>225</v>
      </c>
      <c r="J426" s="16" t="n">
        <v>-225</v>
      </c>
      <c r="K426" s="16" t="n">
        <v>0</v>
      </c>
      <c r="L426" s="16" t="n">
        <v>0</v>
      </c>
      <c r="M426" s="16" t="n">
        <v>0</v>
      </c>
      <c r="N426" s="16" t="n">
        <v>0</v>
      </c>
      <c r="O426" s="16" t="n">
        <v>0</v>
      </c>
      <c r="P426" s="16" t="n">
        <v>0</v>
      </c>
      <c r="Q426" s="16" t="n">
        <v>0</v>
      </c>
      <c r="R426" s="16" t="n">
        <v>0</v>
      </c>
      <c r="S426" s="16" t="n">
        <v>0</v>
      </c>
      <c r="T426" s="16" t="n">
        <v>0</v>
      </c>
      <c r="U426" s="16" t="n">
        <v>0</v>
      </c>
      <c r="V426" s="16" t="n">
        <v>0</v>
      </c>
      <c r="W426" s="16" t="n">
        <v>0</v>
      </c>
      <c r="X426" s="16" t="n">
        <v>0</v>
      </c>
      <c r="Y426" s="16" t="n">
        <v>0</v>
      </c>
      <c r="Z426" s="16" t="n">
        <v>0</v>
      </c>
      <c r="AA426" s="16" t="n">
        <v>0</v>
      </c>
      <c r="AB426" s="16" t="n">
        <v>0</v>
      </c>
      <c r="AC426" s="16" t="n">
        <v>0</v>
      </c>
      <c r="AD426" s="16" t="n">
        <v>0</v>
      </c>
      <c r="AE426" s="16" t="n">
        <v>0</v>
      </c>
      <c r="AF426" s="16" t="n">
        <v>0</v>
      </c>
      <c r="AG426" s="16" t="n">
        <v>0</v>
      </c>
      <c r="AH426" s="16" t="n">
        <v>0</v>
      </c>
      <c r="AI426" s="16" t="n">
        <v>0</v>
      </c>
      <c r="AJ426" s="16" t="n">
        <v>1</v>
      </c>
      <c r="AK426" s="16" t="n">
        <v>3</v>
      </c>
      <c r="AL426" s="16" t="n">
        <v>1.5</v>
      </c>
      <c r="AM426" s="16" t="n">
        <v>4.5</v>
      </c>
      <c r="AN426" s="16" t="n">
        <v>0</v>
      </c>
      <c r="AO426" s="16" t="n">
        <v>1</v>
      </c>
      <c r="AP426" s="16" t="n">
        <v>4</v>
      </c>
      <c r="AQ426" s="16" t="n">
        <v>0</v>
      </c>
      <c r="AR426" s="16" t="n">
        <v>18</v>
      </c>
      <c r="AS426" s="16" t="n">
        <v>6</v>
      </c>
      <c r="AT426" s="16" t="n">
        <v>0</v>
      </c>
      <c r="AU426" s="16" t="n">
        <v>0</v>
      </c>
      <c r="AV426" s="16" t="n">
        <v>0</v>
      </c>
      <c r="AW426" s="16" t="n">
        <v>0</v>
      </c>
      <c r="AX426" s="16" t="n">
        <v>0</v>
      </c>
      <c r="AY426" s="16" t="n">
        <v>0</v>
      </c>
      <c r="AZ426" s="16" t="n">
        <v>0</v>
      </c>
      <c r="BA426" s="16" t="n">
        <v>0</v>
      </c>
      <c r="BB426" s="16" t="n">
        <v>0</v>
      </c>
      <c r="BC426" s="16" t="n">
        <v>0</v>
      </c>
      <c r="BD426" s="16" t="n">
        <v>0</v>
      </c>
      <c r="BE426" s="16" t="n">
        <v>0</v>
      </c>
      <c r="BF426" s="16" t="n">
        <v>0</v>
      </c>
      <c r="BG426" s="16" t="n">
        <v>0</v>
      </c>
      <c r="BH426" s="16" t="n">
        <v>0</v>
      </c>
      <c r="BI426" s="16" t="n">
        <v>0</v>
      </c>
      <c r="BJ426" s="16" t="n">
        <v>0</v>
      </c>
      <c r="BK426" s="16" t="n">
        <v>0</v>
      </c>
      <c r="BL426" s="16" t="n">
        <v>0</v>
      </c>
      <c r="BM426" s="16" t="n">
        <v>0</v>
      </c>
      <c r="BN426" s="16" t="n">
        <v>0</v>
      </c>
      <c r="BO426" s="16" t="n">
        <v>0</v>
      </c>
      <c r="BP426" s="16" t="n">
        <v>0</v>
      </c>
      <c r="BQ426" s="16" t="n">
        <v>0</v>
      </c>
      <c r="BR426" s="16" t="n">
        <v>0</v>
      </c>
      <c r="BS426" s="16" t="n">
        <v>0</v>
      </c>
      <c r="BT426" s="16" t="n">
        <v>0</v>
      </c>
      <c r="BU426" s="16" t="n">
        <v>0</v>
      </c>
      <c r="BV426" s="16" t="n">
        <v>0</v>
      </c>
      <c r="BW426" s="16" t="n">
        <v>0</v>
      </c>
      <c r="BX426" s="16" t="n">
        <v>0</v>
      </c>
      <c r="BY426" s="16" t="n">
        <v>0</v>
      </c>
      <c r="BZ426" s="16" t="n">
        <v>0</v>
      </c>
      <c r="CA426" s="16" t="n">
        <v>0</v>
      </c>
      <c r="CB426" s="16" t="n">
        <v>0</v>
      </c>
      <c r="CC426" s="16" t="n">
        <v>0</v>
      </c>
      <c r="CD426" s="16" t="n">
        <v>0</v>
      </c>
      <c r="CE426" s="16" t="n">
        <v>0</v>
      </c>
      <c r="CF426" s="16" t="n">
        <v>0</v>
      </c>
      <c r="CG426" s="16" t="n">
        <v>0</v>
      </c>
      <c r="CH426" s="16" t="n">
        <v>0</v>
      </c>
      <c r="CI426" s="16" t="n">
        <v>0</v>
      </c>
      <c r="CJ426" s="16" t="n">
        <v>0</v>
      </c>
      <c r="CK426" s="16" t="n">
        <v>0</v>
      </c>
      <c r="CL426" s="16" t="n">
        <v>0</v>
      </c>
      <c r="CM426" s="16" t="n">
        <v>0</v>
      </c>
      <c r="CN426" s="16" t="n">
        <v>0</v>
      </c>
      <c r="CO426" s="16" t="n">
        <v>0</v>
      </c>
      <c r="CP426" s="16" t="n">
        <v>0</v>
      </c>
      <c r="CQ426" s="16" t="n">
        <v>0</v>
      </c>
      <c r="CR426" s="16" t="n">
        <v>0</v>
      </c>
      <c r="CS426" s="16" t="n">
        <v>10</v>
      </c>
      <c r="CT426" s="16" t="n">
        <v>10</v>
      </c>
      <c r="CU426" s="16" t="n">
        <v>0</v>
      </c>
      <c r="CV426" s="16" t="n">
        <v>0</v>
      </c>
      <c r="CW426" s="16" t="n">
        <v>0</v>
      </c>
      <c r="CX426" s="16" t="n">
        <v>0</v>
      </c>
      <c r="CY426" s="16" t="n">
        <v>0</v>
      </c>
      <c r="CZ426" s="16" t="n">
        <v>10</v>
      </c>
      <c r="DA426" s="16" t="n">
        <v>10</v>
      </c>
      <c r="DB426" s="16" t="n">
        <v>10</v>
      </c>
      <c r="DC426" s="16" t="n">
        <v>0</v>
      </c>
      <c r="DD426" s="16" t="n">
        <v>15</v>
      </c>
      <c r="DE426" s="16" t="n">
        <v>0</v>
      </c>
      <c r="DF426" s="16" t="n">
        <v>0</v>
      </c>
      <c r="DG426" s="16" t="n">
        <v>0</v>
      </c>
      <c r="DH426" s="16" t="n">
        <v>0</v>
      </c>
      <c r="DI426" s="16" t="n">
        <v>0</v>
      </c>
      <c r="DJ426" s="16" t="n">
        <v>0</v>
      </c>
      <c r="DK426" s="16" t="n">
        <v>11</v>
      </c>
      <c r="DL426" s="16" t="n">
        <v>20</v>
      </c>
      <c r="DM426" s="16" t="n">
        <v>13</v>
      </c>
      <c r="DN426" s="16" t="n">
        <v>18</v>
      </c>
      <c r="DO426" s="16" t="n">
        <v>18</v>
      </c>
      <c r="DP426" s="16" t="n">
        <v>18</v>
      </c>
      <c r="DQ426" s="16" t="n">
        <v>29</v>
      </c>
      <c r="DR426" s="16" t="n">
        <v>0</v>
      </c>
      <c r="DS426" s="16" t="n">
        <v>0</v>
      </c>
      <c r="DT426" s="16" t="n">
        <v>0</v>
      </c>
      <c r="DU426" s="16" t="n">
        <v>0</v>
      </c>
      <c r="DV426" s="16" t="n">
        <v>0</v>
      </c>
      <c r="DW426" s="16" t="n">
        <v>0</v>
      </c>
      <c r="DX426" s="16" t="n">
        <v>0</v>
      </c>
      <c r="DY426" s="16" t="n">
        <v>0</v>
      </c>
      <c r="DZ426" s="16" t="n">
        <v>0</v>
      </c>
      <c r="EA426" s="16" t="n">
        <v>0</v>
      </c>
      <c r="EB426" s="16" t="n">
        <v>0</v>
      </c>
      <c r="EC426" s="16" t="n">
        <v>0</v>
      </c>
      <c r="ED426" s="16" t="n">
        <v>0</v>
      </c>
      <c r="EE426" s="16" t="n">
        <v>0</v>
      </c>
      <c r="EF426" s="16" t="n">
        <v>0</v>
      </c>
    </row>
    <row r="427" customFormat="false" ht="15" hidden="false" customHeight="true" outlineLevel="0" collapsed="false">
      <c r="A427" s="9" t="s">
        <v>12</v>
      </c>
      <c r="B427" s="9" t="s">
        <v>18</v>
      </c>
      <c r="C427" s="9" t="s">
        <v>18</v>
      </c>
      <c r="D427" s="9" t="s">
        <v>340</v>
      </c>
      <c r="E427" s="9" t="s">
        <v>16</v>
      </c>
      <c r="F427" s="9" t="s">
        <v>103</v>
      </c>
      <c r="G427" s="16" t="n">
        <v>65.5</v>
      </c>
      <c r="H427" s="16" t="n">
        <v>284.5</v>
      </c>
      <c r="I427" s="16" t="n">
        <v>23.5</v>
      </c>
      <c r="J427" s="16" t="n">
        <v>261</v>
      </c>
      <c r="K427" s="16" t="n">
        <v>0</v>
      </c>
      <c r="L427" s="16" t="n">
        <v>0</v>
      </c>
      <c r="M427" s="16" t="n">
        <v>0</v>
      </c>
      <c r="N427" s="16" t="n">
        <v>0</v>
      </c>
      <c r="O427" s="16" t="n">
        <v>0</v>
      </c>
      <c r="P427" s="16" t="n">
        <v>0</v>
      </c>
      <c r="Q427" s="16" t="n">
        <v>0</v>
      </c>
      <c r="R427" s="16" t="n">
        <v>0</v>
      </c>
      <c r="S427" s="16" t="n">
        <v>0</v>
      </c>
      <c r="T427" s="16" t="n">
        <v>0</v>
      </c>
      <c r="U427" s="16" t="n">
        <v>0</v>
      </c>
      <c r="V427" s="16" t="n">
        <v>0</v>
      </c>
      <c r="W427" s="16" t="n">
        <v>0</v>
      </c>
      <c r="X427" s="16" t="n">
        <v>0</v>
      </c>
      <c r="Y427" s="16" t="n">
        <v>0</v>
      </c>
      <c r="Z427" s="16" t="n">
        <v>0</v>
      </c>
      <c r="AA427" s="16" t="n">
        <v>0</v>
      </c>
      <c r="AB427" s="16" t="n">
        <v>0</v>
      </c>
      <c r="AC427" s="16" t="n">
        <v>3</v>
      </c>
      <c r="AD427" s="16" t="n">
        <v>4.5</v>
      </c>
      <c r="AE427" s="16" t="n">
        <v>0</v>
      </c>
      <c r="AF427" s="16" t="n">
        <v>10</v>
      </c>
      <c r="AG427" s="16" t="n">
        <v>2</v>
      </c>
      <c r="AH427" s="16" t="n">
        <v>2</v>
      </c>
      <c r="AI427" s="16" t="n">
        <v>2</v>
      </c>
      <c r="AJ427" s="16" t="n">
        <v>0</v>
      </c>
      <c r="AK427" s="16" t="n">
        <v>0</v>
      </c>
      <c r="AL427" s="16" t="n">
        <v>0</v>
      </c>
      <c r="AM427" s="16" t="n">
        <v>0</v>
      </c>
      <c r="AN427" s="16" t="n">
        <v>0</v>
      </c>
      <c r="AO427" s="16" t="n">
        <v>0</v>
      </c>
      <c r="AP427" s="16" t="n">
        <v>0</v>
      </c>
      <c r="AQ427" s="16" t="n">
        <v>0</v>
      </c>
      <c r="AR427" s="16" t="n">
        <v>0</v>
      </c>
      <c r="AS427" s="16" t="n">
        <v>0</v>
      </c>
      <c r="AT427" s="16" t="n">
        <v>0</v>
      </c>
      <c r="AU427" s="16" t="n">
        <v>0</v>
      </c>
      <c r="AV427" s="16" t="n">
        <v>0</v>
      </c>
      <c r="AW427" s="16" t="n">
        <v>0</v>
      </c>
      <c r="AX427" s="16" t="n">
        <v>0</v>
      </c>
      <c r="AY427" s="16" t="n">
        <v>0</v>
      </c>
      <c r="AZ427" s="16" t="n">
        <v>0</v>
      </c>
      <c r="BA427" s="16" t="n">
        <v>0</v>
      </c>
      <c r="BB427" s="16" t="n">
        <v>0</v>
      </c>
      <c r="BC427" s="16" t="n">
        <v>0</v>
      </c>
      <c r="BD427" s="16" t="n">
        <v>0</v>
      </c>
      <c r="BE427" s="16" t="n">
        <v>0</v>
      </c>
      <c r="BF427" s="16" t="n">
        <v>0</v>
      </c>
      <c r="BG427" s="16" t="n">
        <v>0</v>
      </c>
      <c r="BH427" s="16" t="n">
        <v>0</v>
      </c>
      <c r="BI427" s="16" t="n">
        <v>0</v>
      </c>
      <c r="BJ427" s="16" t="n">
        <v>0</v>
      </c>
      <c r="BK427" s="16" t="n">
        <v>0</v>
      </c>
      <c r="BL427" s="16" t="n">
        <v>0</v>
      </c>
      <c r="BM427" s="16" t="n">
        <v>0</v>
      </c>
      <c r="BN427" s="16" t="n">
        <v>0</v>
      </c>
      <c r="BO427" s="16" t="n">
        <v>0</v>
      </c>
      <c r="BP427" s="16" t="n">
        <v>0</v>
      </c>
      <c r="BQ427" s="16" t="n">
        <v>0</v>
      </c>
      <c r="BR427" s="16" t="n">
        <v>0</v>
      </c>
      <c r="BS427" s="16" t="n">
        <v>0</v>
      </c>
      <c r="BT427" s="16" t="n">
        <v>0</v>
      </c>
      <c r="BU427" s="16" t="n">
        <v>0</v>
      </c>
      <c r="BV427" s="16" t="n">
        <v>0</v>
      </c>
      <c r="BW427" s="16" t="n">
        <v>0</v>
      </c>
      <c r="BX427" s="16" t="n">
        <v>0</v>
      </c>
      <c r="BY427" s="16" t="n">
        <v>0</v>
      </c>
      <c r="BZ427" s="16" t="n">
        <v>0</v>
      </c>
      <c r="CA427" s="16" t="n">
        <v>0</v>
      </c>
      <c r="CB427" s="16" t="n">
        <v>0</v>
      </c>
      <c r="CC427" s="16" t="n">
        <v>0</v>
      </c>
      <c r="CD427" s="16" t="n">
        <v>0</v>
      </c>
      <c r="CE427" s="16" t="n">
        <v>0</v>
      </c>
      <c r="CF427" s="16" t="n">
        <v>0</v>
      </c>
      <c r="CG427" s="16" t="n">
        <v>0</v>
      </c>
      <c r="CH427" s="16" t="n">
        <v>0</v>
      </c>
      <c r="CI427" s="16" t="n">
        <v>0</v>
      </c>
      <c r="CJ427" s="16" t="n">
        <v>0</v>
      </c>
      <c r="CK427" s="16" t="n">
        <v>0</v>
      </c>
      <c r="CL427" s="16" t="n">
        <v>0</v>
      </c>
      <c r="CM427" s="16" t="n">
        <v>0</v>
      </c>
      <c r="CN427" s="16" t="n">
        <v>0</v>
      </c>
      <c r="CO427" s="16" t="n">
        <v>0</v>
      </c>
      <c r="CP427" s="16" t="n">
        <v>0</v>
      </c>
      <c r="CQ427" s="16" t="n">
        <v>0</v>
      </c>
      <c r="CR427" s="16" t="n">
        <v>0</v>
      </c>
      <c r="CS427" s="16" t="n">
        <v>0</v>
      </c>
      <c r="CT427" s="16" t="n">
        <v>0</v>
      </c>
      <c r="CU427" s="16" t="n">
        <v>0</v>
      </c>
      <c r="CV427" s="16" t="n">
        <v>0</v>
      </c>
      <c r="CW427" s="16" t="n">
        <v>0</v>
      </c>
      <c r="CX427" s="16" t="n">
        <v>0</v>
      </c>
      <c r="CY427" s="16" t="n">
        <v>0</v>
      </c>
      <c r="CZ427" s="16" t="n">
        <v>0</v>
      </c>
      <c r="DA427" s="16" t="n">
        <v>0</v>
      </c>
      <c r="DB427" s="16" t="n">
        <v>0</v>
      </c>
      <c r="DC427" s="16" t="n">
        <v>0</v>
      </c>
      <c r="DD427" s="16" t="n">
        <v>0</v>
      </c>
      <c r="DE427" s="16" t="n">
        <v>0</v>
      </c>
      <c r="DF427" s="16" t="n">
        <v>0</v>
      </c>
      <c r="DG427" s="16" t="n">
        <v>0</v>
      </c>
      <c r="DH427" s="16" t="n">
        <v>0</v>
      </c>
      <c r="DI427" s="16" t="n">
        <v>0</v>
      </c>
      <c r="DJ427" s="16" t="n">
        <v>0</v>
      </c>
      <c r="DK427" s="16" t="n">
        <v>0</v>
      </c>
      <c r="DL427" s="16" t="n">
        <v>0</v>
      </c>
      <c r="DM427" s="16" t="n">
        <v>0</v>
      </c>
      <c r="DN427" s="16" t="n">
        <v>0</v>
      </c>
      <c r="DO427" s="16" t="n">
        <v>0</v>
      </c>
      <c r="DP427" s="16" t="n">
        <v>0</v>
      </c>
      <c r="DQ427" s="16" t="n">
        <v>0</v>
      </c>
      <c r="DR427" s="16" t="n">
        <v>0</v>
      </c>
      <c r="DS427" s="16" t="n">
        <v>0</v>
      </c>
      <c r="DT427" s="16" t="n">
        <v>0</v>
      </c>
      <c r="DU427" s="16" t="n">
        <v>0</v>
      </c>
      <c r="DV427" s="16" t="n">
        <v>0</v>
      </c>
      <c r="DW427" s="16" t="n">
        <v>0</v>
      </c>
      <c r="DX427" s="16" t="n">
        <v>0</v>
      </c>
      <c r="DY427" s="16" t="n">
        <v>0</v>
      </c>
      <c r="DZ427" s="16" t="n">
        <v>0</v>
      </c>
      <c r="EA427" s="16" t="n">
        <v>0</v>
      </c>
      <c r="EB427" s="16" t="n">
        <v>0</v>
      </c>
      <c r="EC427" s="16" t="n">
        <v>0</v>
      </c>
      <c r="ED427" s="16" t="n">
        <v>0</v>
      </c>
      <c r="EE427" s="16" t="n">
        <v>0</v>
      </c>
      <c r="EF427" s="16" t="n">
        <v>0</v>
      </c>
    </row>
    <row r="428" customFormat="false" ht="15" hidden="false" customHeight="true" outlineLevel="0" collapsed="false">
      <c r="A428" s="9" t="s">
        <v>12</v>
      </c>
      <c r="B428" s="9" t="s">
        <v>18</v>
      </c>
      <c r="C428" s="9" t="s">
        <v>18</v>
      </c>
      <c r="D428" s="9" t="s">
        <v>340</v>
      </c>
      <c r="E428" s="9" t="s">
        <v>16</v>
      </c>
      <c r="F428" s="9" t="s">
        <v>86</v>
      </c>
      <c r="G428" s="16" t="n">
        <v>0</v>
      </c>
      <c r="H428" s="16" t="n">
        <v>0</v>
      </c>
      <c r="I428" s="16" t="n">
        <v>10</v>
      </c>
      <c r="J428" s="16" t="n">
        <v>-10</v>
      </c>
      <c r="K428" s="16" t="n">
        <v>0</v>
      </c>
      <c r="L428" s="16" t="n">
        <v>0</v>
      </c>
      <c r="M428" s="16" t="n">
        <v>0</v>
      </c>
      <c r="N428" s="16" t="n">
        <v>0</v>
      </c>
      <c r="O428" s="16" t="n">
        <v>0</v>
      </c>
      <c r="P428" s="16" t="n">
        <v>0</v>
      </c>
      <c r="Q428" s="16" t="n">
        <v>0</v>
      </c>
      <c r="R428" s="16" t="n">
        <v>0</v>
      </c>
      <c r="S428" s="16" t="n">
        <v>0</v>
      </c>
      <c r="T428" s="16" t="n">
        <v>0</v>
      </c>
      <c r="U428" s="16" t="n">
        <v>0</v>
      </c>
      <c r="V428" s="16" t="n">
        <v>0</v>
      </c>
      <c r="W428" s="16" t="n">
        <v>0</v>
      </c>
      <c r="X428" s="16" t="n">
        <v>0</v>
      </c>
      <c r="Y428" s="16" t="n">
        <v>3</v>
      </c>
      <c r="Z428" s="16" t="n">
        <v>0.5</v>
      </c>
      <c r="AA428" s="16" t="n">
        <v>6.5</v>
      </c>
      <c r="AB428" s="16" t="n">
        <v>0</v>
      </c>
      <c r="AC428" s="16" t="n">
        <v>0</v>
      </c>
      <c r="AD428" s="16" t="n">
        <v>0</v>
      </c>
      <c r="AE428" s="16" t="n">
        <v>0</v>
      </c>
      <c r="AF428" s="16" t="n">
        <v>0</v>
      </c>
      <c r="AG428" s="16" t="n">
        <v>0</v>
      </c>
      <c r="AH428" s="16" t="n">
        <v>0</v>
      </c>
      <c r="AI428" s="16" t="n">
        <v>0</v>
      </c>
      <c r="AJ428" s="16" t="n">
        <v>0</v>
      </c>
      <c r="AK428" s="16" t="n">
        <v>0</v>
      </c>
      <c r="AL428" s="16" t="n">
        <v>0</v>
      </c>
      <c r="AM428" s="16" t="n">
        <v>0</v>
      </c>
      <c r="AN428" s="16" t="n">
        <v>0</v>
      </c>
      <c r="AO428" s="16" t="n">
        <v>0</v>
      </c>
      <c r="AP428" s="16" t="n">
        <v>0</v>
      </c>
      <c r="AQ428" s="16" t="n">
        <v>0</v>
      </c>
      <c r="AR428" s="16" t="n">
        <v>0</v>
      </c>
      <c r="AS428" s="16" t="n">
        <v>0</v>
      </c>
      <c r="AT428" s="16" t="n">
        <v>0</v>
      </c>
      <c r="AU428" s="16" t="n">
        <v>0</v>
      </c>
      <c r="AV428" s="16" t="n">
        <v>0</v>
      </c>
      <c r="AW428" s="16" t="n">
        <v>0</v>
      </c>
      <c r="AX428" s="16" t="n">
        <v>0</v>
      </c>
      <c r="AY428" s="16" t="n">
        <v>0</v>
      </c>
      <c r="AZ428" s="16" t="n">
        <v>0</v>
      </c>
      <c r="BA428" s="16" t="n">
        <v>0</v>
      </c>
      <c r="BB428" s="16" t="n">
        <v>0</v>
      </c>
      <c r="BC428" s="16" t="n">
        <v>0</v>
      </c>
      <c r="BD428" s="16" t="n">
        <v>0</v>
      </c>
      <c r="BE428" s="16" t="n">
        <v>0</v>
      </c>
      <c r="BF428" s="16" t="n">
        <v>0</v>
      </c>
      <c r="BG428" s="16" t="n">
        <v>0</v>
      </c>
      <c r="BH428" s="16" t="n">
        <v>0</v>
      </c>
      <c r="BI428" s="16" t="n">
        <v>0</v>
      </c>
      <c r="BJ428" s="16" t="n">
        <v>0</v>
      </c>
      <c r="BK428" s="16" t="n">
        <v>0</v>
      </c>
      <c r="BL428" s="16" t="n">
        <v>0</v>
      </c>
      <c r="BM428" s="16" t="n">
        <v>0</v>
      </c>
      <c r="BN428" s="16" t="n">
        <v>0</v>
      </c>
      <c r="BO428" s="16" t="n">
        <v>0</v>
      </c>
      <c r="BP428" s="16" t="n">
        <v>0</v>
      </c>
      <c r="BQ428" s="16" t="n">
        <v>0</v>
      </c>
      <c r="BR428" s="16" t="n">
        <v>0</v>
      </c>
      <c r="BS428" s="16" t="n">
        <v>0</v>
      </c>
      <c r="BT428" s="16" t="n">
        <v>0</v>
      </c>
      <c r="BU428" s="16" t="n">
        <v>0</v>
      </c>
      <c r="BV428" s="16" t="n">
        <v>0</v>
      </c>
      <c r="BW428" s="16" t="n">
        <v>0</v>
      </c>
      <c r="BX428" s="16" t="n">
        <v>0</v>
      </c>
      <c r="BY428" s="16" t="n">
        <v>0</v>
      </c>
      <c r="BZ428" s="16" t="n">
        <v>0</v>
      </c>
      <c r="CA428" s="16" t="n">
        <v>0</v>
      </c>
      <c r="CB428" s="16" t="n">
        <v>0</v>
      </c>
      <c r="CC428" s="16" t="n">
        <v>0</v>
      </c>
      <c r="CD428" s="16" t="n">
        <v>0</v>
      </c>
      <c r="CE428" s="16" t="n">
        <v>0</v>
      </c>
      <c r="CF428" s="16" t="n">
        <v>0</v>
      </c>
      <c r="CG428" s="16" t="n">
        <v>0</v>
      </c>
      <c r="CH428" s="16" t="n">
        <v>0</v>
      </c>
      <c r="CI428" s="16" t="n">
        <v>0</v>
      </c>
      <c r="CJ428" s="16" t="n">
        <v>0</v>
      </c>
      <c r="CK428" s="16" t="n">
        <v>0</v>
      </c>
      <c r="CL428" s="16" t="n">
        <v>0</v>
      </c>
      <c r="CM428" s="16" t="n">
        <v>0</v>
      </c>
      <c r="CN428" s="16" t="n">
        <v>0</v>
      </c>
      <c r="CO428" s="16" t="n">
        <v>0</v>
      </c>
      <c r="CP428" s="16" t="n">
        <v>0</v>
      </c>
      <c r="CQ428" s="16" t="n">
        <v>0</v>
      </c>
      <c r="CR428" s="16" t="n">
        <v>0</v>
      </c>
      <c r="CS428" s="16" t="n">
        <v>0</v>
      </c>
      <c r="CT428" s="16" t="n">
        <v>0</v>
      </c>
      <c r="CU428" s="16" t="n">
        <v>0</v>
      </c>
      <c r="CV428" s="16" t="n">
        <v>0</v>
      </c>
      <c r="CW428" s="16" t="n">
        <v>0</v>
      </c>
      <c r="CX428" s="16" t="n">
        <v>0</v>
      </c>
      <c r="CY428" s="16" t="n">
        <v>0</v>
      </c>
      <c r="CZ428" s="16" t="n">
        <v>0</v>
      </c>
      <c r="DA428" s="16" t="n">
        <v>0</v>
      </c>
      <c r="DB428" s="16" t="n">
        <v>0</v>
      </c>
      <c r="DC428" s="16" t="n">
        <v>0</v>
      </c>
      <c r="DD428" s="16" t="n">
        <v>0</v>
      </c>
      <c r="DE428" s="16" t="n">
        <v>0</v>
      </c>
      <c r="DF428" s="16" t="n">
        <v>0</v>
      </c>
      <c r="DG428" s="16" t="n">
        <v>0</v>
      </c>
      <c r="DH428" s="16" t="n">
        <v>0</v>
      </c>
      <c r="DI428" s="16" t="n">
        <v>0</v>
      </c>
      <c r="DJ428" s="16" t="n">
        <v>0</v>
      </c>
      <c r="DK428" s="16" t="n">
        <v>0</v>
      </c>
      <c r="DL428" s="16" t="n">
        <v>0</v>
      </c>
      <c r="DM428" s="16" t="n">
        <v>0</v>
      </c>
      <c r="DN428" s="16" t="n">
        <v>0</v>
      </c>
      <c r="DO428" s="16" t="n">
        <v>0</v>
      </c>
      <c r="DP428" s="16" t="n">
        <v>0</v>
      </c>
      <c r="DQ428" s="16" t="n">
        <v>0</v>
      </c>
      <c r="DR428" s="16" t="n">
        <v>0</v>
      </c>
      <c r="DS428" s="16" t="n">
        <v>0</v>
      </c>
      <c r="DT428" s="16" t="n">
        <v>0</v>
      </c>
      <c r="DU428" s="16" t="n">
        <v>0</v>
      </c>
      <c r="DV428" s="16" t="n">
        <v>0</v>
      </c>
      <c r="DW428" s="16" t="n">
        <v>0</v>
      </c>
      <c r="DX428" s="16" t="n">
        <v>0</v>
      </c>
      <c r="DY428" s="16" t="n">
        <v>0</v>
      </c>
      <c r="DZ428" s="16" t="n">
        <v>0</v>
      </c>
      <c r="EA428" s="16" t="n">
        <v>0</v>
      </c>
      <c r="EB428" s="16" t="n">
        <v>0</v>
      </c>
      <c r="EC428" s="16" t="n">
        <v>0</v>
      </c>
      <c r="ED428" s="16" t="n">
        <v>0</v>
      </c>
      <c r="EE428" s="16" t="n">
        <v>0</v>
      </c>
      <c r="EF428" s="16" t="n">
        <v>0</v>
      </c>
    </row>
    <row r="429" customFormat="false" ht="15" hidden="false" customHeight="true" outlineLevel="0" collapsed="false">
      <c r="A429" s="9" t="s">
        <v>12</v>
      </c>
      <c r="B429" s="9" t="s">
        <v>18</v>
      </c>
      <c r="C429" s="9" t="s">
        <v>18</v>
      </c>
      <c r="D429" s="9" t="s">
        <v>341</v>
      </c>
      <c r="E429" s="9" t="s">
        <v>16</v>
      </c>
      <c r="F429" s="9" t="s">
        <v>99</v>
      </c>
      <c r="G429" s="16" t="n">
        <v>0</v>
      </c>
      <c r="H429" s="16" t="n">
        <v>0</v>
      </c>
      <c r="I429" s="16" t="n">
        <v>63</v>
      </c>
      <c r="J429" s="16" t="n">
        <v>-63</v>
      </c>
      <c r="K429" s="16" t="n">
        <v>0</v>
      </c>
      <c r="L429" s="16" t="n">
        <v>0</v>
      </c>
      <c r="M429" s="16" t="n">
        <v>0</v>
      </c>
      <c r="N429" s="16" t="n">
        <v>0</v>
      </c>
      <c r="O429" s="16" t="n">
        <v>0</v>
      </c>
      <c r="P429" s="16" t="n">
        <v>0</v>
      </c>
      <c r="Q429" s="16" t="n">
        <v>0</v>
      </c>
      <c r="R429" s="16" t="n">
        <v>0</v>
      </c>
      <c r="S429" s="16" t="n">
        <v>0</v>
      </c>
      <c r="T429" s="16" t="n">
        <v>0</v>
      </c>
      <c r="U429" s="16" t="n">
        <v>0</v>
      </c>
      <c r="V429" s="16" t="n">
        <v>0</v>
      </c>
      <c r="W429" s="16" t="n">
        <v>0</v>
      </c>
      <c r="X429" s="16" t="n">
        <v>0</v>
      </c>
      <c r="Y429" s="16" t="n">
        <v>0</v>
      </c>
      <c r="Z429" s="16" t="n">
        <v>0</v>
      </c>
      <c r="AA429" s="16" t="n">
        <v>0</v>
      </c>
      <c r="AB429" s="16" t="n">
        <v>0</v>
      </c>
      <c r="AC429" s="16" t="n">
        <v>0</v>
      </c>
      <c r="AD429" s="16" t="n">
        <v>0</v>
      </c>
      <c r="AE429" s="16" t="n">
        <v>0</v>
      </c>
      <c r="AF429" s="16" t="n">
        <v>0</v>
      </c>
      <c r="AG429" s="16" t="n">
        <v>0</v>
      </c>
      <c r="AH429" s="16" t="n">
        <v>0</v>
      </c>
      <c r="AI429" s="16" t="n">
        <v>0</v>
      </c>
      <c r="AJ429" s="16" t="n">
        <v>0</v>
      </c>
      <c r="AK429" s="16" t="n">
        <v>0</v>
      </c>
      <c r="AL429" s="16" t="n">
        <v>0</v>
      </c>
      <c r="AM429" s="16" t="n">
        <v>0</v>
      </c>
      <c r="AN429" s="16" t="n">
        <v>3</v>
      </c>
      <c r="AO429" s="16" t="n">
        <v>1</v>
      </c>
      <c r="AP429" s="16" t="n">
        <v>0</v>
      </c>
      <c r="AQ429" s="16" t="n">
        <v>0</v>
      </c>
      <c r="AR429" s="16" t="n">
        <v>0</v>
      </c>
      <c r="AS429" s="16" t="n">
        <v>0</v>
      </c>
      <c r="AT429" s="16" t="n">
        <v>0</v>
      </c>
      <c r="AU429" s="16" t="n">
        <v>0</v>
      </c>
      <c r="AV429" s="16" t="n">
        <v>0</v>
      </c>
      <c r="AW429" s="16" t="n">
        <v>0</v>
      </c>
      <c r="AX429" s="16" t="n">
        <v>0</v>
      </c>
      <c r="AY429" s="16" t="n">
        <v>0</v>
      </c>
      <c r="AZ429" s="16" t="n">
        <v>0</v>
      </c>
      <c r="BA429" s="16" t="n">
        <v>0</v>
      </c>
      <c r="BB429" s="16" t="n">
        <v>0</v>
      </c>
      <c r="BC429" s="16" t="n">
        <v>0</v>
      </c>
      <c r="BD429" s="16" t="n">
        <v>0</v>
      </c>
      <c r="BE429" s="16" t="n">
        <v>0</v>
      </c>
      <c r="BF429" s="16" t="n">
        <v>0</v>
      </c>
      <c r="BG429" s="16" t="n">
        <v>0</v>
      </c>
      <c r="BH429" s="16" t="n">
        <v>0</v>
      </c>
      <c r="BI429" s="16" t="n">
        <v>0</v>
      </c>
      <c r="BJ429" s="16" t="n">
        <v>0</v>
      </c>
      <c r="BK429" s="16" t="n">
        <v>0</v>
      </c>
      <c r="BL429" s="16" t="n">
        <v>0</v>
      </c>
      <c r="BM429" s="16" t="n">
        <v>0</v>
      </c>
      <c r="BN429" s="16" t="n">
        <v>0</v>
      </c>
      <c r="BO429" s="16" t="n">
        <v>0</v>
      </c>
      <c r="BP429" s="16" t="n">
        <v>0</v>
      </c>
      <c r="BQ429" s="16" t="n">
        <v>0</v>
      </c>
      <c r="BR429" s="16" t="n">
        <v>0</v>
      </c>
      <c r="BS429" s="16" t="n">
        <v>0</v>
      </c>
      <c r="BT429" s="16" t="n">
        <v>0</v>
      </c>
      <c r="BU429" s="16" t="n">
        <v>0</v>
      </c>
      <c r="BV429" s="16" t="n">
        <v>0</v>
      </c>
      <c r="BW429" s="16" t="n">
        <v>0</v>
      </c>
      <c r="BX429" s="16" t="n">
        <v>0</v>
      </c>
      <c r="BY429" s="16" t="n">
        <v>0</v>
      </c>
      <c r="BZ429" s="16" t="n">
        <v>0</v>
      </c>
      <c r="CA429" s="16" t="n">
        <v>0</v>
      </c>
      <c r="CB429" s="16" t="n">
        <v>0</v>
      </c>
      <c r="CC429" s="16" t="n">
        <v>0</v>
      </c>
      <c r="CD429" s="16" t="n">
        <v>0</v>
      </c>
      <c r="CE429" s="16" t="n">
        <v>0</v>
      </c>
      <c r="CF429" s="16" t="n">
        <v>0</v>
      </c>
      <c r="CG429" s="16" t="n">
        <v>0</v>
      </c>
      <c r="CH429" s="16" t="n">
        <v>0</v>
      </c>
      <c r="CI429" s="16" t="n">
        <v>0</v>
      </c>
      <c r="CJ429" s="16" t="n">
        <v>0</v>
      </c>
      <c r="CK429" s="16" t="n">
        <v>0</v>
      </c>
      <c r="CL429" s="16" t="n">
        <v>0</v>
      </c>
      <c r="CM429" s="16" t="n">
        <v>0</v>
      </c>
      <c r="CN429" s="16" t="n">
        <v>0</v>
      </c>
      <c r="CO429" s="16" t="n">
        <v>0</v>
      </c>
      <c r="CP429" s="16" t="n">
        <v>0</v>
      </c>
      <c r="CQ429" s="16" t="n">
        <v>0</v>
      </c>
      <c r="CR429" s="16" t="n">
        <v>0</v>
      </c>
      <c r="CS429" s="16" t="n">
        <v>0</v>
      </c>
      <c r="CT429" s="16" t="n">
        <v>0</v>
      </c>
      <c r="CU429" s="16" t="n">
        <v>0</v>
      </c>
      <c r="CV429" s="16" t="n">
        <v>0</v>
      </c>
      <c r="CW429" s="16" t="n">
        <v>0</v>
      </c>
      <c r="CX429" s="16" t="n">
        <v>0</v>
      </c>
      <c r="CY429" s="16" t="n">
        <v>2</v>
      </c>
      <c r="CZ429" s="16" t="n">
        <v>2</v>
      </c>
      <c r="DA429" s="16" t="n">
        <v>0</v>
      </c>
      <c r="DB429" s="16" t="n">
        <v>0</v>
      </c>
      <c r="DC429" s="16" t="n">
        <v>0</v>
      </c>
      <c r="DD429" s="16" t="n">
        <v>0</v>
      </c>
      <c r="DE429" s="16" t="n">
        <v>0</v>
      </c>
      <c r="DF429" s="16" t="n">
        <v>0</v>
      </c>
      <c r="DG429" s="16" t="n">
        <v>0</v>
      </c>
      <c r="DH429" s="16" t="n">
        <v>6</v>
      </c>
      <c r="DI429" s="16" t="n">
        <v>0</v>
      </c>
      <c r="DJ429" s="16" t="n">
        <v>0</v>
      </c>
      <c r="DK429" s="16" t="n">
        <v>1</v>
      </c>
      <c r="DL429" s="16" t="n">
        <v>3</v>
      </c>
      <c r="DM429" s="16" t="n">
        <v>5</v>
      </c>
      <c r="DN429" s="16" t="n">
        <v>5</v>
      </c>
      <c r="DO429" s="16" t="n">
        <v>5</v>
      </c>
      <c r="DP429" s="16" t="n">
        <v>10</v>
      </c>
      <c r="DQ429" s="16" t="n">
        <v>10</v>
      </c>
      <c r="DR429" s="16" t="n">
        <v>10</v>
      </c>
      <c r="DS429" s="16" t="n">
        <v>0</v>
      </c>
      <c r="DT429" s="16" t="n">
        <v>0</v>
      </c>
      <c r="DU429" s="16" t="n">
        <v>0</v>
      </c>
      <c r="DV429" s="16" t="n">
        <v>0</v>
      </c>
      <c r="DW429" s="16" t="n">
        <v>0</v>
      </c>
      <c r="DX429" s="16" t="n">
        <v>0</v>
      </c>
      <c r="DY429" s="16" t="n">
        <v>0</v>
      </c>
      <c r="DZ429" s="16" t="n">
        <v>0</v>
      </c>
      <c r="EA429" s="16" t="n">
        <v>0</v>
      </c>
      <c r="EB429" s="16" t="n">
        <v>0</v>
      </c>
      <c r="EC429" s="16" t="n">
        <v>0</v>
      </c>
      <c r="ED429" s="16" t="n">
        <v>0</v>
      </c>
      <c r="EE429" s="16" t="n">
        <v>0</v>
      </c>
      <c r="EF429" s="16" t="n">
        <v>0</v>
      </c>
    </row>
    <row r="430" customFormat="false" ht="15" hidden="false" customHeight="true" outlineLevel="0" collapsed="false">
      <c r="A430" s="9" t="s">
        <v>12</v>
      </c>
      <c r="B430" s="9" t="s">
        <v>18</v>
      </c>
      <c r="C430" s="9" t="s">
        <v>18</v>
      </c>
      <c r="D430" s="9" t="s">
        <v>340</v>
      </c>
      <c r="E430" s="9" t="s">
        <v>16</v>
      </c>
      <c r="F430" s="9" t="s">
        <v>99</v>
      </c>
      <c r="G430" s="16" t="n">
        <v>39</v>
      </c>
      <c r="H430" s="16" t="n">
        <v>98</v>
      </c>
      <c r="I430" s="16" t="n">
        <v>1</v>
      </c>
      <c r="J430" s="16" t="n">
        <v>97</v>
      </c>
      <c r="K430" s="16" t="n">
        <v>0</v>
      </c>
      <c r="L430" s="16" t="n">
        <v>0</v>
      </c>
      <c r="M430" s="16" t="n">
        <v>0</v>
      </c>
      <c r="N430" s="16" t="n">
        <v>0</v>
      </c>
      <c r="O430" s="16" t="n">
        <v>0</v>
      </c>
      <c r="P430" s="16" t="n">
        <v>0</v>
      </c>
      <c r="Q430" s="16" t="n">
        <v>0</v>
      </c>
      <c r="R430" s="16" t="n">
        <v>0</v>
      </c>
      <c r="S430" s="16" t="n">
        <v>0</v>
      </c>
      <c r="T430" s="16" t="n">
        <v>0</v>
      </c>
      <c r="U430" s="16" t="n">
        <v>0</v>
      </c>
      <c r="V430" s="16" t="n">
        <v>0</v>
      </c>
      <c r="W430" s="16" t="n">
        <v>0</v>
      </c>
      <c r="X430" s="16" t="n">
        <v>0</v>
      </c>
      <c r="Y430" s="16" t="n">
        <v>0</v>
      </c>
      <c r="Z430" s="16" t="n">
        <v>0</v>
      </c>
      <c r="AA430" s="16" t="n">
        <v>0</v>
      </c>
      <c r="AB430" s="16" t="n">
        <v>0</v>
      </c>
      <c r="AC430" s="16" t="n">
        <v>0</v>
      </c>
      <c r="AD430" s="16" t="n">
        <v>0</v>
      </c>
      <c r="AE430" s="16" t="n">
        <v>0</v>
      </c>
      <c r="AF430" s="16" t="n">
        <v>1</v>
      </c>
      <c r="AG430" s="16" t="n">
        <v>0</v>
      </c>
      <c r="AH430" s="16" t="n">
        <v>0</v>
      </c>
      <c r="AI430" s="16" t="n">
        <v>0</v>
      </c>
      <c r="AJ430" s="16" t="n">
        <v>0</v>
      </c>
      <c r="AK430" s="16" t="n">
        <v>0</v>
      </c>
      <c r="AL430" s="16" t="n">
        <v>0</v>
      </c>
      <c r="AM430" s="16" t="n">
        <v>0</v>
      </c>
      <c r="AN430" s="16" t="n">
        <v>0</v>
      </c>
      <c r="AO430" s="16" t="n">
        <v>0</v>
      </c>
      <c r="AP430" s="16" t="n">
        <v>0</v>
      </c>
      <c r="AQ430" s="16" t="n">
        <v>0</v>
      </c>
      <c r="AR430" s="16" t="n">
        <v>0</v>
      </c>
      <c r="AS430" s="16" t="n">
        <v>0</v>
      </c>
      <c r="AT430" s="16" t="n">
        <v>0</v>
      </c>
      <c r="AU430" s="16" t="n">
        <v>0</v>
      </c>
      <c r="AV430" s="16" t="n">
        <v>0</v>
      </c>
      <c r="AW430" s="16" t="n">
        <v>0</v>
      </c>
      <c r="AX430" s="16" t="n">
        <v>0</v>
      </c>
      <c r="AY430" s="16" t="n">
        <v>0</v>
      </c>
      <c r="AZ430" s="16" t="n">
        <v>0</v>
      </c>
      <c r="BA430" s="16" t="n">
        <v>0</v>
      </c>
      <c r="BB430" s="16" t="n">
        <v>0</v>
      </c>
      <c r="BC430" s="16" t="n">
        <v>0</v>
      </c>
      <c r="BD430" s="16" t="n">
        <v>0</v>
      </c>
      <c r="BE430" s="16" t="n">
        <v>0</v>
      </c>
      <c r="BF430" s="16" t="n">
        <v>0</v>
      </c>
      <c r="BG430" s="16" t="n">
        <v>0</v>
      </c>
      <c r="BH430" s="16" t="n">
        <v>0</v>
      </c>
      <c r="BI430" s="16" t="n">
        <v>0</v>
      </c>
      <c r="BJ430" s="16" t="n">
        <v>0</v>
      </c>
      <c r="BK430" s="16" t="n">
        <v>0</v>
      </c>
      <c r="BL430" s="16" t="n">
        <v>0</v>
      </c>
      <c r="BM430" s="16" t="n">
        <v>0</v>
      </c>
      <c r="BN430" s="16" t="n">
        <v>0</v>
      </c>
      <c r="BO430" s="16" t="n">
        <v>0</v>
      </c>
      <c r="BP430" s="16" t="n">
        <v>0</v>
      </c>
      <c r="BQ430" s="16" t="n">
        <v>0</v>
      </c>
      <c r="BR430" s="16" t="n">
        <v>0</v>
      </c>
      <c r="BS430" s="16" t="n">
        <v>0</v>
      </c>
      <c r="BT430" s="16" t="n">
        <v>0</v>
      </c>
      <c r="BU430" s="16" t="n">
        <v>0</v>
      </c>
      <c r="BV430" s="16" t="n">
        <v>0</v>
      </c>
      <c r="BW430" s="16" t="n">
        <v>0</v>
      </c>
      <c r="BX430" s="16" t="n">
        <v>0</v>
      </c>
      <c r="BY430" s="16" t="n">
        <v>0</v>
      </c>
      <c r="BZ430" s="16" t="n">
        <v>0</v>
      </c>
      <c r="CA430" s="16" t="n">
        <v>0</v>
      </c>
      <c r="CB430" s="16" t="n">
        <v>0</v>
      </c>
      <c r="CC430" s="16" t="n">
        <v>0</v>
      </c>
      <c r="CD430" s="16" t="n">
        <v>0</v>
      </c>
      <c r="CE430" s="16" t="n">
        <v>0</v>
      </c>
      <c r="CF430" s="16" t="n">
        <v>0</v>
      </c>
      <c r="CG430" s="16" t="n">
        <v>0</v>
      </c>
      <c r="CH430" s="16" t="n">
        <v>0</v>
      </c>
      <c r="CI430" s="16" t="n">
        <v>0</v>
      </c>
      <c r="CJ430" s="16" t="n">
        <v>0</v>
      </c>
      <c r="CK430" s="16" t="n">
        <v>0</v>
      </c>
      <c r="CL430" s="16" t="n">
        <v>0</v>
      </c>
      <c r="CM430" s="16" t="n">
        <v>0</v>
      </c>
      <c r="CN430" s="16" t="n">
        <v>0</v>
      </c>
      <c r="CO430" s="16" t="n">
        <v>0</v>
      </c>
      <c r="CP430" s="16" t="n">
        <v>0</v>
      </c>
      <c r="CQ430" s="16" t="n">
        <v>0</v>
      </c>
      <c r="CR430" s="16" t="n">
        <v>0</v>
      </c>
      <c r="CS430" s="16" t="n">
        <v>0</v>
      </c>
      <c r="CT430" s="16" t="n">
        <v>0</v>
      </c>
      <c r="CU430" s="16" t="n">
        <v>0</v>
      </c>
      <c r="CV430" s="16" t="n">
        <v>0</v>
      </c>
      <c r="CW430" s="16" t="n">
        <v>0</v>
      </c>
      <c r="CX430" s="16" t="n">
        <v>0</v>
      </c>
      <c r="CY430" s="16" t="n">
        <v>0</v>
      </c>
      <c r="CZ430" s="16" t="n">
        <v>0</v>
      </c>
      <c r="DA430" s="16" t="n">
        <v>0</v>
      </c>
      <c r="DB430" s="16" t="n">
        <v>0</v>
      </c>
      <c r="DC430" s="16" t="n">
        <v>0</v>
      </c>
      <c r="DD430" s="16" t="n">
        <v>0</v>
      </c>
      <c r="DE430" s="16" t="n">
        <v>0</v>
      </c>
      <c r="DF430" s="16" t="n">
        <v>0</v>
      </c>
      <c r="DG430" s="16" t="n">
        <v>0</v>
      </c>
      <c r="DH430" s="16" t="n">
        <v>0</v>
      </c>
      <c r="DI430" s="16" t="n">
        <v>0</v>
      </c>
      <c r="DJ430" s="16" t="n">
        <v>0</v>
      </c>
      <c r="DK430" s="16" t="n">
        <v>0</v>
      </c>
      <c r="DL430" s="16" t="n">
        <v>0</v>
      </c>
      <c r="DM430" s="16" t="n">
        <v>0</v>
      </c>
      <c r="DN430" s="16" t="n">
        <v>0</v>
      </c>
      <c r="DO430" s="16" t="n">
        <v>0</v>
      </c>
      <c r="DP430" s="16" t="n">
        <v>0</v>
      </c>
      <c r="DQ430" s="16" t="n">
        <v>0</v>
      </c>
      <c r="DR430" s="16" t="n">
        <v>0</v>
      </c>
      <c r="DS430" s="16" t="n">
        <v>0</v>
      </c>
      <c r="DT430" s="16" t="n">
        <v>0</v>
      </c>
      <c r="DU430" s="16" t="n">
        <v>0</v>
      </c>
      <c r="DV430" s="16" t="n">
        <v>0</v>
      </c>
      <c r="DW430" s="16" t="n">
        <v>0</v>
      </c>
      <c r="DX430" s="16" t="n">
        <v>0</v>
      </c>
      <c r="DY430" s="16" t="n">
        <v>0</v>
      </c>
      <c r="DZ430" s="16" t="n">
        <v>0</v>
      </c>
      <c r="EA430" s="16" t="n">
        <v>0</v>
      </c>
      <c r="EB430" s="16" t="n">
        <v>0</v>
      </c>
      <c r="EC430" s="16" t="n">
        <v>0</v>
      </c>
      <c r="ED430" s="16" t="n">
        <v>0</v>
      </c>
      <c r="EE430" s="16" t="n">
        <v>0</v>
      </c>
      <c r="EF430" s="16" t="n">
        <v>0</v>
      </c>
    </row>
    <row r="431" customFormat="false" ht="15" hidden="false" customHeight="true" outlineLevel="0" collapsed="false">
      <c r="A431" s="9" t="s">
        <v>12</v>
      </c>
      <c r="B431" s="9" t="s">
        <v>18</v>
      </c>
      <c r="C431" s="9" t="s">
        <v>18</v>
      </c>
      <c r="D431" s="9" t="s">
        <v>341</v>
      </c>
      <c r="E431" s="9" t="s">
        <v>16</v>
      </c>
      <c r="F431" s="9" t="s">
        <v>87</v>
      </c>
      <c r="G431" s="16" t="n">
        <v>0</v>
      </c>
      <c r="H431" s="16" t="n">
        <v>0</v>
      </c>
      <c r="I431" s="16" t="n">
        <v>13</v>
      </c>
      <c r="J431" s="16" t="n">
        <v>-13</v>
      </c>
      <c r="K431" s="16" t="n">
        <v>0</v>
      </c>
      <c r="L431" s="16" t="n">
        <v>0</v>
      </c>
      <c r="M431" s="16" t="n">
        <v>0</v>
      </c>
      <c r="N431" s="16" t="n">
        <v>0</v>
      </c>
      <c r="O431" s="16" t="n">
        <v>0</v>
      </c>
      <c r="P431" s="16" t="n">
        <v>0</v>
      </c>
      <c r="Q431" s="16" t="n">
        <v>0</v>
      </c>
      <c r="R431" s="16" t="n">
        <v>0</v>
      </c>
      <c r="S431" s="16" t="n">
        <v>0</v>
      </c>
      <c r="T431" s="16" t="n">
        <v>0</v>
      </c>
      <c r="U431" s="16" t="n">
        <v>0</v>
      </c>
      <c r="V431" s="16" t="n">
        <v>0</v>
      </c>
      <c r="W431" s="16" t="n">
        <v>0</v>
      </c>
      <c r="X431" s="16" t="n">
        <v>0</v>
      </c>
      <c r="Y431" s="16" t="n">
        <v>0</v>
      </c>
      <c r="Z431" s="16" t="n">
        <v>0</v>
      </c>
      <c r="AA431" s="16" t="n">
        <v>0</v>
      </c>
      <c r="AB431" s="16" t="n">
        <v>0</v>
      </c>
      <c r="AC431" s="16" t="n">
        <v>0</v>
      </c>
      <c r="AD431" s="16" t="n">
        <v>0</v>
      </c>
      <c r="AE431" s="16" t="n">
        <v>0</v>
      </c>
      <c r="AF431" s="16" t="n">
        <v>0</v>
      </c>
      <c r="AG431" s="16" t="n">
        <v>0</v>
      </c>
      <c r="AH431" s="16" t="n">
        <v>0</v>
      </c>
      <c r="AI431" s="16" t="n">
        <v>0</v>
      </c>
      <c r="AJ431" s="16" t="n">
        <v>0</v>
      </c>
      <c r="AK431" s="16" t="n">
        <v>0</v>
      </c>
      <c r="AL431" s="16" t="n">
        <v>2</v>
      </c>
      <c r="AM431" s="16" t="n">
        <v>0</v>
      </c>
      <c r="AN431" s="16" t="n">
        <v>9</v>
      </c>
      <c r="AO431" s="16" t="n">
        <v>2</v>
      </c>
      <c r="AP431" s="16" t="n">
        <v>0</v>
      </c>
      <c r="AQ431" s="16" t="n">
        <v>0</v>
      </c>
      <c r="AR431" s="16" t="n">
        <v>0</v>
      </c>
      <c r="AS431" s="16" t="n">
        <v>0</v>
      </c>
      <c r="AT431" s="16" t="n">
        <v>0</v>
      </c>
      <c r="AU431" s="16" t="n">
        <v>0</v>
      </c>
      <c r="AV431" s="16" t="n">
        <v>0</v>
      </c>
      <c r="AW431" s="16" t="n">
        <v>0</v>
      </c>
      <c r="AX431" s="16" t="n">
        <v>0</v>
      </c>
      <c r="AY431" s="16" t="n">
        <v>0</v>
      </c>
      <c r="AZ431" s="16" t="n">
        <v>0</v>
      </c>
      <c r="BA431" s="16" t="n">
        <v>0</v>
      </c>
      <c r="BB431" s="16" t="n">
        <v>0</v>
      </c>
      <c r="BC431" s="16" t="n">
        <v>0</v>
      </c>
      <c r="BD431" s="16" t="n">
        <v>0</v>
      </c>
      <c r="BE431" s="16" t="n">
        <v>0</v>
      </c>
      <c r="BF431" s="16" t="n">
        <v>0</v>
      </c>
      <c r="BG431" s="16" t="n">
        <v>0</v>
      </c>
      <c r="BH431" s="16" t="n">
        <v>0</v>
      </c>
      <c r="BI431" s="16" t="n">
        <v>0</v>
      </c>
      <c r="BJ431" s="16" t="n">
        <v>0</v>
      </c>
      <c r="BK431" s="16" t="n">
        <v>0</v>
      </c>
      <c r="BL431" s="16" t="n">
        <v>0</v>
      </c>
      <c r="BM431" s="16" t="n">
        <v>0</v>
      </c>
      <c r="BN431" s="16" t="n">
        <v>0</v>
      </c>
      <c r="BO431" s="16" t="n">
        <v>0</v>
      </c>
      <c r="BP431" s="16" t="n">
        <v>0</v>
      </c>
      <c r="BQ431" s="16" t="n">
        <v>0</v>
      </c>
      <c r="BR431" s="16" t="n">
        <v>0</v>
      </c>
      <c r="BS431" s="16" t="n">
        <v>0</v>
      </c>
      <c r="BT431" s="16" t="n">
        <v>0</v>
      </c>
      <c r="BU431" s="16" t="n">
        <v>0</v>
      </c>
      <c r="BV431" s="16" t="n">
        <v>0</v>
      </c>
      <c r="BW431" s="16" t="n">
        <v>0</v>
      </c>
      <c r="BX431" s="16" t="n">
        <v>0</v>
      </c>
      <c r="BY431" s="16" t="n">
        <v>0</v>
      </c>
      <c r="BZ431" s="16" t="n">
        <v>0</v>
      </c>
      <c r="CA431" s="16" t="n">
        <v>0</v>
      </c>
      <c r="CB431" s="16" t="n">
        <v>0</v>
      </c>
      <c r="CC431" s="16" t="n">
        <v>0</v>
      </c>
      <c r="CD431" s="16" t="n">
        <v>0</v>
      </c>
      <c r="CE431" s="16" t="n">
        <v>0</v>
      </c>
      <c r="CF431" s="16" t="n">
        <v>0</v>
      </c>
      <c r="CG431" s="16" t="n">
        <v>0</v>
      </c>
      <c r="CH431" s="16" t="n">
        <v>0</v>
      </c>
      <c r="CI431" s="16" t="n">
        <v>0</v>
      </c>
      <c r="CJ431" s="16" t="n">
        <v>0</v>
      </c>
      <c r="CK431" s="16" t="n">
        <v>0</v>
      </c>
      <c r="CL431" s="16" t="n">
        <v>0</v>
      </c>
      <c r="CM431" s="16" t="n">
        <v>0</v>
      </c>
      <c r="CN431" s="16" t="n">
        <v>0</v>
      </c>
      <c r="CO431" s="16" t="n">
        <v>0</v>
      </c>
      <c r="CP431" s="16" t="n">
        <v>0</v>
      </c>
      <c r="CQ431" s="16" t="n">
        <v>0</v>
      </c>
      <c r="CR431" s="16" t="n">
        <v>0</v>
      </c>
      <c r="CS431" s="16" t="n">
        <v>0</v>
      </c>
      <c r="CT431" s="16" t="n">
        <v>0</v>
      </c>
      <c r="CU431" s="16" t="n">
        <v>0</v>
      </c>
      <c r="CV431" s="16" t="n">
        <v>0</v>
      </c>
      <c r="CW431" s="16" t="n">
        <v>0</v>
      </c>
      <c r="CX431" s="16" t="n">
        <v>0</v>
      </c>
      <c r="CY431" s="16" t="n">
        <v>0</v>
      </c>
      <c r="CZ431" s="16" t="n">
        <v>0</v>
      </c>
      <c r="DA431" s="16" t="n">
        <v>0</v>
      </c>
      <c r="DB431" s="16" t="n">
        <v>0</v>
      </c>
      <c r="DC431" s="16" t="n">
        <v>0</v>
      </c>
      <c r="DD431" s="16" t="n">
        <v>0</v>
      </c>
      <c r="DE431" s="16" t="n">
        <v>0</v>
      </c>
      <c r="DF431" s="16" t="n">
        <v>0</v>
      </c>
      <c r="DG431" s="16" t="n">
        <v>0</v>
      </c>
      <c r="DH431" s="16" t="n">
        <v>0</v>
      </c>
      <c r="DI431" s="16" t="n">
        <v>0</v>
      </c>
      <c r="DJ431" s="16" t="n">
        <v>0</v>
      </c>
      <c r="DK431" s="16" t="n">
        <v>0</v>
      </c>
      <c r="DL431" s="16" t="n">
        <v>0</v>
      </c>
      <c r="DM431" s="16" t="n">
        <v>0</v>
      </c>
      <c r="DN431" s="16" t="n">
        <v>0</v>
      </c>
      <c r="DO431" s="16" t="n">
        <v>0</v>
      </c>
      <c r="DP431" s="16" t="n">
        <v>0</v>
      </c>
      <c r="DQ431" s="16" t="n">
        <v>0</v>
      </c>
      <c r="DR431" s="16" t="n">
        <v>0</v>
      </c>
      <c r="DS431" s="16" t="n">
        <v>0</v>
      </c>
      <c r="DT431" s="16" t="n">
        <v>0</v>
      </c>
      <c r="DU431" s="16" t="n">
        <v>0</v>
      </c>
      <c r="DV431" s="16" t="n">
        <v>0</v>
      </c>
      <c r="DW431" s="16" t="n">
        <v>0</v>
      </c>
      <c r="DX431" s="16" t="n">
        <v>0</v>
      </c>
      <c r="DY431" s="16" t="n">
        <v>0</v>
      </c>
      <c r="DZ431" s="16" t="n">
        <v>0</v>
      </c>
      <c r="EA431" s="16" t="n">
        <v>0</v>
      </c>
      <c r="EB431" s="16" t="n">
        <v>0</v>
      </c>
      <c r="EC431" s="16" t="n">
        <v>0</v>
      </c>
      <c r="ED431" s="16" t="n">
        <v>0</v>
      </c>
      <c r="EE431" s="16" t="n">
        <v>0</v>
      </c>
      <c r="EF431" s="16" t="n">
        <v>0</v>
      </c>
    </row>
    <row r="432" customFormat="false" ht="15" hidden="false" customHeight="true" outlineLevel="0" collapsed="false">
      <c r="A432" s="9" t="s">
        <v>12</v>
      </c>
      <c r="B432" s="9" t="s">
        <v>18</v>
      </c>
      <c r="C432" s="9" t="s">
        <v>18</v>
      </c>
      <c r="D432" s="9" t="s">
        <v>340</v>
      </c>
      <c r="E432" s="9" t="s">
        <v>16</v>
      </c>
      <c r="F432" s="9" t="s">
        <v>87</v>
      </c>
      <c r="G432" s="16" t="n">
        <v>8</v>
      </c>
      <c r="H432" s="16" t="n">
        <v>8</v>
      </c>
      <c r="I432" s="16" t="n">
        <v>0</v>
      </c>
      <c r="J432" s="16" t="n">
        <v>8</v>
      </c>
      <c r="K432" s="16" t="n">
        <v>0</v>
      </c>
      <c r="L432" s="16" t="n">
        <v>0</v>
      </c>
      <c r="M432" s="16" t="n">
        <v>0</v>
      </c>
      <c r="N432" s="16" t="n">
        <v>0</v>
      </c>
      <c r="O432" s="16" t="n">
        <v>0</v>
      </c>
      <c r="P432" s="16" t="n">
        <v>0</v>
      </c>
      <c r="Q432" s="16" t="n">
        <v>0</v>
      </c>
      <c r="R432" s="16" t="n">
        <v>0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0</v>
      </c>
      <c r="X432" s="16" t="n">
        <v>0</v>
      </c>
      <c r="Y432" s="16" t="n">
        <v>0</v>
      </c>
      <c r="Z432" s="16" t="n">
        <v>0</v>
      </c>
      <c r="AA432" s="16" t="n">
        <v>0</v>
      </c>
      <c r="AB432" s="16" t="n">
        <v>0</v>
      </c>
      <c r="AC432" s="16" t="n">
        <v>0</v>
      </c>
      <c r="AD432" s="16" t="n">
        <v>0</v>
      </c>
      <c r="AE432" s="16" t="n">
        <v>0</v>
      </c>
      <c r="AF432" s="16" t="n">
        <v>0</v>
      </c>
      <c r="AG432" s="16" t="n">
        <v>0</v>
      </c>
      <c r="AH432" s="16" t="n">
        <v>0</v>
      </c>
      <c r="AI432" s="16" t="n">
        <v>0</v>
      </c>
      <c r="AJ432" s="16" t="n">
        <v>0</v>
      </c>
      <c r="AK432" s="16" t="n">
        <v>0</v>
      </c>
      <c r="AL432" s="16" t="n">
        <v>0</v>
      </c>
      <c r="AM432" s="16" t="n">
        <v>0</v>
      </c>
      <c r="AN432" s="16" t="n">
        <v>0</v>
      </c>
      <c r="AO432" s="16" t="n">
        <v>0</v>
      </c>
      <c r="AP432" s="16" t="n">
        <v>0</v>
      </c>
      <c r="AQ432" s="16" t="n">
        <v>0</v>
      </c>
      <c r="AR432" s="16" t="n">
        <v>0</v>
      </c>
      <c r="AS432" s="16" t="n">
        <v>0</v>
      </c>
      <c r="AT432" s="16" t="n">
        <v>0</v>
      </c>
      <c r="AU432" s="16" t="n">
        <v>0</v>
      </c>
      <c r="AV432" s="16" t="n">
        <v>0</v>
      </c>
      <c r="AW432" s="16" t="n">
        <v>0</v>
      </c>
      <c r="AX432" s="16" t="n">
        <v>0</v>
      </c>
      <c r="AY432" s="16" t="n">
        <v>0</v>
      </c>
      <c r="AZ432" s="16" t="n">
        <v>0</v>
      </c>
      <c r="BA432" s="16" t="n">
        <v>0</v>
      </c>
      <c r="BB432" s="16" t="n">
        <v>0</v>
      </c>
      <c r="BC432" s="16" t="n">
        <v>0</v>
      </c>
      <c r="BD432" s="16" t="n">
        <v>0</v>
      </c>
      <c r="BE432" s="16" t="n">
        <v>0</v>
      </c>
      <c r="BF432" s="16" t="n">
        <v>0</v>
      </c>
      <c r="BG432" s="16" t="n">
        <v>0</v>
      </c>
      <c r="BH432" s="16" t="n">
        <v>0</v>
      </c>
      <c r="BI432" s="16" t="n">
        <v>0</v>
      </c>
      <c r="BJ432" s="16" t="n">
        <v>0</v>
      </c>
      <c r="BK432" s="16" t="n">
        <v>0</v>
      </c>
      <c r="BL432" s="16" t="n">
        <v>0</v>
      </c>
      <c r="BM432" s="16" t="n">
        <v>0</v>
      </c>
      <c r="BN432" s="16" t="n">
        <v>0</v>
      </c>
      <c r="BO432" s="16" t="n">
        <v>0</v>
      </c>
      <c r="BP432" s="16" t="n">
        <v>0</v>
      </c>
      <c r="BQ432" s="16" t="n">
        <v>0</v>
      </c>
      <c r="BR432" s="16" t="n">
        <v>0</v>
      </c>
      <c r="BS432" s="16" t="n">
        <v>0</v>
      </c>
      <c r="BT432" s="16" t="n">
        <v>0</v>
      </c>
      <c r="BU432" s="16" t="n">
        <v>0</v>
      </c>
      <c r="BV432" s="16" t="n">
        <v>0</v>
      </c>
      <c r="BW432" s="16" t="n">
        <v>0</v>
      </c>
      <c r="BX432" s="16" t="n">
        <v>0</v>
      </c>
      <c r="BY432" s="16" t="n">
        <v>0</v>
      </c>
      <c r="BZ432" s="16" t="n">
        <v>0</v>
      </c>
      <c r="CA432" s="16" t="n">
        <v>0</v>
      </c>
      <c r="CB432" s="16" t="n">
        <v>0</v>
      </c>
      <c r="CC432" s="16" t="n">
        <v>0</v>
      </c>
      <c r="CD432" s="16" t="n">
        <v>0</v>
      </c>
      <c r="CE432" s="16" t="n">
        <v>0</v>
      </c>
      <c r="CF432" s="16" t="n">
        <v>0</v>
      </c>
      <c r="CG432" s="16" t="n">
        <v>0</v>
      </c>
      <c r="CH432" s="16" t="n">
        <v>0</v>
      </c>
      <c r="CI432" s="16" t="n">
        <v>0</v>
      </c>
      <c r="CJ432" s="16" t="n">
        <v>0</v>
      </c>
      <c r="CK432" s="16" t="n">
        <v>0</v>
      </c>
      <c r="CL432" s="16" t="n">
        <v>0</v>
      </c>
      <c r="CM432" s="16" t="n">
        <v>0</v>
      </c>
      <c r="CN432" s="16" t="n">
        <v>0</v>
      </c>
      <c r="CO432" s="16" t="n">
        <v>0</v>
      </c>
      <c r="CP432" s="16" t="n">
        <v>0</v>
      </c>
      <c r="CQ432" s="16" t="n">
        <v>0</v>
      </c>
      <c r="CR432" s="16" t="n">
        <v>0</v>
      </c>
      <c r="CS432" s="16" t="n">
        <v>0</v>
      </c>
      <c r="CT432" s="16" t="n">
        <v>0</v>
      </c>
      <c r="CU432" s="16" t="n">
        <v>0</v>
      </c>
      <c r="CV432" s="16" t="n">
        <v>0</v>
      </c>
      <c r="CW432" s="16" t="n">
        <v>0</v>
      </c>
      <c r="CX432" s="16" t="n">
        <v>0</v>
      </c>
      <c r="CY432" s="16" t="n">
        <v>0</v>
      </c>
      <c r="CZ432" s="16" t="n">
        <v>0</v>
      </c>
      <c r="DA432" s="16" t="n">
        <v>0</v>
      </c>
      <c r="DB432" s="16" t="n">
        <v>0</v>
      </c>
      <c r="DC432" s="16" t="n">
        <v>0</v>
      </c>
      <c r="DD432" s="16" t="n">
        <v>0</v>
      </c>
      <c r="DE432" s="16" t="n">
        <v>0</v>
      </c>
      <c r="DF432" s="16" t="n">
        <v>0</v>
      </c>
      <c r="DG432" s="16" t="n">
        <v>0</v>
      </c>
      <c r="DH432" s="16" t="n">
        <v>0</v>
      </c>
      <c r="DI432" s="16" t="n">
        <v>0</v>
      </c>
      <c r="DJ432" s="16" t="n">
        <v>0</v>
      </c>
      <c r="DK432" s="16" t="n">
        <v>0</v>
      </c>
      <c r="DL432" s="16" t="n">
        <v>0</v>
      </c>
      <c r="DM432" s="16" t="n">
        <v>0</v>
      </c>
      <c r="DN432" s="16" t="n">
        <v>0</v>
      </c>
      <c r="DO432" s="16" t="n">
        <v>0</v>
      </c>
      <c r="DP432" s="16" t="n">
        <v>0</v>
      </c>
      <c r="DQ432" s="16" t="n">
        <v>0</v>
      </c>
      <c r="DR432" s="16" t="n">
        <v>0</v>
      </c>
      <c r="DS432" s="16" t="n">
        <v>0</v>
      </c>
      <c r="DT432" s="16" t="n">
        <v>0</v>
      </c>
      <c r="DU432" s="16" t="n">
        <v>0</v>
      </c>
      <c r="DV432" s="16" t="n">
        <v>0</v>
      </c>
      <c r="DW432" s="16" t="n">
        <v>0</v>
      </c>
      <c r="DX432" s="16" t="n">
        <v>0</v>
      </c>
      <c r="DY432" s="16" t="n">
        <v>0</v>
      </c>
      <c r="DZ432" s="16" t="n">
        <v>0</v>
      </c>
      <c r="EA432" s="16" t="n">
        <v>0</v>
      </c>
      <c r="EB432" s="16" t="n">
        <v>0</v>
      </c>
      <c r="EC432" s="16" t="n">
        <v>0</v>
      </c>
      <c r="ED432" s="16" t="n">
        <v>0</v>
      </c>
      <c r="EE432" s="16" t="n">
        <v>0</v>
      </c>
      <c r="EF432" s="16" t="n">
        <v>0</v>
      </c>
    </row>
    <row r="433" customFormat="false" ht="15" hidden="false" customHeight="true" outlineLevel="0" collapsed="false">
      <c r="A433" s="9" t="s">
        <v>12</v>
      </c>
      <c r="B433" s="9" t="s">
        <v>18</v>
      </c>
      <c r="C433" s="9" t="s">
        <v>18</v>
      </c>
      <c r="D433" s="9" t="s">
        <v>341</v>
      </c>
      <c r="E433" s="9" t="s">
        <v>16</v>
      </c>
      <c r="F433" s="9" t="s">
        <v>88</v>
      </c>
      <c r="G433" s="16" t="n">
        <v>0</v>
      </c>
      <c r="H433" s="16" t="n">
        <v>0</v>
      </c>
      <c r="I433" s="16" t="n">
        <v>17</v>
      </c>
      <c r="J433" s="16" t="n">
        <v>-17</v>
      </c>
      <c r="K433" s="16" t="n">
        <v>0</v>
      </c>
      <c r="L433" s="16" t="n">
        <v>0</v>
      </c>
      <c r="M433" s="16" t="n">
        <v>0</v>
      </c>
      <c r="N433" s="16" t="n">
        <v>0</v>
      </c>
      <c r="O433" s="16" t="n">
        <v>0</v>
      </c>
      <c r="P433" s="16" t="n">
        <v>0</v>
      </c>
      <c r="Q433" s="16" t="n">
        <v>0</v>
      </c>
      <c r="R433" s="16" t="n">
        <v>0</v>
      </c>
      <c r="S433" s="16" t="n">
        <v>0</v>
      </c>
      <c r="T433" s="16" t="n">
        <v>0</v>
      </c>
      <c r="U433" s="16" t="n">
        <v>0</v>
      </c>
      <c r="V433" s="16" t="n">
        <v>0</v>
      </c>
      <c r="W433" s="16" t="n">
        <v>0</v>
      </c>
      <c r="X433" s="16" t="n">
        <v>0</v>
      </c>
      <c r="Y433" s="16" t="n">
        <v>0</v>
      </c>
      <c r="Z433" s="16" t="n">
        <v>0</v>
      </c>
      <c r="AA433" s="16" t="n">
        <v>0</v>
      </c>
      <c r="AB433" s="16" t="n">
        <v>0</v>
      </c>
      <c r="AC433" s="16" t="n">
        <v>0</v>
      </c>
      <c r="AD433" s="16" t="n">
        <v>0</v>
      </c>
      <c r="AE433" s="16" t="n">
        <v>0</v>
      </c>
      <c r="AF433" s="16" t="n">
        <v>0</v>
      </c>
      <c r="AG433" s="16" t="n">
        <v>0</v>
      </c>
      <c r="AH433" s="16" t="n">
        <v>0</v>
      </c>
      <c r="AI433" s="16" t="n">
        <v>0</v>
      </c>
      <c r="AJ433" s="16" t="n">
        <v>0</v>
      </c>
      <c r="AK433" s="16" t="n">
        <v>0</v>
      </c>
      <c r="AL433" s="16" t="n">
        <v>0</v>
      </c>
      <c r="AM433" s="16" t="n">
        <v>0</v>
      </c>
      <c r="AN433" s="16" t="n">
        <v>0</v>
      </c>
      <c r="AO433" s="16" t="n">
        <v>0</v>
      </c>
      <c r="AP433" s="16" t="n">
        <v>0</v>
      </c>
      <c r="AQ433" s="16" t="n">
        <v>0</v>
      </c>
      <c r="AR433" s="16" t="n">
        <v>0</v>
      </c>
      <c r="AS433" s="16" t="n">
        <v>0</v>
      </c>
      <c r="AT433" s="16" t="n">
        <v>0</v>
      </c>
      <c r="AU433" s="16" t="n">
        <v>0</v>
      </c>
      <c r="AV433" s="16" t="n">
        <v>0</v>
      </c>
      <c r="AW433" s="16" t="n">
        <v>0</v>
      </c>
      <c r="AX433" s="16" t="n">
        <v>0</v>
      </c>
      <c r="AY433" s="16" t="n">
        <v>0</v>
      </c>
      <c r="AZ433" s="16" t="n">
        <v>0</v>
      </c>
      <c r="BA433" s="16" t="n">
        <v>0</v>
      </c>
      <c r="BB433" s="16" t="n">
        <v>0</v>
      </c>
      <c r="BC433" s="16" t="n">
        <v>0</v>
      </c>
      <c r="BD433" s="16" t="n">
        <v>0</v>
      </c>
      <c r="BE433" s="16" t="n">
        <v>0</v>
      </c>
      <c r="BF433" s="16" t="n">
        <v>0</v>
      </c>
      <c r="BG433" s="16" t="n">
        <v>0</v>
      </c>
      <c r="BH433" s="16" t="n">
        <v>0</v>
      </c>
      <c r="BI433" s="16" t="n">
        <v>0</v>
      </c>
      <c r="BJ433" s="16" t="n">
        <v>0</v>
      </c>
      <c r="BK433" s="16" t="n">
        <v>0</v>
      </c>
      <c r="BL433" s="16" t="n">
        <v>0</v>
      </c>
      <c r="BM433" s="16" t="n">
        <v>0</v>
      </c>
      <c r="BN433" s="16" t="n">
        <v>0</v>
      </c>
      <c r="BO433" s="16" t="n">
        <v>0</v>
      </c>
      <c r="BP433" s="16" t="n">
        <v>0</v>
      </c>
      <c r="BQ433" s="16" t="n">
        <v>0</v>
      </c>
      <c r="BR433" s="16" t="n">
        <v>0</v>
      </c>
      <c r="BS433" s="16" t="n">
        <v>0</v>
      </c>
      <c r="BT433" s="16" t="n">
        <v>0</v>
      </c>
      <c r="BU433" s="16" t="n">
        <v>0</v>
      </c>
      <c r="BV433" s="16" t="n">
        <v>0</v>
      </c>
      <c r="BW433" s="16" t="n">
        <v>0</v>
      </c>
      <c r="BX433" s="16" t="n">
        <v>0</v>
      </c>
      <c r="BY433" s="16" t="n">
        <v>0</v>
      </c>
      <c r="BZ433" s="16" t="n">
        <v>0</v>
      </c>
      <c r="CA433" s="16" t="n">
        <v>0</v>
      </c>
      <c r="CB433" s="16" t="n">
        <v>0</v>
      </c>
      <c r="CC433" s="16" t="n">
        <v>0</v>
      </c>
      <c r="CD433" s="16" t="n">
        <v>0</v>
      </c>
      <c r="CE433" s="16" t="n">
        <v>0</v>
      </c>
      <c r="CF433" s="16" t="n">
        <v>0</v>
      </c>
      <c r="CG433" s="16" t="n">
        <v>0</v>
      </c>
      <c r="CH433" s="16" t="n">
        <v>0</v>
      </c>
      <c r="CI433" s="16" t="n">
        <v>0</v>
      </c>
      <c r="CJ433" s="16" t="n">
        <v>0</v>
      </c>
      <c r="CK433" s="16" t="n">
        <v>0</v>
      </c>
      <c r="CL433" s="16" t="n">
        <v>0</v>
      </c>
      <c r="CM433" s="16" t="n">
        <v>0</v>
      </c>
      <c r="CN433" s="16" t="n">
        <v>0</v>
      </c>
      <c r="CO433" s="16" t="n">
        <v>0</v>
      </c>
      <c r="CP433" s="16" t="n">
        <v>0</v>
      </c>
      <c r="CQ433" s="16" t="n">
        <v>0</v>
      </c>
      <c r="CR433" s="16" t="n">
        <v>0</v>
      </c>
      <c r="CS433" s="16" t="n">
        <v>0</v>
      </c>
      <c r="CT433" s="16" t="n">
        <v>0</v>
      </c>
      <c r="CU433" s="16" t="n">
        <v>0</v>
      </c>
      <c r="CV433" s="16" t="n">
        <v>0</v>
      </c>
      <c r="CW433" s="16" t="n">
        <v>0</v>
      </c>
      <c r="CX433" s="16" t="n">
        <v>0</v>
      </c>
      <c r="CY433" s="16" t="n">
        <v>0</v>
      </c>
      <c r="CZ433" s="16" t="n">
        <v>7</v>
      </c>
      <c r="DA433" s="16" t="n">
        <v>10</v>
      </c>
      <c r="DB433" s="16" t="n">
        <v>0</v>
      </c>
      <c r="DC433" s="16" t="n">
        <v>0</v>
      </c>
      <c r="DD433" s="16" t="n">
        <v>0</v>
      </c>
      <c r="DE433" s="16" t="n">
        <v>0</v>
      </c>
      <c r="DF433" s="16" t="n">
        <v>0</v>
      </c>
      <c r="DG433" s="16" t="n">
        <v>0</v>
      </c>
      <c r="DH433" s="16" t="n">
        <v>0</v>
      </c>
      <c r="DI433" s="16" t="n">
        <v>0</v>
      </c>
      <c r="DJ433" s="16" t="n">
        <v>0</v>
      </c>
      <c r="DK433" s="16" t="n">
        <v>0</v>
      </c>
      <c r="DL433" s="16" t="n">
        <v>0</v>
      </c>
      <c r="DM433" s="16" t="n">
        <v>0</v>
      </c>
      <c r="DN433" s="16" t="n">
        <v>0</v>
      </c>
      <c r="DO433" s="16" t="n">
        <v>0</v>
      </c>
      <c r="DP433" s="16" t="n">
        <v>0</v>
      </c>
      <c r="DQ433" s="16" t="n">
        <v>0</v>
      </c>
      <c r="DR433" s="16" t="n">
        <v>0</v>
      </c>
      <c r="DS433" s="16" t="n">
        <v>0</v>
      </c>
      <c r="DT433" s="16" t="n">
        <v>0</v>
      </c>
      <c r="DU433" s="16" t="n">
        <v>0</v>
      </c>
      <c r="DV433" s="16" t="n">
        <v>0</v>
      </c>
      <c r="DW433" s="16" t="n">
        <v>0</v>
      </c>
      <c r="DX433" s="16" t="n">
        <v>0</v>
      </c>
      <c r="DY433" s="16" t="n">
        <v>0</v>
      </c>
      <c r="DZ433" s="16" t="n">
        <v>0</v>
      </c>
      <c r="EA433" s="16" t="n">
        <v>0</v>
      </c>
      <c r="EB433" s="16" t="n">
        <v>0</v>
      </c>
      <c r="EC433" s="16" t="n">
        <v>0</v>
      </c>
      <c r="ED433" s="16" t="n">
        <v>0</v>
      </c>
      <c r="EE433" s="16" t="n">
        <v>0</v>
      </c>
      <c r="EF433" s="16" t="n">
        <v>0</v>
      </c>
    </row>
    <row r="434" customFormat="false" ht="15" hidden="false" customHeight="true" outlineLevel="0" collapsed="false">
      <c r="A434" s="9" t="s">
        <v>12</v>
      </c>
      <c r="B434" s="9" t="s">
        <v>18</v>
      </c>
      <c r="C434" s="9" t="s">
        <v>18</v>
      </c>
      <c r="D434" s="9" t="s">
        <v>340</v>
      </c>
      <c r="E434" s="9" t="s">
        <v>16</v>
      </c>
      <c r="F434" s="9" t="s">
        <v>88</v>
      </c>
      <c r="G434" s="16" t="n">
        <v>0</v>
      </c>
      <c r="H434" s="16" t="n">
        <v>17</v>
      </c>
      <c r="I434" s="16" t="n">
        <v>0</v>
      </c>
      <c r="J434" s="16" t="n">
        <v>17</v>
      </c>
      <c r="K434" s="16" t="n">
        <v>0</v>
      </c>
      <c r="L434" s="16" t="n">
        <v>0</v>
      </c>
      <c r="M434" s="16" t="n">
        <v>0</v>
      </c>
      <c r="N434" s="16" t="n">
        <v>0</v>
      </c>
      <c r="O434" s="16" t="n">
        <v>0</v>
      </c>
      <c r="P434" s="16" t="n">
        <v>0</v>
      </c>
      <c r="Q434" s="16" t="n">
        <v>0</v>
      </c>
      <c r="R434" s="16" t="n">
        <v>0</v>
      </c>
      <c r="S434" s="16" t="n">
        <v>0</v>
      </c>
      <c r="T434" s="16" t="n">
        <v>0</v>
      </c>
      <c r="U434" s="16" t="n">
        <v>0</v>
      </c>
      <c r="V434" s="16" t="n">
        <v>0</v>
      </c>
      <c r="W434" s="16" t="n">
        <v>0</v>
      </c>
      <c r="X434" s="16" t="n">
        <v>0</v>
      </c>
      <c r="Y434" s="16" t="n">
        <v>0</v>
      </c>
      <c r="Z434" s="16" t="n">
        <v>0</v>
      </c>
      <c r="AA434" s="16" t="n">
        <v>0</v>
      </c>
      <c r="AB434" s="16" t="n">
        <v>0</v>
      </c>
      <c r="AC434" s="16" t="n">
        <v>0</v>
      </c>
      <c r="AD434" s="16" t="n">
        <v>0</v>
      </c>
      <c r="AE434" s="16" t="n">
        <v>0</v>
      </c>
      <c r="AF434" s="16" t="n">
        <v>0</v>
      </c>
      <c r="AG434" s="16" t="n">
        <v>0</v>
      </c>
      <c r="AH434" s="16" t="n">
        <v>0</v>
      </c>
      <c r="AI434" s="16" t="n">
        <v>0</v>
      </c>
      <c r="AJ434" s="16" t="n">
        <v>0</v>
      </c>
      <c r="AK434" s="16" t="n">
        <v>0</v>
      </c>
      <c r="AL434" s="16" t="n">
        <v>0</v>
      </c>
      <c r="AM434" s="16" t="n">
        <v>0</v>
      </c>
      <c r="AN434" s="16" t="n">
        <v>0</v>
      </c>
      <c r="AO434" s="16" t="n">
        <v>0</v>
      </c>
      <c r="AP434" s="16" t="n">
        <v>0</v>
      </c>
      <c r="AQ434" s="16" t="n">
        <v>0</v>
      </c>
      <c r="AR434" s="16" t="n">
        <v>0</v>
      </c>
      <c r="AS434" s="16" t="n">
        <v>0</v>
      </c>
      <c r="AT434" s="16" t="n">
        <v>0</v>
      </c>
      <c r="AU434" s="16" t="n">
        <v>0</v>
      </c>
      <c r="AV434" s="16" t="n">
        <v>0</v>
      </c>
      <c r="AW434" s="16" t="n">
        <v>0</v>
      </c>
      <c r="AX434" s="16" t="n">
        <v>0</v>
      </c>
      <c r="AY434" s="16" t="n">
        <v>0</v>
      </c>
      <c r="AZ434" s="16" t="n">
        <v>0</v>
      </c>
      <c r="BA434" s="16" t="n">
        <v>0</v>
      </c>
      <c r="BB434" s="16" t="n">
        <v>0</v>
      </c>
      <c r="BC434" s="16" t="n">
        <v>0</v>
      </c>
      <c r="BD434" s="16" t="n">
        <v>0</v>
      </c>
      <c r="BE434" s="16" t="n">
        <v>0</v>
      </c>
      <c r="BF434" s="16" t="n">
        <v>0</v>
      </c>
      <c r="BG434" s="16" t="n">
        <v>0</v>
      </c>
      <c r="BH434" s="16" t="n">
        <v>0</v>
      </c>
      <c r="BI434" s="16" t="n">
        <v>0</v>
      </c>
      <c r="BJ434" s="16" t="n">
        <v>0</v>
      </c>
      <c r="BK434" s="16" t="n">
        <v>0</v>
      </c>
      <c r="BL434" s="16" t="n">
        <v>0</v>
      </c>
      <c r="BM434" s="16" t="n">
        <v>0</v>
      </c>
      <c r="BN434" s="16" t="n">
        <v>0</v>
      </c>
      <c r="BO434" s="16" t="n">
        <v>0</v>
      </c>
      <c r="BP434" s="16" t="n">
        <v>0</v>
      </c>
      <c r="BQ434" s="16" t="n">
        <v>0</v>
      </c>
      <c r="BR434" s="16" t="n">
        <v>0</v>
      </c>
      <c r="BS434" s="16" t="n">
        <v>0</v>
      </c>
      <c r="BT434" s="16" t="n">
        <v>0</v>
      </c>
      <c r="BU434" s="16" t="n">
        <v>0</v>
      </c>
      <c r="BV434" s="16" t="n">
        <v>0</v>
      </c>
      <c r="BW434" s="16" t="n">
        <v>0</v>
      </c>
      <c r="BX434" s="16" t="n">
        <v>0</v>
      </c>
      <c r="BY434" s="16" t="n">
        <v>0</v>
      </c>
      <c r="BZ434" s="16" t="n">
        <v>0</v>
      </c>
      <c r="CA434" s="16" t="n">
        <v>0</v>
      </c>
      <c r="CB434" s="16" t="n">
        <v>0</v>
      </c>
      <c r="CC434" s="16" t="n">
        <v>0</v>
      </c>
      <c r="CD434" s="16" t="n">
        <v>0</v>
      </c>
      <c r="CE434" s="16" t="n">
        <v>0</v>
      </c>
      <c r="CF434" s="16" t="n">
        <v>0</v>
      </c>
      <c r="CG434" s="16" t="n">
        <v>0</v>
      </c>
      <c r="CH434" s="16" t="n">
        <v>0</v>
      </c>
      <c r="CI434" s="16" t="n">
        <v>0</v>
      </c>
      <c r="CJ434" s="16" t="n">
        <v>0</v>
      </c>
      <c r="CK434" s="16" t="n">
        <v>0</v>
      </c>
      <c r="CL434" s="16" t="n">
        <v>0</v>
      </c>
      <c r="CM434" s="16" t="n">
        <v>0</v>
      </c>
      <c r="CN434" s="16" t="n">
        <v>0</v>
      </c>
      <c r="CO434" s="16" t="n">
        <v>0</v>
      </c>
      <c r="CP434" s="16" t="n">
        <v>0</v>
      </c>
      <c r="CQ434" s="16" t="n">
        <v>0</v>
      </c>
      <c r="CR434" s="16" t="n">
        <v>0</v>
      </c>
      <c r="CS434" s="16" t="n">
        <v>0</v>
      </c>
      <c r="CT434" s="16" t="n">
        <v>0</v>
      </c>
      <c r="CU434" s="16" t="n">
        <v>0</v>
      </c>
      <c r="CV434" s="16" t="n">
        <v>0</v>
      </c>
      <c r="CW434" s="16" t="n">
        <v>0</v>
      </c>
      <c r="CX434" s="16" t="n">
        <v>0</v>
      </c>
      <c r="CY434" s="16" t="n">
        <v>0</v>
      </c>
      <c r="CZ434" s="16" t="n">
        <v>0</v>
      </c>
      <c r="DA434" s="16" t="n">
        <v>0</v>
      </c>
      <c r="DB434" s="16" t="n">
        <v>0</v>
      </c>
      <c r="DC434" s="16" t="n">
        <v>0</v>
      </c>
      <c r="DD434" s="16" t="n">
        <v>0</v>
      </c>
      <c r="DE434" s="16" t="n">
        <v>0</v>
      </c>
      <c r="DF434" s="16" t="n">
        <v>0</v>
      </c>
      <c r="DG434" s="16" t="n">
        <v>0</v>
      </c>
      <c r="DH434" s="16" t="n">
        <v>0</v>
      </c>
      <c r="DI434" s="16" t="n">
        <v>0</v>
      </c>
      <c r="DJ434" s="16" t="n">
        <v>0</v>
      </c>
      <c r="DK434" s="16" t="n">
        <v>0</v>
      </c>
      <c r="DL434" s="16" t="n">
        <v>0</v>
      </c>
      <c r="DM434" s="16" t="n">
        <v>0</v>
      </c>
      <c r="DN434" s="16" t="n">
        <v>0</v>
      </c>
      <c r="DO434" s="16" t="n">
        <v>0</v>
      </c>
      <c r="DP434" s="16" t="n">
        <v>0</v>
      </c>
      <c r="DQ434" s="16" t="n">
        <v>0</v>
      </c>
      <c r="DR434" s="16" t="n">
        <v>0</v>
      </c>
      <c r="DS434" s="16" t="n">
        <v>0</v>
      </c>
      <c r="DT434" s="16" t="n">
        <v>0</v>
      </c>
      <c r="DU434" s="16" t="n">
        <v>0</v>
      </c>
      <c r="DV434" s="16" t="n">
        <v>0</v>
      </c>
      <c r="DW434" s="16" t="n">
        <v>0</v>
      </c>
      <c r="DX434" s="16" t="n">
        <v>0</v>
      </c>
      <c r="DY434" s="16" t="n">
        <v>0</v>
      </c>
      <c r="DZ434" s="16" t="n">
        <v>0</v>
      </c>
      <c r="EA434" s="16" t="n">
        <v>0</v>
      </c>
      <c r="EB434" s="16" t="n">
        <v>0</v>
      </c>
      <c r="EC434" s="16" t="n">
        <v>0</v>
      </c>
      <c r="ED434" s="16" t="n">
        <v>0</v>
      </c>
      <c r="EE434" s="16" t="n">
        <v>0</v>
      </c>
      <c r="EF434" s="16" t="n">
        <v>0</v>
      </c>
    </row>
    <row r="435" customFormat="false" ht="15" hidden="false" customHeight="true" outlineLevel="0" collapsed="false">
      <c r="A435" s="9" t="s">
        <v>12</v>
      </c>
      <c r="B435" s="9" t="s">
        <v>343</v>
      </c>
      <c r="C435" s="9" t="s">
        <v>344</v>
      </c>
      <c r="D435" s="9" t="s">
        <v>337</v>
      </c>
      <c r="E435" s="9" t="s">
        <v>10</v>
      </c>
      <c r="F435" s="9" t="s">
        <v>88</v>
      </c>
      <c r="G435" s="16" t="n">
        <v>0</v>
      </c>
      <c r="H435" s="16" t="n">
        <v>18</v>
      </c>
      <c r="I435" s="16" t="n">
        <v>18</v>
      </c>
      <c r="J435" s="16" t="n">
        <v>0</v>
      </c>
      <c r="K435" s="16" t="n">
        <v>0</v>
      </c>
      <c r="L435" s="16" t="n">
        <v>0</v>
      </c>
      <c r="M435" s="16" t="n">
        <v>0</v>
      </c>
      <c r="N435" s="16" t="n">
        <v>0</v>
      </c>
      <c r="O435" s="16" t="n">
        <v>0</v>
      </c>
      <c r="P435" s="16" t="n">
        <v>0</v>
      </c>
      <c r="Q435" s="16" t="n">
        <v>0</v>
      </c>
      <c r="R435" s="16" t="n">
        <v>0</v>
      </c>
      <c r="S435" s="16" t="n">
        <v>0</v>
      </c>
      <c r="T435" s="16" t="n">
        <v>0</v>
      </c>
      <c r="U435" s="16" t="n">
        <v>0</v>
      </c>
      <c r="V435" s="16" t="n">
        <v>0</v>
      </c>
      <c r="W435" s="16" t="n">
        <v>0</v>
      </c>
      <c r="X435" s="16" t="n">
        <v>0</v>
      </c>
      <c r="Y435" s="16" t="n">
        <v>0</v>
      </c>
      <c r="Z435" s="16" t="n">
        <v>0</v>
      </c>
      <c r="AA435" s="16" t="n">
        <v>0</v>
      </c>
      <c r="AB435" s="16" t="n">
        <v>0</v>
      </c>
      <c r="AC435" s="16" t="n">
        <v>0</v>
      </c>
      <c r="AD435" s="16" t="n">
        <v>0</v>
      </c>
      <c r="AE435" s="16" t="n">
        <v>0</v>
      </c>
      <c r="AF435" s="16" t="n">
        <v>0</v>
      </c>
      <c r="AG435" s="16" t="n">
        <v>0</v>
      </c>
      <c r="AH435" s="16" t="n">
        <v>0</v>
      </c>
      <c r="AI435" s="16" t="n">
        <v>0</v>
      </c>
      <c r="AJ435" s="16" t="n">
        <v>0</v>
      </c>
      <c r="AK435" s="16" t="n">
        <v>0</v>
      </c>
      <c r="AL435" s="16" t="n">
        <v>0</v>
      </c>
      <c r="AM435" s="16" t="n">
        <v>0</v>
      </c>
      <c r="AN435" s="16" t="n">
        <v>0</v>
      </c>
      <c r="AO435" s="16" t="n">
        <v>0</v>
      </c>
      <c r="AP435" s="16" t="n">
        <v>0</v>
      </c>
      <c r="AQ435" s="16" t="n">
        <v>0</v>
      </c>
      <c r="AR435" s="16" t="n">
        <v>0</v>
      </c>
      <c r="AS435" s="16" t="n">
        <v>0</v>
      </c>
      <c r="AT435" s="16" t="n">
        <v>0</v>
      </c>
      <c r="AU435" s="16" t="n">
        <v>0</v>
      </c>
      <c r="AV435" s="16" t="n">
        <v>0</v>
      </c>
      <c r="AW435" s="16" t="n">
        <v>0</v>
      </c>
      <c r="AX435" s="16" t="n">
        <v>0</v>
      </c>
      <c r="AY435" s="16" t="n">
        <v>0</v>
      </c>
      <c r="AZ435" s="16" t="n">
        <v>0</v>
      </c>
      <c r="BA435" s="16" t="n">
        <v>0</v>
      </c>
      <c r="BB435" s="16" t="n">
        <v>0</v>
      </c>
      <c r="BC435" s="16" t="n">
        <v>0</v>
      </c>
      <c r="BD435" s="16" t="n">
        <v>0</v>
      </c>
      <c r="BE435" s="16" t="n">
        <v>0</v>
      </c>
      <c r="BF435" s="16" t="n">
        <v>0</v>
      </c>
      <c r="BG435" s="16" t="n">
        <v>0</v>
      </c>
      <c r="BH435" s="16" t="n">
        <v>0</v>
      </c>
      <c r="BI435" s="16" t="n">
        <v>0</v>
      </c>
      <c r="BJ435" s="16" t="n">
        <v>0</v>
      </c>
      <c r="BK435" s="16" t="n">
        <v>0</v>
      </c>
      <c r="BL435" s="16" t="n">
        <v>0</v>
      </c>
      <c r="BM435" s="16" t="n">
        <v>0</v>
      </c>
      <c r="BN435" s="16" t="n">
        <v>0</v>
      </c>
      <c r="BO435" s="16" t="n">
        <v>0</v>
      </c>
      <c r="BP435" s="16" t="n">
        <v>0</v>
      </c>
      <c r="BQ435" s="16" t="n">
        <v>0</v>
      </c>
      <c r="BR435" s="16" t="n">
        <v>0</v>
      </c>
      <c r="BS435" s="16" t="n">
        <v>0</v>
      </c>
      <c r="BT435" s="16" t="n">
        <v>0</v>
      </c>
      <c r="BU435" s="16" t="n">
        <v>0</v>
      </c>
      <c r="BV435" s="16" t="n">
        <v>0</v>
      </c>
      <c r="BW435" s="16" t="n">
        <v>0</v>
      </c>
      <c r="BX435" s="16" t="n">
        <v>0</v>
      </c>
      <c r="BY435" s="16" t="n">
        <v>0</v>
      </c>
      <c r="BZ435" s="16" t="n">
        <v>0</v>
      </c>
      <c r="CA435" s="16" t="n">
        <v>0</v>
      </c>
      <c r="CB435" s="16" t="n">
        <v>0</v>
      </c>
      <c r="CC435" s="16" t="n">
        <v>0</v>
      </c>
      <c r="CD435" s="16" t="n">
        <v>0</v>
      </c>
      <c r="CE435" s="16" t="n">
        <v>0</v>
      </c>
      <c r="CF435" s="16" t="n">
        <v>0</v>
      </c>
      <c r="CG435" s="16" t="n">
        <v>0</v>
      </c>
      <c r="CH435" s="16" t="n">
        <v>0</v>
      </c>
      <c r="CI435" s="16" t="n">
        <v>0</v>
      </c>
      <c r="CJ435" s="16" t="n">
        <v>0</v>
      </c>
      <c r="CK435" s="16" t="n">
        <v>0</v>
      </c>
      <c r="CL435" s="16" t="n">
        <v>0</v>
      </c>
      <c r="CM435" s="16" t="n">
        <v>0</v>
      </c>
      <c r="CN435" s="16" t="n">
        <v>0</v>
      </c>
      <c r="CO435" s="16" t="n">
        <v>0</v>
      </c>
      <c r="CP435" s="16" t="n">
        <v>0</v>
      </c>
      <c r="CQ435" s="16" t="n">
        <v>0</v>
      </c>
      <c r="CR435" s="16" t="n">
        <v>0</v>
      </c>
      <c r="CS435" s="16" t="n">
        <v>0</v>
      </c>
      <c r="CT435" s="16" t="n">
        <v>0</v>
      </c>
      <c r="CU435" s="16" t="n">
        <v>0</v>
      </c>
      <c r="CV435" s="16" t="n">
        <v>0</v>
      </c>
      <c r="CW435" s="16" t="n">
        <v>0</v>
      </c>
      <c r="CX435" s="16" t="n">
        <v>0</v>
      </c>
      <c r="CY435" s="16" t="n">
        <v>0</v>
      </c>
      <c r="CZ435" s="16" t="n">
        <v>10</v>
      </c>
      <c r="DA435" s="16" t="n">
        <v>8</v>
      </c>
      <c r="DB435" s="16" t="n">
        <v>0</v>
      </c>
      <c r="DC435" s="16" t="n">
        <v>0</v>
      </c>
      <c r="DD435" s="16" t="n">
        <v>0</v>
      </c>
      <c r="DE435" s="16" t="n">
        <v>0</v>
      </c>
      <c r="DF435" s="16" t="n">
        <v>0</v>
      </c>
      <c r="DG435" s="16" t="n">
        <v>0</v>
      </c>
      <c r="DH435" s="16" t="n">
        <v>0</v>
      </c>
      <c r="DI435" s="16" t="n">
        <v>0</v>
      </c>
      <c r="DJ435" s="16" t="n">
        <v>0</v>
      </c>
      <c r="DK435" s="16" t="n">
        <v>0</v>
      </c>
      <c r="DL435" s="16" t="n">
        <v>0</v>
      </c>
      <c r="DM435" s="16" t="n">
        <v>0</v>
      </c>
      <c r="DN435" s="16" t="n">
        <v>0</v>
      </c>
      <c r="DO435" s="16" t="n">
        <v>0</v>
      </c>
      <c r="DP435" s="16" t="n">
        <v>0</v>
      </c>
      <c r="DQ435" s="16" t="n">
        <v>0</v>
      </c>
      <c r="DR435" s="16" t="n">
        <v>0</v>
      </c>
      <c r="DS435" s="16" t="n">
        <v>0</v>
      </c>
      <c r="DT435" s="16" t="n">
        <v>0</v>
      </c>
      <c r="DU435" s="16" t="n">
        <v>0</v>
      </c>
      <c r="DV435" s="16" t="n">
        <v>0</v>
      </c>
      <c r="DW435" s="16" t="n">
        <v>0</v>
      </c>
      <c r="DX435" s="16" t="n">
        <v>0</v>
      </c>
      <c r="DY435" s="16" t="n">
        <v>0</v>
      </c>
      <c r="DZ435" s="16" t="n">
        <v>0</v>
      </c>
      <c r="EA435" s="16" t="n">
        <v>0</v>
      </c>
      <c r="EB435" s="16" t="n">
        <v>0</v>
      </c>
      <c r="EC435" s="16" t="n">
        <v>0</v>
      </c>
      <c r="ED435" s="16" t="n">
        <v>0</v>
      </c>
      <c r="EE435" s="16" t="n">
        <v>0</v>
      </c>
      <c r="EF435" s="16" t="n">
        <v>0</v>
      </c>
    </row>
    <row r="436" customFormat="false" ht="15" hidden="false" customHeight="true" outlineLevel="0" collapsed="false">
      <c r="A436" s="9" t="s">
        <v>12</v>
      </c>
      <c r="B436" s="9" t="s">
        <v>345</v>
      </c>
      <c r="C436" s="9" t="s">
        <v>138</v>
      </c>
      <c r="D436" s="9" t="s">
        <v>335</v>
      </c>
      <c r="E436" s="9" t="s">
        <v>14</v>
      </c>
      <c r="F436" s="9" t="s">
        <v>81</v>
      </c>
      <c r="G436" s="16" t="n">
        <v>30</v>
      </c>
      <c r="H436" s="16" t="n">
        <v>118</v>
      </c>
      <c r="I436" s="16" t="n">
        <v>88</v>
      </c>
      <c r="J436" s="16" t="n">
        <v>30</v>
      </c>
      <c r="K436" s="16" t="n">
        <v>0</v>
      </c>
      <c r="L436" s="16" t="n">
        <v>0</v>
      </c>
      <c r="M436" s="16" t="n">
        <v>0</v>
      </c>
      <c r="N436" s="16" t="n">
        <v>0</v>
      </c>
      <c r="O436" s="16" t="n">
        <v>0</v>
      </c>
      <c r="P436" s="16" t="n">
        <v>0</v>
      </c>
      <c r="Q436" s="16" t="n">
        <v>0</v>
      </c>
      <c r="R436" s="16" t="n">
        <v>0</v>
      </c>
      <c r="S436" s="16" t="n">
        <v>0</v>
      </c>
      <c r="T436" s="16" t="n">
        <v>0</v>
      </c>
      <c r="U436" s="16" t="n">
        <v>0</v>
      </c>
      <c r="V436" s="16" t="n">
        <v>0</v>
      </c>
      <c r="W436" s="16" t="n">
        <v>0</v>
      </c>
      <c r="X436" s="16" t="n">
        <v>0</v>
      </c>
      <c r="Y436" s="16" t="n">
        <v>0</v>
      </c>
      <c r="Z436" s="16" t="n">
        <v>0</v>
      </c>
      <c r="AA436" s="16" t="n">
        <v>0</v>
      </c>
      <c r="AB436" s="16" t="n">
        <v>0</v>
      </c>
      <c r="AC436" s="16" t="n">
        <v>0</v>
      </c>
      <c r="AD436" s="16" t="n">
        <v>0</v>
      </c>
      <c r="AE436" s="16" t="n">
        <v>0</v>
      </c>
      <c r="AF436" s="16" t="n">
        <v>0</v>
      </c>
      <c r="AG436" s="16" t="n">
        <v>0</v>
      </c>
      <c r="AH436" s="16" t="n">
        <v>0</v>
      </c>
      <c r="AI436" s="16" t="n">
        <v>0</v>
      </c>
      <c r="AJ436" s="16" t="n">
        <v>0</v>
      </c>
      <c r="AK436" s="16" t="n">
        <v>0</v>
      </c>
      <c r="AL436" s="16" t="n">
        <v>0</v>
      </c>
      <c r="AM436" s="16" t="n">
        <v>0</v>
      </c>
      <c r="AN436" s="16" t="n">
        <v>0</v>
      </c>
      <c r="AO436" s="16" t="n">
        <v>0</v>
      </c>
      <c r="AP436" s="16" t="n">
        <v>0</v>
      </c>
      <c r="AQ436" s="16" t="n">
        <v>0</v>
      </c>
      <c r="AR436" s="16" t="n">
        <v>0</v>
      </c>
      <c r="AS436" s="16" t="n">
        <v>0</v>
      </c>
      <c r="AT436" s="16" t="n">
        <v>0</v>
      </c>
      <c r="AU436" s="16" t="n">
        <v>0</v>
      </c>
      <c r="AV436" s="16" t="n">
        <v>0</v>
      </c>
      <c r="AW436" s="16" t="n">
        <v>0</v>
      </c>
      <c r="AX436" s="16" t="n">
        <v>0</v>
      </c>
      <c r="AY436" s="16" t="n">
        <v>0</v>
      </c>
      <c r="AZ436" s="16" t="n">
        <v>0</v>
      </c>
      <c r="BA436" s="16" t="n">
        <v>0</v>
      </c>
      <c r="BB436" s="16" t="n">
        <v>0</v>
      </c>
      <c r="BC436" s="16" t="n">
        <v>0</v>
      </c>
      <c r="BD436" s="16" t="n">
        <v>0</v>
      </c>
      <c r="BE436" s="16" t="n">
        <v>0</v>
      </c>
      <c r="BF436" s="16" t="n">
        <v>0</v>
      </c>
      <c r="BG436" s="16" t="n">
        <v>0</v>
      </c>
      <c r="BH436" s="16" t="n">
        <v>0</v>
      </c>
      <c r="BI436" s="16" t="n">
        <v>0</v>
      </c>
      <c r="BJ436" s="16" t="n">
        <v>0</v>
      </c>
      <c r="BK436" s="16" t="n">
        <v>0</v>
      </c>
      <c r="BL436" s="16" t="n">
        <v>0</v>
      </c>
      <c r="BM436" s="16" t="n">
        <v>0</v>
      </c>
      <c r="BN436" s="16" t="n">
        <v>0</v>
      </c>
      <c r="BO436" s="16" t="n">
        <v>0</v>
      </c>
      <c r="BP436" s="16" t="n">
        <v>0</v>
      </c>
      <c r="BQ436" s="16" t="n">
        <v>0</v>
      </c>
      <c r="BR436" s="16" t="n">
        <v>0</v>
      </c>
      <c r="BS436" s="16" t="n">
        <v>0</v>
      </c>
      <c r="BT436" s="16" t="n">
        <v>0</v>
      </c>
      <c r="BU436" s="16" t="n">
        <v>0</v>
      </c>
      <c r="BV436" s="16" t="n">
        <v>0</v>
      </c>
      <c r="BW436" s="16" t="n">
        <v>0</v>
      </c>
      <c r="BX436" s="16" t="n">
        <v>0</v>
      </c>
      <c r="BY436" s="16" t="n">
        <v>0</v>
      </c>
      <c r="BZ436" s="16" t="n">
        <v>0</v>
      </c>
      <c r="CA436" s="16" t="n">
        <v>0</v>
      </c>
      <c r="CB436" s="16" t="n">
        <v>0</v>
      </c>
      <c r="CC436" s="16" t="n">
        <v>0</v>
      </c>
      <c r="CD436" s="16" t="n">
        <v>0</v>
      </c>
      <c r="CE436" s="16" t="n">
        <v>0</v>
      </c>
      <c r="CF436" s="16" t="n">
        <v>0</v>
      </c>
      <c r="CG436" s="16" t="n">
        <v>0</v>
      </c>
      <c r="CH436" s="16" t="n">
        <v>0</v>
      </c>
      <c r="CI436" s="16" t="n">
        <v>0</v>
      </c>
      <c r="CJ436" s="16" t="n">
        <v>0</v>
      </c>
      <c r="CK436" s="16" t="n">
        <v>0</v>
      </c>
      <c r="CL436" s="16" t="n">
        <v>0</v>
      </c>
      <c r="CM436" s="16" t="n">
        <v>0</v>
      </c>
      <c r="CN436" s="16" t="n">
        <v>0</v>
      </c>
      <c r="CO436" s="16" t="n">
        <v>0</v>
      </c>
      <c r="CP436" s="16" t="n">
        <v>0</v>
      </c>
      <c r="CQ436" s="16" t="n">
        <v>0</v>
      </c>
      <c r="CR436" s="16" t="n">
        <v>0</v>
      </c>
      <c r="CS436" s="16" t="n">
        <v>6</v>
      </c>
      <c r="CT436" s="16" t="n">
        <v>0</v>
      </c>
      <c r="CU436" s="16" t="n">
        <v>6</v>
      </c>
      <c r="CV436" s="16" t="n">
        <v>0</v>
      </c>
      <c r="CW436" s="16" t="n">
        <v>0</v>
      </c>
      <c r="CX436" s="16" t="n">
        <v>0</v>
      </c>
      <c r="CY436" s="16" t="n">
        <v>0</v>
      </c>
      <c r="CZ436" s="16" t="n">
        <v>0</v>
      </c>
      <c r="DA436" s="16" t="n">
        <v>0</v>
      </c>
      <c r="DB436" s="16" t="n">
        <v>0</v>
      </c>
      <c r="DC436" s="16" t="n">
        <v>0</v>
      </c>
      <c r="DD436" s="16" t="n">
        <v>0</v>
      </c>
      <c r="DE436" s="16" t="n">
        <v>0</v>
      </c>
      <c r="DF436" s="16" t="n">
        <v>0</v>
      </c>
      <c r="DG436" s="16" t="n">
        <v>0</v>
      </c>
      <c r="DH436" s="16" t="n">
        <v>0</v>
      </c>
      <c r="DI436" s="16" t="n">
        <v>0</v>
      </c>
      <c r="DJ436" s="16" t="n">
        <v>0</v>
      </c>
      <c r="DK436" s="16" t="n">
        <v>0</v>
      </c>
      <c r="DL436" s="16" t="n">
        <v>0</v>
      </c>
      <c r="DM436" s="16" t="n">
        <v>8</v>
      </c>
      <c r="DN436" s="16" t="n">
        <v>8</v>
      </c>
      <c r="DO436" s="16" t="n">
        <v>15</v>
      </c>
      <c r="DP436" s="16" t="n">
        <v>15</v>
      </c>
      <c r="DQ436" s="16" t="n">
        <v>28</v>
      </c>
      <c r="DR436" s="16" t="n">
        <v>2</v>
      </c>
      <c r="DS436" s="16" t="n">
        <v>0</v>
      </c>
      <c r="DT436" s="16" t="n">
        <v>0</v>
      </c>
      <c r="DU436" s="16" t="n">
        <v>0</v>
      </c>
      <c r="DV436" s="16" t="n">
        <v>0</v>
      </c>
      <c r="DW436" s="16" t="n">
        <v>0</v>
      </c>
      <c r="DX436" s="16" t="n">
        <v>0</v>
      </c>
      <c r="DY436" s="16" t="n">
        <v>0</v>
      </c>
      <c r="DZ436" s="16" t="n">
        <v>0</v>
      </c>
      <c r="EA436" s="16" t="n">
        <v>0</v>
      </c>
      <c r="EB436" s="16" t="n">
        <v>0</v>
      </c>
      <c r="EC436" s="16" t="n">
        <v>0</v>
      </c>
      <c r="ED436" s="16" t="n">
        <v>0</v>
      </c>
      <c r="EE436" s="16" t="n">
        <v>0</v>
      </c>
      <c r="EF436" s="16" t="n">
        <v>0</v>
      </c>
    </row>
    <row r="437" customFormat="false" ht="15" hidden="false" customHeight="true" outlineLevel="0" collapsed="false">
      <c r="A437" s="9" t="s">
        <v>12</v>
      </c>
      <c r="B437" s="9" t="s">
        <v>346</v>
      </c>
      <c r="C437" s="9" t="s">
        <v>138</v>
      </c>
      <c r="D437" s="9" t="s">
        <v>342</v>
      </c>
      <c r="E437" s="9" t="s">
        <v>14</v>
      </c>
      <c r="F437" s="9" t="s">
        <v>100</v>
      </c>
      <c r="G437" s="16" t="n">
        <v>74</v>
      </c>
      <c r="H437" s="16" t="n">
        <v>210</v>
      </c>
      <c r="I437" s="16" t="n">
        <v>180</v>
      </c>
      <c r="J437" s="16" t="n">
        <v>30</v>
      </c>
      <c r="K437" s="16" t="n">
        <v>0</v>
      </c>
      <c r="L437" s="16" t="n">
        <v>0</v>
      </c>
      <c r="M437" s="16" t="n">
        <v>0</v>
      </c>
      <c r="N437" s="16" t="n">
        <v>0</v>
      </c>
      <c r="O437" s="16" t="n">
        <v>0</v>
      </c>
      <c r="P437" s="16" t="n">
        <v>0</v>
      </c>
      <c r="Q437" s="16" t="n">
        <v>0</v>
      </c>
      <c r="R437" s="16" t="n">
        <v>0</v>
      </c>
      <c r="S437" s="16" t="n">
        <v>0</v>
      </c>
      <c r="T437" s="16" t="n">
        <v>0</v>
      </c>
      <c r="U437" s="16" t="n">
        <v>0</v>
      </c>
      <c r="V437" s="16" t="n">
        <v>0</v>
      </c>
      <c r="W437" s="16" t="n">
        <v>0</v>
      </c>
      <c r="X437" s="16" t="n">
        <v>0</v>
      </c>
      <c r="Y437" s="16" t="n">
        <v>0</v>
      </c>
      <c r="Z437" s="16" t="n">
        <v>0</v>
      </c>
      <c r="AA437" s="16" t="n">
        <v>0</v>
      </c>
      <c r="AB437" s="16" t="n">
        <v>0</v>
      </c>
      <c r="AC437" s="16" t="n">
        <v>0</v>
      </c>
      <c r="AD437" s="16" t="n">
        <v>0</v>
      </c>
      <c r="AE437" s="16" t="n">
        <v>0</v>
      </c>
      <c r="AF437" s="16" t="n">
        <v>0</v>
      </c>
      <c r="AG437" s="16" t="n">
        <v>0</v>
      </c>
      <c r="AH437" s="16" t="n">
        <v>0</v>
      </c>
      <c r="AI437" s="16" t="n">
        <v>0</v>
      </c>
      <c r="AJ437" s="16" t="n">
        <v>0</v>
      </c>
      <c r="AK437" s="16" t="n">
        <v>0</v>
      </c>
      <c r="AL437" s="16" t="n">
        <v>0</v>
      </c>
      <c r="AM437" s="16" t="n">
        <v>0</v>
      </c>
      <c r="AN437" s="16" t="n">
        <v>0</v>
      </c>
      <c r="AO437" s="16" t="n">
        <v>0</v>
      </c>
      <c r="AP437" s="16" t="n">
        <v>0</v>
      </c>
      <c r="AQ437" s="16" t="n">
        <v>0</v>
      </c>
      <c r="AR437" s="16" t="n">
        <v>0</v>
      </c>
      <c r="AS437" s="16" t="n">
        <v>0</v>
      </c>
      <c r="AT437" s="16" t="n">
        <v>0</v>
      </c>
      <c r="AU437" s="16" t="n">
        <v>0</v>
      </c>
      <c r="AV437" s="16" t="n">
        <v>0</v>
      </c>
      <c r="AW437" s="16" t="n">
        <v>0</v>
      </c>
      <c r="AX437" s="16" t="n">
        <v>0</v>
      </c>
      <c r="AY437" s="16" t="n">
        <v>0</v>
      </c>
      <c r="AZ437" s="16" t="n">
        <v>0</v>
      </c>
      <c r="BA437" s="16" t="n">
        <v>0</v>
      </c>
      <c r="BB437" s="16" t="n">
        <v>0</v>
      </c>
      <c r="BC437" s="16" t="n">
        <v>0</v>
      </c>
      <c r="BD437" s="16" t="n">
        <v>0</v>
      </c>
      <c r="BE437" s="16" t="n">
        <v>0</v>
      </c>
      <c r="BF437" s="16" t="n">
        <v>0</v>
      </c>
      <c r="BG437" s="16" t="n">
        <v>0</v>
      </c>
      <c r="BH437" s="16" t="n">
        <v>0</v>
      </c>
      <c r="BI437" s="16" t="n">
        <v>0</v>
      </c>
      <c r="BJ437" s="16" t="n">
        <v>0</v>
      </c>
      <c r="BK437" s="16" t="n">
        <v>0</v>
      </c>
      <c r="BL437" s="16" t="n">
        <v>0</v>
      </c>
      <c r="BM437" s="16" t="n">
        <v>0</v>
      </c>
      <c r="BN437" s="16" t="n">
        <v>0</v>
      </c>
      <c r="BO437" s="16" t="n">
        <v>0</v>
      </c>
      <c r="BP437" s="16" t="n">
        <v>0</v>
      </c>
      <c r="BQ437" s="16" t="n">
        <v>0</v>
      </c>
      <c r="BR437" s="16" t="n">
        <v>0</v>
      </c>
      <c r="BS437" s="16" t="n">
        <v>0</v>
      </c>
      <c r="BT437" s="16" t="n">
        <v>0</v>
      </c>
      <c r="BU437" s="16" t="n">
        <v>0</v>
      </c>
      <c r="BV437" s="16" t="n">
        <v>0</v>
      </c>
      <c r="BW437" s="16" t="n">
        <v>0</v>
      </c>
      <c r="BX437" s="16" t="n">
        <v>0</v>
      </c>
      <c r="BY437" s="16" t="n">
        <v>0</v>
      </c>
      <c r="BZ437" s="16" t="n">
        <v>0</v>
      </c>
      <c r="CA437" s="16" t="n">
        <v>0</v>
      </c>
      <c r="CB437" s="16" t="n">
        <v>0</v>
      </c>
      <c r="CC437" s="16" t="n">
        <v>0</v>
      </c>
      <c r="CD437" s="16" t="n">
        <v>0</v>
      </c>
      <c r="CE437" s="16" t="n">
        <v>0</v>
      </c>
      <c r="CF437" s="16" t="n">
        <v>0</v>
      </c>
      <c r="CG437" s="16" t="n">
        <v>0</v>
      </c>
      <c r="CH437" s="16" t="n">
        <v>0</v>
      </c>
      <c r="CI437" s="16" t="n">
        <v>0</v>
      </c>
      <c r="CJ437" s="16" t="n">
        <v>0</v>
      </c>
      <c r="CK437" s="16" t="n">
        <v>0</v>
      </c>
      <c r="CL437" s="16" t="n">
        <v>0</v>
      </c>
      <c r="CM437" s="16" t="n">
        <v>0</v>
      </c>
      <c r="CN437" s="16" t="n">
        <v>0</v>
      </c>
      <c r="CO437" s="16" t="n">
        <v>0</v>
      </c>
      <c r="CP437" s="16" t="n">
        <v>0</v>
      </c>
      <c r="CQ437" s="16" t="n">
        <v>0</v>
      </c>
      <c r="CR437" s="16" t="n">
        <v>0</v>
      </c>
      <c r="CS437" s="16" t="n">
        <v>0</v>
      </c>
      <c r="CT437" s="16" t="n">
        <v>0</v>
      </c>
      <c r="CU437" s="16" t="n">
        <v>0</v>
      </c>
      <c r="CV437" s="16" t="n">
        <v>0</v>
      </c>
      <c r="CW437" s="16" t="n">
        <v>0</v>
      </c>
      <c r="CX437" s="16" t="n">
        <v>0</v>
      </c>
      <c r="CY437" s="16" t="n">
        <v>0</v>
      </c>
      <c r="CZ437" s="16" t="n">
        <v>0</v>
      </c>
      <c r="DA437" s="16" t="n">
        <v>0</v>
      </c>
      <c r="DB437" s="16" t="n">
        <v>0</v>
      </c>
      <c r="DC437" s="16" t="n">
        <v>0</v>
      </c>
      <c r="DD437" s="16" t="n">
        <v>0</v>
      </c>
      <c r="DE437" s="16" t="n">
        <v>0</v>
      </c>
      <c r="DF437" s="16" t="n">
        <v>0</v>
      </c>
      <c r="DG437" s="16" t="n">
        <v>0</v>
      </c>
      <c r="DH437" s="16" t="n">
        <v>0</v>
      </c>
      <c r="DI437" s="16" t="n">
        <v>0</v>
      </c>
      <c r="DJ437" s="16" t="n">
        <v>0</v>
      </c>
      <c r="DK437" s="16" t="n">
        <v>0</v>
      </c>
      <c r="DL437" s="16" t="n">
        <v>10</v>
      </c>
      <c r="DM437" s="16" t="n">
        <v>15</v>
      </c>
      <c r="DN437" s="16" t="n">
        <v>25</v>
      </c>
      <c r="DO437" s="16" t="n">
        <v>25</v>
      </c>
      <c r="DP437" s="16" t="n">
        <v>35</v>
      </c>
      <c r="DQ437" s="16" t="n">
        <v>35</v>
      </c>
      <c r="DR437" s="16" t="n">
        <v>35</v>
      </c>
      <c r="DS437" s="16" t="n">
        <v>0</v>
      </c>
      <c r="DT437" s="16" t="n">
        <v>0</v>
      </c>
      <c r="DU437" s="16" t="n">
        <v>0</v>
      </c>
      <c r="DV437" s="16" t="n">
        <v>0</v>
      </c>
      <c r="DW437" s="16" t="n">
        <v>0</v>
      </c>
      <c r="DX437" s="16" t="n">
        <v>0</v>
      </c>
      <c r="DY437" s="16" t="n">
        <v>0</v>
      </c>
      <c r="DZ437" s="16" t="n">
        <v>0</v>
      </c>
      <c r="EA437" s="16" t="n">
        <v>0</v>
      </c>
      <c r="EB437" s="16" t="n">
        <v>0</v>
      </c>
      <c r="EC437" s="16" t="n">
        <v>0</v>
      </c>
      <c r="ED437" s="16" t="n">
        <v>0</v>
      </c>
      <c r="EE437" s="16" t="n">
        <v>0</v>
      </c>
      <c r="EF437" s="16" t="n">
        <v>0</v>
      </c>
    </row>
    <row r="438" customFormat="false" ht="15" hidden="false" customHeight="true" outlineLevel="0" collapsed="false">
      <c r="A438" s="9" t="s">
        <v>12</v>
      </c>
      <c r="B438" s="9" t="s">
        <v>347</v>
      </c>
      <c r="C438" s="9" t="s">
        <v>138</v>
      </c>
      <c r="D438" s="9" t="s">
        <v>341</v>
      </c>
      <c r="E438" s="9" t="s">
        <v>16</v>
      </c>
      <c r="F438" s="9" t="s">
        <v>105</v>
      </c>
      <c r="G438" s="16" t="n">
        <v>4</v>
      </c>
      <c r="H438" s="16" t="n">
        <v>20</v>
      </c>
      <c r="I438" s="16" t="n">
        <v>16</v>
      </c>
      <c r="J438" s="16" t="n">
        <v>4</v>
      </c>
      <c r="K438" s="16" t="n">
        <v>0</v>
      </c>
      <c r="L438" s="16" t="n">
        <v>0</v>
      </c>
      <c r="M438" s="16" t="n">
        <v>0</v>
      </c>
      <c r="N438" s="16" t="n">
        <v>0</v>
      </c>
      <c r="O438" s="16" t="n">
        <v>0</v>
      </c>
      <c r="P438" s="16" t="n">
        <v>0</v>
      </c>
      <c r="Q438" s="16" t="n">
        <v>0</v>
      </c>
      <c r="R438" s="16" t="n">
        <v>0</v>
      </c>
      <c r="S438" s="16" t="n">
        <v>0</v>
      </c>
      <c r="T438" s="16" t="n">
        <v>0</v>
      </c>
      <c r="U438" s="16" t="n">
        <v>0</v>
      </c>
      <c r="V438" s="16" t="n">
        <v>0</v>
      </c>
      <c r="W438" s="16" t="n">
        <v>0</v>
      </c>
      <c r="X438" s="16" t="n">
        <v>0</v>
      </c>
      <c r="Y438" s="16" t="n">
        <v>0</v>
      </c>
      <c r="Z438" s="16" t="n">
        <v>0</v>
      </c>
      <c r="AA438" s="16" t="n">
        <v>0</v>
      </c>
      <c r="AB438" s="16" t="n">
        <v>0</v>
      </c>
      <c r="AC438" s="16" t="n">
        <v>0</v>
      </c>
      <c r="AD438" s="16" t="n">
        <v>0</v>
      </c>
      <c r="AE438" s="16" t="n">
        <v>0</v>
      </c>
      <c r="AF438" s="16" t="n">
        <v>0</v>
      </c>
      <c r="AG438" s="16" t="n">
        <v>0</v>
      </c>
      <c r="AH438" s="16" t="n">
        <v>0</v>
      </c>
      <c r="AI438" s="16" t="n">
        <v>0</v>
      </c>
      <c r="AJ438" s="16" t="n">
        <v>0</v>
      </c>
      <c r="AK438" s="16" t="n">
        <v>0</v>
      </c>
      <c r="AL438" s="16" t="n">
        <v>0</v>
      </c>
      <c r="AM438" s="16" t="n">
        <v>0</v>
      </c>
      <c r="AN438" s="16" t="n">
        <v>0</v>
      </c>
      <c r="AO438" s="16" t="n">
        <v>0</v>
      </c>
      <c r="AP438" s="16" t="n">
        <v>0</v>
      </c>
      <c r="AQ438" s="16" t="n">
        <v>0</v>
      </c>
      <c r="AR438" s="16" t="n">
        <v>0</v>
      </c>
      <c r="AS438" s="16" t="n">
        <v>0</v>
      </c>
      <c r="AT438" s="16" t="n">
        <v>0</v>
      </c>
      <c r="AU438" s="16" t="n">
        <v>0</v>
      </c>
      <c r="AV438" s="16" t="n">
        <v>0</v>
      </c>
      <c r="AW438" s="16" t="n">
        <v>0</v>
      </c>
      <c r="AX438" s="16" t="n">
        <v>0</v>
      </c>
      <c r="AY438" s="16" t="n">
        <v>0</v>
      </c>
      <c r="AZ438" s="16" t="n">
        <v>0</v>
      </c>
      <c r="BA438" s="16" t="n">
        <v>0</v>
      </c>
      <c r="BB438" s="16" t="n">
        <v>0</v>
      </c>
      <c r="BC438" s="16" t="n">
        <v>0</v>
      </c>
      <c r="BD438" s="16" t="n">
        <v>0</v>
      </c>
      <c r="BE438" s="16" t="n">
        <v>0</v>
      </c>
      <c r="BF438" s="16" t="n">
        <v>0</v>
      </c>
      <c r="BG438" s="16" t="n">
        <v>0</v>
      </c>
      <c r="BH438" s="16" t="n">
        <v>0</v>
      </c>
      <c r="BI438" s="16" t="n">
        <v>0</v>
      </c>
      <c r="BJ438" s="16" t="n">
        <v>0</v>
      </c>
      <c r="BK438" s="16" t="n">
        <v>0</v>
      </c>
      <c r="BL438" s="16" t="n">
        <v>0</v>
      </c>
      <c r="BM438" s="16" t="n">
        <v>0</v>
      </c>
      <c r="BN438" s="16" t="n">
        <v>0</v>
      </c>
      <c r="BO438" s="16" t="n">
        <v>0</v>
      </c>
      <c r="BP438" s="16" t="n">
        <v>0</v>
      </c>
      <c r="BQ438" s="16" t="n">
        <v>0</v>
      </c>
      <c r="BR438" s="16" t="n">
        <v>0</v>
      </c>
      <c r="BS438" s="16" t="n">
        <v>0</v>
      </c>
      <c r="BT438" s="16" t="n">
        <v>0</v>
      </c>
      <c r="BU438" s="16" t="n">
        <v>0</v>
      </c>
      <c r="BV438" s="16" t="n">
        <v>0</v>
      </c>
      <c r="BW438" s="16" t="n">
        <v>0</v>
      </c>
      <c r="BX438" s="16" t="n">
        <v>0</v>
      </c>
      <c r="BY438" s="16" t="n">
        <v>0</v>
      </c>
      <c r="BZ438" s="16" t="n">
        <v>0</v>
      </c>
      <c r="CA438" s="16" t="n">
        <v>0</v>
      </c>
      <c r="CB438" s="16" t="n">
        <v>0</v>
      </c>
      <c r="CC438" s="16" t="n">
        <v>0</v>
      </c>
      <c r="CD438" s="16" t="n">
        <v>0</v>
      </c>
      <c r="CE438" s="16" t="n">
        <v>0</v>
      </c>
      <c r="CF438" s="16" t="n">
        <v>0</v>
      </c>
      <c r="CG438" s="16" t="n">
        <v>0</v>
      </c>
      <c r="CH438" s="16" t="n">
        <v>0</v>
      </c>
      <c r="CI438" s="16" t="n">
        <v>0</v>
      </c>
      <c r="CJ438" s="16" t="n">
        <v>0</v>
      </c>
      <c r="CK438" s="16" t="n">
        <v>0</v>
      </c>
      <c r="CL438" s="16" t="n">
        <v>0</v>
      </c>
      <c r="CM438" s="16" t="n">
        <v>0</v>
      </c>
      <c r="CN438" s="16" t="n">
        <v>0</v>
      </c>
      <c r="CO438" s="16" t="n">
        <v>0</v>
      </c>
      <c r="CP438" s="16" t="n">
        <v>0</v>
      </c>
      <c r="CQ438" s="16" t="n">
        <v>0</v>
      </c>
      <c r="CR438" s="16" t="n">
        <v>0</v>
      </c>
      <c r="CS438" s="16" t="n">
        <v>0</v>
      </c>
      <c r="CT438" s="16" t="n">
        <v>0</v>
      </c>
      <c r="CU438" s="16" t="n">
        <v>0</v>
      </c>
      <c r="CV438" s="16" t="n">
        <v>0</v>
      </c>
      <c r="CW438" s="16" t="n">
        <v>0</v>
      </c>
      <c r="CX438" s="16" t="n">
        <v>0</v>
      </c>
      <c r="CY438" s="16" t="n">
        <v>0</v>
      </c>
      <c r="CZ438" s="16" t="n">
        <v>0</v>
      </c>
      <c r="DA438" s="16" t="n">
        <v>0</v>
      </c>
      <c r="DB438" s="16" t="n">
        <v>0</v>
      </c>
      <c r="DC438" s="16" t="n">
        <v>0</v>
      </c>
      <c r="DD438" s="16" t="n">
        <v>0</v>
      </c>
      <c r="DE438" s="16" t="n">
        <v>0</v>
      </c>
      <c r="DF438" s="16" t="n">
        <v>0</v>
      </c>
      <c r="DG438" s="16" t="n">
        <v>0</v>
      </c>
      <c r="DH438" s="16" t="n">
        <v>0</v>
      </c>
      <c r="DI438" s="16" t="n">
        <v>0</v>
      </c>
      <c r="DJ438" s="16" t="n">
        <v>0</v>
      </c>
      <c r="DK438" s="16" t="n">
        <v>0</v>
      </c>
      <c r="DL438" s="16" t="n">
        <v>0</v>
      </c>
      <c r="DM438" s="16" t="n">
        <v>0</v>
      </c>
      <c r="DN438" s="16" t="n">
        <v>4</v>
      </c>
      <c r="DO438" s="16" t="n">
        <v>4</v>
      </c>
      <c r="DP438" s="16" t="n">
        <v>4</v>
      </c>
      <c r="DQ438" s="16" t="n">
        <v>4</v>
      </c>
      <c r="DR438" s="16" t="n">
        <v>0</v>
      </c>
      <c r="DS438" s="16" t="n">
        <v>0</v>
      </c>
      <c r="DT438" s="16" t="n">
        <v>0</v>
      </c>
      <c r="DU438" s="16" t="n">
        <v>0</v>
      </c>
      <c r="DV438" s="16" t="n">
        <v>0</v>
      </c>
      <c r="DW438" s="16" t="n">
        <v>0</v>
      </c>
      <c r="DX438" s="16" t="n">
        <v>0</v>
      </c>
      <c r="DY438" s="16" t="n">
        <v>0</v>
      </c>
      <c r="DZ438" s="16" t="n">
        <v>0</v>
      </c>
      <c r="EA438" s="16" t="n">
        <v>0</v>
      </c>
      <c r="EB438" s="16" t="n">
        <v>0</v>
      </c>
      <c r="EC438" s="16" t="n">
        <v>0</v>
      </c>
      <c r="ED438" s="16" t="n">
        <v>0</v>
      </c>
      <c r="EE438" s="16" t="n">
        <v>0</v>
      </c>
      <c r="EF438" s="16" t="n">
        <v>0</v>
      </c>
    </row>
    <row r="439" customFormat="false" ht="15" hidden="false" customHeight="true" outlineLevel="0" collapsed="false">
      <c r="A439" s="9" t="s">
        <v>12</v>
      </c>
      <c r="B439" s="9" t="s">
        <v>348</v>
      </c>
      <c r="C439" s="9" t="s">
        <v>349</v>
      </c>
      <c r="D439" s="9" t="s">
        <v>337</v>
      </c>
      <c r="E439" s="9" t="s">
        <v>10</v>
      </c>
      <c r="F439" s="9" t="s">
        <v>105</v>
      </c>
      <c r="G439" s="16" t="n">
        <v>16</v>
      </c>
      <c r="H439" s="16" t="n">
        <v>80</v>
      </c>
      <c r="I439" s="16" t="n">
        <v>64</v>
      </c>
      <c r="J439" s="16" t="n">
        <v>16</v>
      </c>
      <c r="K439" s="16" t="n">
        <v>0</v>
      </c>
      <c r="L439" s="16" t="n">
        <v>0</v>
      </c>
      <c r="M439" s="16" t="n">
        <v>0</v>
      </c>
      <c r="N439" s="16" t="n">
        <v>0</v>
      </c>
      <c r="O439" s="16" t="n">
        <v>0</v>
      </c>
      <c r="P439" s="16" t="n">
        <v>0</v>
      </c>
      <c r="Q439" s="16" t="n">
        <v>0</v>
      </c>
      <c r="R439" s="16" t="n">
        <v>0</v>
      </c>
      <c r="S439" s="16" t="n">
        <v>0</v>
      </c>
      <c r="T439" s="16" t="n">
        <v>0</v>
      </c>
      <c r="U439" s="16" t="n">
        <v>0</v>
      </c>
      <c r="V439" s="16" t="n">
        <v>0</v>
      </c>
      <c r="W439" s="16" t="n">
        <v>0</v>
      </c>
      <c r="X439" s="16" t="n">
        <v>0</v>
      </c>
      <c r="Y439" s="16" t="n">
        <v>0</v>
      </c>
      <c r="Z439" s="16" t="n">
        <v>0</v>
      </c>
      <c r="AA439" s="16" t="n">
        <v>0</v>
      </c>
      <c r="AB439" s="16" t="n">
        <v>0</v>
      </c>
      <c r="AC439" s="16" t="n">
        <v>0</v>
      </c>
      <c r="AD439" s="16" t="n">
        <v>0</v>
      </c>
      <c r="AE439" s="16" t="n">
        <v>0</v>
      </c>
      <c r="AF439" s="16" t="n">
        <v>0</v>
      </c>
      <c r="AG439" s="16" t="n">
        <v>0</v>
      </c>
      <c r="AH439" s="16" t="n">
        <v>0</v>
      </c>
      <c r="AI439" s="16" t="n">
        <v>0</v>
      </c>
      <c r="AJ439" s="16" t="n">
        <v>0</v>
      </c>
      <c r="AK439" s="16" t="n">
        <v>0</v>
      </c>
      <c r="AL439" s="16" t="n">
        <v>0</v>
      </c>
      <c r="AM439" s="16" t="n">
        <v>0</v>
      </c>
      <c r="AN439" s="16" t="n">
        <v>0</v>
      </c>
      <c r="AO439" s="16" t="n">
        <v>0</v>
      </c>
      <c r="AP439" s="16" t="n">
        <v>0</v>
      </c>
      <c r="AQ439" s="16" t="n">
        <v>0</v>
      </c>
      <c r="AR439" s="16" t="n">
        <v>0</v>
      </c>
      <c r="AS439" s="16" t="n">
        <v>0</v>
      </c>
      <c r="AT439" s="16" t="n">
        <v>0</v>
      </c>
      <c r="AU439" s="16" t="n">
        <v>0</v>
      </c>
      <c r="AV439" s="16" t="n">
        <v>0</v>
      </c>
      <c r="AW439" s="16" t="n">
        <v>0</v>
      </c>
      <c r="AX439" s="16" t="n">
        <v>0</v>
      </c>
      <c r="AY439" s="16" t="n">
        <v>0</v>
      </c>
      <c r="AZ439" s="16" t="n">
        <v>0</v>
      </c>
      <c r="BA439" s="16" t="n">
        <v>0</v>
      </c>
      <c r="BB439" s="16" t="n">
        <v>0</v>
      </c>
      <c r="BC439" s="16" t="n">
        <v>0</v>
      </c>
      <c r="BD439" s="16" t="n">
        <v>0</v>
      </c>
      <c r="BE439" s="16" t="n">
        <v>0</v>
      </c>
      <c r="BF439" s="16" t="n">
        <v>0</v>
      </c>
      <c r="BG439" s="16" t="n">
        <v>0</v>
      </c>
      <c r="BH439" s="16" t="n">
        <v>0</v>
      </c>
      <c r="BI439" s="16" t="n">
        <v>0</v>
      </c>
      <c r="BJ439" s="16" t="n">
        <v>0</v>
      </c>
      <c r="BK439" s="16" t="n">
        <v>0</v>
      </c>
      <c r="BL439" s="16" t="n">
        <v>0</v>
      </c>
      <c r="BM439" s="16" t="n">
        <v>0</v>
      </c>
      <c r="BN439" s="16" t="n">
        <v>0</v>
      </c>
      <c r="BO439" s="16" t="n">
        <v>0</v>
      </c>
      <c r="BP439" s="16" t="n">
        <v>0</v>
      </c>
      <c r="BQ439" s="16" t="n">
        <v>0</v>
      </c>
      <c r="BR439" s="16" t="n">
        <v>0</v>
      </c>
      <c r="BS439" s="16" t="n">
        <v>0</v>
      </c>
      <c r="BT439" s="16" t="n">
        <v>0</v>
      </c>
      <c r="BU439" s="16" t="n">
        <v>0</v>
      </c>
      <c r="BV439" s="16" t="n">
        <v>0</v>
      </c>
      <c r="BW439" s="16" t="n">
        <v>0</v>
      </c>
      <c r="BX439" s="16" t="n">
        <v>0</v>
      </c>
      <c r="BY439" s="16" t="n">
        <v>0</v>
      </c>
      <c r="BZ439" s="16" t="n">
        <v>0</v>
      </c>
      <c r="CA439" s="16" t="n">
        <v>0</v>
      </c>
      <c r="CB439" s="16" t="n">
        <v>0</v>
      </c>
      <c r="CC439" s="16" t="n">
        <v>0</v>
      </c>
      <c r="CD439" s="16" t="n">
        <v>0</v>
      </c>
      <c r="CE439" s="16" t="n">
        <v>0</v>
      </c>
      <c r="CF439" s="16" t="n">
        <v>0</v>
      </c>
      <c r="CG439" s="16" t="n">
        <v>0</v>
      </c>
      <c r="CH439" s="16" t="n">
        <v>0</v>
      </c>
      <c r="CI439" s="16" t="n">
        <v>0</v>
      </c>
      <c r="CJ439" s="16" t="n">
        <v>0</v>
      </c>
      <c r="CK439" s="16" t="n">
        <v>0</v>
      </c>
      <c r="CL439" s="16" t="n">
        <v>0</v>
      </c>
      <c r="CM439" s="16" t="n">
        <v>0</v>
      </c>
      <c r="CN439" s="16" t="n">
        <v>0</v>
      </c>
      <c r="CO439" s="16" t="n">
        <v>0</v>
      </c>
      <c r="CP439" s="16" t="n">
        <v>0</v>
      </c>
      <c r="CQ439" s="16" t="n">
        <v>0</v>
      </c>
      <c r="CR439" s="16" t="n">
        <v>0</v>
      </c>
      <c r="CS439" s="16" t="n">
        <v>0</v>
      </c>
      <c r="CT439" s="16" t="n">
        <v>0</v>
      </c>
      <c r="CU439" s="16" t="n">
        <v>0</v>
      </c>
      <c r="CV439" s="16" t="n">
        <v>0</v>
      </c>
      <c r="CW439" s="16" t="n">
        <v>0</v>
      </c>
      <c r="CX439" s="16" t="n">
        <v>0</v>
      </c>
      <c r="CY439" s="16" t="n">
        <v>0</v>
      </c>
      <c r="CZ439" s="16" t="n">
        <v>0</v>
      </c>
      <c r="DA439" s="16" t="n">
        <v>0</v>
      </c>
      <c r="DB439" s="16" t="n">
        <v>0</v>
      </c>
      <c r="DC439" s="16" t="n">
        <v>0</v>
      </c>
      <c r="DD439" s="16" t="n">
        <v>0</v>
      </c>
      <c r="DE439" s="16" t="n">
        <v>0</v>
      </c>
      <c r="DF439" s="16" t="n">
        <v>0</v>
      </c>
      <c r="DG439" s="16" t="n">
        <v>0</v>
      </c>
      <c r="DH439" s="16" t="n">
        <v>0</v>
      </c>
      <c r="DI439" s="16" t="n">
        <v>0</v>
      </c>
      <c r="DJ439" s="16" t="n">
        <v>0</v>
      </c>
      <c r="DK439" s="16" t="n">
        <v>0</v>
      </c>
      <c r="DL439" s="16" t="n">
        <v>0</v>
      </c>
      <c r="DM439" s="16" t="n">
        <v>0</v>
      </c>
      <c r="DN439" s="16" t="n">
        <v>16</v>
      </c>
      <c r="DO439" s="16" t="n">
        <v>16</v>
      </c>
      <c r="DP439" s="16" t="n">
        <v>16</v>
      </c>
      <c r="DQ439" s="16" t="n">
        <v>16</v>
      </c>
      <c r="DR439" s="16" t="n">
        <v>0</v>
      </c>
      <c r="DS439" s="16" t="n">
        <v>0</v>
      </c>
      <c r="DT439" s="16" t="n">
        <v>0</v>
      </c>
      <c r="DU439" s="16" t="n">
        <v>0</v>
      </c>
      <c r="DV439" s="16" t="n">
        <v>0</v>
      </c>
      <c r="DW439" s="16" t="n">
        <v>0</v>
      </c>
      <c r="DX439" s="16" t="n">
        <v>0</v>
      </c>
      <c r="DY439" s="16" t="n">
        <v>0</v>
      </c>
      <c r="DZ439" s="16" t="n">
        <v>0</v>
      </c>
      <c r="EA439" s="16" t="n">
        <v>0</v>
      </c>
      <c r="EB439" s="16" t="n">
        <v>0</v>
      </c>
      <c r="EC439" s="16" t="n">
        <v>0</v>
      </c>
      <c r="ED439" s="16" t="n">
        <v>0</v>
      </c>
      <c r="EE439" s="16" t="n">
        <v>0</v>
      </c>
      <c r="EF439" s="16" t="n">
        <v>0</v>
      </c>
    </row>
    <row r="440" customFormat="false" ht="15" hidden="false" customHeight="true" outlineLevel="0" collapsed="false">
      <c r="A440" s="9" t="s">
        <v>12</v>
      </c>
      <c r="B440" s="9" t="s">
        <v>350</v>
      </c>
      <c r="C440" s="9" t="s">
        <v>351</v>
      </c>
      <c r="D440" s="9" t="s">
        <v>342</v>
      </c>
      <c r="E440" s="9" t="s">
        <v>14</v>
      </c>
      <c r="F440" s="9" t="s">
        <v>105</v>
      </c>
      <c r="G440" s="16" t="n">
        <v>40</v>
      </c>
      <c r="H440" s="16" t="n">
        <v>200</v>
      </c>
      <c r="I440" s="16" t="n">
        <v>160</v>
      </c>
      <c r="J440" s="16" t="n">
        <v>40</v>
      </c>
      <c r="K440" s="16" t="n">
        <v>0</v>
      </c>
      <c r="L440" s="16" t="n">
        <v>0</v>
      </c>
      <c r="M440" s="16" t="n">
        <v>0</v>
      </c>
      <c r="N440" s="16" t="n">
        <v>0</v>
      </c>
      <c r="O440" s="16" t="n">
        <v>0</v>
      </c>
      <c r="P440" s="16" t="n">
        <v>0</v>
      </c>
      <c r="Q440" s="16" t="n">
        <v>0</v>
      </c>
      <c r="R440" s="16" t="n">
        <v>0</v>
      </c>
      <c r="S440" s="16" t="n">
        <v>0</v>
      </c>
      <c r="T440" s="16" t="n">
        <v>0</v>
      </c>
      <c r="U440" s="16" t="n">
        <v>0</v>
      </c>
      <c r="V440" s="16" t="n">
        <v>0</v>
      </c>
      <c r="W440" s="16" t="n">
        <v>0</v>
      </c>
      <c r="X440" s="16" t="n">
        <v>0</v>
      </c>
      <c r="Y440" s="16" t="n">
        <v>0</v>
      </c>
      <c r="Z440" s="16" t="n">
        <v>0</v>
      </c>
      <c r="AA440" s="16" t="n">
        <v>0</v>
      </c>
      <c r="AB440" s="16" t="n">
        <v>0</v>
      </c>
      <c r="AC440" s="16" t="n">
        <v>0</v>
      </c>
      <c r="AD440" s="16" t="n">
        <v>0</v>
      </c>
      <c r="AE440" s="16" t="n">
        <v>0</v>
      </c>
      <c r="AF440" s="16" t="n">
        <v>0</v>
      </c>
      <c r="AG440" s="16" t="n">
        <v>0</v>
      </c>
      <c r="AH440" s="16" t="n">
        <v>0</v>
      </c>
      <c r="AI440" s="16" t="n">
        <v>0</v>
      </c>
      <c r="AJ440" s="16" t="n">
        <v>0</v>
      </c>
      <c r="AK440" s="16" t="n">
        <v>0</v>
      </c>
      <c r="AL440" s="16" t="n">
        <v>0</v>
      </c>
      <c r="AM440" s="16" t="n">
        <v>0</v>
      </c>
      <c r="AN440" s="16" t="n">
        <v>0</v>
      </c>
      <c r="AO440" s="16" t="n">
        <v>0</v>
      </c>
      <c r="AP440" s="16" t="n">
        <v>0</v>
      </c>
      <c r="AQ440" s="16" t="n">
        <v>0</v>
      </c>
      <c r="AR440" s="16" t="n">
        <v>0</v>
      </c>
      <c r="AS440" s="16" t="n">
        <v>0</v>
      </c>
      <c r="AT440" s="16" t="n">
        <v>0</v>
      </c>
      <c r="AU440" s="16" t="n">
        <v>0</v>
      </c>
      <c r="AV440" s="16" t="n">
        <v>0</v>
      </c>
      <c r="AW440" s="16" t="n">
        <v>0</v>
      </c>
      <c r="AX440" s="16" t="n">
        <v>0</v>
      </c>
      <c r="AY440" s="16" t="n">
        <v>0</v>
      </c>
      <c r="AZ440" s="16" t="n">
        <v>0</v>
      </c>
      <c r="BA440" s="16" t="n">
        <v>0</v>
      </c>
      <c r="BB440" s="16" t="n">
        <v>0</v>
      </c>
      <c r="BC440" s="16" t="n">
        <v>0</v>
      </c>
      <c r="BD440" s="16" t="n">
        <v>0</v>
      </c>
      <c r="BE440" s="16" t="n">
        <v>0</v>
      </c>
      <c r="BF440" s="16" t="n">
        <v>0</v>
      </c>
      <c r="BG440" s="16" t="n">
        <v>0</v>
      </c>
      <c r="BH440" s="16" t="n">
        <v>0</v>
      </c>
      <c r="BI440" s="16" t="n">
        <v>0</v>
      </c>
      <c r="BJ440" s="16" t="n">
        <v>0</v>
      </c>
      <c r="BK440" s="16" t="n">
        <v>0</v>
      </c>
      <c r="BL440" s="16" t="n">
        <v>0</v>
      </c>
      <c r="BM440" s="16" t="n">
        <v>0</v>
      </c>
      <c r="BN440" s="16" t="n">
        <v>0</v>
      </c>
      <c r="BO440" s="16" t="n">
        <v>0</v>
      </c>
      <c r="BP440" s="16" t="n">
        <v>0</v>
      </c>
      <c r="BQ440" s="16" t="n">
        <v>0</v>
      </c>
      <c r="BR440" s="16" t="n">
        <v>0</v>
      </c>
      <c r="BS440" s="16" t="n">
        <v>0</v>
      </c>
      <c r="BT440" s="16" t="n">
        <v>0</v>
      </c>
      <c r="BU440" s="16" t="n">
        <v>0</v>
      </c>
      <c r="BV440" s="16" t="n">
        <v>0</v>
      </c>
      <c r="BW440" s="16" t="n">
        <v>0</v>
      </c>
      <c r="BX440" s="16" t="n">
        <v>0</v>
      </c>
      <c r="BY440" s="16" t="n">
        <v>0</v>
      </c>
      <c r="BZ440" s="16" t="n">
        <v>0</v>
      </c>
      <c r="CA440" s="16" t="n">
        <v>0</v>
      </c>
      <c r="CB440" s="16" t="n">
        <v>0</v>
      </c>
      <c r="CC440" s="16" t="n">
        <v>0</v>
      </c>
      <c r="CD440" s="16" t="n">
        <v>0</v>
      </c>
      <c r="CE440" s="16" t="n">
        <v>0</v>
      </c>
      <c r="CF440" s="16" t="n">
        <v>0</v>
      </c>
      <c r="CG440" s="16" t="n">
        <v>0</v>
      </c>
      <c r="CH440" s="16" t="n">
        <v>0</v>
      </c>
      <c r="CI440" s="16" t="n">
        <v>0</v>
      </c>
      <c r="CJ440" s="16" t="n">
        <v>0</v>
      </c>
      <c r="CK440" s="16" t="n">
        <v>0</v>
      </c>
      <c r="CL440" s="16" t="n">
        <v>0</v>
      </c>
      <c r="CM440" s="16" t="n">
        <v>0</v>
      </c>
      <c r="CN440" s="16" t="n">
        <v>0</v>
      </c>
      <c r="CO440" s="16" t="n">
        <v>0</v>
      </c>
      <c r="CP440" s="16" t="n">
        <v>0</v>
      </c>
      <c r="CQ440" s="16" t="n">
        <v>0</v>
      </c>
      <c r="CR440" s="16" t="n">
        <v>0</v>
      </c>
      <c r="CS440" s="16" t="n">
        <v>0</v>
      </c>
      <c r="CT440" s="16" t="n">
        <v>0</v>
      </c>
      <c r="CU440" s="16" t="n">
        <v>0</v>
      </c>
      <c r="CV440" s="16" t="n">
        <v>0</v>
      </c>
      <c r="CW440" s="16" t="n">
        <v>0</v>
      </c>
      <c r="CX440" s="16" t="n">
        <v>0</v>
      </c>
      <c r="CY440" s="16" t="n">
        <v>0</v>
      </c>
      <c r="CZ440" s="16" t="n">
        <v>0</v>
      </c>
      <c r="DA440" s="16" t="n">
        <v>0</v>
      </c>
      <c r="DB440" s="16" t="n">
        <v>0</v>
      </c>
      <c r="DC440" s="16" t="n">
        <v>0</v>
      </c>
      <c r="DD440" s="16" t="n">
        <v>0</v>
      </c>
      <c r="DE440" s="16" t="n">
        <v>0</v>
      </c>
      <c r="DF440" s="16" t="n">
        <v>0</v>
      </c>
      <c r="DG440" s="16" t="n">
        <v>0</v>
      </c>
      <c r="DH440" s="16" t="n">
        <v>0</v>
      </c>
      <c r="DI440" s="16" t="n">
        <v>0</v>
      </c>
      <c r="DJ440" s="16" t="n">
        <v>0</v>
      </c>
      <c r="DK440" s="16" t="n">
        <v>0</v>
      </c>
      <c r="DL440" s="16" t="n">
        <v>0</v>
      </c>
      <c r="DM440" s="16" t="n">
        <v>0</v>
      </c>
      <c r="DN440" s="16" t="n">
        <v>40</v>
      </c>
      <c r="DO440" s="16" t="n">
        <v>40</v>
      </c>
      <c r="DP440" s="16" t="n">
        <v>40</v>
      </c>
      <c r="DQ440" s="16" t="n">
        <v>40</v>
      </c>
      <c r="DR440" s="16" t="n">
        <v>0</v>
      </c>
      <c r="DS440" s="16" t="n">
        <v>0</v>
      </c>
      <c r="DT440" s="16" t="n">
        <v>0</v>
      </c>
      <c r="DU440" s="16" t="n">
        <v>0</v>
      </c>
      <c r="DV440" s="16" t="n">
        <v>0</v>
      </c>
      <c r="DW440" s="16" t="n">
        <v>0</v>
      </c>
      <c r="DX440" s="16" t="n">
        <v>0</v>
      </c>
      <c r="DY440" s="16" t="n">
        <v>0</v>
      </c>
      <c r="DZ440" s="16" t="n">
        <v>0</v>
      </c>
      <c r="EA440" s="16" t="n">
        <v>0</v>
      </c>
      <c r="EB440" s="16" t="n">
        <v>0</v>
      </c>
      <c r="EC440" s="16" t="n">
        <v>0</v>
      </c>
      <c r="ED440" s="16" t="n">
        <v>0</v>
      </c>
      <c r="EE440" s="16" t="n">
        <v>0</v>
      </c>
      <c r="EF440" s="16" t="n">
        <v>0</v>
      </c>
    </row>
    <row r="441" customFormat="false" ht="15" hidden="false" customHeight="true" outlineLevel="0" collapsed="false">
      <c r="A441" s="9" t="s">
        <v>12</v>
      </c>
      <c r="B441" s="9" t="s">
        <v>352</v>
      </c>
      <c r="C441" s="9" t="s">
        <v>353</v>
      </c>
      <c r="D441" s="9" t="s">
        <v>337</v>
      </c>
      <c r="E441" s="9" t="s">
        <v>10</v>
      </c>
      <c r="F441" s="9" t="s">
        <v>88</v>
      </c>
      <c r="G441" s="16" t="n">
        <v>0</v>
      </c>
      <c r="H441" s="16" t="n">
        <v>20</v>
      </c>
      <c r="I441" s="16" t="n">
        <v>20</v>
      </c>
      <c r="J441" s="16" t="n">
        <v>0</v>
      </c>
      <c r="K441" s="16" t="n">
        <v>0</v>
      </c>
      <c r="L441" s="16" t="n">
        <v>0</v>
      </c>
      <c r="M441" s="16" t="n">
        <v>0</v>
      </c>
      <c r="N441" s="16" t="n">
        <v>0</v>
      </c>
      <c r="O441" s="16" t="n">
        <v>0</v>
      </c>
      <c r="P441" s="16" t="n">
        <v>0</v>
      </c>
      <c r="Q441" s="16" t="n">
        <v>0</v>
      </c>
      <c r="R441" s="16" t="n">
        <v>0</v>
      </c>
      <c r="S441" s="16" t="n">
        <v>0</v>
      </c>
      <c r="T441" s="16" t="n">
        <v>0</v>
      </c>
      <c r="U441" s="16" t="n">
        <v>0</v>
      </c>
      <c r="V441" s="16" t="n">
        <v>0</v>
      </c>
      <c r="W441" s="16" t="n">
        <v>0</v>
      </c>
      <c r="X441" s="16" t="n">
        <v>0</v>
      </c>
      <c r="Y441" s="16" t="n">
        <v>0</v>
      </c>
      <c r="Z441" s="16" t="n">
        <v>0</v>
      </c>
      <c r="AA441" s="16" t="n">
        <v>0</v>
      </c>
      <c r="AB441" s="16" t="n">
        <v>0</v>
      </c>
      <c r="AC441" s="16" t="n">
        <v>0</v>
      </c>
      <c r="AD441" s="16" t="n">
        <v>0</v>
      </c>
      <c r="AE441" s="16" t="n">
        <v>0</v>
      </c>
      <c r="AF441" s="16" t="n">
        <v>0</v>
      </c>
      <c r="AG441" s="16" t="n">
        <v>0</v>
      </c>
      <c r="AH441" s="16" t="n">
        <v>0</v>
      </c>
      <c r="AI441" s="16" t="n">
        <v>0</v>
      </c>
      <c r="AJ441" s="16" t="n">
        <v>0</v>
      </c>
      <c r="AK441" s="16" t="n">
        <v>0</v>
      </c>
      <c r="AL441" s="16" t="n">
        <v>0</v>
      </c>
      <c r="AM441" s="16" t="n">
        <v>0</v>
      </c>
      <c r="AN441" s="16" t="n">
        <v>0</v>
      </c>
      <c r="AO441" s="16" t="n">
        <v>0</v>
      </c>
      <c r="AP441" s="16" t="n">
        <v>0</v>
      </c>
      <c r="AQ441" s="16" t="n">
        <v>0</v>
      </c>
      <c r="AR441" s="16" t="n">
        <v>0</v>
      </c>
      <c r="AS441" s="16" t="n">
        <v>0</v>
      </c>
      <c r="AT441" s="16" t="n">
        <v>0</v>
      </c>
      <c r="AU441" s="16" t="n">
        <v>0</v>
      </c>
      <c r="AV441" s="16" t="n">
        <v>0</v>
      </c>
      <c r="AW441" s="16" t="n">
        <v>0</v>
      </c>
      <c r="AX441" s="16" t="n">
        <v>0</v>
      </c>
      <c r="AY441" s="16" t="n">
        <v>0</v>
      </c>
      <c r="AZ441" s="16" t="n">
        <v>0</v>
      </c>
      <c r="BA441" s="16" t="n">
        <v>0</v>
      </c>
      <c r="BB441" s="16" t="n">
        <v>0</v>
      </c>
      <c r="BC441" s="16" t="n">
        <v>0</v>
      </c>
      <c r="BD441" s="16" t="n">
        <v>0</v>
      </c>
      <c r="BE441" s="16" t="n">
        <v>0</v>
      </c>
      <c r="BF441" s="16" t="n">
        <v>0</v>
      </c>
      <c r="BG441" s="16" t="n">
        <v>0</v>
      </c>
      <c r="BH441" s="16" t="n">
        <v>0</v>
      </c>
      <c r="BI441" s="16" t="n">
        <v>0</v>
      </c>
      <c r="BJ441" s="16" t="n">
        <v>0</v>
      </c>
      <c r="BK441" s="16" t="n">
        <v>0</v>
      </c>
      <c r="BL441" s="16" t="n">
        <v>0</v>
      </c>
      <c r="BM441" s="16" t="n">
        <v>0</v>
      </c>
      <c r="BN441" s="16" t="n">
        <v>0</v>
      </c>
      <c r="BO441" s="16" t="n">
        <v>0</v>
      </c>
      <c r="BP441" s="16" t="n">
        <v>0</v>
      </c>
      <c r="BQ441" s="16" t="n">
        <v>0</v>
      </c>
      <c r="BR441" s="16" t="n">
        <v>0</v>
      </c>
      <c r="BS441" s="16" t="n">
        <v>0</v>
      </c>
      <c r="BT441" s="16" t="n">
        <v>0</v>
      </c>
      <c r="BU441" s="16" t="n">
        <v>0</v>
      </c>
      <c r="BV441" s="16" t="n">
        <v>0</v>
      </c>
      <c r="BW441" s="16" t="n">
        <v>0</v>
      </c>
      <c r="BX441" s="16" t="n">
        <v>0</v>
      </c>
      <c r="BY441" s="16" t="n">
        <v>0</v>
      </c>
      <c r="BZ441" s="16" t="n">
        <v>0</v>
      </c>
      <c r="CA441" s="16" t="n">
        <v>0</v>
      </c>
      <c r="CB441" s="16" t="n">
        <v>0</v>
      </c>
      <c r="CC441" s="16" t="n">
        <v>0</v>
      </c>
      <c r="CD441" s="16" t="n">
        <v>0</v>
      </c>
      <c r="CE441" s="16" t="n">
        <v>0</v>
      </c>
      <c r="CF441" s="16" t="n">
        <v>0</v>
      </c>
      <c r="CG441" s="16" t="n">
        <v>0</v>
      </c>
      <c r="CH441" s="16" t="n">
        <v>0</v>
      </c>
      <c r="CI441" s="16" t="n">
        <v>0</v>
      </c>
      <c r="CJ441" s="16" t="n">
        <v>0</v>
      </c>
      <c r="CK441" s="16" t="n">
        <v>0</v>
      </c>
      <c r="CL441" s="16" t="n">
        <v>0</v>
      </c>
      <c r="CM441" s="16" t="n">
        <v>0</v>
      </c>
      <c r="CN441" s="16" t="n">
        <v>0</v>
      </c>
      <c r="CO441" s="16" t="n">
        <v>0</v>
      </c>
      <c r="CP441" s="16" t="n">
        <v>0</v>
      </c>
      <c r="CQ441" s="16" t="n">
        <v>0</v>
      </c>
      <c r="CR441" s="16" t="n">
        <v>0</v>
      </c>
      <c r="CS441" s="16" t="n">
        <v>0</v>
      </c>
      <c r="CT441" s="16" t="n">
        <v>0</v>
      </c>
      <c r="CU441" s="16" t="n">
        <v>0</v>
      </c>
      <c r="CV441" s="16" t="n">
        <v>0</v>
      </c>
      <c r="CW441" s="16" t="n">
        <v>0</v>
      </c>
      <c r="CX441" s="16" t="n">
        <v>0</v>
      </c>
      <c r="CY441" s="16" t="n">
        <v>0</v>
      </c>
      <c r="CZ441" s="16" t="n">
        <v>10</v>
      </c>
      <c r="DA441" s="16" t="n">
        <v>10</v>
      </c>
      <c r="DB441" s="16" t="n">
        <v>0</v>
      </c>
      <c r="DC441" s="16" t="n">
        <v>0</v>
      </c>
      <c r="DD441" s="16" t="n">
        <v>0</v>
      </c>
      <c r="DE441" s="16" t="n">
        <v>0</v>
      </c>
      <c r="DF441" s="16" t="n">
        <v>0</v>
      </c>
      <c r="DG441" s="16" t="n">
        <v>0</v>
      </c>
      <c r="DH441" s="16" t="n">
        <v>0</v>
      </c>
      <c r="DI441" s="16" t="n">
        <v>0</v>
      </c>
      <c r="DJ441" s="16" t="n">
        <v>0</v>
      </c>
      <c r="DK441" s="16" t="n">
        <v>0</v>
      </c>
      <c r="DL441" s="16" t="n">
        <v>0</v>
      </c>
      <c r="DM441" s="16" t="n">
        <v>0</v>
      </c>
      <c r="DN441" s="16" t="n">
        <v>0</v>
      </c>
      <c r="DO441" s="16" t="n">
        <v>0</v>
      </c>
      <c r="DP441" s="16" t="n">
        <v>0</v>
      </c>
      <c r="DQ441" s="16" t="n">
        <v>0</v>
      </c>
      <c r="DR441" s="16" t="n">
        <v>0</v>
      </c>
      <c r="DS441" s="16" t="n">
        <v>0</v>
      </c>
      <c r="DT441" s="16" t="n">
        <v>0</v>
      </c>
      <c r="DU441" s="16" t="n">
        <v>0</v>
      </c>
      <c r="DV441" s="16" t="n">
        <v>0</v>
      </c>
      <c r="DW441" s="16" t="n">
        <v>0</v>
      </c>
      <c r="DX441" s="16" t="n">
        <v>0</v>
      </c>
      <c r="DY441" s="16" t="n">
        <v>0</v>
      </c>
      <c r="DZ441" s="16" t="n">
        <v>0</v>
      </c>
      <c r="EA441" s="16" t="n">
        <v>0</v>
      </c>
      <c r="EB441" s="16" t="n">
        <v>0</v>
      </c>
      <c r="EC441" s="16" t="n">
        <v>0</v>
      </c>
      <c r="ED441" s="16" t="n">
        <v>0</v>
      </c>
      <c r="EE441" s="16" t="n">
        <v>0</v>
      </c>
      <c r="EF441" s="16" t="n">
        <v>0</v>
      </c>
    </row>
    <row r="442" customFormat="false" ht="15" hidden="false" customHeight="true" outlineLevel="0" collapsed="false">
      <c r="A442" s="9" t="s">
        <v>12</v>
      </c>
      <c r="B442" s="9" t="s">
        <v>354</v>
      </c>
      <c r="C442" s="9" t="s">
        <v>355</v>
      </c>
      <c r="D442" s="9" t="s">
        <v>342</v>
      </c>
      <c r="E442" s="9" t="s">
        <v>14</v>
      </c>
      <c r="F442" s="9" t="s">
        <v>43</v>
      </c>
      <c r="G442" s="16" t="n">
        <v>0</v>
      </c>
      <c r="H442" s="16" t="n">
        <v>100</v>
      </c>
      <c r="I442" s="16" t="n">
        <v>140.5</v>
      </c>
      <c r="J442" s="16" t="n">
        <v>-40.5</v>
      </c>
      <c r="K442" s="16" t="n">
        <v>0</v>
      </c>
      <c r="L442" s="16" t="n">
        <v>0</v>
      </c>
      <c r="M442" s="16" t="n">
        <v>0</v>
      </c>
      <c r="N442" s="16" t="n">
        <v>0</v>
      </c>
      <c r="O442" s="16" t="n">
        <v>0</v>
      </c>
      <c r="P442" s="16" t="n">
        <v>0</v>
      </c>
      <c r="Q442" s="16" t="n">
        <v>0</v>
      </c>
      <c r="R442" s="16" t="n">
        <v>0</v>
      </c>
      <c r="S442" s="16" t="n">
        <v>0</v>
      </c>
      <c r="T442" s="16" t="n">
        <v>0</v>
      </c>
      <c r="U442" s="16" t="n">
        <v>0</v>
      </c>
      <c r="V442" s="16" t="n">
        <v>0</v>
      </c>
      <c r="W442" s="16" t="n">
        <v>0</v>
      </c>
      <c r="X442" s="16" t="n">
        <v>0</v>
      </c>
      <c r="Y442" s="16" t="n">
        <v>0</v>
      </c>
      <c r="Z442" s="16" t="n">
        <v>0</v>
      </c>
      <c r="AA442" s="16" t="n">
        <v>0</v>
      </c>
      <c r="AB442" s="16" t="n">
        <v>0</v>
      </c>
      <c r="AC442" s="16" t="n">
        <v>0</v>
      </c>
      <c r="AD442" s="16" t="n">
        <v>0</v>
      </c>
      <c r="AE442" s="16" t="n">
        <v>0</v>
      </c>
      <c r="AF442" s="16" t="n">
        <v>0</v>
      </c>
      <c r="AG442" s="16" t="n">
        <v>0</v>
      </c>
      <c r="AH442" s="16" t="n">
        <v>0</v>
      </c>
      <c r="AI442" s="16" t="n">
        <v>0</v>
      </c>
      <c r="AJ442" s="16" t="n">
        <v>0</v>
      </c>
      <c r="AK442" s="16" t="n">
        <v>0</v>
      </c>
      <c r="AL442" s="16" t="n">
        <v>0</v>
      </c>
      <c r="AM442" s="16" t="n">
        <v>0</v>
      </c>
      <c r="AN442" s="16" t="n">
        <v>0</v>
      </c>
      <c r="AO442" s="16" t="n">
        <v>0</v>
      </c>
      <c r="AP442" s="16" t="n">
        <v>0</v>
      </c>
      <c r="AQ442" s="16" t="n">
        <v>0</v>
      </c>
      <c r="AR442" s="16" t="n">
        <v>0</v>
      </c>
      <c r="AS442" s="16" t="n">
        <v>0</v>
      </c>
      <c r="AT442" s="16" t="n">
        <v>0</v>
      </c>
      <c r="AU442" s="16" t="n">
        <v>0</v>
      </c>
      <c r="AV442" s="16" t="n">
        <v>0</v>
      </c>
      <c r="AW442" s="16" t="n">
        <v>0</v>
      </c>
      <c r="AX442" s="16" t="n">
        <v>0</v>
      </c>
      <c r="AY442" s="16" t="n">
        <v>0</v>
      </c>
      <c r="AZ442" s="16" t="n">
        <v>0</v>
      </c>
      <c r="BA442" s="16" t="n">
        <v>0</v>
      </c>
      <c r="BB442" s="16" t="n">
        <v>0</v>
      </c>
      <c r="BC442" s="16" t="n">
        <v>0</v>
      </c>
      <c r="BD442" s="16" t="n">
        <v>0</v>
      </c>
      <c r="BE442" s="16" t="n">
        <v>0</v>
      </c>
      <c r="BF442" s="16" t="n">
        <v>0</v>
      </c>
      <c r="BG442" s="16" t="n">
        <v>0</v>
      </c>
      <c r="BH442" s="16" t="n">
        <v>0</v>
      </c>
      <c r="BI442" s="16" t="n">
        <v>0</v>
      </c>
      <c r="BJ442" s="16" t="n">
        <v>0</v>
      </c>
      <c r="BK442" s="16" t="n">
        <v>0</v>
      </c>
      <c r="BL442" s="16" t="n">
        <v>0</v>
      </c>
      <c r="BM442" s="16" t="n">
        <v>0</v>
      </c>
      <c r="BN442" s="16" t="n">
        <v>0</v>
      </c>
      <c r="BO442" s="16" t="n">
        <v>0</v>
      </c>
      <c r="BP442" s="16" t="n">
        <v>0</v>
      </c>
      <c r="BQ442" s="16" t="n">
        <v>0</v>
      </c>
      <c r="BR442" s="16" t="n">
        <v>0</v>
      </c>
      <c r="BS442" s="16" t="n">
        <v>0</v>
      </c>
      <c r="BT442" s="16" t="n">
        <v>0</v>
      </c>
      <c r="BU442" s="16" t="n">
        <v>0</v>
      </c>
      <c r="BV442" s="16" t="n">
        <v>0</v>
      </c>
      <c r="BW442" s="16" t="n">
        <v>0</v>
      </c>
      <c r="BX442" s="16" t="n">
        <v>0</v>
      </c>
      <c r="BY442" s="16" t="n">
        <v>0</v>
      </c>
      <c r="BZ442" s="16" t="n">
        <v>0</v>
      </c>
      <c r="CA442" s="16" t="n">
        <v>0</v>
      </c>
      <c r="CB442" s="16" t="n">
        <v>0</v>
      </c>
      <c r="CC442" s="16" t="n">
        <v>0</v>
      </c>
      <c r="CD442" s="16" t="n">
        <v>0</v>
      </c>
      <c r="CE442" s="16" t="n">
        <v>0</v>
      </c>
      <c r="CF442" s="16" t="n">
        <v>0</v>
      </c>
      <c r="CG442" s="16" t="n">
        <v>0</v>
      </c>
      <c r="CH442" s="16" t="n">
        <v>0</v>
      </c>
      <c r="CI442" s="16" t="n">
        <v>0</v>
      </c>
      <c r="CJ442" s="16" t="n">
        <v>0</v>
      </c>
      <c r="CK442" s="16" t="n">
        <v>0</v>
      </c>
      <c r="CL442" s="16" t="n">
        <v>0</v>
      </c>
      <c r="CM442" s="16" t="n">
        <v>0</v>
      </c>
      <c r="CN442" s="16" t="n">
        <v>0</v>
      </c>
      <c r="CO442" s="16" t="n">
        <v>0</v>
      </c>
      <c r="CP442" s="16" t="n">
        <v>0</v>
      </c>
      <c r="CQ442" s="16" t="n">
        <v>0</v>
      </c>
      <c r="CR442" s="16" t="n">
        <v>0</v>
      </c>
      <c r="CS442" s="16" t="n">
        <v>0</v>
      </c>
      <c r="CT442" s="16" t="n">
        <v>0</v>
      </c>
      <c r="CU442" s="16" t="n">
        <v>0</v>
      </c>
      <c r="CV442" s="16" t="n">
        <v>0</v>
      </c>
      <c r="CW442" s="16" t="n">
        <v>0</v>
      </c>
      <c r="CX442" s="16" t="n">
        <v>0</v>
      </c>
      <c r="CY442" s="16" t="n">
        <v>0</v>
      </c>
      <c r="CZ442" s="16" t="n">
        <v>0</v>
      </c>
      <c r="DA442" s="16" t="n">
        <v>0</v>
      </c>
      <c r="DB442" s="16" t="n">
        <v>0</v>
      </c>
      <c r="DC442" s="16" t="n">
        <v>0</v>
      </c>
      <c r="DD442" s="16" t="n">
        <v>0</v>
      </c>
      <c r="DE442" s="16" t="n">
        <v>0</v>
      </c>
      <c r="DF442" s="16" t="n">
        <v>0</v>
      </c>
      <c r="DG442" s="16" t="n">
        <v>0</v>
      </c>
      <c r="DH442" s="16" t="n">
        <v>0</v>
      </c>
      <c r="DI442" s="16" t="n">
        <v>0</v>
      </c>
      <c r="DJ442" s="16" t="n">
        <v>0</v>
      </c>
      <c r="DK442" s="16" t="n">
        <v>0</v>
      </c>
      <c r="DL442" s="16" t="n">
        <v>0</v>
      </c>
      <c r="DM442" s="16" t="n">
        <v>27</v>
      </c>
      <c r="DN442" s="16" t="n">
        <v>29</v>
      </c>
      <c r="DO442" s="16" t="n">
        <v>36</v>
      </c>
      <c r="DP442" s="16" t="n">
        <v>33</v>
      </c>
      <c r="DQ442" s="16" t="n">
        <v>8</v>
      </c>
      <c r="DR442" s="16" t="n">
        <v>7.5</v>
      </c>
      <c r="DS442" s="16" t="n">
        <v>0</v>
      </c>
      <c r="DT442" s="16" t="n">
        <v>0</v>
      </c>
      <c r="DU442" s="16" t="n">
        <v>0</v>
      </c>
      <c r="DV442" s="16" t="n">
        <v>0</v>
      </c>
      <c r="DW442" s="16" t="n">
        <v>0</v>
      </c>
      <c r="DX442" s="16" t="n">
        <v>0</v>
      </c>
      <c r="DY442" s="16" t="n">
        <v>0</v>
      </c>
      <c r="DZ442" s="16" t="n">
        <v>0</v>
      </c>
      <c r="EA442" s="16" t="n">
        <v>0</v>
      </c>
      <c r="EB442" s="16" t="n">
        <v>0</v>
      </c>
      <c r="EC442" s="16" t="n">
        <v>0</v>
      </c>
      <c r="ED442" s="16" t="n">
        <v>0</v>
      </c>
      <c r="EE442" s="16" t="n">
        <v>0</v>
      </c>
      <c r="EF442" s="16" t="n">
        <v>0</v>
      </c>
    </row>
    <row r="443" customFormat="false" ht="15" hidden="false" customHeight="true" outlineLevel="0" collapsed="false">
      <c r="A443" s="9" t="s">
        <v>12</v>
      </c>
      <c r="B443" s="9" t="s">
        <v>356</v>
      </c>
      <c r="C443" s="9" t="s">
        <v>357</v>
      </c>
      <c r="D443" s="9" t="s">
        <v>335</v>
      </c>
      <c r="E443" s="9" t="s">
        <v>14</v>
      </c>
      <c r="F443" s="9" t="s">
        <v>84</v>
      </c>
      <c r="G443" s="16" t="n">
        <v>0</v>
      </c>
      <c r="H443" s="16" t="n">
        <v>10</v>
      </c>
      <c r="I443" s="16" t="n">
        <v>10</v>
      </c>
      <c r="J443" s="16" t="n">
        <v>0</v>
      </c>
      <c r="K443" s="16" t="n">
        <v>0</v>
      </c>
      <c r="L443" s="16" t="n">
        <v>0</v>
      </c>
      <c r="M443" s="16" t="n">
        <v>0</v>
      </c>
      <c r="N443" s="16" t="n">
        <v>0</v>
      </c>
      <c r="O443" s="16" t="n">
        <v>0</v>
      </c>
      <c r="P443" s="16" t="n">
        <v>0</v>
      </c>
      <c r="Q443" s="16" t="n">
        <v>0</v>
      </c>
      <c r="R443" s="16" t="n">
        <v>0</v>
      </c>
      <c r="S443" s="16" t="n">
        <v>0</v>
      </c>
      <c r="T443" s="16" t="n">
        <v>0</v>
      </c>
      <c r="U443" s="16" t="n">
        <v>0</v>
      </c>
      <c r="V443" s="16" t="n">
        <v>0</v>
      </c>
      <c r="W443" s="16" t="n">
        <v>0</v>
      </c>
      <c r="X443" s="16" t="n">
        <v>0</v>
      </c>
      <c r="Y443" s="16" t="n">
        <v>0</v>
      </c>
      <c r="Z443" s="16" t="n">
        <v>0</v>
      </c>
      <c r="AA443" s="16" t="n">
        <v>0</v>
      </c>
      <c r="AB443" s="16" t="n">
        <v>0</v>
      </c>
      <c r="AC443" s="16" t="n">
        <v>0</v>
      </c>
      <c r="AD443" s="16" t="n">
        <v>0</v>
      </c>
      <c r="AE443" s="16" t="n">
        <v>0</v>
      </c>
      <c r="AF443" s="16" t="n">
        <v>0</v>
      </c>
      <c r="AG443" s="16" t="n">
        <v>0</v>
      </c>
      <c r="AH443" s="16" t="n">
        <v>0</v>
      </c>
      <c r="AI443" s="16" t="n">
        <v>0</v>
      </c>
      <c r="AJ443" s="16" t="n">
        <v>0</v>
      </c>
      <c r="AK443" s="16" t="n">
        <v>0</v>
      </c>
      <c r="AL443" s="16" t="n">
        <v>0</v>
      </c>
      <c r="AM443" s="16" t="n">
        <v>0</v>
      </c>
      <c r="AN443" s="16" t="n">
        <v>0</v>
      </c>
      <c r="AO443" s="16" t="n">
        <v>0</v>
      </c>
      <c r="AP443" s="16" t="n">
        <v>0</v>
      </c>
      <c r="AQ443" s="16" t="n">
        <v>0</v>
      </c>
      <c r="AR443" s="16" t="n">
        <v>0</v>
      </c>
      <c r="AS443" s="16" t="n">
        <v>0</v>
      </c>
      <c r="AT443" s="16" t="n">
        <v>0</v>
      </c>
      <c r="AU443" s="16" t="n">
        <v>0</v>
      </c>
      <c r="AV443" s="16" t="n">
        <v>0</v>
      </c>
      <c r="AW443" s="16" t="n">
        <v>0</v>
      </c>
      <c r="AX443" s="16" t="n">
        <v>0</v>
      </c>
      <c r="AY443" s="16" t="n">
        <v>0</v>
      </c>
      <c r="AZ443" s="16" t="n">
        <v>0</v>
      </c>
      <c r="BA443" s="16" t="n">
        <v>0</v>
      </c>
      <c r="BB443" s="16" t="n">
        <v>0</v>
      </c>
      <c r="BC443" s="16" t="n">
        <v>0</v>
      </c>
      <c r="BD443" s="16" t="n">
        <v>0</v>
      </c>
      <c r="BE443" s="16" t="n">
        <v>0</v>
      </c>
      <c r="BF443" s="16" t="n">
        <v>0</v>
      </c>
      <c r="BG443" s="16" t="n">
        <v>0</v>
      </c>
      <c r="BH443" s="16" t="n">
        <v>0</v>
      </c>
      <c r="BI443" s="16" t="n">
        <v>0</v>
      </c>
      <c r="BJ443" s="16" t="n">
        <v>0</v>
      </c>
      <c r="BK443" s="16" t="n">
        <v>0</v>
      </c>
      <c r="BL443" s="16" t="n">
        <v>0</v>
      </c>
      <c r="BM443" s="16" t="n">
        <v>0</v>
      </c>
      <c r="BN443" s="16" t="n">
        <v>0</v>
      </c>
      <c r="BO443" s="16" t="n">
        <v>0</v>
      </c>
      <c r="BP443" s="16" t="n">
        <v>0</v>
      </c>
      <c r="BQ443" s="16" t="n">
        <v>0</v>
      </c>
      <c r="BR443" s="16" t="n">
        <v>0</v>
      </c>
      <c r="BS443" s="16" t="n">
        <v>0</v>
      </c>
      <c r="BT443" s="16" t="n">
        <v>0</v>
      </c>
      <c r="BU443" s="16" t="n">
        <v>0</v>
      </c>
      <c r="BV443" s="16" t="n">
        <v>0</v>
      </c>
      <c r="BW443" s="16" t="n">
        <v>0</v>
      </c>
      <c r="BX443" s="16" t="n">
        <v>0</v>
      </c>
      <c r="BY443" s="16" t="n">
        <v>0</v>
      </c>
      <c r="BZ443" s="16" t="n">
        <v>0</v>
      </c>
      <c r="CA443" s="16" t="n">
        <v>0</v>
      </c>
      <c r="CB443" s="16" t="n">
        <v>0</v>
      </c>
      <c r="CC443" s="16" t="n">
        <v>0</v>
      </c>
      <c r="CD443" s="16" t="n">
        <v>0</v>
      </c>
      <c r="CE443" s="16" t="n">
        <v>0</v>
      </c>
      <c r="CF443" s="16" t="n">
        <v>0</v>
      </c>
      <c r="CG443" s="16" t="n">
        <v>0</v>
      </c>
      <c r="CH443" s="16" t="n">
        <v>0</v>
      </c>
      <c r="CI443" s="16" t="n">
        <v>0</v>
      </c>
      <c r="CJ443" s="16" t="n">
        <v>0</v>
      </c>
      <c r="CK443" s="16" t="n">
        <v>0</v>
      </c>
      <c r="CL443" s="16" t="n">
        <v>0</v>
      </c>
      <c r="CM443" s="16" t="n">
        <v>0</v>
      </c>
      <c r="CN443" s="16" t="n">
        <v>0</v>
      </c>
      <c r="CO443" s="16" t="n">
        <v>0</v>
      </c>
      <c r="CP443" s="16" t="n">
        <v>0</v>
      </c>
      <c r="CQ443" s="16" t="n">
        <v>0</v>
      </c>
      <c r="CR443" s="16" t="n">
        <v>0</v>
      </c>
      <c r="CS443" s="16" t="n">
        <v>0</v>
      </c>
      <c r="CT443" s="16" t="n">
        <v>0</v>
      </c>
      <c r="CU443" s="16" t="n">
        <v>0</v>
      </c>
      <c r="CV443" s="16" t="n">
        <v>0</v>
      </c>
      <c r="CW443" s="16" t="n">
        <v>0</v>
      </c>
      <c r="CX443" s="16" t="n">
        <v>0</v>
      </c>
      <c r="CY443" s="16" t="n">
        <v>0</v>
      </c>
      <c r="CZ443" s="16" t="n">
        <v>5</v>
      </c>
      <c r="DA443" s="16" t="n">
        <v>5</v>
      </c>
      <c r="DB443" s="16" t="n">
        <v>0</v>
      </c>
      <c r="DC443" s="16" t="n">
        <v>0</v>
      </c>
      <c r="DD443" s="16" t="n">
        <v>0</v>
      </c>
      <c r="DE443" s="16" t="n">
        <v>0</v>
      </c>
      <c r="DF443" s="16" t="n">
        <v>0</v>
      </c>
      <c r="DG443" s="16" t="n">
        <v>0</v>
      </c>
      <c r="DH443" s="16" t="n">
        <v>0</v>
      </c>
      <c r="DI443" s="16" t="n">
        <v>0</v>
      </c>
      <c r="DJ443" s="16" t="n">
        <v>0</v>
      </c>
      <c r="DK443" s="16" t="n">
        <v>0</v>
      </c>
      <c r="DL443" s="16" t="n">
        <v>0</v>
      </c>
      <c r="DM443" s="16" t="n">
        <v>0</v>
      </c>
      <c r="DN443" s="16" t="n">
        <v>0</v>
      </c>
      <c r="DO443" s="16" t="n">
        <v>0</v>
      </c>
      <c r="DP443" s="16" t="n">
        <v>0</v>
      </c>
      <c r="DQ443" s="16" t="n">
        <v>0</v>
      </c>
      <c r="DR443" s="16" t="n">
        <v>0</v>
      </c>
      <c r="DS443" s="16" t="n">
        <v>0</v>
      </c>
      <c r="DT443" s="16" t="n">
        <v>0</v>
      </c>
      <c r="DU443" s="16" t="n">
        <v>0</v>
      </c>
      <c r="DV443" s="16" t="n">
        <v>0</v>
      </c>
      <c r="DW443" s="16" t="n">
        <v>0</v>
      </c>
      <c r="DX443" s="16" t="n">
        <v>0</v>
      </c>
      <c r="DY443" s="16" t="n">
        <v>0</v>
      </c>
      <c r="DZ443" s="16" t="n">
        <v>0</v>
      </c>
      <c r="EA443" s="16" t="n">
        <v>0</v>
      </c>
      <c r="EB443" s="16" t="n">
        <v>0</v>
      </c>
      <c r="EC443" s="16" t="n">
        <v>0</v>
      </c>
      <c r="ED443" s="16" t="n">
        <v>0</v>
      </c>
      <c r="EE443" s="16" t="n">
        <v>0</v>
      </c>
      <c r="EF443" s="16" t="n">
        <v>0</v>
      </c>
    </row>
    <row r="444" customFormat="false" ht="15" hidden="false" customHeight="true" outlineLevel="0" collapsed="false">
      <c r="A444" s="9" t="s">
        <v>12</v>
      </c>
      <c r="B444" s="9" t="s">
        <v>358</v>
      </c>
      <c r="C444" s="9" t="s">
        <v>359</v>
      </c>
      <c r="D444" s="9" t="s">
        <v>335</v>
      </c>
      <c r="E444" s="9" t="s">
        <v>14</v>
      </c>
      <c r="F444" s="9" t="s">
        <v>40</v>
      </c>
      <c r="G444" s="16" t="n">
        <v>0</v>
      </c>
      <c r="H444" s="16" t="n">
        <v>28</v>
      </c>
      <c r="I444" s="16" t="n">
        <v>28</v>
      </c>
      <c r="J444" s="16" t="n">
        <v>0</v>
      </c>
      <c r="K444" s="16" t="n">
        <v>0</v>
      </c>
      <c r="L444" s="16" t="n">
        <v>0</v>
      </c>
      <c r="M444" s="16" t="n">
        <v>0</v>
      </c>
      <c r="N444" s="16" t="n">
        <v>0</v>
      </c>
      <c r="O444" s="16" t="n">
        <v>0</v>
      </c>
      <c r="P444" s="16" t="n">
        <v>0</v>
      </c>
      <c r="Q444" s="16" t="n">
        <v>0</v>
      </c>
      <c r="R444" s="16" t="n">
        <v>0</v>
      </c>
      <c r="S444" s="16" t="n">
        <v>0</v>
      </c>
      <c r="T444" s="16" t="n">
        <v>0</v>
      </c>
      <c r="U444" s="16" t="n">
        <v>0</v>
      </c>
      <c r="V444" s="16" t="n">
        <v>0</v>
      </c>
      <c r="W444" s="16" t="n">
        <v>0</v>
      </c>
      <c r="X444" s="16" t="n">
        <v>0</v>
      </c>
      <c r="Y444" s="16" t="n">
        <v>0</v>
      </c>
      <c r="Z444" s="16" t="n">
        <v>0</v>
      </c>
      <c r="AA444" s="16" t="n">
        <v>0</v>
      </c>
      <c r="AB444" s="16" t="n">
        <v>0</v>
      </c>
      <c r="AC444" s="16" t="n">
        <v>0</v>
      </c>
      <c r="AD444" s="16" t="n">
        <v>0</v>
      </c>
      <c r="AE444" s="16" t="n">
        <v>0</v>
      </c>
      <c r="AF444" s="16" t="n">
        <v>0</v>
      </c>
      <c r="AG444" s="16" t="n">
        <v>0</v>
      </c>
      <c r="AH444" s="16" t="n">
        <v>0</v>
      </c>
      <c r="AI444" s="16" t="n">
        <v>0</v>
      </c>
      <c r="AJ444" s="16" t="n">
        <v>0</v>
      </c>
      <c r="AK444" s="16" t="n">
        <v>0</v>
      </c>
      <c r="AL444" s="16" t="n">
        <v>0</v>
      </c>
      <c r="AM444" s="16" t="n">
        <v>0</v>
      </c>
      <c r="AN444" s="16" t="n">
        <v>0</v>
      </c>
      <c r="AO444" s="16" t="n">
        <v>0</v>
      </c>
      <c r="AP444" s="16" t="n">
        <v>0</v>
      </c>
      <c r="AQ444" s="16" t="n">
        <v>0</v>
      </c>
      <c r="AR444" s="16" t="n">
        <v>0</v>
      </c>
      <c r="AS444" s="16" t="n">
        <v>0</v>
      </c>
      <c r="AT444" s="16" t="n">
        <v>0</v>
      </c>
      <c r="AU444" s="16" t="n">
        <v>0</v>
      </c>
      <c r="AV444" s="16" t="n">
        <v>0</v>
      </c>
      <c r="AW444" s="16" t="n">
        <v>0</v>
      </c>
      <c r="AX444" s="16" t="n">
        <v>0</v>
      </c>
      <c r="AY444" s="16" t="n">
        <v>0</v>
      </c>
      <c r="AZ444" s="16" t="n">
        <v>0</v>
      </c>
      <c r="BA444" s="16" t="n">
        <v>0</v>
      </c>
      <c r="BB444" s="16" t="n">
        <v>0</v>
      </c>
      <c r="BC444" s="16" t="n">
        <v>0</v>
      </c>
      <c r="BD444" s="16" t="n">
        <v>0</v>
      </c>
      <c r="BE444" s="16" t="n">
        <v>0</v>
      </c>
      <c r="BF444" s="16" t="n">
        <v>0</v>
      </c>
      <c r="BG444" s="16" t="n">
        <v>0</v>
      </c>
      <c r="BH444" s="16" t="n">
        <v>0</v>
      </c>
      <c r="BI444" s="16" t="n">
        <v>0</v>
      </c>
      <c r="BJ444" s="16" t="n">
        <v>0</v>
      </c>
      <c r="BK444" s="16" t="n">
        <v>0</v>
      </c>
      <c r="BL444" s="16" t="n">
        <v>0</v>
      </c>
      <c r="BM444" s="16" t="n">
        <v>0</v>
      </c>
      <c r="BN444" s="16" t="n">
        <v>0</v>
      </c>
      <c r="BO444" s="16" t="n">
        <v>0</v>
      </c>
      <c r="BP444" s="16" t="n">
        <v>0</v>
      </c>
      <c r="BQ444" s="16" t="n">
        <v>0</v>
      </c>
      <c r="BR444" s="16" t="n">
        <v>0</v>
      </c>
      <c r="BS444" s="16" t="n">
        <v>0</v>
      </c>
      <c r="BT444" s="16" t="n">
        <v>0</v>
      </c>
      <c r="BU444" s="16" t="n">
        <v>0</v>
      </c>
      <c r="BV444" s="16" t="n">
        <v>0</v>
      </c>
      <c r="BW444" s="16" t="n">
        <v>0</v>
      </c>
      <c r="BX444" s="16" t="n">
        <v>0</v>
      </c>
      <c r="BY444" s="16" t="n">
        <v>0</v>
      </c>
      <c r="BZ444" s="16" t="n">
        <v>0</v>
      </c>
      <c r="CA444" s="16" t="n">
        <v>0</v>
      </c>
      <c r="CB444" s="16" t="n">
        <v>0</v>
      </c>
      <c r="CC444" s="16" t="n">
        <v>0</v>
      </c>
      <c r="CD444" s="16" t="n">
        <v>0</v>
      </c>
      <c r="CE444" s="16" t="n">
        <v>0</v>
      </c>
      <c r="CF444" s="16" t="n">
        <v>0</v>
      </c>
      <c r="CG444" s="16" t="n">
        <v>0</v>
      </c>
      <c r="CH444" s="16" t="n">
        <v>0</v>
      </c>
      <c r="CI444" s="16" t="n">
        <v>0</v>
      </c>
      <c r="CJ444" s="16" t="n">
        <v>0</v>
      </c>
      <c r="CK444" s="16" t="n">
        <v>0</v>
      </c>
      <c r="CL444" s="16" t="n">
        <v>0</v>
      </c>
      <c r="CM444" s="16" t="n">
        <v>0</v>
      </c>
      <c r="CN444" s="16" t="n">
        <v>0</v>
      </c>
      <c r="CO444" s="16" t="n">
        <v>0</v>
      </c>
      <c r="CP444" s="16" t="n">
        <v>0</v>
      </c>
      <c r="CQ444" s="16" t="n">
        <v>0</v>
      </c>
      <c r="CR444" s="16" t="n">
        <v>0</v>
      </c>
      <c r="CS444" s="16" t="n">
        <v>0</v>
      </c>
      <c r="CT444" s="16" t="n">
        <v>0</v>
      </c>
      <c r="CU444" s="16" t="n">
        <v>0</v>
      </c>
      <c r="CV444" s="16" t="n">
        <v>0</v>
      </c>
      <c r="CW444" s="16" t="n">
        <v>0</v>
      </c>
      <c r="CX444" s="16" t="n">
        <v>0</v>
      </c>
      <c r="CY444" s="16" t="n">
        <v>0</v>
      </c>
      <c r="CZ444" s="16" t="n">
        <v>0</v>
      </c>
      <c r="DA444" s="16" t="n">
        <v>0</v>
      </c>
      <c r="DB444" s="16" t="n">
        <v>0</v>
      </c>
      <c r="DC444" s="16" t="n">
        <v>0</v>
      </c>
      <c r="DD444" s="16" t="n">
        <v>0</v>
      </c>
      <c r="DE444" s="16" t="n">
        <v>0</v>
      </c>
      <c r="DF444" s="16" t="n">
        <v>0</v>
      </c>
      <c r="DG444" s="16" t="n">
        <v>0</v>
      </c>
      <c r="DH444" s="16" t="n">
        <v>0</v>
      </c>
      <c r="DI444" s="16" t="n">
        <v>0</v>
      </c>
      <c r="DJ444" s="16" t="n">
        <v>0</v>
      </c>
      <c r="DK444" s="16" t="n">
        <v>0</v>
      </c>
      <c r="DL444" s="16" t="n">
        <v>0</v>
      </c>
      <c r="DM444" s="16" t="n">
        <v>0</v>
      </c>
      <c r="DN444" s="16" t="n">
        <v>0</v>
      </c>
      <c r="DO444" s="16" t="n">
        <v>0</v>
      </c>
      <c r="DP444" s="16" t="n">
        <v>10</v>
      </c>
      <c r="DQ444" s="16" t="n">
        <v>8</v>
      </c>
      <c r="DR444" s="16" t="n">
        <v>10</v>
      </c>
      <c r="DS444" s="16" t="n">
        <v>0</v>
      </c>
      <c r="DT444" s="16" t="n">
        <v>0</v>
      </c>
      <c r="DU444" s="16" t="n">
        <v>0</v>
      </c>
      <c r="DV444" s="16" t="n">
        <v>0</v>
      </c>
      <c r="DW444" s="16" t="n">
        <v>0</v>
      </c>
      <c r="DX444" s="16" t="n">
        <v>0</v>
      </c>
      <c r="DY444" s="16" t="n">
        <v>0</v>
      </c>
      <c r="DZ444" s="16" t="n">
        <v>0</v>
      </c>
      <c r="EA444" s="16" t="n">
        <v>0</v>
      </c>
      <c r="EB444" s="16" t="n">
        <v>0</v>
      </c>
      <c r="EC444" s="16" t="n">
        <v>0</v>
      </c>
      <c r="ED444" s="16" t="n">
        <v>0</v>
      </c>
      <c r="EE444" s="16" t="n">
        <v>0</v>
      </c>
      <c r="EF444" s="16" t="n">
        <v>0</v>
      </c>
    </row>
    <row r="445" customFormat="false" ht="15" hidden="false" customHeight="true" outlineLevel="0" collapsed="false">
      <c r="A445" s="9" t="s">
        <v>12</v>
      </c>
      <c r="B445" s="9" t="s">
        <v>360</v>
      </c>
      <c r="C445" s="9" t="s">
        <v>361</v>
      </c>
      <c r="D445" s="9" t="s">
        <v>342</v>
      </c>
      <c r="E445" s="9" t="s">
        <v>14</v>
      </c>
      <c r="F445" s="9" t="s">
        <v>85</v>
      </c>
      <c r="G445" s="16" t="n">
        <v>0</v>
      </c>
      <c r="H445" s="16" t="n">
        <v>0</v>
      </c>
      <c r="I445" s="16" t="n">
        <v>309</v>
      </c>
      <c r="J445" s="16" t="n">
        <v>-309</v>
      </c>
      <c r="K445" s="16" t="n">
        <v>0</v>
      </c>
      <c r="L445" s="16" t="n">
        <v>0</v>
      </c>
      <c r="M445" s="16" t="n">
        <v>0</v>
      </c>
      <c r="N445" s="16" t="n">
        <v>0</v>
      </c>
      <c r="O445" s="16" t="n">
        <v>0</v>
      </c>
      <c r="P445" s="16" t="n">
        <v>0</v>
      </c>
      <c r="Q445" s="16" t="n">
        <v>0</v>
      </c>
      <c r="R445" s="16" t="n">
        <v>0</v>
      </c>
      <c r="S445" s="16" t="n">
        <v>0</v>
      </c>
      <c r="T445" s="16" t="n">
        <v>0</v>
      </c>
      <c r="U445" s="16" t="n">
        <v>0</v>
      </c>
      <c r="V445" s="16" t="n">
        <v>0</v>
      </c>
      <c r="W445" s="16" t="n">
        <v>0</v>
      </c>
      <c r="X445" s="16" t="n">
        <v>0</v>
      </c>
      <c r="Y445" s="16" t="n">
        <v>0</v>
      </c>
      <c r="Z445" s="16" t="n">
        <v>0</v>
      </c>
      <c r="AA445" s="16" t="n">
        <v>0</v>
      </c>
      <c r="AB445" s="16" t="n">
        <v>0</v>
      </c>
      <c r="AC445" s="16" t="n">
        <v>0</v>
      </c>
      <c r="AD445" s="16" t="n">
        <v>0</v>
      </c>
      <c r="AE445" s="16" t="n">
        <v>0</v>
      </c>
      <c r="AF445" s="16" t="n">
        <v>0</v>
      </c>
      <c r="AG445" s="16" t="n">
        <v>0</v>
      </c>
      <c r="AH445" s="16" t="n">
        <v>0</v>
      </c>
      <c r="AI445" s="16" t="n">
        <v>0</v>
      </c>
      <c r="AJ445" s="16" t="n">
        <v>0</v>
      </c>
      <c r="AK445" s="16" t="n">
        <v>0</v>
      </c>
      <c r="AL445" s="16" t="n">
        <v>0</v>
      </c>
      <c r="AM445" s="16" t="n">
        <v>0</v>
      </c>
      <c r="AN445" s="16" t="n">
        <v>0</v>
      </c>
      <c r="AO445" s="16" t="n">
        <v>0</v>
      </c>
      <c r="AP445" s="16" t="n">
        <v>0</v>
      </c>
      <c r="AQ445" s="16" t="n">
        <v>0</v>
      </c>
      <c r="AR445" s="16" t="n">
        <v>0</v>
      </c>
      <c r="AS445" s="16" t="n">
        <v>0</v>
      </c>
      <c r="AT445" s="16" t="n">
        <v>0</v>
      </c>
      <c r="AU445" s="16" t="n">
        <v>0</v>
      </c>
      <c r="AV445" s="16" t="n">
        <v>0</v>
      </c>
      <c r="AW445" s="16" t="n">
        <v>0</v>
      </c>
      <c r="AX445" s="16" t="n">
        <v>0</v>
      </c>
      <c r="AY445" s="16" t="n">
        <v>0</v>
      </c>
      <c r="AZ445" s="16" t="n">
        <v>0</v>
      </c>
      <c r="BA445" s="16" t="n">
        <v>0</v>
      </c>
      <c r="BB445" s="16" t="n">
        <v>0</v>
      </c>
      <c r="BC445" s="16" t="n">
        <v>0</v>
      </c>
      <c r="BD445" s="16" t="n">
        <v>0</v>
      </c>
      <c r="BE445" s="16" t="n">
        <v>0</v>
      </c>
      <c r="BF445" s="16" t="n">
        <v>0</v>
      </c>
      <c r="BG445" s="16" t="n">
        <v>0</v>
      </c>
      <c r="BH445" s="16" t="n">
        <v>0</v>
      </c>
      <c r="BI445" s="16" t="n">
        <v>0</v>
      </c>
      <c r="BJ445" s="16" t="n">
        <v>0</v>
      </c>
      <c r="BK445" s="16" t="n">
        <v>0</v>
      </c>
      <c r="BL445" s="16" t="n">
        <v>0</v>
      </c>
      <c r="BM445" s="16" t="n">
        <v>0</v>
      </c>
      <c r="BN445" s="16" t="n">
        <v>0</v>
      </c>
      <c r="BO445" s="16" t="n">
        <v>0</v>
      </c>
      <c r="BP445" s="16" t="n">
        <v>0</v>
      </c>
      <c r="BQ445" s="16" t="n">
        <v>0</v>
      </c>
      <c r="BR445" s="16" t="n">
        <v>0</v>
      </c>
      <c r="BS445" s="16" t="n">
        <v>0</v>
      </c>
      <c r="BT445" s="16" t="n">
        <v>0</v>
      </c>
      <c r="BU445" s="16" t="n">
        <v>0</v>
      </c>
      <c r="BV445" s="16" t="n">
        <v>0</v>
      </c>
      <c r="BW445" s="16" t="n">
        <v>0</v>
      </c>
      <c r="BX445" s="16" t="n">
        <v>0</v>
      </c>
      <c r="BY445" s="16" t="n">
        <v>0</v>
      </c>
      <c r="BZ445" s="16" t="n">
        <v>0</v>
      </c>
      <c r="CA445" s="16" t="n">
        <v>0</v>
      </c>
      <c r="CB445" s="16" t="n">
        <v>0</v>
      </c>
      <c r="CC445" s="16" t="n">
        <v>0</v>
      </c>
      <c r="CD445" s="16" t="n">
        <v>0</v>
      </c>
      <c r="CE445" s="16" t="n">
        <v>0</v>
      </c>
      <c r="CF445" s="16" t="n">
        <v>0</v>
      </c>
      <c r="CG445" s="16" t="n">
        <v>0</v>
      </c>
      <c r="CH445" s="16" t="n">
        <v>0</v>
      </c>
      <c r="CI445" s="16" t="n">
        <v>0</v>
      </c>
      <c r="CJ445" s="16" t="n">
        <v>0</v>
      </c>
      <c r="CK445" s="16" t="n">
        <v>0</v>
      </c>
      <c r="CL445" s="16" t="n">
        <v>0</v>
      </c>
      <c r="CM445" s="16" t="n">
        <v>0</v>
      </c>
      <c r="CN445" s="16" t="n">
        <v>0</v>
      </c>
      <c r="CO445" s="16" t="n">
        <v>0</v>
      </c>
      <c r="CP445" s="16" t="n">
        <v>0</v>
      </c>
      <c r="CQ445" s="16" t="n">
        <v>0</v>
      </c>
      <c r="CR445" s="16" t="n">
        <v>0</v>
      </c>
      <c r="CS445" s="16" t="n">
        <v>0</v>
      </c>
      <c r="CT445" s="16" t="n">
        <v>24</v>
      </c>
      <c r="CU445" s="16" t="n">
        <v>24</v>
      </c>
      <c r="CV445" s="16" t="n">
        <v>2</v>
      </c>
      <c r="CW445" s="16" t="n">
        <v>22</v>
      </c>
      <c r="CX445" s="16" t="n">
        <v>26</v>
      </c>
      <c r="CY445" s="16" t="n">
        <v>22</v>
      </c>
      <c r="CZ445" s="16" t="n">
        <v>2</v>
      </c>
      <c r="DA445" s="16" t="n">
        <v>2</v>
      </c>
      <c r="DB445" s="16" t="n">
        <v>2</v>
      </c>
      <c r="DC445" s="16" t="n">
        <v>2</v>
      </c>
      <c r="DD445" s="16" t="n">
        <v>2</v>
      </c>
      <c r="DE445" s="16" t="n">
        <v>22</v>
      </c>
      <c r="DF445" s="16" t="n">
        <v>22</v>
      </c>
      <c r="DG445" s="16" t="n">
        <v>25.5</v>
      </c>
      <c r="DH445" s="16" t="n">
        <v>5.5</v>
      </c>
      <c r="DI445" s="16" t="n">
        <v>2</v>
      </c>
      <c r="DJ445" s="16" t="n">
        <v>0</v>
      </c>
      <c r="DK445" s="16" t="n">
        <v>6</v>
      </c>
      <c r="DL445" s="16" t="n">
        <v>2</v>
      </c>
      <c r="DM445" s="16" t="n">
        <v>29</v>
      </c>
      <c r="DN445" s="16" t="n">
        <v>29</v>
      </c>
      <c r="DO445" s="16" t="n">
        <v>26</v>
      </c>
      <c r="DP445" s="16" t="n">
        <v>2</v>
      </c>
      <c r="DQ445" s="16" t="n">
        <v>6</v>
      </c>
      <c r="DR445" s="16" t="n">
        <v>2</v>
      </c>
      <c r="DS445" s="16" t="n">
        <v>0</v>
      </c>
      <c r="DT445" s="16" t="n">
        <v>0</v>
      </c>
      <c r="DU445" s="16" t="n">
        <v>0</v>
      </c>
      <c r="DV445" s="16" t="n">
        <v>0</v>
      </c>
      <c r="DW445" s="16" t="n">
        <v>0</v>
      </c>
      <c r="DX445" s="16" t="n">
        <v>0</v>
      </c>
      <c r="DY445" s="16" t="n">
        <v>0</v>
      </c>
      <c r="DZ445" s="16" t="n">
        <v>0</v>
      </c>
      <c r="EA445" s="16" t="n">
        <v>0</v>
      </c>
      <c r="EB445" s="16" t="n">
        <v>0</v>
      </c>
      <c r="EC445" s="16" t="n">
        <v>0</v>
      </c>
      <c r="ED445" s="16" t="n">
        <v>0</v>
      </c>
      <c r="EE445" s="16" t="n">
        <v>0</v>
      </c>
      <c r="EF445" s="16" t="n">
        <v>0</v>
      </c>
    </row>
    <row r="446" customFormat="false" ht="15" hidden="false" customHeight="true" outlineLevel="0" collapsed="false">
      <c r="A446" s="9" t="s">
        <v>12</v>
      </c>
      <c r="B446" s="9" t="s">
        <v>362</v>
      </c>
      <c r="C446" s="9" t="s">
        <v>139</v>
      </c>
      <c r="D446" s="9" t="s">
        <v>342</v>
      </c>
      <c r="E446" s="9" t="s">
        <v>14</v>
      </c>
      <c r="F446" s="9" t="s">
        <v>95</v>
      </c>
      <c r="G446" s="16" t="n">
        <v>0</v>
      </c>
      <c r="H446" s="16" t="n">
        <v>122</v>
      </c>
      <c r="I446" s="16" t="n">
        <v>122</v>
      </c>
      <c r="J446" s="16" t="n">
        <v>0</v>
      </c>
      <c r="K446" s="16" t="n">
        <v>0</v>
      </c>
      <c r="L446" s="16" t="n">
        <v>0</v>
      </c>
      <c r="M446" s="16" t="n">
        <v>0</v>
      </c>
      <c r="N446" s="16" t="n">
        <v>0</v>
      </c>
      <c r="O446" s="16" t="n">
        <v>0</v>
      </c>
      <c r="P446" s="16" t="n">
        <v>0</v>
      </c>
      <c r="Q446" s="16" t="n">
        <v>0</v>
      </c>
      <c r="R446" s="16" t="n">
        <v>0</v>
      </c>
      <c r="S446" s="16" t="n">
        <v>0</v>
      </c>
      <c r="T446" s="16" t="n">
        <v>0</v>
      </c>
      <c r="U446" s="16" t="n">
        <v>0</v>
      </c>
      <c r="V446" s="16" t="n">
        <v>0</v>
      </c>
      <c r="W446" s="16" t="n">
        <v>0</v>
      </c>
      <c r="X446" s="16" t="n">
        <v>0</v>
      </c>
      <c r="Y446" s="16" t="n">
        <v>0</v>
      </c>
      <c r="Z446" s="16" t="n">
        <v>0</v>
      </c>
      <c r="AA446" s="16" t="n">
        <v>0</v>
      </c>
      <c r="AB446" s="16" t="n">
        <v>0</v>
      </c>
      <c r="AC446" s="16" t="n">
        <v>0</v>
      </c>
      <c r="AD446" s="16" t="n">
        <v>0</v>
      </c>
      <c r="AE446" s="16" t="n">
        <v>0</v>
      </c>
      <c r="AF446" s="16" t="n">
        <v>0</v>
      </c>
      <c r="AG446" s="16" t="n">
        <v>0</v>
      </c>
      <c r="AH446" s="16" t="n">
        <v>0</v>
      </c>
      <c r="AI446" s="16" t="n">
        <v>0</v>
      </c>
      <c r="AJ446" s="16" t="n">
        <v>0</v>
      </c>
      <c r="AK446" s="16" t="n">
        <v>0</v>
      </c>
      <c r="AL446" s="16" t="n">
        <v>0</v>
      </c>
      <c r="AM446" s="16" t="n">
        <v>0</v>
      </c>
      <c r="AN446" s="16" t="n">
        <v>0</v>
      </c>
      <c r="AO446" s="16" t="n">
        <v>0</v>
      </c>
      <c r="AP446" s="16" t="n">
        <v>0</v>
      </c>
      <c r="AQ446" s="16" t="n">
        <v>0</v>
      </c>
      <c r="AR446" s="16" t="n">
        <v>0</v>
      </c>
      <c r="AS446" s="16" t="n">
        <v>0</v>
      </c>
      <c r="AT446" s="16" t="n">
        <v>0</v>
      </c>
      <c r="AU446" s="16" t="n">
        <v>0</v>
      </c>
      <c r="AV446" s="16" t="n">
        <v>0</v>
      </c>
      <c r="AW446" s="16" t="n">
        <v>0</v>
      </c>
      <c r="AX446" s="16" t="n">
        <v>0</v>
      </c>
      <c r="AY446" s="16" t="n">
        <v>0</v>
      </c>
      <c r="AZ446" s="16" t="n">
        <v>0</v>
      </c>
      <c r="BA446" s="16" t="n">
        <v>0</v>
      </c>
      <c r="BB446" s="16" t="n">
        <v>0</v>
      </c>
      <c r="BC446" s="16" t="n">
        <v>0</v>
      </c>
      <c r="BD446" s="16" t="n">
        <v>0</v>
      </c>
      <c r="BE446" s="16" t="n">
        <v>0</v>
      </c>
      <c r="BF446" s="16" t="n">
        <v>0</v>
      </c>
      <c r="BG446" s="16" t="n">
        <v>0</v>
      </c>
      <c r="BH446" s="16" t="n">
        <v>0</v>
      </c>
      <c r="BI446" s="16" t="n">
        <v>0</v>
      </c>
      <c r="BJ446" s="16" t="n">
        <v>0</v>
      </c>
      <c r="BK446" s="16" t="n">
        <v>0</v>
      </c>
      <c r="BL446" s="16" t="n">
        <v>0</v>
      </c>
      <c r="BM446" s="16" t="n">
        <v>0</v>
      </c>
      <c r="BN446" s="16" t="n">
        <v>0</v>
      </c>
      <c r="BO446" s="16" t="n">
        <v>0</v>
      </c>
      <c r="BP446" s="16" t="n">
        <v>0</v>
      </c>
      <c r="BQ446" s="16" t="n">
        <v>0</v>
      </c>
      <c r="BR446" s="16" t="n">
        <v>0</v>
      </c>
      <c r="BS446" s="16" t="n">
        <v>0</v>
      </c>
      <c r="BT446" s="16" t="n">
        <v>0</v>
      </c>
      <c r="BU446" s="16" t="n">
        <v>0</v>
      </c>
      <c r="BV446" s="16" t="n">
        <v>0</v>
      </c>
      <c r="BW446" s="16" t="n">
        <v>0</v>
      </c>
      <c r="BX446" s="16" t="n">
        <v>0</v>
      </c>
      <c r="BY446" s="16" t="n">
        <v>0</v>
      </c>
      <c r="BZ446" s="16" t="n">
        <v>0</v>
      </c>
      <c r="CA446" s="16" t="n">
        <v>0</v>
      </c>
      <c r="CB446" s="16" t="n">
        <v>0</v>
      </c>
      <c r="CC446" s="16" t="n">
        <v>0</v>
      </c>
      <c r="CD446" s="16" t="n">
        <v>0</v>
      </c>
      <c r="CE446" s="16" t="n">
        <v>0</v>
      </c>
      <c r="CF446" s="16" t="n">
        <v>0</v>
      </c>
      <c r="CG446" s="16" t="n">
        <v>0</v>
      </c>
      <c r="CH446" s="16" t="n">
        <v>0</v>
      </c>
      <c r="CI446" s="16" t="n">
        <v>0</v>
      </c>
      <c r="CJ446" s="16" t="n">
        <v>0</v>
      </c>
      <c r="CK446" s="16" t="n">
        <v>0</v>
      </c>
      <c r="CL446" s="16" t="n">
        <v>0</v>
      </c>
      <c r="CM446" s="16" t="n">
        <v>0</v>
      </c>
      <c r="CN446" s="16" t="n">
        <v>0</v>
      </c>
      <c r="CO446" s="16" t="n">
        <v>0</v>
      </c>
      <c r="CP446" s="16" t="n">
        <v>0</v>
      </c>
      <c r="CQ446" s="16" t="n">
        <v>0</v>
      </c>
      <c r="CR446" s="16" t="n">
        <v>0</v>
      </c>
      <c r="CS446" s="16" t="n">
        <v>0</v>
      </c>
      <c r="CT446" s="16" t="n">
        <v>0</v>
      </c>
      <c r="CU446" s="16" t="n">
        <v>0</v>
      </c>
      <c r="CV446" s="16" t="n">
        <v>0</v>
      </c>
      <c r="CW446" s="16" t="n">
        <v>0</v>
      </c>
      <c r="CX446" s="16" t="n">
        <v>0</v>
      </c>
      <c r="CY446" s="16" t="n">
        <v>0</v>
      </c>
      <c r="CZ446" s="16" t="n">
        <v>0</v>
      </c>
      <c r="DA446" s="16" t="n">
        <v>0</v>
      </c>
      <c r="DB446" s="16" t="n">
        <v>0</v>
      </c>
      <c r="DC446" s="16" t="n">
        <v>0</v>
      </c>
      <c r="DD446" s="16" t="n">
        <v>0</v>
      </c>
      <c r="DE446" s="16" t="n">
        <v>0</v>
      </c>
      <c r="DF446" s="16" t="n">
        <v>0</v>
      </c>
      <c r="DG446" s="16" t="n">
        <v>0</v>
      </c>
      <c r="DH446" s="16" t="n">
        <v>0</v>
      </c>
      <c r="DI446" s="16" t="n">
        <v>0</v>
      </c>
      <c r="DJ446" s="16" t="n">
        <v>0</v>
      </c>
      <c r="DK446" s="16" t="n">
        <v>0</v>
      </c>
      <c r="DL446" s="16" t="n">
        <v>25</v>
      </c>
      <c r="DM446" s="16" t="n">
        <v>39</v>
      </c>
      <c r="DN446" s="16" t="n">
        <v>28</v>
      </c>
      <c r="DO446" s="16" t="n">
        <v>30</v>
      </c>
      <c r="DP446" s="16" t="n">
        <v>0</v>
      </c>
      <c r="DQ446" s="16" t="n">
        <v>0</v>
      </c>
      <c r="DR446" s="16" t="n">
        <v>0</v>
      </c>
      <c r="DS446" s="16" t="n">
        <v>0</v>
      </c>
      <c r="DT446" s="16" t="n">
        <v>0</v>
      </c>
      <c r="DU446" s="16" t="n">
        <v>0</v>
      </c>
      <c r="DV446" s="16" t="n">
        <v>0</v>
      </c>
      <c r="DW446" s="16" t="n">
        <v>0</v>
      </c>
      <c r="DX446" s="16" t="n">
        <v>0</v>
      </c>
      <c r="DY446" s="16" t="n">
        <v>0</v>
      </c>
      <c r="DZ446" s="16" t="n">
        <v>0</v>
      </c>
      <c r="EA446" s="16" t="n">
        <v>0</v>
      </c>
      <c r="EB446" s="16" t="n">
        <v>0</v>
      </c>
      <c r="EC446" s="16" t="n">
        <v>0</v>
      </c>
      <c r="ED446" s="16" t="n">
        <v>0</v>
      </c>
      <c r="EE446" s="16" t="n">
        <v>0</v>
      </c>
      <c r="EF446" s="16" t="n">
        <v>0</v>
      </c>
    </row>
    <row r="447" customFormat="false" ht="15" hidden="false" customHeight="true" outlineLevel="0" collapsed="false">
      <c r="A447" s="9" t="s">
        <v>12</v>
      </c>
      <c r="B447" s="9" t="s">
        <v>362</v>
      </c>
      <c r="C447" s="9" t="s">
        <v>139</v>
      </c>
      <c r="D447" s="9" t="s">
        <v>342</v>
      </c>
      <c r="E447" s="9" t="s">
        <v>14</v>
      </c>
      <c r="F447" s="9" t="s">
        <v>99</v>
      </c>
      <c r="G447" s="16" t="n">
        <v>0</v>
      </c>
      <c r="H447" s="16" t="n">
        <v>63</v>
      </c>
      <c r="I447" s="16" t="n">
        <v>63</v>
      </c>
      <c r="J447" s="16" t="n">
        <v>0</v>
      </c>
      <c r="K447" s="16" t="n">
        <v>0</v>
      </c>
      <c r="L447" s="16" t="n">
        <v>0</v>
      </c>
      <c r="M447" s="16" t="n">
        <v>0</v>
      </c>
      <c r="N447" s="16" t="n">
        <v>0</v>
      </c>
      <c r="O447" s="16" t="n">
        <v>0</v>
      </c>
      <c r="P447" s="16" t="n">
        <v>0</v>
      </c>
      <c r="Q447" s="16" t="n">
        <v>0</v>
      </c>
      <c r="R447" s="16" t="n">
        <v>0</v>
      </c>
      <c r="S447" s="16" t="n">
        <v>0</v>
      </c>
      <c r="T447" s="16" t="n">
        <v>0</v>
      </c>
      <c r="U447" s="16" t="n">
        <v>0</v>
      </c>
      <c r="V447" s="16" t="n">
        <v>0</v>
      </c>
      <c r="W447" s="16" t="n">
        <v>0</v>
      </c>
      <c r="X447" s="16" t="n">
        <v>0</v>
      </c>
      <c r="Y447" s="16" t="n">
        <v>0</v>
      </c>
      <c r="Z447" s="16" t="n">
        <v>0</v>
      </c>
      <c r="AA447" s="16" t="n">
        <v>0</v>
      </c>
      <c r="AB447" s="16" t="n">
        <v>0</v>
      </c>
      <c r="AC447" s="16" t="n">
        <v>0</v>
      </c>
      <c r="AD447" s="16" t="n">
        <v>0</v>
      </c>
      <c r="AE447" s="16" t="n">
        <v>0</v>
      </c>
      <c r="AF447" s="16" t="n">
        <v>0</v>
      </c>
      <c r="AG447" s="16" t="n">
        <v>0</v>
      </c>
      <c r="AH447" s="16" t="n">
        <v>0</v>
      </c>
      <c r="AI447" s="16" t="n">
        <v>0</v>
      </c>
      <c r="AJ447" s="16" t="n">
        <v>0</v>
      </c>
      <c r="AK447" s="16" t="n">
        <v>0</v>
      </c>
      <c r="AL447" s="16" t="n">
        <v>0</v>
      </c>
      <c r="AM447" s="16" t="n">
        <v>0</v>
      </c>
      <c r="AN447" s="16" t="n">
        <v>0</v>
      </c>
      <c r="AO447" s="16" t="n">
        <v>0</v>
      </c>
      <c r="AP447" s="16" t="n">
        <v>0</v>
      </c>
      <c r="AQ447" s="16" t="n">
        <v>0</v>
      </c>
      <c r="AR447" s="16" t="n">
        <v>0</v>
      </c>
      <c r="AS447" s="16" t="n">
        <v>0</v>
      </c>
      <c r="AT447" s="16" t="n">
        <v>0</v>
      </c>
      <c r="AU447" s="16" t="n">
        <v>0</v>
      </c>
      <c r="AV447" s="16" t="n">
        <v>0</v>
      </c>
      <c r="AW447" s="16" t="n">
        <v>0</v>
      </c>
      <c r="AX447" s="16" t="n">
        <v>0</v>
      </c>
      <c r="AY447" s="16" t="n">
        <v>0</v>
      </c>
      <c r="AZ447" s="16" t="n">
        <v>0</v>
      </c>
      <c r="BA447" s="16" t="n">
        <v>0</v>
      </c>
      <c r="BB447" s="16" t="n">
        <v>0</v>
      </c>
      <c r="BC447" s="16" t="n">
        <v>0</v>
      </c>
      <c r="BD447" s="16" t="n">
        <v>0</v>
      </c>
      <c r="BE447" s="16" t="n">
        <v>0</v>
      </c>
      <c r="BF447" s="16" t="n">
        <v>0</v>
      </c>
      <c r="BG447" s="16" t="n">
        <v>0</v>
      </c>
      <c r="BH447" s="16" t="n">
        <v>0</v>
      </c>
      <c r="BI447" s="16" t="n">
        <v>0</v>
      </c>
      <c r="BJ447" s="16" t="n">
        <v>0</v>
      </c>
      <c r="BK447" s="16" t="n">
        <v>0</v>
      </c>
      <c r="BL447" s="16" t="n">
        <v>0</v>
      </c>
      <c r="BM447" s="16" t="n">
        <v>0</v>
      </c>
      <c r="BN447" s="16" t="n">
        <v>0</v>
      </c>
      <c r="BO447" s="16" t="n">
        <v>0</v>
      </c>
      <c r="BP447" s="16" t="n">
        <v>0</v>
      </c>
      <c r="BQ447" s="16" t="n">
        <v>0</v>
      </c>
      <c r="BR447" s="16" t="n">
        <v>0</v>
      </c>
      <c r="BS447" s="16" t="n">
        <v>0</v>
      </c>
      <c r="BT447" s="16" t="n">
        <v>0</v>
      </c>
      <c r="BU447" s="16" t="n">
        <v>0</v>
      </c>
      <c r="BV447" s="16" t="n">
        <v>0</v>
      </c>
      <c r="BW447" s="16" t="n">
        <v>0</v>
      </c>
      <c r="BX447" s="16" t="n">
        <v>0</v>
      </c>
      <c r="BY447" s="16" t="n">
        <v>0</v>
      </c>
      <c r="BZ447" s="16" t="n">
        <v>0</v>
      </c>
      <c r="CA447" s="16" t="n">
        <v>0</v>
      </c>
      <c r="CB447" s="16" t="n">
        <v>0</v>
      </c>
      <c r="CC447" s="16" t="n">
        <v>0</v>
      </c>
      <c r="CD447" s="16" t="n">
        <v>0</v>
      </c>
      <c r="CE447" s="16" t="n">
        <v>0</v>
      </c>
      <c r="CF447" s="16" t="n">
        <v>0</v>
      </c>
      <c r="CG447" s="16" t="n">
        <v>0</v>
      </c>
      <c r="CH447" s="16" t="n">
        <v>0</v>
      </c>
      <c r="CI447" s="16" t="n">
        <v>0</v>
      </c>
      <c r="CJ447" s="16" t="n">
        <v>0</v>
      </c>
      <c r="CK447" s="16" t="n">
        <v>0</v>
      </c>
      <c r="CL447" s="16" t="n">
        <v>0</v>
      </c>
      <c r="CM447" s="16" t="n">
        <v>0</v>
      </c>
      <c r="CN447" s="16" t="n">
        <v>0</v>
      </c>
      <c r="CO447" s="16" t="n">
        <v>0</v>
      </c>
      <c r="CP447" s="16" t="n">
        <v>0</v>
      </c>
      <c r="CQ447" s="16" t="n">
        <v>0</v>
      </c>
      <c r="CR447" s="16" t="n">
        <v>0</v>
      </c>
      <c r="CS447" s="16" t="n">
        <v>0</v>
      </c>
      <c r="CT447" s="16" t="n">
        <v>0</v>
      </c>
      <c r="CU447" s="16" t="n">
        <v>0</v>
      </c>
      <c r="CV447" s="16" t="n">
        <v>0</v>
      </c>
      <c r="CW447" s="16" t="n">
        <v>0</v>
      </c>
      <c r="CX447" s="16" t="n">
        <v>0</v>
      </c>
      <c r="CY447" s="16" t="n">
        <v>0</v>
      </c>
      <c r="CZ447" s="16" t="n">
        <v>0</v>
      </c>
      <c r="DA447" s="16" t="n">
        <v>0</v>
      </c>
      <c r="DB447" s="16" t="n">
        <v>0</v>
      </c>
      <c r="DC447" s="16" t="n">
        <v>0</v>
      </c>
      <c r="DD447" s="16" t="n">
        <v>0</v>
      </c>
      <c r="DE447" s="16" t="n">
        <v>0</v>
      </c>
      <c r="DF447" s="16" t="n">
        <v>0</v>
      </c>
      <c r="DG447" s="16" t="n">
        <v>0</v>
      </c>
      <c r="DH447" s="16" t="n">
        <v>0</v>
      </c>
      <c r="DI447" s="16" t="n">
        <v>0</v>
      </c>
      <c r="DJ447" s="16" t="n">
        <v>0</v>
      </c>
      <c r="DK447" s="16" t="n">
        <v>0</v>
      </c>
      <c r="DL447" s="16" t="n">
        <v>0</v>
      </c>
      <c r="DM447" s="16" t="n">
        <v>0</v>
      </c>
      <c r="DN447" s="16" t="n">
        <v>16</v>
      </c>
      <c r="DO447" s="16" t="n">
        <v>23</v>
      </c>
      <c r="DP447" s="16" t="n">
        <v>24</v>
      </c>
      <c r="DQ447" s="16" t="n">
        <v>0</v>
      </c>
      <c r="DR447" s="16" t="n">
        <v>0</v>
      </c>
      <c r="DS447" s="16" t="n">
        <v>0</v>
      </c>
      <c r="DT447" s="16" t="n">
        <v>0</v>
      </c>
      <c r="DU447" s="16" t="n">
        <v>0</v>
      </c>
      <c r="DV447" s="16" t="n">
        <v>0</v>
      </c>
      <c r="DW447" s="16" t="n">
        <v>0</v>
      </c>
      <c r="DX447" s="16" t="n">
        <v>0</v>
      </c>
      <c r="DY447" s="16" t="n">
        <v>0</v>
      </c>
      <c r="DZ447" s="16" t="n">
        <v>0</v>
      </c>
      <c r="EA447" s="16" t="n">
        <v>0</v>
      </c>
      <c r="EB447" s="16" t="n">
        <v>0</v>
      </c>
      <c r="EC447" s="16" t="n">
        <v>0</v>
      </c>
      <c r="ED447" s="16" t="n">
        <v>0</v>
      </c>
      <c r="EE447" s="16" t="n">
        <v>0</v>
      </c>
      <c r="EF447" s="16" t="n">
        <v>0</v>
      </c>
    </row>
    <row r="448" customFormat="false" ht="15" hidden="false" customHeight="true" outlineLevel="0" collapsed="false">
      <c r="A448" s="9" t="s">
        <v>12</v>
      </c>
      <c r="B448" s="9" t="s">
        <v>362</v>
      </c>
      <c r="C448" s="9" t="s">
        <v>139</v>
      </c>
      <c r="D448" s="9" t="s">
        <v>342</v>
      </c>
      <c r="E448" s="9" t="s">
        <v>14</v>
      </c>
      <c r="F448" s="9" t="s">
        <v>43</v>
      </c>
      <c r="G448" s="16" t="n">
        <v>0</v>
      </c>
      <c r="H448" s="16" t="n">
        <v>25</v>
      </c>
      <c r="I448" s="16" t="n">
        <v>25</v>
      </c>
      <c r="J448" s="16" t="n">
        <v>0</v>
      </c>
      <c r="K448" s="16" t="n">
        <v>0</v>
      </c>
      <c r="L448" s="16" t="n">
        <v>0</v>
      </c>
      <c r="M448" s="16" t="n">
        <v>0</v>
      </c>
      <c r="N448" s="16" t="n">
        <v>0</v>
      </c>
      <c r="O448" s="16" t="n">
        <v>0</v>
      </c>
      <c r="P448" s="16" t="n">
        <v>0</v>
      </c>
      <c r="Q448" s="16" t="n">
        <v>0</v>
      </c>
      <c r="R448" s="16" t="n">
        <v>0</v>
      </c>
      <c r="S448" s="16" t="n">
        <v>0</v>
      </c>
      <c r="T448" s="16" t="n">
        <v>0</v>
      </c>
      <c r="U448" s="16" t="n">
        <v>0</v>
      </c>
      <c r="V448" s="16" t="n">
        <v>0</v>
      </c>
      <c r="W448" s="16" t="n">
        <v>0</v>
      </c>
      <c r="X448" s="16" t="n">
        <v>0</v>
      </c>
      <c r="Y448" s="16" t="n">
        <v>0</v>
      </c>
      <c r="Z448" s="16" t="n">
        <v>0</v>
      </c>
      <c r="AA448" s="16" t="n">
        <v>0</v>
      </c>
      <c r="AB448" s="16" t="n">
        <v>0</v>
      </c>
      <c r="AC448" s="16" t="n">
        <v>0</v>
      </c>
      <c r="AD448" s="16" t="n">
        <v>0</v>
      </c>
      <c r="AE448" s="16" t="n">
        <v>0</v>
      </c>
      <c r="AF448" s="16" t="n">
        <v>0</v>
      </c>
      <c r="AG448" s="16" t="n">
        <v>0</v>
      </c>
      <c r="AH448" s="16" t="n">
        <v>0</v>
      </c>
      <c r="AI448" s="16" t="n">
        <v>0</v>
      </c>
      <c r="AJ448" s="16" t="n">
        <v>0</v>
      </c>
      <c r="AK448" s="16" t="n">
        <v>0</v>
      </c>
      <c r="AL448" s="16" t="n">
        <v>0</v>
      </c>
      <c r="AM448" s="16" t="n">
        <v>0</v>
      </c>
      <c r="AN448" s="16" t="n">
        <v>0</v>
      </c>
      <c r="AO448" s="16" t="n">
        <v>0</v>
      </c>
      <c r="AP448" s="16" t="n">
        <v>0</v>
      </c>
      <c r="AQ448" s="16" t="n">
        <v>0</v>
      </c>
      <c r="AR448" s="16" t="n">
        <v>0</v>
      </c>
      <c r="AS448" s="16" t="n">
        <v>0</v>
      </c>
      <c r="AT448" s="16" t="n">
        <v>0</v>
      </c>
      <c r="AU448" s="16" t="n">
        <v>0</v>
      </c>
      <c r="AV448" s="16" t="n">
        <v>0</v>
      </c>
      <c r="AW448" s="16" t="n">
        <v>0</v>
      </c>
      <c r="AX448" s="16" t="n">
        <v>0</v>
      </c>
      <c r="AY448" s="16" t="n">
        <v>0</v>
      </c>
      <c r="AZ448" s="16" t="n">
        <v>0</v>
      </c>
      <c r="BA448" s="16" t="n">
        <v>0</v>
      </c>
      <c r="BB448" s="16" t="n">
        <v>0</v>
      </c>
      <c r="BC448" s="16" t="n">
        <v>0</v>
      </c>
      <c r="BD448" s="16" t="n">
        <v>0</v>
      </c>
      <c r="BE448" s="16" t="n">
        <v>0</v>
      </c>
      <c r="BF448" s="16" t="n">
        <v>0</v>
      </c>
      <c r="BG448" s="16" t="n">
        <v>0</v>
      </c>
      <c r="BH448" s="16" t="n">
        <v>0</v>
      </c>
      <c r="BI448" s="16" t="n">
        <v>0</v>
      </c>
      <c r="BJ448" s="16" t="n">
        <v>0</v>
      </c>
      <c r="BK448" s="16" t="n">
        <v>0</v>
      </c>
      <c r="BL448" s="16" t="n">
        <v>0</v>
      </c>
      <c r="BM448" s="16" t="n">
        <v>0</v>
      </c>
      <c r="BN448" s="16" t="n">
        <v>0</v>
      </c>
      <c r="BO448" s="16" t="n">
        <v>0</v>
      </c>
      <c r="BP448" s="16" t="n">
        <v>0</v>
      </c>
      <c r="BQ448" s="16" t="n">
        <v>0</v>
      </c>
      <c r="BR448" s="16" t="n">
        <v>0</v>
      </c>
      <c r="BS448" s="16" t="n">
        <v>0</v>
      </c>
      <c r="BT448" s="16" t="n">
        <v>0</v>
      </c>
      <c r="BU448" s="16" t="n">
        <v>0</v>
      </c>
      <c r="BV448" s="16" t="n">
        <v>0</v>
      </c>
      <c r="BW448" s="16" t="n">
        <v>0</v>
      </c>
      <c r="BX448" s="16" t="n">
        <v>0</v>
      </c>
      <c r="BY448" s="16" t="n">
        <v>0</v>
      </c>
      <c r="BZ448" s="16" t="n">
        <v>0</v>
      </c>
      <c r="CA448" s="16" t="n">
        <v>0</v>
      </c>
      <c r="CB448" s="16" t="n">
        <v>0</v>
      </c>
      <c r="CC448" s="16" t="n">
        <v>0</v>
      </c>
      <c r="CD448" s="16" t="n">
        <v>0</v>
      </c>
      <c r="CE448" s="16" t="n">
        <v>0</v>
      </c>
      <c r="CF448" s="16" t="n">
        <v>0</v>
      </c>
      <c r="CG448" s="16" t="n">
        <v>0</v>
      </c>
      <c r="CH448" s="16" t="n">
        <v>0</v>
      </c>
      <c r="CI448" s="16" t="n">
        <v>0</v>
      </c>
      <c r="CJ448" s="16" t="n">
        <v>0</v>
      </c>
      <c r="CK448" s="16" t="n">
        <v>0</v>
      </c>
      <c r="CL448" s="16" t="n">
        <v>0</v>
      </c>
      <c r="CM448" s="16" t="n">
        <v>0</v>
      </c>
      <c r="CN448" s="16" t="n">
        <v>0</v>
      </c>
      <c r="CO448" s="16" t="n">
        <v>0</v>
      </c>
      <c r="CP448" s="16" t="n">
        <v>0</v>
      </c>
      <c r="CQ448" s="16" t="n">
        <v>0</v>
      </c>
      <c r="CR448" s="16" t="n">
        <v>0</v>
      </c>
      <c r="CS448" s="16" t="n">
        <v>0</v>
      </c>
      <c r="CT448" s="16" t="n">
        <v>0</v>
      </c>
      <c r="CU448" s="16" t="n">
        <v>0</v>
      </c>
      <c r="CV448" s="16" t="n">
        <v>0</v>
      </c>
      <c r="CW448" s="16" t="n">
        <v>0</v>
      </c>
      <c r="CX448" s="16" t="n">
        <v>0</v>
      </c>
      <c r="CY448" s="16" t="n">
        <v>0</v>
      </c>
      <c r="CZ448" s="16" t="n">
        <v>0</v>
      </c>
      <c r="DA448" s="16" t="n">
        <v>0</v>
      </c>
      <c r="DB448" s="16" t="n">
        <v>0</v>
      </c>
      <c r="DC448" s="16" t="n">
        <v>0</v>
      </c>
      <c r="DD448" s="16" t="n">
        <v>0</v>
      </c>
      <c r="DE448" s="16" t="n">
        <v>0</v>
      </c>
      <c r="DF448" s="16" t="n">
        <v>0</v>
      </c>
      <c r="DG448" s="16" t="n">
        <v>0</v>
      </c>
      <c r="DH448" s="16" t="n">
        <v>0</v>
      </c>
      <c r="DI448" s="16" t="n">
        <v>0</v>
      </c>
      <c r="DJ448" s="16" t="n">
        <v>0</v>
      </c>
      <c r="DK448" s="16" t="n">
        <v>0</v>
      </c>
      <c r="DL448" s="16" t="n">
        <v>0</v>
      </c>
      <c r="DM448" s="16" t="n">
        <v>0</v>
      </c>
      <c r="DN448" s="16" t="n">
        <v>0</v>
      </c>
      <c r="DO448" s="16" t="n">
        <v>0</v>
      </c>
      <c r="DP448" s="16" t="n">
        <v>18</v>
      </c>
      <c r="DQ448" s="16" t="n">
        <v>7</v>
      </c>
      <c r="DR448" s="16" t="n">
        <v>0</v>
      </c>
      <c r="DS448" s="16" t="n">
        <v>0</v>
      </c>
      <c r="DT448" s="16" t="n">
        <v>0</v>
      </c>
      <c r="DU448" s="16" t="n">
        <v>0</v>
      </c>
      <c r="DV448" s="16" t="n">
        <v>0</v>
      </c>
      <c r="DW448" s="16" t="n">
        <v>0</v>
      </c>
      <c r="DX448" s="16" t="n">
        <v>0</v>
      </c>
      <c r="DY448" s="16" t="n">
        <v>0</v>
      </c>
      <c r="DZ448" s="16" t="n">
        <v>0</v>
      </c>
      <c r="EA448" s="16" t="n">
        <v>0</v>
      </c>
      <c r="EB448" s="16" t="n">
        <v>0</v>
      </c>
      <c r="EC448" s="16" t="n">
        <v>0</v>
      </c>
      <c r="ED448" s="16" t="n">
        <v>0</v>
      </c>
      <c r="EE448" s="16" t="n">
        <v>0</v>
      </c>
      <c r="EF448" s="16" t="n">
        <v>0</v>
      </c>
    </row>
    <row r="449" customFormat="false" ht="15" hidden="false" customHeight="true" outlineLevel="0" collapsed="false">
      <c r="A449" s="9" t="s">
        <v>12</v>
      </c>
      <c r="B449" s="9" t="s">
        <v>362</v>
      </c>
      <c r="C449" s="9" t="s">
        <v>139</v>
      </c>
      <c r="D449" s="9" t="s">
        <v>342</v>
      </c>
      <c r="E449" s="9" t="s">
        <v>14</v>
      </c>
      <c r="F449" s="9" t="s">
        <v>100</v>
      </c>
      <c r="G449" s="16" t="n">
        <v>0</v>
      </c>
      <c r="H449" s="16" t="n">
        <v>20</v>
      </c>
      <c r="I449" s="16" t="n">
        <v>20</v>
      </c>
      <c r="J449" s="16" t="n">
        <v>0</v>
      </c>
      <c r="K449" s="16" t="n">
        <v>0</v>
      </c>
      <c r="L449" s="16" t="n">
        <v>0</v>
      </c>
      <c r="M449" s="16" t="n">
        <v>0</v>
      </c>
      <c r="N449" s="16" t="n">
        <v>0</v>
      </c>
      <c r="O449" s="16" t="n">
        <v>0</v>
      </c>
      <c r="P449" s="16" t="n">
        <v>0</v>
      </c>
      <c r="Q449" s="16" t="n">
        <v>0</v>
      </c>
      <c r="R449" s="16" t="n">
        <v>0</v>
      </c>
      <c r="S449" s="16" t="n">
        <v>0</v>
      </c>
      <c r="T449" s="16" t="n">
        <v>0</v>
      </c>
      <c r="U449" s="16" t="n">
        <v>0</v>
      </c>
      <c r="V449" s="16" t="n">
        <v>0</v>
      </c>
      <c r="W449" s="16" t="n">
        <v>0</v>
      </c>
      <c r="X449" s="16" t="n">
        <v>0</v>
      </c>
      <c r="Y449" s="16" t="n">
        <v>0</v>
      </c>
      <c r="Z449" s="16" t="n">
        <v>0</v>
      </c>
      <c r="AA449" s="16" t="n">
        <v>0</v>
      </c>
      <c r="AB449" s="16" t="n">
        <v>0</v>
      </c>
      <c r="AC449" s="16" t="n">
        <v>0</v>
      </c>
      <c r="AD449" s="16" t="n">
        <v>0</v>
      </c>
      <c r="AE449" s="16" t="n">
        <v>0</v>
      </c>
      <c r="AF449" s="16" t="n">
        <v>0</v>
      </c>
      <c r="AG449" s="16" t="n">
        <v>0</v>
      </c>
      <c r="AH449" s="16" t="n">
        <v>0</v>
      </c>
      <c r="AI449" s="16" t="n">
        <v>0</v>
      </c>
      <c r="AJ449" s="16" t="n">
        <v>0</v>
      </c>
      <c r="AK449" s="16" t="n">
        <v>0</v>
      </c>
      <c r="AL449" s="16" t="n">
        <v>0</v>
      </c>
      <c r="AM449" s="16" t="n">
        <v>0</v>
      </c>
      <c r="AN449" s="16" t="n">
        <v>0</v>
      </c>
      <c r="AO449" s="16" t="n">
        <v>0</v>
      </c>
      <c r="AP449" s="16" t="n">
        <v>0</v>
      </c>
      <c r="AQ449" s="16" t="n">
        <v>0</v>
      </c>
      <c r="AR449" s="16" t="n">
        <v>0</v>
      </c>
      <c r="AS449" s="16" t="n">
        <v>0</v>
      </c>
      <c r="AT449" s="16" t="n">
        <v>0</v>
      </c>
      <c r="AU449" s="16" t="n">
        <v>0</v>
      </c>
      <c r="AV449" s="16" t="n">
        <v>0</v>
      </c>
      <c r="AW449" s="16" t="n">
        <v>0</v>
      </c>
      <c r="AX449" s="16" t="n">
        <v>0</v>
      </c>
      <c r="AY449" s="16" t="n">
        <v>0</v>
      </c>
      <c r="AZ449" s="16" t="n">
        <v>0</v>
      </c>
      <c r="BA449" s="16" t="n">
        <v>0</v>
      </c>
      <c r="BB449" s="16" t="n">
        <v>0</v>
      </c>
      <c r="BC449" s="16" t="n">
        <v>0</v>
      </c>
      <c r="BD449" s="16" t="n">
        <v>0</v>
      </c>
      <c r="BE449" s="16" t="n">
        <v>0</v>
      </c>
      <c r="BF449" s="16" t="n">
        <v>0</v>
      </c>
      <c r="BG449" s="16" t="n">
        <v>0</v>
      </c>
      <c r="BH449" s="16" t="n">
        <v>0</v>
      </c>
      <c r="BI449" s="16" t="n">
        <v>0</v>
      </c>
      <c r="BJ449" s="16" t="n">
        <v>0</v>
      </c>
      <c r="BK449" s="16" t="n">
        <v>0</v>
      </c>
      <c r="BL449" s="16" t="n">
        <v>0</v>
      </c>
      <c r="BM449" s="16" t="n">
        <v>0</v>
      </c>
      <c r="BN449" s="16" t="n">
        <v>0</v>
      </c>
      <c r="BO449" s="16" t="n">
        <v>0</v>
      </c>
      <c r="BP449" s="16" t="n">
        <v>0</v>
      </c>
      <c r="BQ449" s="16" t="n">
        <v>0</v>
      </c>
      <c r="BR449" s="16" t="n">
        <v>0</v>
      </c>
      <c r="BS449" s="16" t="n">
        <v>0</v>
      </c>
      <c r="BT449" s="16" t="n">
        <v>0</v>
      </c>
      <c r="BU449" s="16" t="n">
        <v>0</v>
      </c>
      <c r="BV449" s="16" t="n">
        <v>0</v>
      </c>
      <c r="BW449" s="16" t="n">
        <v>0</v>
      </c>
      <c r="BX449" s="16" t="n">
        <v>0</v>
      </c>
      <c r="BY449" s="16" t="n">
        <v>0</v>
      </c>
      <c r="BZ449" s="16" t="n">
        <v>0</v>
      </c>
      <c r="CA449" s="16" t="n">
        <v>0</v>
      </c>
      <c r="CB449" s="16" t="n">
        <v>0</v>
      </c>
      <c r="CC449" s="16" t="n">
        <v>0</v>
      </c>
      <c r="CD449" s="16" t="n">
        <v>0</v>
      </c>
      <c r="CE449" s="16" t="n">
        <v>0</v>
      </c>
      <c r="CF449" s="16" t="n">
        <v>0</v>
      </c>
      <c r="CG449" s="16" t="n">
        <v>0</v>
      </c>
      <c r="CH449" s="16" t="n">
        <v>0</v>
      </c>
      <c r="CI449" s="16" t="n">
        <v>0</v>
      </c>
      <c r="CJ449" s="16" t="n">
        <v>0</v>
      </c>
      <c r="CK449" s="16" t="n">
        <v>0</v>
      </c>
      <c r="CL449" s="16" t="n">
        <v>0</v>
      </c>
      <c r="CM449" s="16" t="n">
        <v>0</v>
      </c>
      <c r="CN449" s="16" t="n">
        <v>0</v>
      </c>
      <c r="CO449" s="16" t="n">
        <v>0</v>
      </c>
      <c r="CP449" s="16" t="n">
        <v>0</v>
      </c>
      <c r="CQ449" s="16" t="n">
        <v>0</v>
      </c>
      <c r="CR449" s="16" t="n">
        <v>0</v>
      </c>
      <c r="CS449" s="16" t="n">
        <v>0</v>
      </c>
      <c r="CT449" s="16" t="n">
        <v>0</v>
      </c>
      <c r="CU449" s="16" t="n">
        <v>0</v>
      </c>
      <c r="CV449" s="16" t="n">
        <v>0</v>
      </c>
      <c r="CW449" s="16" t="n">
        <v>0</v>
      </c>
      <c r="CX449" s="16" t="n">
        <v>0</v>
      </c>
      <c r="CY449" s="16" t="n">
        <v>0</v>
      </c>
      <c r="CZ449" s="16" t="n">
        <v>0</v>
      </c>
      <c r="DA449" s="16" t="n">
        <v>0</v>
      </c>
      <c r="DB449" s="16" t="n">
        <v>0</v>
      </c>
      <c r="DC449" s="16" t="n">
        <v>0</v>
      </c>
      <c r="DD449" s="16" t="n">
        <v>0</v>
      </c>
      <c r="DE449" s="16" t="n">
        <v>0</v>
      </c>
      <c r="DF449" s="16" t="n">
        <v>0</v>
      </c>
      <c r="DG449" s="16" t="n">
        <v>0</v>
      </c>
      <c r="DH449" s="16" t="n">
        <v>0</v>
      </c>
      <c r="DI449" s="16" t="n">
        <v>0</v>
      </c>
      <c r="DJ449" s="16" t="n">
        <v>0</v>
      </c>
      <c r="DK449" s="16" t="n">
        <v>0</v>
      </c>
      <c r="DL449" s="16" t="n">
        <v>0</v>
      </c>
      <c r="DM449" s="16" t="n">
        <v>0</v>
      </c>
      <c r="DN449" s="16" t="n">
        <v>0</v>
      </c>
      <c r="DO449" s="16" t="n">
        <v>13</v>
      </c>
      <c r="DP449" s="16" t="n">
        <v>5</v>
      </c>
      <c r="DQ449" s="16" t="n">
        <v>2</v>
      </c>
      <c r="DR449" s="16" t="n">
        <v>0</v>
      </c>
      <c r="DS449" s="16" t="n">
        <v>0</v>
      </c>
      <c r="DT449" s="16" t="n">
        <v>0</v>
      </c>
      <c r="DU449" s="16" t="n">
        <v>0</v>
      </c>
      <c r="DV449" s="16" t="n">
        <v>0</v>
      </c>
      <c r="DW449" s="16" t="n">
        <v>0</v>
      </c>
      <c r="DX449" s="16" t="n">
        <v>0</v>
      </c>
      <c r="DY449" s="16" t="n">
        <v>0</v>
      </c>
      <c r="DZ449" s="16" t="n">
        <v>0</v>
      </c>
      <c r="EA449" s="16" t="n">
        <v>0</v>
      </c>
      <c r="EB449" s="16" t="n">
        <v>0</v>
      </c>
      <c r="EC449" s="16" t="n">
        <v>0</v>
      </c>
      <c r="ED449" s="16" t="n">
        <v>0</v>
      </c>
      <c r="EE449" s="16" t="n">
        <v>0</v>
      </c>
      <c r="EF449" s="16" t="n">
        <v>0</v>
      </c>
    </row>
    <row r="450" customFormat="false" ht="15" hidden="false" customHeight="true" outlineLevel="0" collapsed="false">
      <c r="A450" s="9" t="s">
        <v>12</v>
      </c>
      <c r="B450" s="9" t="s">
        <v>363</v>
      </c>
      <c r="C450" s="9" t="s">
        <v>364</v>
      </c>
      <c r="D450" s="9" t="s">
        <v>342</v>
      </c>
      <c r="E450" s="9" t="s">
        <v>14</v>
      </c>
      <c r="F450" s="9" t="s">
        <v>99</v>
      </c>
      <c r="G450" s="16" t="n">
        <v>0</v>
      </c>
      <c r="H450" s="16" t="n">
        <v>495</v>
      </c>
      <c r="I450" s="16" t="n">
        <v>495</v>
      </c>
      <c r="J450" s="16" t="n">
        <v>0</v>
      </c>
      <c r="K450" s="16" t="n">
        <v>0</v>
      </c>
      <c r="L450" s="16" t="n">
        <v>0</v>
      </c>
      <c r="M450" s="16" t="n">
        <v>0</v>
      </c>
      <c r="N450" s="16" t="n">
        <v>0</v>
      </c>
      <c r="O450" s="16" t="n">
        <v>0</v>
      </c>
      <c r="P450" s="16" t="n">
        <v>0</v>
      </c>
      <c r="Q450" s="16" t="n">
        <v>0</v>
      </c>
      <c r="R450" s="16" t="n">
        <v>0</v>
      </c>
      <c r="S450" s="16" t="n">
        <v>0</v>
      </c>
      <c r="T450" s="16" t="n">
        <v>0</v>
      </c>
      <c r="U450" s="16" t="n">
        <v>0</v>
      </c>
      <c r="V450" s="16" t="n">
        <v>0</v>
      </c>
      <c r="W450" s="16" t="n">
        <v>0</v>
      </c>
      <c r="X450" s="16" t="n">
        <v>0</v>
      </c>
      <c r="Y450" s="16" t="n">
        <v>0</v>
      </c>
      <c r="Z450" s="16" t="n">
        <v>0</v>
      </c>
      <c r="AA450" s="16" t="n">
        <v>0</v>
      </c>
      <c r="AB450" s="16" t="n">
        <v>0</v>
      </c>
      <c r="AC450" s="16" t="n">
        <v>0</v>
      </c>
      <c r="AD450" s="16" t="n">
        <v>0</v>
      </c>
      <c r="AE450" s="16" t="n">
        <v>0</v>
      </c>
      <c r="AF450" s="16" t="n">
        <v>0</v>
      </c>
      <c r="AG450" s="16" t="n">
        <v>0</v>
      </c>
      <c r="AH450" s="16" t="n">
        <v>0</v>
      </c>
      <c r="AI450" s="16" t="n">
        <v>0</v>
      </c>
      <c r="AJ450" s="16" t="n">
        <v>0</v>
      </c>
      <c r="AK450" s="16" t="n">
        <v>0</v>
      </c>
      <c r="AL450" s="16" t="n">
        <v>0</v>
      </c>
      <c r="AM450" s="16" t="n">
        <v>0</v>
      </c>
      <c r="AN450" s="16" t="n">
        <v>0</v>
      </c>
      <c r="AO450" s="16" t="n">
        <v>0</v>
      </c>
      <c r="AP450" s="16" t="n">
        <v>0</v>
      </c>
      <c r="AQ450" s="16" t="n">
        <v>0</v>
      </c>
      <c r="AR450" s="16" t="n">
        <v>0</v>
      </c>
      <c r="AS450" s="16" t="n">
        <v>0</v>
      </c>
      <c r="AT450" s="16" t="n">
        <v>0</v>
      </c>
      <c r="AU450" s="16" t="n">
        <v>0</v>
      </c>
      <c r="AV450" s="16" t="n">
        <v>0</v>
      </c>
      <c r="AW450" s="16" t="n">
        <v>0</v>
      </c>
      <c r="AX450" s="16" t="n">
        <v>0</v>
      </c>
      <c r="AY450" s="16" t="n">
        <v>0</v>
      </c>
      <c r="AZ450" s="16" t="n">
        <v>0</v>
      </c>
      <c r="BA450" s="16" t="n">
        <v>0</v>
      </c>
      <c r="BB450" s="16" t="n">
        <v>0</v>
      </c>
      <c r="BC450" s="16" t="n">
        <v>0</v>
      </c>
      <c r="BD450" s="16" t="n">
        <v>0</v>
      </c>
      <c r="BE450" s="16" t="n">
        <v>0</v>
      </c>
      <c r="BF450" s="16" t="n">
        <v>0</v>
      </c>
      <c r="BG450" s="16" t="n">
        <v>0</v>
      </c>
      <c r="BH450" s="16" t="n">
        <v>0</v>
      </c>
      <c r="BI450" s="16" t="n">
        <v>0</v>
      </c>
      <c r="BJ450" s="16" t="n">
        <v>0</v>
      </c>
      <c r="BK450" s="16" t="n">
        <v>0</v>
      </c>
      <c r="BL450" s="16" t="n">
        <v>0</v>
      </c>
      <c r="BM450" s="16" t="n">
        <v>0</v>
      </c>
      <c r="BN450" s="16" t="n">
        <v>0</v>
      </c>
      <c r="BO450" s="16" t="n">
        <v>0</v>
      </c>
      <c r="BP450" s="16" t="n">
        <v>0</v>
      </c>
      <c r="BQ450" s="16" t="n">
        <v>0</v>
      </c>
      <c r="BR450" s="16" t="n">
        <v>0</v>
      </c>
      <c r="BS450" s="16" t="n">
        <v>0</v>
      </c>
      <c r="BT450" s="16" t="n">
        <v>0</v>
      </c>
      <c r="BU450" s="16" t="n">
        <v>0</v>
      </c>
      <c r="BV450" s="16" t="n">
        <v>0</v>
      </c>
      <c r="BW450" s="16" t="n">
        <v>0</v>
      </c>
      <c r="BX450" s="16" t="n">
        <v>0</v>
      </c>
      <c r="BY450" s="16" t="n">
        <v>0</v>
      </c>
      <c r="BZ450" s="16" t="n">
        <v>0</v>
      </c>
      <c r="CA450" s="16" t="n">
        <v>0</v>
      </c>
      <c r="CB450" s="16" t="n">
        <v>0</v>
      </c>
      <c r="CC450" s="16" t="n">
        <v>0</v>
      </c>
      <c r="CD450" s="16" t="n">
        <v>0</v>
      </c>
      <c r="CE450" s="16" t="n">
        <v>0</v>
      </c>
      <c r="CF450" s="16" t="n">
        <v>0</v>
      </c>
      <c r="CG450" s="16" t="n">
        <v>0</v>
      </c>
      <c r="CH450" s="16" t="n">
        <v>0</v>
      </c>
      <c r="CI450" s="16" t="n">
        <v>0</v>
      </c>
      <c r="CJ450" s="16" t="n">
        <v>0</v>
      </c>
      <c r="CK450" s="16" t="n">
        <v>0</v>
      </c>
      <c r="CL450" s="16" t="n">
        <v>0</v>
      </c>
      <c r="CM450" s="16" t="n">
        <v>0</v>
      </c>
      <c r="CN450" s="16" t="n">
        <v>0</v>
      </c>
      <c r="CO450" s="16" t="n">
        <v>0</v>
      </c>
      <c r="CP450" s="16" t="n">
        <v>0</v>
      </c>
      <c r="CQ450" s="16" t="n">
        <v>0</v>
      </c>
      <c r="CR450" s="16" t="n">
        <v>0</v>
      </c>
      <c r="CS450" s="16" t="n">
        <v>0</v>
      </c>
      <c r="CT450" s="16" t="n">
        <v>0</v>
      </c>
      <c r="CU450" s="16" t="n">
        <v>0</v>
      </c>
      <c r="CV450" s="16" t="n">
        <v>0</v>
      </c>
      <c r="CW450" s="16" t="n">
        <v>0</v>
      </c>
      <c r="CX450" s="16" t="n">
        <v>0</v>
      </c>
      <c r="CY450" s="16" t="n">
        <v>25</v>
      </c>
      <c r="CZ450" s="16" t="n">
        <v>25</v>
      </c>
      <c r="DA450" s="16" t="n">
        <v>0</v>
      </c>
      <c r="DB450" s="16" t="n">
        <v>0</v>
      </c>
      <c r="DC450" s="16" t="n">
        <v>0</v>
      </c>
      <c r="DD450" s="16" t="n">
        <v>0</v>
      </c>
      <c r="DE450" s="16" t="n">
        <v>0</v>
      </c>
      <c r="DF450" s="16" t="n">
        <v>0</v>
      </c>
      <c r="DG450" s="16" t="n">
        <v>0</v>
      </c>
      <c r="DH450" s="16" t="n">
        <v>25</v>
      </c>
      <c r="DI450" s="16" t="n">
        <v>0</v>
      </c>
      <c r="DJ450" s="16" t="n">
        <v>0</v>
      </c>
      <c r="DK450" s="16" t="n">
        <v>40</v>
      </c>
      <c r="DL450" s="16" t="n">
        <v>50</v>
      </c>
      <c r="DM450" s="16" t="n">
        <v>50</v>
      </c>
      <c r="DN450" s="16" t="n">
        <v>50</v>
      </c>
      <c r="DO450" s="16" t="n">
        <v>65</v>
      </c>
      <c r="DP450" s="16" t="n">
        <v>65</v>
      </c>
      <c r="DQ450" s="16" t="n">
        <v>60</v>
      </c>
      <c r="DR450" s="16" t="n">
        <v>40</v>
      </c>
      <c r="DS450" s="16" t="n">
        <v>0</v>
      </c>
      <c r="DT450" s="16" t="n">
        <v>0</v>
      </c>
      <c r="DU450" s="16" t="n">
        <v>0</v>
      </c>
      <c r="DV450" s="16" t="n">
        <v>0</v>
      </c>
      <c r="DW450" s="16" t="n">
        <v>0</v>
      </c>
      <c r="DX450" s="16" t="n">
        <v>0</v>
      </c>
      <c r="DY450" s="16" t="n">
        <v>0</v>
      </c>
      <c r="DZ450" s="16" t="n">
        <v>0</v>
      </c>
      <c r="EA450" s="16" t="n">
        <v>0</v>
      </c>
      <c r="EB450" s="16" t="n">
        <v>0</v>
      </c>
      <c r="EC450" s="16" t="n">
        <v>0</v>
      </c>
      <c r="ED450" s="16" t="n">
        <v>0</v>
      </c>
      <c r="EE450" s="16" t="n">
        <v>0</v>
      </c>
      <c r="EF450" s="16" t="n">
        <v>0</v>
      </c>
    </row>
    <row r="451" customFormat="false" ht="15" hidden="false" customHeight="true" outlineLevel="0" collapsed="false">
      <c r="A451" s="9" t="s">
        <v>12</v>
      </c>
      <c r="B451" s="9" t="s">
        <v>47</v>
      </c>
      <c r="C451" s="9" t="s">
        <v>45</v>
      </c>
      <c r="D451" s="9" t="s">
        <v>342</v>
      </c>
      <c r="E451" s="9" t="s">
        <v>14</v>
      </c>
      <c r="F451" s="9" t="s">
        <v>46</v>
      </c>
      <c r="G451" s="16" t="n">
        <v>37.5</v>
      </c>
      <c r="H451" s="16" t="n">
        <v>325</v>
      </c>
      <c r="I451" s="16" t="n">
        <v>261</v>
      </c>
      <c r="J451" s="16" t="n">
        <v>64</v>
      </c>
      <c r="K451" s="16" t="n">
        <v>0</v>
      </c>
      <c r="L451" s="16" t="n">
        <v>0</v>
      </c>
      <c r="M451" s="16" t="n">
        <v>0</v>
      </c>
      <c r="N451" s="16" t="n">
        <v>0</v>
      </c>
      <c r="O451" s="16" t="n">
        <v>0</v>
      </c>
      <c r="P451" s="16" t="n">
        <v>0</v>
      </c>
      <c r="Q451" s="16" t="n">
        <v>0</v>
      </c>
      <c r="R451" s="16" t="n">
        <v>0</v>
      </c>
      <c r="S451" s="16" t="n">
        <v>0</v>
      </c>
      <c r="T451" s="16" t="n">
        <v>0</v>
      </c>
      <c r="U451" s="16" t="n">
        <v>0</v>
      </c>
      <c r="V451" s="16" t="n">
        <v>0</v>
      </c>
      <c r="W451" s="16" t="n">
        <v>0</v>
      </c>
      <c r="X451" s="16" t="n">
        <v>0</v>
      </c>
      <c r="Y451" s="16" t="n">
        <v>0</v>
      </c>
      <c r="Z451" s="16" t="n">
        <v>0</v>
      </c>
      <c r="AA451" s="16" t="n">
        <v>0</v>
      </c>
      <c r="AB451" s="16" t="n">
        <v>0</v>
      </c>
      <c r="AC451" s="16" t="n">
        <v>0</v>
      </c>
      <c r="AD451" s="16" t="n">
        <v>0</v>
      </c>
      <c r="AE451" s="16" t="n">
        <v>0</v>
      </c>
      <c r="AF451" s="16" t="n">
        <v>0</v>
      </c>
      <c r="AG451" s="16" t="n">
        <v>0</v>
      </c>
      <c r="AH451" s="16" t="n">
        <v>0</v>
      </c>
      <c r="AI451" s="16" t="n">
        <v>0</v>
      </c>
      <c r="AJ451" s="16" t="n">
        <v>0</v>
      </c>
      <c r="AK451" s="16" t="n">
        <v>0</v>
      </c>
      <c r="AL451" s="16" t="n">
        <v>0</v>
      </c>
      <c r="AM451" s="16" t="n">
        <v>0</v>
      </c>
      <c r="AN451" s="16" t="n">
        <v>0</v>
      </c>
      <c r="AO451" s="16" t="n">
        <v>0</v>
      </c>
      <c r="AP451" s="16" t="n">
        <v>0</v>
      </c>
      <c r="AQ451" s="16" t="n">
        <v>0</v>
      </c>
      <c r="AR451" s="16" t="n">
        <v>0</v>
      </c>
      <c r="AS451" s="16" t="n">
        <v>0</v>
      </c>
      <c r="AT451" s="16" t="n">
        <v>0</v>
      </c>
      <c r="AU451" s="16" t="n">
        <v>0</v>
      </c>
      <c r="AV451" s="16" t="n">
        <v>0</v>
      </c>
      <c r="AW451" s="16" t="n">
        <v>0</v>
      </c>
      <c r="AX451" s="16" t="n">
        <v>0</v>
      </c>
      <c r="AY451" s="16" t="n">
        <v>0</v>
      </c>
      <c r="AZ451" s="16" t="n">
        <v>0</v>
      </c>
      <c r="BA451" s="16" t="n">
        <v>0</v>
      </c>
      <c r="BB451" s="16" t="n">
        <v>0</v>
      </c>
      <c r="BC451" s="16" t="n">
        <v>0</v>
      </c>
      <c r="BD451" s="16" t="n">
        <v>0</v>
      </c>
      <c r="BE451" s="16" t="n">
        <v>0</v>
      </c>
      <c r="BF451" s="16" t="n">
        <v>0</v>
      </c>
      <c r="BG451" s="16" t="n">
        <v>0</v>
      </c>
      <c r="BH451" s="16" t="n">
        <v>0</v>
      </c>
      <c r="BI451" s="16" t="n">
        <v>0</v>
      </c>
      <c r="BJ451" s="16" t="n">
        <v>0</v>
      </c>
      <c r="BK451" s="16" t="n">
        <v>0</v>
      </c>
      <c r="BL451" s="16" t="n">
        <v>0</v>
      </c>
      <c r="BM451" s="16" t="n">
        <v>0</v>
      </c>
      <c r="BN451" s="16" t="n">
        <v>0</v>
      </c>
      <c r="BO451" s="16" t="n">
        <v>0</v>
      </c>
      <c r="BP451" s="16" t="n">
        <v>0</v>
      </c>
      <c r="BQ451" s="16" t="n">
        <v>0</v>
      </c>
      <c r="BR451" s="16" t="n">
        <v>0</v>
      </c>
      <c r="BS451" s="16" t="n">
        <v>0</v>
      </c>
      <c r="BT451" s="16" t="n">
        <v>0</v>
      </c>
      <c r="BU451" s="16" t="n">
        <v>0</v>
      </c>
      <c r="BV451" s="16" t="n">
        <v>0</v>
      </c>
      <c r="BW451" s="16" t="n">
        <v>0</v>
      </c>
      <c r="BX451" s="16" t="n">
        <v>0</v>
      </c>
      <c r="BY451" s="16" t="n">
        <v>0</v>
      </c>
      <c r="BZ451" s="16" t="n">
        <v>0</v>
      </c>
      <c r="CA451" s="16" t="n">
        <v>0</v>
      </c>
      <c r="CB451" s="16" t="n">
        <v>0</v>
      </c>
      <c r="CC451" s="16" t="n">
        <v>0</v>
      </c>
      <c r="CD451" s="16" t="n">
        <v>0</v>
      </c>
      <c r="CE451" s="16" t="n">
        <v>0</v>
      </c>
      <c r="CF451" s="16" t="n">
        <v>0</v>
      </c>
      <c r="CG451" s="16" t="n">
        <v>0</v>
      </c>
      <c r="CH451" s="16" t="n">
        <v>0</v>
      </c>
      <c r="CI451" s="16" t="n">
        <v>0</v>
      </c>
      <c r="CJ451" s="16" t="n">
        <v>0</v>
      </c>
      <c r="CK451" s="16" t="n">
        <v>0</v>
      </c>
      <c r="CL451" s="16" t="n">
        <v>0</v>
      </c>
      <c r="CM451" s="16" t="n">
        <v>0</v>
      </c>
      <c r="CN451" s="16" t="n">
        <v>0</v>
      </c>
      <c r="CO451" s="16" t="n">
        <v>0</v>
      </c>
      <c r="CP451" s="16" t="n">
        <v>0</v>
      </c>
      <c r="CQ451" s="16" t="n">
        <v>0</v>
      </c>
      <c r="CR451" s="16" t="n">
        <v>0</v>
      </c>
      <c r="CS451" s="16" t="n">
        <v>0</v>
      </c>
      <c r="CT451" s="16" t="n">
        <v>0</v>
      </c>
      <c r="CU451" s="16" t="n">
        <v>0</v>
      </c>
      <c r="CV451" s="16" t="n">
        <v>0</v>
      </c>
      <c r="CW451" s="16" t="n">
        <v>0</v>
      </c>
      <c r="CX451" s="16" t="n">
        <v>1.5</v>
      </c>
      <c r="CY451" s="16" t="n">
        <v>1.5</v>
      </c>
      <c r="CZ451" s="16" t="n">
        <v>1.5</v>
      </c>
      <c r="DA451" s="16" t="n">
        <v>1.5</v>
      </c>
      <c r="DB451" s="16" t="n">
        <v>22.5</v>
      </c>
      <c r="DC451" s="16" t="n">
        <v>28.5</v>
      </c>
      <c r="DD451" s="16" t="n">
        <v>1.5</v>
      </c>
      <c r="DE451" s="16" t="n">
        <v>1.5</v>
      </c>
      <c r="DF451" s="16" t="n">
        <v>1.5</v>
      </c>
      <c r="DG451" s="16" t="n">
        <v>22.5</v>
      </c>
      <c r="DH451" s="16" t="n">
        <v>1.5</v>
      </c>
      <c r="DI451" s="16" t="n">
        <v>0</v>
      </c>
      <c r="DJ451" s="16" t="n">
        <v>0</v>
      </c>
      <c r="DK451" s="16" t="n">
        <v>1.5</v>
      </c>
      <c r="DL451" s="16" t="n">
        <v>12.5</v>
      </c>
      <c r="DM451" s="16" t="n">
        <v>32.5</v>
      </c>
      <c r="DN451" s="16" t="n">
        <v>24</v>
      </c>
      <c r="DO451" s="16" t="n">
        <v>34</v>
      </c>
      <c r="DP451" s="16" t="n">
        <v>34</v>
      </c>
      <c r="DQ451" s="16" t="n">
        <v>25</v>
      </c>
      <c r="DR451" s="16" t="n">
        <v>7.5</v>
      </c>
      <c r="DS451" s="16" t="n">
        <v>1.5</v>
      </c>
      <c r="DT451" s="16" t="n">
        <v>1.5</v>
      </c>
      <c r="DU451" s="16" t="n">
        <v>1.5</v>
      </c>
      <c r="DV451" s="16" t="n">
        <v>0</v>
      </c>
      <c r="DW451" s="16" t="n">
        <v>0</v>
      </c>
      <c r="DX451" s="16" t="n">
        <v>0</v>
      </c>
      <c r="DY451" s="16" t="n">
        <v>0</v>
      </c>
      <c r="DZ451" s="16" t="n">
        <v>0</v>
      </c>
      <c r="EA451" s="16" t="n">
        <v>0</v>
      </c>
      <c r="EB451" s="16" t="n">
        <v>0</v>
      </c>
      <c r="EC451" s="16" t="n">
        <v>0</v>
      </c>
      <c r="ED451" s="16" t="n">
        <v>0</v>
      </c>
      <c r="EE451" s="16" t="n">
        <v>0</v>
      </c>
      <c r="EF451" s="16" t="n">
        <v>0</v>
      </c>
    </row>
    <row r="452" customFormat="false" ht="15" hidden="false" customHeight="true" outlineLevel="0" collapsed="false">
      <c r="A452" s="9" t="s">
        <v>12</v>
      </c>
      <c r="B452" s="9" t="s">
        <v>365</v>
      </c>
      <c r="C452" s="9" t="s">
        <v>366</v>
      </c>
      <c r="D452" s="9" t="s">
        <v>342</v>
      </c>
      <c r="E452" s="9" t="s">
        <v>14</v>
      </c>
      <c r="F452" s="9" t="s">
        <v>108</v>
      </c>
      <c r="G452" s="16" t="n">
        <v>0</v>
      </c>
      <c r="H452" s="16" t="n">
        <v>0</v>
      </c>
      <c r="I452" s="16" t="n">
        <v>146.9</v>
      </c>
      <c r="J452" s="16" t="n">
        <v>-146.9</v>
      </c>
      <c r="K452" s="16" t="n">
        <v>0</v>
      </c>
      <c r="L452" s="16" t="n">
        <v>0</v>
      </c>
      <c r="M452" s="16" t="n">
        <v>0</v>
      </c>
      <c r="N452" s="16" t="n">
        <v>0</v>
      </c>
      <c r="O452" s="16" t="n">
        <v>0</v>
      </c>
      <c r="P452" s="16" t="n">
        <v>0</v>
      </c>
      <c r="Q452" s="16" t="n">
        <v>0</v>
      </c>
      <c r="R452" s="16" t="n">
        <v>0</v>
      </c>
      <c r="S452" s="16" t="n">
        <v>0</v>
      </c>
      <c r="T452" s="16" t="n">
        <v>0</v>
      </c>
      <c r="U452" s="16" t="n">
        <v>0</v>
      </c>
      <c r="V452" s="16" t="n">
        <v>0</v>
      </c>
      <c r="W452" s="16" t="n">
        <v>0</v>
      </c>
      <c r="X452" s="16" t="n">
        <v>0</v>
      </c>
      <c r="Y452" s="16" t="n">
        <v>0</v>
      </c>
      <c r="Z452" s="16" t="n">
        <v>0</v>
      </c>
      <c r="AA452" s="16" t="n">
        <v>0</v>
      </c>
      <c r="AB452" s="16" t="n">
        <v>0</v>
      </c>
      <c r="AC452" s="16" t="n">
        <v>0</v>
      </c>
      <c r="AD452" s="16" t="n">
        <v>0</v>
      </c>
      <c r="AE452" s="16" t="n">
        <v>0</v>
      </c>
      <c r="AF452" s="16" t="n">
        <v>0</v>
      </c>
      <c r="AG452" s="16" t="n">
        <v>0</v>
      </c>
      <c r="AH452" s="16" t="n">
        <v>0</v>
      </c>
      <c r="AI452" s="16" t="n">
        <v>0</v>
      </c>
      <c r="AJ452" s="16" t="n">
        <v>0</v>
      </c>
      <c r="AK452" s="16" t="n">
        <v>0</v>
      </c>
      <c r="AL452" s="16" t="n">
        <v>0</v>
      </c>
      <c r="AM452" s="16" t="n">
        <v>0</v>
      </c>
      <c r="AN452" s="16" t="n">
        <v>0</v>
      </c>
      <c r="AO452" s="16" t="n">
        <v>0</v>
      </c>
      <c r="AP452" s="16" t="n">
        <v>0</v>
      </c>
      <c r="AQ452" s="16" t="n">
        <v>0</v>
      </c>
      <c r="AR452" s="16" t="n">
        <v>0</v>
      </c>
      <c r="AS452" s="16" t="n">
        <v>0</v>
      </c>
      <c r="AT452" s="16" t="n">
        <v>0</v>
      </c>
      <c r="AU452" s="16" t="n">
        <v>0</v>
      </c>
      <c r="AV452" s="16" t="n">
        <v>0</v>
      </c>
      <c r="AW452" s="16" t="n">
        <v>0</v>
      </c>
      <c r="AX452" s="16" t="n">
        <v>0</v>
      </c>
      <c r="AY452" s="16" t="n">
        <v>0</v>
      </c>
      <c r="AZ452" s="16" t="n">
        <v>0</v>
      </c>
      <c r="BA452" s="16" t="n">
        <v>0</v>
      </c>
      <c r="BB452" s="16" t="n">
        <v>0</v>
      </c>
      <c r="BC452" s="16" t="n">
        <v>0</v>
      </c>
      <c r="BD452" s="16" t="n">
        <v>0</v>
      </c>
      <c r="BE452" s="16" t="n">
        <v>0</v>
      </c>
      <c r="BF452" s="16" t="n">
        <v>0</v>
      </c>
      <c r="BG452" s="16" t="n">
        <v>0</v>
      </c>
      <c r="BH452" s="16" t="n">
        <v>0</v>
      </c>
      <c r="BI452" s="16" t="n">
        <v>0</v>
      </c>
      <c r="BJ452" s="16" t="n">
        <v>0</v>
      </c>
      <c r="BK452" s="16" t="n">
        <v>0</v>
      </c>
      <c r="BL452" s="16" t="n">
        <v>0</v>
      </c>
      <c r="BM452" s="16" t="n">
        <v>0</v>
      </c>
      <c r="BN452" s="16" t="n">
        <v>0</v>
      </c>
      <c r="BO452" s="16" t="n">
        <v>0</v>
      </c>
      <c r="BP452" s="16" t="n">
        <v>0</v>
      </c>
      <c r="BQ452" s="16" t="n">
        <v>0</v>
      </c>
      <c r="BR452" s="16" t="n">
        <v>0</v>
      </c>
      <c r="BS452" s="16" t="n">
        <v>0</v>
      </c>
      <c r="BT452" s="16" t="n">
        <v>0</v>
      </c>
      <c r="BU452" s="16" t="n">
        <v>0</v>
      </c>
      <c r="BV452" s="16" t="n">
        <v>0</v>
      </c>
      <c r="BW452" s="16" t="n">
        <v>0</v>
      </c>
      <c r="BX452" s="16" t="n">
        <v>0</v>
      </c>
      <c r="BY452" s="16" t="n">
        <v>0</v>
      </c>
      <c r="BZ452" s="16" t="n">
        <v>0</v>
      </c>
      <c r="CA452" s="16" t="n">
        <v>0</v>
      </c>
      <c r="CB452" s="16" t="n">
        <v>0</v>
      </c>
      <c r="CC452" s="16" t="n">
        <v>0</v>
      </c>
      <c r="CD452" s="16" t="n">
        <v>0</v>
      </c>
      <c r="CE452" s="16" t="n">
        <v>0</v>
      </c>
      <c r="CF452" s="16" t="n">
        <v>0</v>
      </c>
      <c r="CG452" s="16" t="n">
        <v>0</v>
      </c>
      <c r="CH452" s="16" t="n">
        <v>0</v>
      </c>
      <c r="CI452" s="16" t="n">
        <v>0</v>
      </c>
      <c r="CJ452" s="16" t="n">
        <v>0</v>
      </c>
      <c r="CK452" s="16" t="n">
        <v>0</v>
      </c>
      <c r="CL452" s="16" t="n">
        <v>0</v>
      </c>
      <c r="CM452" s="16" t="n">
        <v>0</v>
      </c>
      <c r="CN452" s="16" t="n">
        <v>0</v>
      </c>
      <c r="CO452" s="16" t="n">
        <v>0</v>
      </c>
      <c r="CP452" s="16" t="n">
        <v>0</v>
      </c>
      <c r="CQ452" s="16" t="n">
        <v>0</v>
      </c>
      <c r="CR452" s="16" t="n">
        <v>0</v>
      </c>
      <c r="CS452" s="16" t="n">
        <v>2</v>
      </c>
      <c r="CT452" s="16" t="n">
        <v>5</v>
      </c>
      <c r="CU452" s="16" t="n">
        <v>5</v>
      </c>
      <c r="CV452" s="16" t="n">
        <v>4</v>
      </c>
      <c r="CW452" s="16" t="n">
        <v>3</v>
      </c>
      <c r="CX452" s="16" t="n">
        <v>0.9</v>
      </c>
      <c r="CY452" s="16" t="n">
        <v>0</v>
      </c>
      <c r="CZ452" s="16" t="n">
        <v>0</v>
      </c>
      <c r="DA452" s="16" t="n">
        <v>0</v>
      </c>
      <c r="DB452" s="16" t="n">
        <v>0</v>
      </c>
      <c r="DC452" s="16" t="n">
        <v>0</v>
      </c>
      <c r="DD452" s="16" t="n">
        <v>0</v>
      </c>
      <c r="DE452" s="16" t="n">
        <v>0</v>
      </c>
      <c r="DF452" s="16" t="n">
        <v>0</v>
      </c>
      <c r="DG452" s="16" t="n">
        <v>1</v>
      </c>
      <c r="DH452" s="16" t="n">
        <v>1</v>
      </c>
      <c r="DI452" s="16" t="n">
        <v>0</v>
      </c>
      <c r="DJ452" s="16" t="n">
        <v>0</v>
      </c>
      <c r="DK452" s="16" t="n">
        <v>21</v>
      </c>
      <c r="DL452" s="16" t="n">
        <v>31</v>
      </c>
      <c r="DM452" s="16" t="n">
        <v>20.5</v>
      </c>
      <c r="DN452" s="16" t="n">
        <v>22.5</v>
      </c>
      <c r="DO452" s="16" t="n">
        <v>26.5</v>
      </c>
      <c r="DP452" s="16" t="n">
        <v>3.5</v>
      </c>
      <c r="DQ452" s="16" t="n">
        <v>0</v>
      </c>
      <c r="DR452" s="16" t="n">
        <v>0</v>
      </c>
      <c r="DS452" s="16" t="n">
        <v>0</v>
      </c>
      <c r="DT452" s="16" t="n">
        <v>0</v>
      </c>
      <c r="DU452" s="16" t="n">
        <v>0</v>
      </c>
      <c r="DV452" s="16" t="n">
        <v>0</v>
      </c>
      <c r="DW452" s="16" t="n">
        <v>0</v>
      </c>
      <c r="DX452" s="16" t="n">
        <v>0</v>
      </c>
      <c r="DY452" s="16" t="n">
        <v>0</v>
      </c>
      <c r="DZ452" s="16" t="n">
        <v>0</v>
      </c>
      <c r="EA452" s="16" t="n">
        <v>0</v>
      </c>
      <c r="EB452" s="16" t="n">
        <v>0</v>
      </c>
      <c r="EC452" s="16" t="n">
        <v>0</v>
      </c>
      <c r="ED452" s="16" t="n">
        <v>0</v>
      </c>
      <c r="EE452" s="16" t="n">
        <v>0</v>
      </c>
      <c r="EF452" s="16" t="n">
        <v>0</v>
      </c>
    </row>
    <row r="453" customFormat="false" ht="15" hidden="false" customHeight="true" outlineLevel="0" collapsed="false">
      <c r="A453" s="9" t="s">
        <v>12</v>
      </c>
      <c r="B453" s="9" t="s">
        <v>367</v>
      </c>
      <c r="C453" s="9" t="s">
        <v>368</v>
      </c>
      <c r="D453" s="9" t="s">
        <v>342</v>
      </c>
      <c r="E453" s="9" t="s">
        <v>14</v>
      </c>
      <c r="F453" s="9" t="s">
        <v>102</v>
      </c>
      <c r="G453" s="16" t="n">
        <v>0</v>
      </c>
      <c r="H453" s="16" t="n">
        <v>0</v>
      </c>
      <c r="I453" s="16" t="n">
        <v>520</v>
      </c>
      <c r="J453" s="16" t="n">
        <v>-520</v>
      </c>
      <c r="K453" s="16" t="n">
        <v>0</v>
      </c>
      <c r="L453" s="16" t="n">
        <v>0</v>
      </c>
      <c r="M453" s="16" t="n">
        <v>0</v>
      </c>
      <c r="N453" s="16" t="n">
        <v>0</v>
      </c>
      <c r="O453" s="16" t="n">
        <v>0</v>
      </c>
      <c r="P453" s="16" t="n">
        <v>0</v>
      </c>
      <c r="Q453" s="16" t="n">
        <v>0</v>
      </c>
      <c r="R453" s="16" t="n">
        <v>0</v>
      </c>
      <c r="S453" s="16" t="n">
        <v>0</v>
      </c>
      <c r="T453" s="16" t="n">
        <v>0</v>
      </c>
      <c r="U453" s="16" t="n">
        <v>0</v>
      </c>
      <c r="V453" s="16" t="n">
        <v>0</v>
      </c>
      <c r="W453" s="16" t="n">
        <v>0</v>
      </c>
      <c r="X453" s="16" t="n">
        <v>0</v>
      </c>
      <c r="Y453" s="16" t="n">
        <v>0</v>
      </c>
      <c r="Z453" s="16" t="n">
        <v>0</v>
      </c>
      <c r="AA453" s="16" t="n">
        <v>0</v>
      </c>
      <c r="AB453" s="16" t="n">
        <v>0</v>
      </c>
      <c r="AC453" s="16" t="n">
        <v>0</v>
      </c>
      <c r="AD453" s="16" t="n">
        <v>0</v>
      </c>
      <c r="AE453" s="16" t="n">
        <v>0</v>
      </c>
      <c r="AF453" s="16" t="n">
        <v>0</v>
      </c>
      <c r="AG453" s="16" t="n">
        <v>0</v>
      </c>
      <c r="AH453" s="16" t="n">
        <v>0</v>
      </c>
      <c r="AI453" s="16" t="n">
        <v>0</v>
      </c>
      <c r="AJ453" s="16" t="n">
        <v>0</v>
      </c>
      <c r="AK453" s="16" t="n">
        <v>0</v>
      </c>
      <c r="AL453" s="16" t="n">
        <v>0</v>
      </c>
      <c r="AM453" s="16" t="n">
        <v>0</v>
      </c>
      <c r="AN453" s="16" t="n">
        <v>0</v>
      </c>
      <c r="AO453" s="16" t="n">
        <v>0</v>
      </c>
      <c r="AP453" s="16" t="n">
        <v>0</v>
      </c>
      <c r="AQ453" s="16" t="n">
        <v>0</v>
      </c>
      <c r="AR453" s="16" t="n">
        <v>0</v>
      </c>
      <c r="AS453" s="16" t="n">
        <v>0</v>
      </c>
      <c r="AT453" s="16" t="n">
        <v>0</v>
      </c>
      <c r="AU453" s="16" t="n">
        <v>0</v>
      </c>
      <c r="AV453" s="16" t="n">
        <v>0</v>
      </c>
      <c r="AW453" s="16" t="n">
        <v>0</v>
      </c>
      <c r="AX453" s="16" t="n">
        <v>0</v>
      </c>
      <c r="AY453" s="16" t="n">
        <v>0</v>
      </c>
      <c r="AZ453" s="16" t="n">
        <v>0</v>
      </c>
      <c r="BA453" s="16" t="n">
        <v>0</v>
      </c>
      <c r="BB453" s="16" t="n">
        <v>0</v>
      </c>
      <c r="BC453" s="16" t="n">
        <v>0</v>
      </c>
      <c r="BD453" s="16" t="n">
        <v>0</v>
      </c>
      <c r="BE453" s="16" t="n">
        <v>0</v>
      </c>
      <c r="BF453" s="16" t="n">
        <v>0</v>
      </c>
      <c r="BG453" s="16" t="n">
        <v>0</v>
      </c>
      <c r="BH453" s="16" t="n">
        <v>0</v>
      </c>
      <c r="BI453" s="16" t="n">
        <v>0</v>
      </c>
      <c r="BJ453" s="16" t="n">
        <v>0</v>
      </c>
      <c r="BK453" s="16" t="n">
        <v>0</v>
      </c>
      <c r="BL453" s="16" t="n">
        <v>0</v>
      </c>
      <c r="BM453" s="16" t="n">
        <v>0</v>
      </c>
      <c r="BN453" s="16" t="n">
        <v>0</v>
      </c>
      <c r="BO453" s="16" t="n">
        <v>0</v>
      </c>
      <c r="BP453" s="16" t="n">
        <v>0</v>
      </c>
      <c r="BQ453" s="16" t="n">
        <v>0</v>
      </c>
      <c r="BR453" s="16" t="n">
        <v>0</v>
      </c>
      <c r="BS453" s="16" t="n">
        <v>0</v>
      </c>
      <c r="BT453" s="16" t="n">
        <v>0</v>
      </c>
      <c r="BU453" s="16" t="n">
        <v>0</v>
      </c>
      <c r="BV453" s="16" t="n">
        <v>0</v>
      </c>
      <c r="BW453" s="16" t="n">
        <v>0</v>
      </c>
      <c r="BX453" s="16" t="n">
        <v>0</v>
      </c>
      <c r="BY453" s="16" t="n">
        <v>0</v>
      </c>
      <c r="BZ453" s="16" t="n">
        <v>0</v>
      </c>
      <c r="CA453" s="16" t="n">
        <v>0</v>
      </c>
      <c r="CB453" s="16" t="n">
        <v>0</v>
      </c>
      <c r="CC453" s="16" t="n">
        <v>0</v>
      </c>
      <c r="CD453" s="16" t="n">
        <v>0</v>
      </c>
      <c r="CE453" s="16" t="n">
        <v>0</v>
      </c>
      <c r="CF453" s="16" t="n">
        <v>0</v>
      </c>
      <c r="CG453" s="16" t="n">
        <v>0</v>
      </c>
      <c r="CH453" s="16" t="n">
        <v>0</v>
      </c>
      <c r="CI453" s="16" t="n">
        <v>0</v>
      </c>
      <c r="CJ453" s="16" t="n">
        <v>0</v>
      </c>
      <c r="CK453" s="16" t="n">
        <v>0</v>
      </c>
      <c r="CL453" s="16" t="n">
        <v>0</v>
      </c>
      <c r="CM453" s="16" t="n">
        <v>0</v>
      </c>
      <c r="CN453" s="16" t="n">
        <v>0</v>
      </c>
      <c r="CO453" s="16" t="n">
        <v>0</v>
      </c>
      <c r="CP453" s="16" t="n">
        <v>0</v>
      </c>
      <c r="CQ453" s="16" t="n">
        <v>0</v>
      </c>
      <c r="CR453" s="16" t="n">
        <v>0</v>
      </c>
      <c r="CS453" s="16" t="n">
        <v>0</v>
      </c>
      <c r="CT453" s="16" t="n">
        <v>20</v>
      </c>
      <c r="CU453" s="16" t="n">
        <v>20</v>
      </c>
      <c r="CV453" s="16" t="n">
        <v>28</v>
      </c>
      <c r="CW453" s="16" t="n">
        <v>16</v>
      </c>
      <c r="CX453" s="16" t="n">
        <v>20</v>
      </c>
      <c r="CY453" s="16" t="n">
        <v>20</v>
      </c>
      <c r="CZ453" s="16" t="n">
        <v>15</v>
      </c>
      <c r="DA453" s="16" t="n">
        <v>15</v>
      </c>
      <c r="DB453" s="16" t="n">
        <v>14</v>
      </c>
      <c r="DC453" s="16" t="n">
        <v>15</v>
      </c>
      <c r="DD453" s="16" t="n">
        <v>15</v>
      </c>
      <c r="DE453" s="16" t="n">
        <v>15</v>
      </c>
      <c r="DF453" s="16" t="n">
        <v>10</v>
      </c>
      <c r="DG453" s="16" t="n">
        <v>15</v>
      </c>
      <c r="DH453" s="16" t="n">
        <v>10</v>
      </c>
      <c r="DI453" s="16" t="n">
        <v>0</v>
      </c>
      <c r="DJ453" s="16" t="n">
        <v>0</v>
      </c>
      <c r="DK453" s="16" t="n">
        <v>36</v>
      </c>
      <c r="DL453" s="16" t="n">
        <v>41</v>
      </c>
      <c r="DM453" s="16" t="n">
        <v>48</v>
      </c>
      <c r="DN453" s="16" t="n">
        <v>45</v>
      </c>
      <c r="DO453" s="16" t="n">
        <v>47</v>
      </c>
      <c r="DP453" s="16" t="n">
        <v>38</v>
      </c>
      <c r="DQ453" s="16" t="n">
        <v>17</v>
      </c>
      <c r="DR453" s="16" t="n">
        <v>0</v>
      </c>
      <c r="DS453" s="16" t="n">
        <v>0</v>
      </c>
      <c r="DT453" s="16" t="n">
        <v>0</v>
      </c>
      <c r="DU453" s="16" t="n">
        <v>0</v>
      </c>
      <c r="DV453" s="16" t="n">
        <v>0</v>
      </c>
      <c r="DW453" s="16" t="n">
        <v>0</v>
      </c>
      <c r="DX453" s="16" t="n">
        <v>0</v>
      </c>
      <c r="DY453" s="16" t="n">
        <v>0</v>
      </c>
      <c r="DZ453" s="16" t="n">
        <v>0</v>
      </c>
      <c r="EA453" s="16" t="n">
        <v>0</v>
      </c>
      <c r="EB453" s="16" t="n">
        <v>0</v>
      </c>
      <c r="EC453" s="16" t="n">
        <v>0</v>
      </c>
      <c r="ED453" s="16" t="n">
        <v>0</v>
      </c>
      <c r="EE453" s="16" t="n">
        <v>0</v>
      </c>
      <c r="EF453" s="16" t="n">
        <v>0</v>
      </c>
    </row>
    <row r="454" customFormat="false" ht="15" hidden="false" customHeight="true" outlineLevel="0" collapsed="false">
      <c r="A454" s="9" t="s">
        <v>12</v>
      </c>
      <c r="B454" s="9" t="s">
        <v>369</v>
      </c>
      <c r="C454" s="9" t="s">
        <v>370</v>
      </c>
      <c r="D454" s="9" t="s">
        <v>342</v>
      </c>
      <c r="E454" s="9" t="s">
        <v>14</v>
      </c>
      <c r="F454" s="9" t="s">
        <v>103</v>
      </c>
      <c r="G454" s="16" t="n">
        <v>0</v>
      </c>
      <c r="H454" s="16" t="n">
        <v>375</v>
      </c>
      <c r="I454" s="16" t="n">
        <v>385</v>
      </c>
      <c r="J454" s="16" t="n">
        <v>-10</v>
      </c>
      <c r="K454" s="16" t="n">
        <v>0</v>
      </c>
      <c r="L454" s="16" t="n">
        <v>0</v>
      </c>
      <c r="M454" s="16" t="n">
        <v>0</v>
      </c>
      <c r="N454" s="16" t="n">
        <v>0</v>
      </c>
      <c r="O454" s="16" t="n">
        <v>0</v>
      </c>
      <c r="P454" s="16" t="n">
        <v>0</v>
      </c>
      <c r="Q454" s="16" t="n">
        <v>0</v>
      </c>
      <c r="R454" s="16" t="n">
        <v>0</v>
      </c>
      <c r="S454" s="16" t="n">
        <v>0</v>
      </c>
      <c r="T454" s="16" t="n">
        <v>0</v>
      </c>
      <c r="U454" s="16" t="n">
        <v>0</v>
      </c>
      <c r="V454" s="16" t="n">
        <v>0</v>
      </c>
      <c r="W454" s="16" t="n">
        <v>0</v>
      </c>
      <c r="X454" s="16" t="n">
        <v>0</v>
      </c>
      <c r="Y454" s="16" t="n">
        <v>0</v>
      </c>
      <c r="Z454" s="16" t="n">
        <v>0</v>
      </c>
      <c r="AA454" s="16" t="n">
        <v>0</v>
      </c>
      <c r="AB454" s="16" t="n">
        <v>0</v>
      </c>
      <c r="AC454" s="16" t="n">
        <v>0</v>
      </c>
      <c r="AD454" s="16" t="n">
        <v>0</v>
      </c>
      <c r="AE454" s="16" t="n">
        <v>0</v>
      </c>
      <c r="AF454" s="16" t="n">
        <v>0</v>
      </c>
      <c r="AG454" s="16" t="n">
        <v>0</v>
      </c>
      <c r="AH454" s="16" t="n">
        <v>0</v>
      </c>
      <c r="AI454" s="16" t="n">
        <v>0</v>
      </c>
      <c r="AJ454" s="16" t="n">
        <v>0</v>
      </c>
      <c r="AK454" s="16" t="n">
        <v>0</v>
      </c>
      <c r="AL454" s="16" t="n">
        <v>0</v>
      </c>
      <c r="AM454" s="16" t="n">
        <v>0</v>
      </c>
      <c r="AN454" s="16" t="n">
        <v>0</v>
      </c>
      <c r="AO454" s="16" t="n">
        <v>0</v>
      </c>
      <c r="AP454" s="16" t="n">
        <v>0</v>
      </c>
      <c r="AQ454" s="16" t="n">
        <v>0</v>
      </c>
      <c r="AR454" s="16" t="n">
        <v>0</v>
      </c>
      <c r="AS454" s="16" t="n">
        <v>0</v>
      </c>
      <c r="AT454" s="16" t="n">
        <v>0</v>
      </c>
      <c r="AU454" s="16" t="n">
        <v>0</v>
      </c>
      <c r="AV454" s="16" t="n">
        <v>0</v>
      </c>
      <c r="AW454" s="16" t="n">
        <v>0</v>
      </c>
      <c r="AX454" s="16" t="n">
        <v>0</v>
      </c>
      <c r="AY454" s="16" t="n">
        <v>0</v>
      </c>
      <c r="AZ454" s="16" t="n">
        <v>0</v>
      </c>
      <c r="BA454" s="16" t="n">
        <v>0</v>
      </c>
      <c r="BB454" s="16" t="n">
        <v>0</v>
      </c>
      <c r="BC454" s="16" t="n">
        <v>0</v>
      </c>
      <c r="BD454" s="16" t="n">
        <v>0</v>
      </c>
      <c r="BE454" s="16" t="n">
        <v>0</v>
      </c>
      <c r="BF454" s="16" t="n">
        <v>0</v>
      </c>
      <c r="BG454" s="16" t="n">
        <v>0</v>
      </c>
      <c r="BH454" s="16" t="n">
        <v>0</v>
      </c>
      <c r="BI454" s="16" t="n">
        <v>0</v>
      </c>
      <c r="BJ454" s="16" t="n">
        <v>0</v>
      </c>
      <c r="BK454" s="16" t="n">
        <v>0</v>
      </c>
      <c r="BL454" s="16" t="n">
        <v>0</v>
      </c>
      <c r="BM454" s="16" t="n">
        <v>0</v>
      </c>
      <c r="BN454" s="16" t="n">
        <v>0</v>
      </c>
      <c r="BO454" s="16" t="n">
        <v>0</v>
      </c>
      <c r="BP454" s="16" t="n">
        <v>0</v>
      </c>
      <c r="BQ454" s="16" t="n">
        <v>0</v>
      </c>
      <c r="BR454" s="16" t="n">
        <v>0</v>
      </c>
      <c r="BS454" s="16" t="n">
        <v>0</v>
      </c>
      <c r="BT454" s="16" t="n">
        <v>0</v>
      </c>
      <c r="BU454" s="16" t="n">
        <v>0</v>
      </c>
      <c r="BV454" s="16" t="n">
        <v>0</v>
      </c>
      <c r="BW454" s="16" t="n">
        <v>0</v>
      </c>
      <c r="BX454" s="16" t="n">
        <v>0</v>
      </c>
      <c r="BY454" s="16" t="n">
        <v>0</v>
      </c>
      <c r="BZ454" s="16" t="n">
        <v>0</v>
      </c>
      <c r="CA454" s="16" t="n">
        <v>0</v>
      </c>
      <c r="CB454" s="16" t="n">
        <v>0</v>
      </c>
      <c r="CC454" s="16" t="n">
        <v>0</v>
      </c>
      <c r="CD454" s="16" t="n">
        <v>0</v>
      </c>
      <c r="CE454" s="16" t="n">
        <v>0</v>
      </c>
      <c r="CF454" s="16" t="n">
        <v>0</v>
      </c>
      <c r="CG454" s="16" t="n">
        <v>0</v>
      </c>
      <c r="CH454" s="16" t="n">
        <v>0</v>
      </c>
      <c r="CI454" s="16" t="n">
        <v>0</v>
      </c>
      <c r="CJ454" s="16" t="n">
        <v>0</v>
      </c>
      <c r="CK454" s="16" t="n">
        <v>0</v>
      </c>
      <c r="CL454" s="16" t="n">
        <v>0</v>
      </c>
      <c r="CM454" s="16" t="n">
        <v>0</v>
      </c>
      <c r="CN454" s="16" t="n">
        <v>0</v>
      </c>
      <c r="CO454" s="16" t="n">
        <v>0</v>
      </c>
      <c r="CP454" s="16" t="n">
        <v>0</v>
      </c>
      <c r="CQ454" s="16" t="n">
        <v>0</v>
      </c>
      <c r="CR454" s="16" t="n">
        <v>0</v>
      </c>
      <c r="CS454" s="16" t="n">
        <v>0</v>
      </c>
      <c r="CT454" s="16" t="n">
        <v>0</v>
      </c>
      <c r="CU454" s="16" t="n">
        <v>0</v>
      </c>
      <c r="CV454" s="16" t="n">
        <v>0</v>
      </c>
      <c r="CW454" s="16" t="n">
        <v>0</v>
      </c>
      <c r="CX454" s="16" t="n">
        <v>0</v>
      </c>
      <c r="CY454" s="16" t="n">
        <v>0</v>
      </c>
      <c r="CZ454" s="16" t="n">
        <v>0</v>
      </c>
      <c r="DA454" s="16" t="n">
        <v>0</v>
      </c>
      <c r="DB454" s="16" t="n">
        <v>0</v>
      </c>
      <c r="DC454" s="16" t="n">
        <v>0</v>
      </c>
      <c r="DD454" s="16" t="n">
        <v>0</v>
      </c>
      <c r="DE454" s="16" t="n">
        <v>0</v>
      </c>
      <c r="DF454" s="16" t="n">
        <v>0</v>
      </c>
      <c r="DG454" s="16" t="n">
        <v>0</v>
      </c>
      <c r="DH454" s="16" t="n">
        <v>0</v>
      </c>
      <c r="DI454" s="16" t="n">
        <v>0</v>
      </c>
      <c r="DJ454" s="16" t="n">
        <v>0</v>
      </c>
      <c r="DK454" s="16" t="n">
        <v>35</v>
      </c>
      <c r="DL454" s="16" t="n">
        <v>45</v>
      </c>
      <c r="DM454" s="16" t="n">
        <v>55</v>
      </c>
      <c r="DN454" s="16" t="n">
        <v>65</v>
      </c>
      <c r="DO454" s="16" t="n">
        <v>65</v>
      </c>
      <c r="DP454" s="16" t="n">
        <v>65</v>
      </c>
      <c r="DQ454" s="16" t="n">
        <v>55</v>
      </c>
      <c r="DR454" s="16" t="n">
        <v>0</v>
      </c>
      <c r="DS454" s="16" t="n">
        <v>0</v>
      </c>
      <c r="DT454" s="16" t="n">
        <v>0</v>
      </c>
      <c r="DU454" s="16" t="n">
        <v>0</v>
      </c>
      <c r="DV454" s="16" t="n">
        <v>0</v>
      </c>
      <c r="DW454" s="16" t="n">
        <v>0</v>
      </c>
      <c r="DX454" s="16" t="n">
        <v>0</v>
      </c>
      <c r="DY454" s="16" t="n">
        <v>0</v>
      </c>
      <c r="DZ454" s="16" t="n">
        <v>0</v>
      </c>
      <c r="EA454" s="16" t="n">
        <v>0</v>
      </c>
      <c r="EB454" s="16" t="n">
        <v>0</v>
      </c>
      <c r="EC454" s="16" t="n">
        <v>0</v>
      </c>
      <c r="ED454" s="16" t="n">
        <v>0</v>
      </c>
      <c r="EE454" s="16" t="n">
        <v>0</v>
      </c>
      <c r="EF454" s="16" t="n">
        <v>0</v>
      </c>
    </row>
    <row r="455" customFormat="false" ht="15" hidden="false" customHeight="true" outlineLevel="0" collapsed="false">
      <c r="A455" s="9" t="s">
        <v>12</v>
      </c>
      <c r="B455" s="9" t="s">
        <v>371</v>
      </c>
      <c r="C455" s="9" t="s">
        <v>372</v>
      </c>
      <c r="D455" s="9" t="s">
        <v>342</v>
      </c>
      <c r="E455" s="9" t="s">
        <v>14</v>
      </c>
      <c r="F455" s="9" t="s">
        <v>103</v>
      </c>
      <c r="G455" s="16" t="n">
        <v>120</v>
      </c>
      <c r="H455" s="16" t="n">
        <v>760</v>
      </c>
      <c r="I455" s="16" t="n">
        <v>550</v>
      </c>
      <c r="J455" s="16" t="n">
        <v>210</v>
      </c>
      <c r="K455" s="16" t="n">
        <v>0</v>
      </c>
      <c r="L455" s="16" t="n">
        <v>0</v>
      </c>
      <c r="M455" s="16" t="n">
        <v>0</v>
      </c>
      <c r="N455" s="16" t="n">
        <v>0</v>
      </c>
      <c r="O455" s="16" t="n">
        <v>0</v>
      </c>
      <c r="P455" s="16" t="n">
        <v>0</v>
      </c>
      <c r="Q455" s="16" t="n">
        <v>0</v>
      </c>
      <c r="R455" s="16" t="n">
        <v>0</v>
      </c>
      <c r="S455" s="16" t="n">
        <v>0</v>
      </c>
      <c r="T455" s="16" t="n">
        <v>0</v>
      </c>
      <c r="U455" s="16" t="n">
        <v>0</v>
      </c>
      <c r="V455" s="16" t="n">
        <v>0</v>
      </c>
      <c r="W455" s="16" t="n">
        <v>0</v>
      </c>
      <c r="X455" s="16" t="n">
        <v>0</v>
      </c>
      <c r="Y455" s="16" t="n">
        <v>0</v>
      </c>
      <c r="Z455" s="16" t="n">
        <v>0</v>
      </c>
      <c r="AA455" s="16" t="n">
        <v>0</v>
      </c>
      <c r="AB455" s="16" t="n">
        <v>0</v>
      </c>
      <c r="AC455" s="16" t="n">
        <v>0</v>
      </c>
      <c r="AD455" s="16" t="n">
        <v>0</v>
      </c>
      <c r="AE455" s="16" t="n">
        <v>0</v>
      </c>
      <c r="AF455" s="16" t="n">
        <v>0</v>
      </c>
      <c r="AG455" s="16" t="n">
        <v>0</v>
      </c>
      <c r="AH455" s="16" t="n">
        <v>0</v>
      </c>
      <c r="AI455" s="16" t="n">
        <v>0</v>
      </c>
      <c r="AJ455" s="16" t="n">
        <v>0</v>
      </c>
      <c r="AK455" s="16" t="n">
        <v>0</v>
      </c>
      <c r="AL455" s="16" t="n">
        <v>0</v>
      </c>
      <c r="AM455" s="16" t="n">
        <v>0</v>
      </c>
      <c r="AN455" s="16" t="n">
        <v>0</v>
      </c>
      <c r="AO455" s="16" t="n">
        <v>0</v>
      </c>
      <c r="AP455" s="16" t="n">
        <v>0</v>
      </c>
      <c r="AQ455" s="16" t="n">
        <v>0</v>
      </c>
      <c r="AR455" s="16" t="n">
        <v>0</v>
      </c>
      <c r="AS455" s="16" t="n">
        <v>0</v>
      </c>
      <c r="AT455" s="16" t="n">
        <v>0</v>
      </c>
      <c r="AU455" s="16" t="n">
        <v>0</v>
      </c>
      <c r="AV455" s="16" t="n">
        <v>0</v>
      </c>
      <c r="AW455" s="16" t="n">
        <v>0</v>
      </c>
      <c r="AX455" s="16" t="n">
        <v>0</v>
      </c>
      <c r="AY455" s="16" t="n">
        <v>0</v>
      </c>
      <c r="AZ455" s="16" t="n">
        <v>0</v>
      </c>
      <c r="BA455" s="16" t="n">
        <v>0</v>
      </c>
      <c r="BB455" s="16" t="n">
        <v>0</v>
      </c>
      <c r="BC455" s="16" t="n">
        <v>0</v>
      </c>
      <c r="BD455" s="16" t="n">
        <v>0</v>
      </c>
      <c r="BE455" s="16" t="n">
        <v>0</v>
      </c>
      <c r="BF455" s="16" t="n">
        <v>0</v>
      </c>
      <c r="BG455" s="16" t="n">
        <v>0</v>
      </c>
      <c r="BH455" s="16" t="n">
        <v>0</v>
      </c>
      <c r="BI455" s="16" t="n">
        <v>0</v>
      </c>
      <c r="BJ455" s="16" t="n">
        <v>0</v>
      </c>
      <c r="BK455" s="16" t="n">
        <v>0</v>
      </c>
      <c r="BL455" s="16" t="n">
        <v>0</v>
      </c>
      <c r="BM455" s="16" t="n">
        <v>0</v>
      </c>
      <c r="BN455" s="16" t="n">
        <v>0</v>
      </c>
      <c r="BO455" s="16" t="n">
        <v>0</v>
      </c>
      <c r="BP455" s="16" t="n">
        <v>0</v>
      </c>
      <c r="BQ455" s="16" t="n">
        <v>0</v>
      </c>
      <c r="BR455" s="16" t="n">
        <v>0</v>
      </c>
      <c r="BS455" s="16" t="n">
        <v>0</v>
      </c>
      <c r="BT455" s="16" t="n">
        <v>0</v>
      </c>
      <c r="BU455" s="16" t="n">
        <v>0</v>
      </c>
      <c r="BV455" s="16" t="n">
        <v>0</v>
      </c>
      <c r="BW455" s="16" t="n">
        <v>0</v>
      </c>
      <c r="BX455" s="16" t="n">
        <v>0</v>
      </c>
      <c r="BY455" s="16" t="n">
        <v>0</v>
      </c>
      <c r="BZ455" s="16" t="n">
        <v>0</v>
      </c>
      <c r="CA455" s="16" t="n">
        <v>0</v>
      </c>
      <c r="CB455" s="16" t="n">
        <v>0</v>
      </c>
      <c r="CC455" s="16" t="n">
        <v>0</v>
      </c>
      <c r="CD455" s="16" t="n">
        <v>0</v>
      </c>
      <c r="CE455" s="16" t="n">
        <v>0</v>
      </c>
      <c r="CF455" s="16" t="n">
        <v>0</v>
      </c>
      <c r="CG455" s="16" t="n">
        <v>0</v>
      </c>
      <c r="CH455" s="16" t="n">
        <v>0</v>
      </c>
      <c r="CI455" s="16" t="n">
        <v>0</v>
      </c>
      <c r="CJ455" s="16" t="n">
        <v>0</v>
      </c>
      <c r="CK455" s="16" t="n">
        <v>0</v>
      </c>
      <c r="CL455" s="16" t="n">
        <v>0</v>
      </c>
      <c r="CM455" s="16" t="n">
        <v>0</v>
      </c>
      <c r="CN455" s="16" t="n">
        <v>0</v>
      </c>
      <c r="CO455" s="16" t="n">
        <v>0</v>
      </c>
      <c r="CP455" s="16" t="n">
        <v>0</v>
      </c>
      <c r="CQ455" s="16" t="n">
        <v>0</v>
      </c>
      <c r="CR455" s="16" t="n">
        <v>0</v>
      </c>
      <c r="CS455" s="16" t="n">
        <v>0</v>
      </c>
      <c r="CT455" s="16" t="n">
        <v>0</v>
      </c>
      <c r="CU455" s="16" t="n">
        <v>0</v>
      </c>
      <c r="CV455" s="16" t="n">
        <v>15</v>
      </c>
      <c r="CW455" s="16" t="n">
        <v>15</v>
      </c>
      <c r="CX455" s="16" t="n">
        <v>10</v>
      </c>
      <c r="CY455" s="16" t="n">
        <v>15</v>
      </c>
      <c r="CZ455" s="16" t="n">
        <v>15</v>
      </c>
      <c r="DA455" s="16" t="n">
        <v>15</v>
      </c>
      <c r="DB455" s="16" t="n">
        <v>15</v>
      </c>
      <c r="DC455" s="16" t="n">
        <v>20</v>
      </c>
      <c r="DD455" s="16" t="n">
        <v>20</v>
      </c>
      <c r="DE455" s="16" t="n">
        <v>15</v>
      </c>
      <c r="DF455" s="16" t="n">
        <v>10</v>
      </c>
      <c r="DG455" s="16" t="n">
        <v>10</v>
      </c>
      <c r="DH455" s="16" t="n">
        <v>5</v>
      </c>
      <c r="DI455" s="16" t="n">
        <v>0</v>
      </c>
      <c r="DJ455" s="16" t="n">
        <v>0</v>
      </c>
      <c r="DK455" s="16" t="n">
        <v>20</v>
      </c>
      <c r="DL455" s="16" t="n">
        <v>50</v>
      </c>
      <c r="DM455" s="16" t="n">
        <v>55</v>
      </c>
      <c r="DN455" s="16" t="n">
        <v>60</v>
      </c>
      <c r="DO455" s="16" t="n">
        <v>65</v>
      </c>
      <c r="DP455" s="16" t="n">
        <v>65</v>
      </c>
      <c r="DQ455" s="16" t="n">
        <v>55</v>
      </c>
      <c r="DR455" s="16" t="n">
        <v>0</v>
      </c>
      <c r="DS455" s="16" t="n">
        <v>0</v>
      </c>
      <c r="DT455" s="16" t="n">
        <v>0</v>
      </c>
      <c r="DU455" s="16" t="n">
        <v>0</v>
      </c>
      <c r="DV455" s="16" t="n">
        <v>0</v>
      </c>
      <c r="DW455" s="16" t="n">
        <v>0</v>
      </c>
      <c r="DX455" s="16" t="n">
        <v>0</v>
      </c>
      <c r="DY455" s="16" t="n">
        <v>0</v>
      </c>
      <c r="DZ455" s="16" t="n">
        <v>0</v>
      </c>
      <c r="EA455" s="16" t="n">
        <v>0</v>
      </c>
      <c r="EB455" s="16" t="n">
        <v>0</v>
      </c>
      <c r="EC455" s="16" t="n">
        <v>0</v>
      </c>
      <c r="ED455" s="16" t="n">
        <v>0</v>
      </c>
      <c r="EE455" s="16" t="n">
        <v>0</v>
      </c>
      <c r="EF455" s="16" t="n">
        <v>0</v>
      </c>
    </row>
    <row r="456" customFormat="false" ht="15" hidden="false" customHeight="true" outlineLevel="0" collapsed="false">
      <c r="A456" s="9" t="s">
        <v>12</v>
      </c>
      <c r="B456" s="9" t="s">
        <v>373</v>
      </c>
      <c r="C456" s="9" t="s">
        <v>374</v>
      </c>
      <c r="D456" s="9" t="s">
        <v>342</v>
      </c>
      <c r="E456" s="9" t="s">
        <v>14</v>
      </c>
      <c r="F456" s="9" t="s">
        <v>43</v>
      </c>
      <c r="G456" s="16" t="n">
        <v>0</v>
      </c>
      <c r="H456" s="16" t="n">
        <v>0</v>
      </c>
      <c r="I456" s="16" t="n">
        <v>90</v>
      </c>
      <c r="J456" s="16" t="n">
        <v>-90</v>
      </c>
      <c r="K456" s="16" t="n">
        <v>0</v>
      </c>
      <c r="L456" s="16" t="n">
        <v>0</v>
      </c>
      <c r="M456" s="16" t="n">
        <v>0</v>
      </c>
      <c r="N456" s="16" t="n">
        <v>0</v>
      </c>
      <c r="O456" s="16" t="n">
        <v>0</v>
      </c>
      <c r="P456" s="16" t="n">
        <v>0</v>
      </c>
      <c r="Q456" s="16" t="n">
        <v>0</v>
      </c>
      <c r="R456" s="16" t="n">
        <v>0</v>
      </c>
      <c r="S456" s="16" t="n">
        <v>0</v>
      </c>
      <c r="T456" s="16" t="n">
        <v>0</v>
      </c>
      <c r="U456" s="16" t="n">
        <v>0</v>
      </c>
      <c r="V456" s="16" t="n">
        <v>0</v>
      </c>
      <c r="W456" s="16" t="n">
        <v>0</v>
      </c>
      <c r="X456" s="16" t="n">
        <v>0</v>
      </c>
      <c r="Y456" s="16" t="n">
        <v>0</v>
      </c>
      <c r="Z456" s="16" t="n">
        <v>0</v>
      </c>
      <c r="AA456" s="16" t="n">
        <v>0</v>
      </c>
      <c r="AB456" s="16" t="n">
        <v>0</v>
      </c>
      <c r="AC456" s="16" t="n">
        <v>0</v>
      </c>
      <c r="AD456" s="16" t="n">
        <v>0</v>
      </c>
      <c r="AE456" s="16" t="n">
        <v>0</v>
      </c>
      <c r="AF456" s="16" t="n">
        <v>0</v>
      </c>
      <c r="AG456" s="16" t="n">
        <v>0</v>
      </c>
      <c r="AH456" s="16" t="n">
        <v>0</v>
      </c>
      <c r="AI456" s="16" t="n">
        <v>0</v>
      </c>
      <c r="AJ456" s="16" t="n">
        <v>0</v>
      </c>
      <c r="AK456" s="16" t="n">
        <v>0</v>
      </c>
      <c r="AL456" s="16" t="n">
        <v>0</v>
      </c>
      <c r="AM456" s="16" t="n">
        <v>0</v>
      </c>
      <c r="AN456" s="16" t="n">
        <v>0</v>
      </c>
      <c r="AO456" s="16" t="n">
        <v>0</v>
      </c>
      <c r="AP456" s="16" t="n">
        <v>0</v>
      </c>
      <c r="AQ456" s="16" t="n">
        <v>0</v>
      </c>
      <c r="AR456" s="16" t="n">
        <v>0</v>
      </c>
      <c r="AS456" s="16" t="n">
        <v>0</v>
      </c>
      <c r="AT456" s="16" t="n">
        <v>0</v>
      </c>
      <c r="AU456" s="16" t="n">
        <v>0</v>
      </c>
      <c r="AV456" s="16" t="n">
        <v>0</v>
      </c>
      <c r="AW456" s="16" t="n">
        <v>0</v>
      </c>
      <c r="AX456" s="16" t="n">
        <v>0</v>
      </c>
      <c r="AY456" s="16" t="n">
        <v>0</v>
      </c>
      <c r="AZ456" s="16" t="n">
        <v>0</v>
      </c>
      <c r="BA456" s="16" t="n">
        <v>0</v>
      </c>
      <c r="BB456" s="16" t="n">
        <v>0</v>
      </c>
      <c r="BC456" s="16" t="n">
        <v>0</v>
      </c>
      <c r="BD456" s="16" t="n">
        <v>0</v>
      </c>
      <c r="BE456" s="16" t="n">
        <v>0</v>
      </c>
      <c r="BF456" s="16" t="n">
        <v>0</v>
      </c>
      <c r="BG456" s="16" t="n">
        <v>0</v>
      </c>
      <c r="BH456" s="16" t="n">
        <v>0</v>
      </c>
      <c r="BI456" s="16" t="n">
        <v>0</v>
      </c>
      <c r="BJ456" s="16" t="n">
        <v>0</v>
      </c>
      <c r="BK456" s="16" t="n">
        <v>0</v>
      </c>
      <c r="BL456" s="16" t="n">
        <v>0</v>
      </c>
      <c r="BM456" s="16" t="n">
        <v>0</v>
      </c>
      <c r="BN456" s="16" t="n">
        <v>0</v>
      </c>
      <c r="BO456" s="16" t="n">
        <v>0</v>
      </c>
      <c r="BP456" s="16" t="n">
        <v>0</v>
      </c>
      <c r="BQ456" s="16" t="n">
        <v>0</v>
      </c>
      <c r="BR456" s="16" t="n">
        <v>0</v>
      </c>
      <c r="BS456" s="16" t="n">
        <v>0</v>
      </c>
      <c r="BT456" s="16" t="n">
        <v>0</v>
      </c>
      <c r="BU456" s="16" t="n">
        <v>0</v>
      </c>
      <c r="BV456" s="16" t="n">
        <v>0</v>
      </c>
      <c r="BW456" s="16" t="n">
        <v>0</v>
      </c>
      <c r="BX456" s="16" t="n">
        <v>0</v>
      </c>
      <c r="BY456" s="16" t="n">
        <v>0</v>
      </c>
      <c r="BZ456" s="16" t="n">
        <v>0</v>
      </c>
      <c r="CA456" s="16" t="n">
        <v>0</v>
      </c>
      <c r="CB456" s="16" t="n">
        <v>0</v>
      </c>
      <c r="CC456" s="16" t="n">
        <v>0</v>
      </c>
      <c r="CD456" s="16" t="n">
        <v>0</v>
      </c>
      <c r="CE456" s="16" t="n">
        <v>0</v>
      </c>
      <c r="CF456" s="16" t="n">
        <v>0</v>
      </c>
      <c r="CG456" s="16" t="n">
        <v>0</v>
      </c>
      <c r="CH456" s="16" t="n">
        <v>0</v>
      </c>
      <c r="CI456" s="16" t="n">
        <v>0</v>
      </c>
      <c r="CJ456" s="16" t="n">
        <v>0</v>
      </c>
      <c r="CK456" s="16" t="n">
        <v>0</v>
      </c>
      <c r="CL456" s="16" t="n">
        <v>0</v>
      </c>
      <c r="CM456" s="16" t="n">
        <v>0</v>
      </c>
      <c r="CN456" s="16" t="n">
        <v>0</v>
      </c>
      <c r="CO456" s="16" t="n">
        <v>0</v>
      </c>
      <c r="CP456" s="16" t="n">
        <v>0</v>
      </c>
      <c r="CQ456" s="16" t="n">
        <v>0</v>
      </c>
      <c r="CR456" s="16" t="n">
        <v>0</v>
      </c>
      <c r="CS456" s="16" t="n">
        <v>0</v>
      </c>
      <c r="CT456" s="16" t="n">
        <v>0</v>
      </c>
      <c r="CU456" s="16" t="n">
        <v>0</v>
      </c>
      <c r="CV456" s="16" t="n">
        <v>0</v>
      </c>
      <c r="CW456" s="16" t="n">
        <v>0</v>
      </c>
      <c r="CX456" s="16" t="n">
        <v>0</v>
      </c>
      <c r="CY456" s="16" t="n">
        <v>0</v>
      </c>
      <c r="CZ456" s="16" t="n">
        <v>0</v>
      </c>
      <c r="DA456" s="16" t="n">
        <v>0</v>
      </c>
      <c r="DB456" s="16" t="n">
        <v>0</v>
      </c>
      <c r="DC456" s="16" t="n">
        <v>0</v>
      </c>
      <c r="DD456" s="16" t="n">
        <v>0</v>
      </c>
      <c r="DE456" s="16" t="n">
        <v>0</v>
      </c>
      <c r="DF456" s="16" t="n">
        <v>0</v>
      </c>
      <c r="DG456" s="16" t="n">
        <v>0</v>
      </c>
      <c r="DH456" s="16" t="n">
        <v>0</v>
      </c>
      <c r="DI456" s="16" t="n">
        <v>0</v>
      </c>
      <c r="DJ456" s="16" t="n">
        <v>0</v>
      </c>
      <c r="DK456" s="16" t="n">
        <v>0</v>
      </c>
      <c r="DL456" s="16" t="n">
        <v>0</v>
      </c>
      <c r="DM456" s="16" t="n">
        <v>0</v>
      </c>
      <c r="DN456" s="16" t="n">
        <v>10</v>
      </c>
      <c r="DO456" s="16" t="n">
        <v>10</v>
      </c>
      <c r="DP456" s="16" t="n">
        <v>20</v>
      </c>
      <c r="DQ456" s="16" t="n">
        <v>20</v>
      </c>
      <c r="DR456" s="16" t="n">
        <v>30</v>
      </c>
      <c r="DS456" s="16" t="n">
        <v>0</v>
      </c>
      <c r="DT456" s="16" t="n">
        <v>0</v>
      </c>
      <c r="DU456" s="16" t="n">
        <v>0</v>
      </c>
      <c r="DV456" s="16" t="n">
        <v>0</v>
      </c>
      <c r="DW456" s="16" t="n">
        <v>0</v>
      </c>
      <c r="DX456" s="16" t="n">
        <v>0</v>
      </c>
      <c r="DY456" s="16" t="n">
        <v>0</v>
      </c>
      <c r="DZ456" s="16" t="n">
        <v>0</v>
      </c>
      <c r="EA456" s="16" t="n">
        <v>0</v>
      </c>
      <c r="EB456" s="16" t="n">
        <v>0</v>
      </c>
      <c r="EC456" s="16" t="n">
        <v>0</v>
      </c>
      <c r="ED456" s="16" t="n">
        <v>0</v>
      </c>
      <c r="EE456" s="16" t="n">
        <v>0</v>
      </c>
      <c r="EF456" s="16" t="n">
        <v>0</v>
      </c>
    </row>
    <row r="457" customFormat="false" ht="15" hidden="false" customHeight="true" outlineLevel="0" collapsed="false">
      <c r="A457" s="9" t="s">
        <v>12</v>
      </c>
      <c r="B457" s="9" t="s">
        <v>375</v>
      </c>
      <c r="C457" s="9" t="s">
        <v>376</v>
      </c>
      <c r="D457" s="9" t="s">
        <v>342</v>
      </c>
      <c r="E457" s="9" t="s">
        <v>14</v>
      </c>
      <c r="F457" s="9" t="s">
        <v>100</v>
      </c>
      <c r="G457" s="16" t="n">
        <v>6</v>
      </c>
      <c r="H457" s="16" t="n">
        <v>24</v>
      </c>
      <c r="I457" s="16" t="n">
        <v>15</v>
      </c>
      <c r="J457" s="16" t="n">
        <v>9</v>
      </c>
      <c r="K457" s="16" t="n">
        <v>0</v>
      </c>
      <c r="L457" s="16" t="n">
        <v>0</v>
      </c>
      <c r="M457" s="16" t="n">
        <v>0</v>
      </c>
      <c r="N457" s="16" t="n">
        <v>0</v>
      </c>
      <c r="O457" s="16" t="n">
        <v>0</v>
      </c>
      <c r="P457" s="16" t="n">
        <v>0</v>
      </c>
      <c r="Q457" s="16" t="n">
        <v>0</v>
      </c>
      <c r="R457" s="16" t="n">
        <v>0</v>
      </c>
      <c r="S457" s="16" t="n">
        <v>0</v>
      </c>
      <c r="T457" s="16" t="n">
        <v>0</v>
      </c>
      <c r="U457" s="16" t="n">
        <v>0</v>
      </c>
      <c r="V457" s="16" t="n">
        <v>0</v>
      </c>
      <c r="W457" s="16" t="n">
        <v>0</v>
      </c>
      <c r="X457" s="16" t="n">
        <v>0</v>
      </c>
      <c r="Y457" s="16" t="n">
        <v>0</v>
      </c>
      <c r="Z457" s="16" t="n">
        <v>0</v>
      </c>
      <c r="AA457" s="16" t="n">
        <v>0</v>
      </c>
      <c r="AB457" s="16" t="n">
        <v>0</v>
      </c>
      <c r="AC457" s="16" t="n">
        <v>0</v>
      </c>
      <c r="AD457" s="16" t="n">
        <v>0</v>
      </c>
      <c r="AE457" s="16" t="n">
        <v>0</v>
      </c>
      <c r="AF457" s="16" t="n">
        <v>0</v>
      </c>
      <c r="AG457" s="16" t="n">
        <v>0</v>
      </c>
      <c r="AH457" s="16" t="n">
        <v>0</v>
      </c>
      <c r="AI457" s="16" t="n">
        <v>0</v>
      </c>
      <c r="AJ457" s="16" t="n">
        <v>0</v>
      </c>
      <c r="AK457" s="16" t="n">
        <v>0</v>
      </c>
      <c r="AL457" s="16" t="n">
        <v>0</v>
      </c>
      <c r="AM457" s="16" t="n">
        <v>0</v>
      </c>
      <c r="AN457" s="16" t="n">
        <v>0</v>
      </c>
      <c r="AO457" s="16" t="n">
        <v>0</v>
      </c>
      <c r="AP457" s="16" t="n">
        <v>0</v>
      </c>
      <c r="AQ457" s="16" t="n">
        <v>0</v>
      </c>
      <c r="AR457" s="16" t="n">
        <v>0</v>
      </c>
      <c r="AS457" s="16" t="n">
        <v>0</v>
      </c>
      <c r="AT457" s="16" t="n">
        <v>0</v>
      </c>
      <c r="AU457" s="16" t="n">
        <v>0</v>
      </c>
      <c r="AV457" s="16" t="n">
        <v>0</v>
      </c>
      <c r="AW457" s="16" t="n">
        <v>0</v>
      </c>
      <c r="AX457" s="16" t="n">
        <v>0</v>
      </c>
      <c r="AY457" s="16" t="n">
        <v>0</v>
      </c>
      <c r="AZ457" s="16" t="n">
        <v>0</v>
      </c>
      <c r="BA457" s="16" t="n">
        <v>0</v>
      </c>
      <c r="BB457" s="16" t="n">
        <v>0</v>
      </c>
      <c r="BC457" s="16" t="n">
        <v>0</v>
      </c>
      <c r="BD457" s="16" t="n">
        <v>0</v>
      </c>
      <c r="BE457" s="16" t="n">
        <v>0</v>
      </c>
      <c r="BF457" s="16" t="n">
        <v>0</v>
      </c>
      <c r="BG457" s="16" t="n">
        <v>0</v>
      </c>
      <c r="BH457" s="16" t="n">
        <v>0</v>
      </c>
      <c r="BI457" s="16" t="n">
        <v>0</v>
      </c>
      <c r="BJ457" s="16" t="n">
        <v>0</v>
      </c>
      <c r="BK457" s="16" t="n">
        <v>0</v>
      </c>
      <c r="BL457" s="16" t="n">
        <v>0</v>
      </c>
      <c r="BM457" s="16" t="n">
        <v>0</v>
      </c>
      <c r="BN457" s="16" t="n">
        <v>0</v>
      </c>
      <c r="BO457" s="16" t="n">
        <v>0</v>
      </c>
      <c r="BP457" s="16" t="n">
        <v>0</v>
      </c>
      <c r="BQ457" s="16" t="n">
        <v>0</v>
      </c>
      <c r="BR457" s="16" t="n">
        <v>0</v>
      </c>
      <c r="BS457" s="16" t="n">
        <v>0</v>
      </c>
      <c r="BT457" s="16" t="n">
        <v>0</v>
      </c>
      <c r="BU457" s="16" t="n">
        <v>0</v>
      </c>
      <c r="BV457" s="16" t="n">
        <v>0</v>
      </c>
      <c r="BW457" s="16" t="n">
        <v>0</v>
      </c>
      <c r="BX457" s="16" t="n">
        <v>0</v>
      </c>
      <c r="BY457" s="16" t="n">
        <v>0</v>
      </c>
      <c r="BZ457" s="16" t="n">
        <v>0</v>
      </c>
      <c r="CA457" s="16" t="n">
        <v>0</v>
      </c>
      <c r="CB457" s="16" t="n">
        <v>0</v>
      </c>
      <c r="CC457" s="16" t="n">
        <v>0</v>
      </c>
      <c r="CD457" s="16" t="n">
        <v>0</v>
      </c>
      <c r="CE457" s="16" t="n">
        <v>0</v>
      </c>
      <c r="CF457" s="16" t="n">
        <v>0</v>
      </c>
      <c r="CG457" s="16" t="n">
        <v>0</v>
      </c>
      <c r="CH457" s="16" t="n">
        <v>0</v>
      </c>
      <c r="CI457" s="16" t="n">
        <v>0</v>
      </c>
      <c r="CJ457" s="16" t="n">
        <v>0</v>
      </c>
      <c r="CK457" s="16" t="n">
        <v>0</v>
      </c>
      <c r="CL457" s="16" t="n">
        <v>0</v>
      </c>
      <c r="CM457" s="16" t="n">
        <v>0</v>
      </c>
      <c r="CN457" s="16" t="n">
        <v>0</v>
      </c>
      <c r="CO457" s="16" t="n">
        <v>0</v>
      </c>
      <c r="CP457" s="16" t="n">
        <v>0</v>
      </c>
      <c r="CQ457" s="16" t="n">
        <v>0</v>
      </c>
      <c r="CR457" s="16" t="n">
        <v>0</v>
      </c>
      <c r="CS457" s="16" t="n">
        <v>0</v>
      </c>
      <c r="CT457" s="16" t="n">
        <v>0</v>
      </c>
      <c r="CU457" s="16" t="n">
        <v>0</v>
      </c>
      <c r="CV457" s="16" t="n">
        <v>0</v>
      </c>
      <c r="CW457" s="16" t="n">
        <v>0</v>
      </c>
      <c r="CX457" s="16" t="n">
        <v>0</v>
      </c>
      <c r="CY457" s="16" t="n">
        <v>0</v>
      </c>
      <c r="CZ457" s="16" t="n">
        <v>0</v>
      </c>
      <c r="DA457" s="16" t="n">
        <v>0</v>
      </c>
      <c r="DB457" s="16" t="n">
        <v>0</v>
      </c>
      <c r="DC457" s="16" t="n">
        <v>0</v>
      </c>
      <c r="DD457" s="16" t="n">
        <v>0</v>
      </c>
      <c r="DE457" s="16" t="n">
        <v>0</v>
      </c>
      <c r="DF457" s="16" t="n">
        <v>0</v>
      </c>
      <c r="DG457" s="16" t="n">
        <v>0</v>
      </c>
      <c r="DH457" s="16" t="n">
        <v>0</v>
      </c>
      <c r="DI457" s="16" t="n">
        <v>0</v>
      </c>
      <c r="DJ457" s="16" t="n">
        <v>0</v>
      </c>
      <c r="DK457" s="16" t="n">
        <v>0</v>
      </c>
      <c r="DL457" s="16" t="n">
        <v>0</v>
      </c>
      <c r="DM457" s="16" t="n">
        <v>0</v>
      </c>
      <c r="DN457" s="16" t="n">
        <v>0</v>
      </c>
      <c r="DO457" s="16" t="n">
        <v>0</v>
      </c>
      <c r="DP457" s="16" t="n">
        <v>0</v>
      </c>
      <c r="DQ457" s="16" t="n">
        <v>10</v>
      </c>
      <c r="DR457" s="16" t="n">
        <v>5</v>
      </c>
      <c r="DS457" s="16" t="n">
        <v>0</v>
      </c>
      <c r="DT457" s="16" t="n">
        <v>0</v>
      </c>
      <c r="DU457" s="16" t="n">
        <v>0</v>
      </c>
      <c r="DV457" s="16" t="n">
        <v>0</v>
      </c>
      <c r="DW457" s="16" t="n">
        <v>0</v>
      </c>
      <c r="DX457" s="16" t="n">
        <v>0</v>
      </c>
      <c r="DY457" s="16" t="n">
        <v>0</v>
      </c>
      <c r="DZ457" s="16" t="n">
        <v>0</v>
      </c>
      <c r="EA457" s="16" t="n">
        <v>0</v>
      </c>
      <c r="EB457" s="16" t="n">
        <v>0</v>
      </c>
      <c r="EC457" s="16" t="n">
        <v>0</v>
      </c>
      <c r="ED457" s="16" t="n">
        <v>0</v>
      </c>
      <c r="EE457" s="16" t="n">
        <v>0</v>
      </c>
      <c r="EF457" s="16" t="n">
        <v>0</v>
      </c>
    </row>
    <row r="458" customFormat="false" ht="15" hidden="false" customHeight="true" outlineLevel="0" collapsed="false">
      <c r="A458" s="9" t="s">
        <v>12</v>
      </c>
      <c r="B458" s="9" t="s">
        <v>25</v>
      </c>
      <c r="C458" s="9" t="s">
        <v>25</v>
      </c>
      <c r="D458" s="9" t="s">
        <v>340</v>
      </c>
      <c r="E458" s="9" t="s">
        <v>16</v>
      </c>
      <c r="F458" s="9" t="s">
        <v>79</v>
      </c>
      <c r="G458" s="16" t="n">
        <v>34.4</v>
      </c>
      <c r="H458" s="16" t="n">
        <v>86.4</v>
      </c>
      <c r="I458" s="16" t="n">
        <v>25.5</v>
      </c>
      <c r="J458" s="16" t="n">
        <v>60.9</v>
      </c>
      <c r="K458" s="16" t="n">
        <v>0</v>
      </c>
      <c r="L458" s="16" t="n">
        <v>0</v>
      </c>
      <c r="M458" s="16" t="n">
        <v>0</v>
      </c>
      <c r="N458" s="16" t="n">
        <v>0</v>
      </c>
      <c r="O458" s="16" t="n">
        <v>0</v>
      </c>
      <c r="P458" s="16" t="n">
        <v>0</v>
      </c>
      <c r="Q458" s="16" t="n">
        <v>0</v>
      </c>
      <c r="R458" s="16" t="n">
        <v>0</v>
      </c>
      <c r="S458" s="16" t="n">
        <v>0</v>
      </c>
      <c r="T458" s="16" t="n">
        <v>0</v>
      </c>
      <c r="U458" s="16" t="n">
        <v>0</v>
      </c>
      <c r="V458" s="16" t="n">
        <v>0</v>
      </c>
      <c r="W458" s="16" t="n">
        <v>0</v>
      </c>
      <c r="X458" s="16" t="n">
        <v>0</v>
      </c>
      <c r="Y458" s="16" t="n">
        <v>0</v>
      </c>
      <c r="Z458" s="16" t="n">
        <v>0</v>
      </c>
      <c r="AA458" s="16" t="n">
        <v>0</v>
      </c>
      <c r="AB458" s="16" t="n">
        <v>3</v>
      </c>
      <c r="AC458" s="16" t="n">
        <v>4.5</v>
      </c>
      <c r="AD458" s="16" t="n">
        <v>3</v>
      </c>
      <c r="AE458" s="16" t="n">
        <v>1</v>
      </c>
      <c r="AF458" s="16" t="n">
        <v>6</v>
      </c>
      <c r="AG458" s="16" t="n">
        <v>1.5</v>
      </c>
      <c r="AH458" s="16" t="n">
        <v>2.5</v>
      </c>
      <c r="AI458" s="16" t="n">
        <v>3</v>
      </c>
      <c r="AJ458" s="16" t="n">
        <v>1</v>
      </c>
      <c r="AK458" s="16" t="n">
        <v>0</v>
      </c>
      <c r="AL458" s="16" t="n">
        <v>0</v>
      </c>
      <c r="AM458" s="16" t="n">
        <v>0</v>
      </c>
      <c r="AN458" s="16" t="n">
        <v>0</v>
      </c>
      <c r="AO458" s="16" t="n">
        <v>0</v>
      </c>
      <c r="AP458" s="16" t="n">
        <v>0</v>
      </c>
      <c r="AQ458" s="16" t="n">
        <v>0</v>
      </c>
      <c r="AR458" s="16" t="n">
        <v>0</v>
      </c>
      <c r="AS458" s="16" t="n">
        <v>0</v>
      </c>
      <c r="AT458" s="16" t="n">
        <v>0</v>
      </c>
      <c r="AU458" s="16" t="n">
        <v>0</v>
      </c>
      <c r="AV458" s="16" t="n">
        <v>0</v>
      </c>
      <c r="AW458" s="16" t="n">
        <v>0</v>
      </c>
      <c r="AX458" s="16" t="n">
        <v>0</v>
      </c>
      <c r="AY458" s="16" t="n">
        <v>0</v>
      </c>
      <c r="AZ458" s="16" t="n">
        <v>0</v>
      </c>
      <c r="BA458" s="16" t="n">
        <v>0</v>
      </c>
      <c r="BB458" s="16" t="n">
        <v>0</v>
      </c>
      <c r="BC458" s="16" t="n">
        <v>0</v>
      </c>
      <c r="BD458" s="16" t="n">
        <v>0</v>
      </c>
      <c r="BE458" s="16" t="n">
        <v>0</v>
      </c>
      <c r="BF458" s="16" t="n">
        <v>0</v>
      </c>
      <c r="BG458" s="16" t="n">
        <v>0</v>
      </c>
      <c r="BH458" s="16" t="n">
        <v>0</v>
      </c>
      <c r="BI458" s="16" t="n">
        <v>0</v>
      </c>
      <c r="BJ458" s="16" t="n">
        <v>0</v>
      </c>
      <c r="BK458" s="16" t="n">
        <v>0</v>
      </c>
      <c r="BL458" s="16" t="n">
        <v>0</v>
      </c>
      <c r="BM458" s="16" t="n">
        <v>0</v>
      </c>
      <c r="BN458" s="16" t="n">
        <v>0</v>
      </c>
      <c r="BO458" s="16" t="n">
        <v>0</v>
      </c>
      <c r="BP458" s="16" t="n">
        <v>0</v>
      </c>
      <c r="BQ458" s="16" t="n">
        <v>0</v>
      </c>
      <c r="BR458" s="16" t="n">
        <v>0</v>
      </c>
      <c r="BS458" s="16" t="n">
        <v>0</v>
      </c>
      <c r="BT458" s="16" t="n">
        <v>0</v>
      </c>
      <c r="BU458" s="16" t="n">
        <v>0</v>
      </c>
      <c r="BV458" s="16" t="n">
        <v>0</v>
      </c>
      <c r="BW458" s="16" t="n">
        <v>0</v>
      </c>
      <c r="BX458" s="16" t="n">
        <v>0</v>
      </c>
      <c r="BY458" s="16" t="n">
        <v>0</v>
      </c>
      <c r="BZ458" s="16" t="n">
        <v>0</v>
      </c>
      <c r="CA458" s="16" t="n">
        <v>0</v>
      </c>
      <c r="CB458" s="16" t="n">
        <v>0</v>
      </c>
      <c r="CC458" s="16" t="n">
        <v>0</v>
      </c>
      <c r="CD458" s="16" t="n">
        <v>0</v>
      </c>
      <c r="CE458" s="16" t="n">
        <v>0</v>
      </c>
      <c r="CF458" s="16" t="n">
        <v>0</v>
      </c>
      <c r="CG458" s="16" t="n">
        <v>0</v>
      </c>
      <c r="CH458" s="16" t="n">
        <v>0</v>
      </c>
      <c r="CI458" s="16" t="n">
        <v>0</v>
      </c>
      <c r="CJ458" s="16" t="n">
        <v>0</v>
      </c>
      <c r="CK458" s="16" t="n">
        <v>0</v>
      </c>
      <c r="CL458" s="16" t="n">
        <v>0</v>
      </c>
      <c r="CM458" s="16" t="n">
        <v>0</v>
      </c>
      <c r="CN458" s="16" t="n">
        <v>0</v>
      </c>
      <c r="CO458" s="16" t="n">
        <v>0</v>
      </c>
      <c r="CP458" s="16" t="n">
        <v>0</v>
      </c>
      <c r="CQ458" s="16" t="n">
        <v>0</v>
      </c>
      <c r="CR458" s="16" t="n">
        <v>0</v>
      </c>
      <c r="CS458" s="16" t="n">
        <v>0</v>
      </c>
      <c r="CT458" s="16" t="n">
        <v>0</v>
      </c>
      <c r="CU458" s="16" t="n">
        <v>0</v>
      </c>
      <c r="CV458" s="16" t="n">
        <v>0</v>
      </c>
      <c r="CW458" s="16" t="n">
        <v>0</v>
      </c>
      <c r="CX458" s="16" t="n">
        <v>0</v>
      </c>
      <c r="CY458" s="16" t="n">
        <v>0</v>
      </c>
      <c r="CZ458" s="16" t="n">
        <v>0</v>
      </c>
      <c r="DA458" s="16" t="n">
        <v>0</v>
      </c>
      <c r="DB458" s="16" t="n">
        <v>0</v>
      </c>
      <c r="DC458" s="16" t="n">
        <v>0</v>
      </c>
      <c r="DD458" s="16" t="n">
        <v>0</v>
      </c>
      <c r="DE458" s="16" t="n">
        <v>0</v>
      </c>
      <c r="DF458" s="16" t="n">
        <v>0</v>
      </c>
      <c r="DG458" s="16" t="n">
        <v>0</v>
      </c>
      <c r="DH458" s="16" t="n">
        <v>0</v>
      </c>
      <c r="DI458" s="16" t="n">
        <v>0</v>
      </c>
      <c r="DJ458" s="16" t="n">
        <v>0</v>
      </c>
      <c r="DK458" s="16" t="n">
        <v>0</v>
      </c>
      <c r="DL458" s="16" t="n">
        <v>0</v>
      </c>
      <c r="DM458" s="16" t="n">
        <v>0</v>
      </c>
      <c r="DN458" s="16" t="n">
        <v>0</v>
      </c>
      <c r="DO458" s="16" t="n">
        <v>0</v>
      </c>
      <c r="DP458" s="16" t="n">
        <v>0</v>
      </c>
      <c r="DQ458" s="16" t="n">
        <v>0</v>
      </c>
      <c r="DR458" s="16" t="n">
        <v>0</v>
      </c>
      <c r="DS458" s="16" t="n">
        <v>0</v>
      </c>
      <c r="DT458" s="16" t="n">
        <v>0</v>
      </c>
      <c r="DU458" s="16" t="n">
        <v>0</v>
      </c>
      <c r="DV458" s="16" t="n">
        <v>0</v>
      </c>
      <c r="DW458" s="16" t="n">
        <v>0</v>
      </c>
      <c r="DX458" s="16" t="n">
        <v>0</v>
      </c>
      <c r="DY458" s="16" t="n">
        <v>0</v>
      </c>
      <c r="DZ458" s="16" t="n">
        <v>0</v>
      </c>
      <c r="EA458" s="16" t="n">
        <v>0</v>
      </c>
      <c r="EB458" s="16" t="n">
        <v>0</v>
      </c>
      <c r="EC458" s="16" t="n">
        <v>0</v>
      </c>
      <c r="ED458" s="16" t="n">
        <v>0</v>
      </c>
      <c r="EE458" s="16" t="n">
        <v>0</v>
      </c>
      <c r="EF458" s="16" t="n">
        <v>0</v>
      </c>
    </row>
    <row r="459" customFormat="false" ht="15" hidden="false" customHeight="true" outlineLevel="0" collapsed="false">
      <c r="A459" s="9" t="s">
        <v>12</v>
      </c>
      <c r="B459" s="9" t="s">
        <v>25</v>
      </c>
      <c r="C459" s="9" t="s">
        <v>25</v>
      </c>
      <c r="D459" s="9" t="s">
        <v>340</v>
      </c>
      <c r="E459" s="9" t="s">
        <v>16</v>
      </c>
      <c r="F459" s="9" t="s">
        <v>79</v>
      </c>
      <c r="G459" s="16" t="n">
        <v>0</v>
      </c>
      <c r="H459" s="16" t="n">
        <v>0</v>
      </c>
      <c r="I459" s="16" t="n">
        <v>17.5</v>
      </c>
      <c r="J459" s="16" t="n">
        <v>-17.5</v>
      </c>
      <c r="K459" s="16" t="n">
        <v>0</v>
      </c>
      <c r="L459" s="16" t="n">
        <v>0</v>
      </c>
      <c r="M459" s="16" t="n">
        <v>0</v>
      </c>
      <c r="N459" s="16" t="n">
        <v>0</v>
      </c>
      <c r="O459" s="16" t="n">
        <v>0</v>
      </c>
      <c r="P459" s="16" t="n">
        <v>0</v>
      </c>
      <c r="Q459" s="16" t="n">
        <v>0</v>
      </c>
      <c r="R459" s="16" t="n">
        <v>0</v>
      </c>
      <c r="S459" s="16" t="n">
        <v>0</v>
      </c>
      <c r="T459" s="16" t="n">
        <v>0</v>
      </c>
      <c r="U459" s="16" t="n">
        <v>0</v>
      </c>
      <c r="V459" s="16" t="n">
        <v>0</v>
      </c>
      <c r="W459" s="16" t="n">
        <v>0</v>
      </c>
      <c r="X459" s="16" t="n">
        <v>0</v>
      </c>
      <c r="Y459" s="16" t="n">
        <v>2</v>
      </c>
      <c r="Z459" s="16" t="n">
        <v>9.5</v>
      </c>
      <c r="AA459" s="16" t="n">
        <v>6</v>
      </c>
      <c r="AB459" s="16" t="n">
        <v>0</v>
      </c>
      <c r="AC459" s="16" t="n">
        <v>0</v>
      </c>
      <c r="AD459" s="16" t="n">
        <v>0</v>
      </c>
      <c r="AE459" s="16" t="n">
        <v>0</v>
      </c>
      <c r="AF459" s="16" t="n">
        <v>0</v>
      </c>
      <c r="AG459" s="16" t="n">
        <v>0</v>
      </c>
      <c r="AH459" s="16" t="n">
        <v>0</v>
      </c>
      <c r="AI459" s="16" t="n">
        <v>0</v>
      </c>
      <c r="AJ459" s="16" t="n">
        <v>0</v>
      </c>
      <c r="AK459" s="16" t="n">
        <v>0</v>
      </c>
      <c r="AL459" s="16" t="n">
        <v>0</v>
      </c>
      <c r="AM459" s="16" t="n">
        <v>0</v>
      </c>
      <c r="AN459" s="16" t="n">
        <v>0</v>
      </c>
      <c r="AO459" s="16" t="n">
        <v>0</v>
      </c>
      <c r="AP459" s="16" t="n">
        <v>0</v>
      </c>
      <c r="AQ459" s="16" t="n">
        <v>0</v>
      </c>
      <c r="AR459" s="16" t="n">
        <v>0</v>
      </c>
      <c r="AS459" s="16" t="n">
        <v>0</v>
      </c>
      <c r="AT459" s="16" t="n">
        <v>0</v>
      </c>
      <c r="AU459" s="16" t="n">
        <v>0</v>
      </c>
      <c r="AV459" s="16" t="n">
        <v>0</v>
      </c>
      <c r="AW459" s="16" t="n">
        <v>0</v>
      </c>
      <c r="AX459" s="16" t="n">
        <v>0</v>
      </c>
      <c r="AY459" s="16" t="n">
        <v>0</v>
      </c>
      <c r="AZ459" s="16" t="n">
        <v>0</v>
      </c>
      <c r="BA459" s="16" t="n">
        <v>0</v>
      </c>
      <c r="BB459" s="16" t="n">
        <v>0</v>
      </c>
      <c r="BC459" s="16" t="n">
        <v>0</v>
      </c>
      <c r="BD459" s="16" t="n">
        <v>0</v>
      </c>
      <c r="BE459" s="16" t="n">
        <v>0</v>
      </c>
      <c r="BF459" s="16" t="n">
        <v>0</v>
      </c>
      <c r="BG459" s="16" t="n">
        <v>0</v>
      </c>
      <c r="BH459" s="16" t="n">
        <v>0</v>
      </c>
      <c r="BI459" s="16" t="n">
        <v>0</v>
      </c>
      <c r="BJ459" s="16" t="n">
        <v>0</v>
      </c>
      <c r="BK459" s="16" t="n">
        <v>0</v>
      </c>
      <c r="BL459" s="16" t="n">
        <v>0</v>
      </c>
      <c r="BM459" s="16" t="n">
        <v>0</v>
      </c>
      <c r="BN459" s="16" t="n">
        <v>0</v>
      </c>
      <c r="BO459" s="16" t="n">
        <v>0</v>
      </c>
      <c r="BP459" s="16" t="n">
        <v>0</v>
      </c>
      <c r="BQ459" s="16" t="n">
        <v>0</v>
      </c>
      <c r="BR459" s="16" t="n">
        <v>0</v>
      </c>
      <c r="BS459" s="16" t="n">
        <v>0</v>
      </c>
      <c r="BT459" s="16" t="n">
        <v>0</v>
      </c>
      <c r="BU459" s="16" t="n">
        <v>0</v>
      </c>
      <c r="BV459" s="16" t="n">
        <v>0</v>
      </c>
      <c r="BW459" s="16" t="n">
        <v>0</v>
      </c>
      <c r="BX459" s="16" t="n">
        <v>0</v>
      </c>
      <c r="BY459" s="16" t="n">
        <v>0</v>
      </c>
      <c r="BZ459" s="16" t="n">
        <v>0</v>
      </c>
      <c r="CA459" s="16" t="n">
        <v>0</v>
      </c>
      <c r="CB459" s="16" t="n">
        <v>0</v>
      </c>
      <c r="CC459" s="16" t="n">
        <v>0</v>
      </c>
      <c r="CD459" s="16" t="n">
        <v>0</v>
      </c>
      <c r="CE459" s="16" t="n">
        <v>0</v>
      </c>
      <c r="CF459" s="16" t="n">
        <v>0</v>
      </c>
      <c r="CG459" s="16" t="n">
        <v>0</v>
      </c>
      <c r="CH459" s="16" t="n">
        <v>0</v>
      </c>
      <c r="CI459" s="16" t="n">
        <v>0</v>
      </c>
      <c r="CJ459" s="16" t="n">
        <v>0</v>
      </c>
      <c r="CK459" s="16" t="n">
        <v>0</v>
      </c>
      <c r="CL459" s="16" t="n">
        <v>0</v>
      </c>
      <c r="CM459" s="16" t="n">
        <v>0</v>
      </c>
      <c r="CN459" s="16" t="n">
        <v>0</v>
      </c>
      <c r="CO459" s="16" t="n">
        <v>0</v>
      </c>
      <c r="CP459" s="16" t="n">
        <v>0</v>
      </c>
      <c r="CQ459" s="16" t="n">
        <v>0</v>
      </c>
      <c r="CR459" s="16" t="n">
        <v>0</v>
      </c>
      <c r="CS459" s="16" t="n">
        <v>0</v>
      </c>
      <c r="CT459" s="16" t="n">
        <v>0</v>
      </c>
      <c r="CU459" s="16" t="n">
        <v>0</v>
      </c>
      <c r="CV459" s="16" t="n">
        <v>0</v>
      </c>
      <c r="CW459" s="16" t="n">
        <v>0</v>
      </c>
      <c r="CX459" s="16" t="n">
        <v>0</v>
      </c>
      <c r="CY459" s="16" t="n">
        <v>0</v>
      </c>
      <c r="CZ459" s="16" t="n">
        <v>0</v>
      </c>
      <c r="DA459" s="16" t="n">
        <v>0</v>
      </c>
      <c r="DB459" s="16" t="n">
        <v>0</v>
      </c>
      <c r="DC459" s="16" t="n">
        <v>0</v>
      </c>
      <c r="DD459" s="16" t="n">
        <v>0</v>
      </c>
      <c r="DE459" s="16" t="n">
        <v>0</v>
      </c>
      <c r="DF459" s="16" t="n">
        <v>0</v>
      </c>
      <c r="DG459" s="16" t="n">
        <v>0</v>
      </c>
      <c r="DH459" s="16" t="n">
        <v>0</v>
      </c>
      <c r="DI459" s="16" t="n">
        <v>0</v>
      </c>
      <c r="DJ459" s="16" t="n">
        <v>0</v>
      </c>
      <c r="DK459" s="16" t="n">
        <v>0</v>
      </c>
      <c r="DL459" s="16" t="n">
        <v>0</v>
      </c>
      <c r="DM459" s="16" t="n">
        <v>0</v>
      </c>
      <c r="DN459" s="16" t="n">
        <v>0</v>
      </c>
      <c r="DO459" s="16" t="n">
        <v>0</v>
      </c>
      <c r="DP459" s="16" t="n">
        <v>0</v>
      </c>
      <c r="DQ459" s="16" t="n">
        <v>0</v>
      </c>
      <c r="DR459" s="16" t="n">
        <v>0</v>
      </c>
      <c r="DS459" s="16" t="n">
        <v>0</v>
      </c>
      <c r="DT459" s="16" t="n">
        <v>0</v>
      </c>
      <c r="DU459" s="16" t="n">
        <v>0</v>
      </c>
      <c r="DV459" s="16" t="n">
        <v>0</v>
      </c>
      <c r="DW459" s="16" t="n">
        <v>0</v>
      </c>
      <c r="DX459" s="16" t="n">
        <v>0</v>
      </c>
      <c r="DY459" s="16" t="n">
        <v>0</v>
      </c>
      <c r="DZ459" s="16" t="n">
        <v>0</v>
      </c>
      <c r="EA459" s="16" t="n">
        <v>0</v>
      </c>
      <c r="EB459" s="16" t="n">
        <v>0</v>
      </c>
      <c r="EC459" s="16" t="n">
        <v>0</v>
      </c>
      <c r="ED459" s="16" t="n">
        <v>0</v>
      </c>
      <c r="EE459" s="16" t="n">
        <v>0</v>
      </c>
      <c r="EF459" s="16" t="n">
        <v>0</v>
      </c>
    </row>
    <row r="460" customFormat="false" ht="15" hidden="false" customHeight="true" outlineLevel="0" collapsed="false">
      <c r="A460" s="9" t="s">
        <v>12</v>
      </c>
      <c r="B460" s="9" t="s">
        <v>25</v>
      </c>
      <c r="C460" s="9" t="s">
        <v>25</v>
      </c>
      <c r="D460" s="9" t="s">
        <v>339</v>
      </c>
      <c r="E460" s="9" t="s">
        <v>16</v>
      </c>
      <c r="F460" s="9" t="s">
        <v>79</v>
      </c>
      <c r="G460" s="16" t="n">
        <v>0</v>
      </c>
      <c r="H460" s="16" t="n">
        <v>0</v>
      </c>
      <c r="I460" s="16" t="n">
        <v>80</v>
      </c>
      <c r="J460" s="16" t="n">
        <v>-80</v>
      </c>
      <c r="K460" s="16" t="n">
        <v>0</v>
      </c>
      <c r="L460" s="16" t="n">
        <v>0</v>
      </c>
      <c r="M460" s="16" t="n">
        <v>0</v>
      </c>
      <c r="N460" s="16" t="n">
        <v>0</v>
      </c>
      <c r="O460" s="16" t="n">
        <v>0</v>
      </c>
      <c r="P460" s="16" t="n">
        <v>0</v>
      </c>
      <c r="Q460" s="16" t="n">
        <v>0</v>
      </c>
      <c r="R460" s="16" t="n">
        <v>0</v>
      </c>
      <c r="S460" s="16" t="n">
        <v>0</v>
      </c>
      <c r="T460" s="16" t="n">
        <v>0</v>
      </c>
      <c r="U460" s="16" t="n">
        <v>0</v>
      </c>
      <c r="V460" s="16" t="n">
        <v>0</v>
      </c>
      <c r="W460" s="16" t="n">
        <v>0</v>
      </c>
      <c r="X460" s="16" t="n">
        <v>0</v>
      </c>
      <c r="Y460" s="16" t="n">
        <v>0</v>
      </c>
      <c r="Z460" s="16" t="n">
        <v>0</v>
      </c>
      <c r="AA460" s="16" t="n">
        <v>0</v>
      </c>
      <c r="AB460" s="16" t="n">
        <v>0</v>
      </c>
      <c r="AC460" s="16" t="n">
        <v>0</v>
      </c>
      <c r="AD460" s="16" t="n">
        <v>0</v>
      </c>
      <c r="AE460" s="16" t="n">
        <v>0</v>
      </c>
      <c r="AF460" s="16" t="n">
        <v>0</v>
      </c>
      <c r="AG460" s="16" t="n">
        <v>0</v>
      </c>
      <c r="AH460" s="16" t="n">
        <v>0</v>
      </c>
      <c r="AI460" s="16" t="n">
        <v>0</v>
      </c>
      <c r="AJ460" s="16" t="n">
        <v>5</v>
      </c>
      <c r="AK460" s="16" t="n">
        <v>1.5</v>
      </c>
      <c r="AL460" s="16" t="n">
        <v>0.5</v>
      </c>
      <c r="AM460" s="16" t="n">
        <v>3</v>
      </c>
      <c r="AN460" s="16" t="n">
        <v>3</v>
      </c>
      <c r="AO460" s="16" t="n">
        <v>7</v>
      </c>
      <c r="AP460" s="16" t="n">
        <v>3.5</v>
      </c>
      <c r="AQ460" s="16" t="n">
        <v>0</v>
      </c>
      <c r="AR460" s="16" t="n">
        <v>3.5</v>
      </c>
      <c r="AS460" s="16" t="n">
        <v>2.5</v>
      </c>
      <c r="AT460" s="16" t="n">
        <v>0</v>
      </c>
      <c r="AU460" s="16" t="n">
        <v>0</v>
      </c>
      <c r="AV460" s="16" t="n">
        <v>0</v>
      </c>
      <c r="AW460" s="16" t="n">
        <v>0</v>
      </c>
      <c r="AX460" s="16" t="n">
        <v>0</v>
      </c>
      <c r="AY460" s="16" t="n">
        <v>0</v>
      </c>
      <c r="AZ460" s="16" t="n">
        <v>0</v>
      </c>
      <c r="BA460" s="16" t="n">
        <v>0</v>
      </c>
      <c r="BB460" s="16" t="n">
        <v>0</v>
      </c>
      <c r="BC460" s="16" t="n">
        <v>0</v>
      </c>
      <c r="BD460" s="16" t="n">
        <v>0</v>
      </c>
      <c r="BE460" s="16" t="n">
        <v>0</v>
      </c>
      <c r="BF460" s="16" t="n">
        <v>0</v>
      </c>
      <c r="BG460" s="16" t="n">
        <v>0</v>
      </c>
      <c r="BH460" s="16" t="n">
        <v>0</v>
      </c>
      <c r="BI460" s="16" t="n">
        <v>0</v>
      </c>
      <c r="BJ460" s="16" t="n">
        <v>0</v>
      </c>
      <c r="BK460" s="16" t="n">
        <v>0</v>
      </c>
      <c r="BL460" s="16" t="n">
        <v>0</v>
      </c>
      <c r="BM460" s="16" t="n">
        <v>0</v>
      </c>
      <c r="BN460" s="16" t="n">
        <v>0</v>
      </c>
      <c r="BO460" s="16" t="n">
        <v>0</v>
      </c>
      <c r="BP460" s="16" t="n">
        <v>0</v>
      </c>
      <c r="BQ460" s="16" t="n">
        <v>0</v>
      </c>
      <c r="BR460" s="16" t="n">
        <v>0</v>
      </c>
      <c r="BS460" s="16" t="n">
        <v>0</v>
      </c>
      <c r="BT460" s="16" t="n">
        <v>0</v>
      </c>
      <c r="BU460" s="16" t="n">
        <v>0</v>
      </c>
      <c r="BV460" s="16" t="n">
        <v>0</v>
      </c>
      <c r="BW460" s="16" t="n">
        <v>0</v>
      </c>
      <c r="BX460" s="16" t="n">
        <v>0</v>
      </c>
      <c r="BY460" s="16" t="n">
        <v>0</v>
      </c>
      <c r="BZ460" s="16" t="n">
        <v>0</v>
      </c>
      <c r="CA460" s="16" t="n">
        <v>0</v>
      </c>
      <c r="CB460" s="16" t="n">
        <v>0</v>
      </c>
      <c r="CC460" s="16" t="n">
        <v>0</v>
      </c>
      <c r="CD460" s="16" t="n">
        <v>0</v>
      </c>
      <c r="CE460" s="16" t="n">
        <v>0</v>
      </c>
      <c r="CF460" s="16" t="n">
        <v>0</v>
      </c>
      <c r="CG460" s="16" t="n">
        <v>0</v>
      </c>
      <c r="CH460" s="16" t="n">
        <v>0</v>
      </c>
      <c r="CI460" s="16" t="n">
        <v>0</v>
      </c>
      <c r="CJ460" s="16" t="n">
        <v>0</v>
      </c>
      <c r="CK460" s="16" t="n">
        <v>0</v>
      </c>
      <c r="CL460" s="16" t="n">
        <v>0</v>
      </c>
      <c r="CM460" s="16" t="n">
        <v>0</v>
      </c>
      <c r="CN460" s="16" t="n">
        <v>0</v>
      </c>
      <c r="CO460" s="16" t="n">
        <v>0</v>
      </c>
      <c r="CP460" s="16" t="n">
        <v>0</v>
      </c>
      <c r="CQ460" s="16" t="n">
        <v>0</v>
      </c>
      <c r="CR460" s="16" t="n">
        <v>0</v>
      </c>
      <c r="CS460" s="16" t="n">
        <v>2.5</v>
      </c>
      <c r="CT460" s="16" t="n">
        <v>1.403509</v>
      </c>
      <c r="CU460" s="16" t="n">
        <v>1.403509</v>
      </c>
      <c r="CV460" s="16" t="n">
        <v>1.403509</v>
      </c>
      <c r="CW460" s="16" t="n">
        <v>1.403509</v>
      </c>
      <c r="CX460" s="16" t="n">
        <v>1.403509</v>
      </c>
      <c r="CY460" s="16" t="n">
        <v>1.403509</v>
      </c>
      <c r="CZ460" s="16" t="n">
        <v>1.403509</v>
      </c>
      <c r="DA460" s="16" t="n">
        <v>1.403509</v>
      </c>
      <c r="DB460" s="16" t="n">
        <v>1.403509</v>
      </c>
      <c r="DC460" s="16" t="n">
        <v>1.403509</v>
      </c>
      <c r="DD460" s="16" t="n">
        <v>1.403509</v>
      </c>
      <c r="DE460" s="16" t="n">
        <v>1.403509</v>
      </c>
      <c r="DF460" s="16" t="n">
        <v>1.403509</v>
      </c>
      <c r="DG460" s="16" t="n">
        <v>1.403509</v>
      </c>
      <c r="DH460" s="16" t="n">
        <v>1.403509</v>
      </c>
      <c r="DI460" s="16" t="n">
        <v>1.403509</v>
      </c>
      <c r="DJ460" s="16" t="n">
        <v>1.403509</v>
      </c>
      <c r="DK460" s="16" t="n">
        <v>1.403509</v>
      </c>
      <c r="DL460" s="16" t="n">
        <v>1.403509</v>
      </c>
      <c r="DM460" s="16" t="n">
        <v>1.403509</v>
      </c>
      <c r="DN460" s="16" t="n">
        <v>1.403509</v>
      </c>
      <c r="DO460" s="16" t="n">
        <v>1.403509</v>
      </c>
      <c r="DP460" s="16" t="n">
        <v>1.403509</v>
      </c>
      <c r="DQ460" s="16" t="n">
        <v>1.403509</v>
      </c>
      <c r="DR460" s="16" t="n">
        <v>1.403509</v>
      </c>
      <c r="DS460" s="16" t="n">
        <v>1.403509</v>
      </c>
      <c r="DT460" s="16" t="n">
        <v>1.403509</v>
      </c>
      <c r="DU460" s="16" t="n">
        <v>1.403509</v>
      </c>
      <c r="DV460" s="16" t="n">
        <v>1.403509</v>
      </c>
      <c r="DW460" s="16" t="n">
        <v>1.403509</v>
      </c>
      <c r="DX460" s="16" t="n">
        <v>1.403509</v>
      </c>
      <c r="DY460" s="16" t="n">
        <v>1.403509</v>
      </c>
      <c r="DZ460" s="16" t="n">
        <v>1.403509</v>
      </c>
      <c r="EA460" s="16" t="n">
        <v>1.403509</v>
      </c>
      <c r="EB460" s="16" t="n">
        <v>1.403509</v>
      </c>
      <c r="EC460" s="16" t="n">
        <v>1.403509</v>
      </c>
      <c r="ED460" s="16" t="n">
        <v>0</v>
      </c>
      <c r="EE460" s="16" t="n">
        <v>0</v>
      </c>
      <c r="EF460" s="16" t="n">
        <v>0</v>
      </c>
    </row>
    <row r="461" customFormat="false" ht="15" hidden="false" customHeight="true" outlineLevel="0" collapsed="false">
      <c r="A461" s="9" t="s">
        <v>12</v>
      </c>
      <c r="B461" s="9" t="s">
        <v>25</v>
      </c>
      <c r="C461" s="9" t="s">
        <v>25</v>
      </c>
      <c r="D461" s="9" t="s">
        <v>340</v>
      </c>
      <c r="E461" s="9" t="s">
        <v>16</v>
      </c>
      <c r="F461" s="9" t="s">
        <v>80</v>
      </c>
      <c r="G461" s="16" t="n">
        <v>5</v>
      </c>
      <c r="H461" s="16" t="n">
        <v>42</v>
      </c>
      <c r="I461" s="16" t="n">
        <v>0</v>
      </c>
      <c r="J461" s="16" t="n">
        <v>42</v>
      </c>
      <c r="K461" s="16" t="n">
        <v>0</v>
      </c>
      <c r="L461" s="16" t="n">
        <v>0</v>
      </c>
      <c r="M461" s="16" t="n">
        <v>0</v>
      </c>
      <c r="N461" s="16" t="n">
        <v>0</v>
      </c>
      <c r="O461" s="16" t="n">
        <v>0</v>
      </c>
      <c r="P461" s="16" t="n">
        <v>0</v>
      </c>
      <c r="Q461" s="16" t="n">
        <v>0</v>
      </c>
      <c r="R461" s="16" t="n">
        <v>0</v>
      </c>
      <c r="S461" s="16" t="n">
        <v>0</v>
      </c>
      <c r="T461" s="16" t="n">
        <v>0</v>
      </c>
      <c r="U461" s="16" t="n">
        <v>0</v>
      </c>
      <c r="V461" s="16" t="n">
        <v>0</v>
      </c>
      <c r="W461" s="16" t="n">
        <v>0</v>
      </c>
      <c r="X461" s="16" t="n">
        <v>0</v>
      </c>
      <c r="Y461" s="16" t="n">
        <v>0</v>
      </c>
      <c r="Z461" s="16" t="n">
        <v>0</v>
      </c>
      <c r="AA461" s="16" t="n">
        <v>0</v>
      </c>
      <c r="AB461" s="16" t="n">
        <v>0</v>
      </c>
      <c r="AC461" s="16" t="n">
        <v>0</v>
      </c>
      <c r="AD461" s="16" t="n">
        <v>0</v>
      </c>
      <c r="AE461" s="16" t="n">
        <v>0</v>
      </c>
      <c r="AF461" s="16" t="n">
        <v>0</v>
      </c>
      <c r="AG461" s="16" t="n">
        <v>0</v>
      </c>
      <c r="AH461" s="16" t="n">
        <v>0</v>
      </c>
      <c r="AI461" s="16" t="n">
        <v>0</v>
      </c>
      <c r="AJ461" s="16" t="n">
        <v>0</v>
      </c>
      <c r="AK461" s="16" t="n">
        <v>0</v>
      </c>
      <c r="AL461" s="16" t="n">
        <v>0</v>
      </c>
      <c r="AM461" s="16" t="n">
        <v>0</v>
      </c>
      <c r="AN461" s="16" t="n">
        <v>0</v>
      </c>
      <c r="AO461" s="16" t="n">
        <v>0</v>
      </c>
      <c r="AP461" s="16" t="n">
        <v>0</v>
      </c>
      <c r="AQ461" s="16" t="n">
        <v>0</v>
      </c>
      <c r="AR461" s="16" t="n">
        <v>0</v>
      </c>
      <c r="AS461" s="16" t="n">
        <v>0</v>
      </c>
      <c r="AT461" s="16" t="n">
        <v>0</v>
      </c>
      <c r="AU461" s="16" t="n">
        <v>0</v>
      </c>
      <c r="AV461" s="16" t="n">
        <v>0</v>
      </c>
      <c r="AW461" s="16" t="n">
        <v>0</v>
      </c>
      <c r="AX461" s="16" t="n">
        <v>0</v>
      </c>
      <c r="AY461" s="16" t="n">
        <v>0</v>
      </c>
      <c r="AZ461" s="16" t="n">
        <v>0</v>
      </c>
      <c r="BA461" s="16" t="n">
        <v>0</v>
      </c>
      <c r="BB461" s="16" t="n">
        <v>0</v>
      </c>
      <c r="BC461" s="16" t="n">
        <v>0</v>
      </c>
      <c r="BD461" s="16" t="n">
        <v>0</v>
      </c>
      <c r="BE461" s="16" t="n">
        <v>0</v>
      </c>
      <c r="BF461" s="16" t="n">
        <v>0</v>
      </c>
      <c r="BG461" s="16" t="n">
        <v>0</v>
      </c>
      <c r="BH461" s="16" t="n">
        <v>0</v>
      </c>
      <c r="BI461" s="16" t="n">
        <v>0</v>
      </c>
      <c r="BJ461" s="16" t="n">
        <v>0</v>
      </c>
      <c r="BK461" s="16" t="n">
        <v>0</v>
      </c>
      <c r="BL461" s="16" t="n">
        <v>0</v>
      </c>
      <c r="BM461" s="16" t="n">
        <v>0</v>
      </c>
      <c r="BN461" s="16" t="n">
        <v>0</v>
      </c>
      <c r="BO461" s="16" t="n">
        <v>0</v>
      </c>
      <c r="BP461" s="16" t="n">
        <v>0</v>
      </c>
      <c r="BQ461" s="16" t="n">
        <v>0</v>
      </c>
      <c r="BR461" s="16" t="n">
        <v>0</v>
      </c>
      <c r="BS461" s="16" t="n">
        <v>0</v>
      </c>
      <c r="BT461" s="16" t="n">
        <v>0</v>
      </c>
      <c r="BU461" s="16" t="n">
        <v>0</v>
      </c>
      <c r="BV461" s="16" t="n">
        <v>0</v>
      </c>
      <c r="BW461" s="16" t="n">
        <v>0</v>
      </c>
      <c r="BX461" s="16" t="n">
        <v>0</v>
      </c>
      <c r="BY461" s="16" t="n">
        <v>0</v>
      </c>
      <c r="BZ461" s="16" t="n">
        <v>0</v>
      </c>
      <c r="CA461" s="16" t="n">
        <v>0</v>
      </c>
      <c r="CB461" s="16" t="n">
        <v>0</v>
      </c>
      <c r="CC461" s="16" t="n">
        <v>0</v>
      </c>
      <c r="CD461" s="16" t="n">
        <v>0</v>
      </c>
      <c r="CE461" s="16" t="n">
        <v>0</v>
      </c>
      <c r="CF461" s="16" t="n">
        <v>0</v>
      </c>
      <c r="CG461" s="16" t="n">
        <v>0</v>
      </c>
      <c r="CH461" s="16" t="n">
        <v>0</v>
      </c>
      <c r="CI461" s="16" t="n">
        <v>0</v>
      </c>
      <c r="CJ461" s="16" t="n">
        <v>0</v>
      </c>
      <c r="CK461" s="16" t="n">
        <v>0</v>
      </c>
      <c r="CL461" s="16" t="n">
        <v>0</v>
      </c>
      <c r="CM461" s="16" t="n">
        <v>0</v>
      </c>
      <c r="CN461" s="16" t="n">
        <v>0</v>
      </c>
      <c r="CO461" s="16" t="n">
        <v>0</v>
      </c>
      <c r="CP461" s="16" t="n">
        <v>0</v>
      </c>
      <c r="CQ461" s="16" t="n">
        <v>0</v>
      </c>
      <c r="CR461" s="16" t="n">
        <v>0</v>
      </c>
      <c r="CS461" s="16" t="n">
        <v>0</v>
      </c>
      <c r="CT461" s="16" t="n">
        <v>0</v>
      </c>
      <c r="CU461" s="16" t="n">
        <v>0</v>
      </c>
      <c r="CV461" s="16" t="n">
        <v>0</v>
      </c>
      <c r="CW461" s="16" t="n">
        <v>0</v>
      </c>
      <c r="CX461" s="16" t="n">
        <v>0</v>
      </c>
      <c r="CY461" s="16" t="n">
        <v>0</v>
      </c>
      <c r="CZ461" s="16" t="n">
        <v>0</v>
      </c>
      <c r="DA461" s="16" t="n">
        <v>0</v>
      </c>
      <c r="DB461" s="16" t="n">
        <v>0</v>
      </c>
      <c r="DC461" s="16" t="n">
        <v>0</v>
      </c>
      <c r="DD461" s="16" t="n">
        <v>0</v>
      </c>
      <c r="DE461" s="16" t="n">
        <v>0</v>
      </c>
      <c r="DF461" s="16" t="n">
        <v>0</v>
      </c>
      <c r="DG461" s="16" t="n">
        <v>0</v>
      </c>
      <c r="DH461" s="16" t="n">
        <v>0</v>
      </c>
      <c r="DI461" s="16" t="n">
        <v>0</v>
      </c>
      <c r="DJ461" s="16" t="n">
        <v>0</v>
      </c>
      <c r="DK461" s="16" t="n">
        <v>0</v>
      </c>
      <c r="DL461" s="16" t="n">
        <v>0</v>
      </c>
      <c r="DM461" s="16" t="n">
        <v>0</v>
      </c>
      <c r="DN461" s="16" t="n">
        <v>0</v>
      </c>
      <c r="DO461" s="16" t="n">
        <v>0</v>
      </c>
      <c r="DP461" s="16" t="n">
        <v>0</v>
      </c>
      <c r="DQ461" s="16" t="n">
        <v>0</v>
      </c>
      <c r="DR461" s="16" t="n">
        <v>0</v>
      </c>
      <c r="DS461" s="16" t="n">
        <v>0</v>
      </c>
      <c r="DT461" s="16" t="n">
        <v>0</v>
      </c>
      <c r="DU461" s="16" t="n">
        <v>0</v>
      </c>
      <c r="DV461" s="16" t="n">
        <v>0</v>
      </c>
      <c r="DW461" s="16" t="n">
        <v>0</v>
      </c>
      <c r="DX461" s="16" t="n">
        <v>0</v>
      </c>
      <c r="DY461" s="16" t="n">
        <v>0</v>
      </c>
      <c r="DZ461" s="16" t="n">
        <v>0</v>
      </c>
      <c r="EA461" s="16" t="n">
        <v>0</v>
      </c>
      <c r="EB461" s="16" t="n">
        <v>0</v>
      </c>
      <c r="EC461" s="16" t="n">
        <v>0</v>
      </c>
      <c r="ED461" s="16" t="n">
        <v>0</v>
      </c>
      <c r="EE461" s="16" t="n">
        <v>0</v>
      </c>
      <c r="EF461" s="16" t="n">
        <v>0</v>
      </c>
    </row>
    <row r="462" customFormat="false" ht="15" hidden="false" customHeight="true" outlineLevel="0" collapsed="false">
      <c r="A462" s="9" t="s">
        <v>12</v>
      </c>
      <c r="B462" s="9" t="s">
        <v>25</v>
      </c>
      <c r="C462" s="9" t="s">
        <v>25</v>
      </c>
      <c r="D462" s="9" t="s">
        <v>339</v>
      </c>
      <c r="E462" s="9" t="s">
        <v>16</v>
      </c>
      <c r="F462" s="9" t="s">
        <v>80</v>
      </c>
      <c r="G462" s="16" t="n">
        <v>0</v>
      </c>
      <c r="H462" s="16" t="n">
        <v>0</v>
      </c>
      <c r="I462" s="16" t="n">
        <v>37</v>
      </c>
      <c r="J462" s="16" t="n">
        <v>-37</v>
      </c>
      <c r="K462" s="16" t="n">
        <v>0</v>
      </c>
      <c r="L462" s="16" t="n">
        <v>0</v>
      </c>
      <c r="M462" s="16" t="n">
        <v>0</v>
      </c>
      <c r="N462" s="16" t="n">
        <v>0</v>
      </c>
      <c r="O462" s="16" t="n">
        <v>0</v>
      </c>
      <c r="P462" s="16" t="n">
        <v>0</v>
      </c>
      <c r="Q462" s="16" t="n">
        <v>0</v>
      </c>
      <c r="R462" s="16" t="n">
        <v>0</v>
      </c>
      <c r="S462" s="16" t="n">
        <v>0</v>
      </c>
      <c r="T462" s="16" t="n">
        <v>0</v>
      </c>
      <c r="U462" s="16" t="n">
        <v>0</v>
      </c>
      <c r="V462" s="16" t="n">
        <v>0</v>
      </c>
      <c r="W462" s="16" t="n">
        <v>0</v>
      </c>
      <c r="X462" s="16" t="n">
        <v>0</v>
      </c>
      <c r="Y462" s="16" t="n">
        <v>0</v>
      </c>
      <c r="Z462" s="16" t="n">
        <v>0</v>
      </c>
      <c r="AA462" s="16" t="n">
        <v>0</v>
      </c>
      <c r="AB462" s="16" t="n">
        <v>0</v>
      </c>
      <c r="AC462" s="16" t="n">
        <v>0</v>
      </c>
      <c r="AD462" s="16" t="n">
        <v>0</v>
      </c>
      <c r="AE462" s="16" t="n">
        <v>0</v>
      </c>
      <c r="AF462" s="16" t="n">
        <v>0</v>
      </c>
      <c r="AG462" s="16" t="n">
        <v>0</v>
      </c>
      <c r="AH462" s="16" t="n">
        <v>0</v>
      </c>
      <c r="AI462" s="16" t="n">
        <v>0</v>
      </c>
      <c r="AJ462" s="16" t="n">
        <v>0</v>
      </c>
      <c r="AK462" s="16" t="n">
        <v>0</v>
      </c>
      <c r="AL462" s="16" t="n">
        <v>0</v>
      </c>
      <c r="AM462" s="16" t="n">
        <v>0</v>
      </c>
      <c r="AN462" s="16" t="n">
        <v>0</v>
      </c>
      <c r="AO462" s="16" t="n">
        <v>0</v>
      </c>
      <c r="AP462" s="16" t="n">
        <v>0</v>
      </c>
      <c r="AQ462" s="16" t="n">
        <v>0</v>
      </c>
      <c r="AR462" s="16" t="n">
        <v>0</v>
      </c>
      <c r="AS462" s="16" t="n">
        <v>0</v>
      </c>
      <c r="AT462" s="16" t="n">
        <v>0</v>
      </c>
      <c r="AU462" s="16" t="n">
        <v>0</v>
      </c>
      <c r="AV462" s="16" t="n">
        <v>0</v>
      </c>
      <c r="AW462" s="16" t="n">
        <v>0</v>
      </c>
      <c r="AX462" s="16" t="n">
        <v>0</v>
      </c>
      <c r="AY462" s="16" t="n">
        <v>0</v>
      </c>
      <c r="AZ462" s="16" t="n">
        <v>0</v>
      </c>
      <c r="BA462" s="16" t="n">
        <v>0</v>
      </c>
      <c r="BB462" s="16" t="n">
        <v>0</v>
      </c>
      <c r="BC462" s="16" t="n">
        <v>0</v>
      </c>
      <c r="BD462" s="16" t="n">
        <v>0</v>
      </c>
      <c r="BE462" s="16" t="n">
        <v>0</v>
      </c>
      <c r="BF462" s="16" t="n">
        <v>0</v>
      </c>
      <c r="BG462" s="16" t="n">
        <v>0</v>
      </c>
      <c r="BH462" s="16" t="n">
        <v>0</v>
      </c>
      <c r="BI462" s="16" t="n">
        <v>0</v>
      </c>
      <c r="BJ462" s="16" t="n">
        <v>0</v>
      </c>
      <c r="BK462" s="16" t="n">
        <v>0</v>
      </c>
      <c r="BL462" s="16" t="n">
        <v>0</v>
      </c>
      <c r="BM462" s="16" t="n">
        <v>0</v>
      </c>
      <c r="BN462" s="16" t="n">
        <v>0</v>
      </c>
      <c r="BO462" s="16" t="n">
        <v>0</v>
      </c>
      <c r="BP462" s="16" t="n">
        <v>0</v>
      </c>
      <c r="BQ462" s="16" t="n">
        <v>0</v>
      </c>
      <c r="BR462" s="16" t="n">
        <v>0</v>
      </c>
      <c r="BS462" s="16" t="n">
        <v>0</v>
      </c>
      <c r="BT462" s="16" t="n">
        <v>0</v>
      </c>
      <c r="BU462" s="16" t="n">
        <v>0</v>
      </c>
      <c r="BV462" s="16" t="n">
        <v>0</v>
      </c>
      <c r="BW462" s="16" t="n">
        <v>0</v>
      </c>
      <c r="BX462" s="16" t="n">
        <v>0</v>
      </c>
      <c r="BY462" s="16" t="n">
        <v>0</v>
      </c>
      <c r="BZ462" s="16" t="n">
        <v>0</v>
      </c>
      <c r="CA462" s="16" t="n">
        <v>0</v>
      </c>
      <c r="CB462" s="16" t="n">
        <v>0</v>
      </c>
      <c r="CC462" s="16" t="n">
        <v>0</v>
      </c>
      <c r="CD462" s="16" t="n">
        <v>0</v>
      </c>
      <c r="CE462" s="16" t="n">
        <v>0</v>
      </c>
      <c r="CF462" s="16" t="n">
        <v>0</v>
      </c>
      <c r="CG462" s="16" t="n">
        <v>0</v>
      </c>
      <c r="CH462" s="16" t="n">
        <v>0</v>
      </c>
      <c r="CI462" s="16" t="n">
        <v>0</v>
      </c>
      <c r="CJ462" s="16" t="n">
        <v>0</v>
      </c>
      <c r="CK462" s="16" t="n">
        <v>0</v>
      </c>
      <c r="CL462" s="16" t="n">
        <v>0</v>
      </c>
      <c r="CM462" s="16" t="n">
        <v>0</v>
      </c>
      <c r="CN462" s="16" t="n">
        <v>0</v>
      </c>
      <c r="CO462" s="16" t="n">
        <v>0</v>
      </c>
      <c r="CP462" s="16" t="n">
        <v>0</v>
      </c>
      <c r="CQ462" s="16" t="n">
        <v>0</v>
      </c>
      <c r="CR462" s="16" t="n">
        <v>0</v>
      </c>
      <c r="CS462" s="16" t="n">
        <v>0</v>
      </c>
      <c r="CT462" s="16" t="n">
        <v>0</v>
      </c>
      <c r="CU462" s="16" t="n">
        <v>0</v>
      </c>
      <c r="CV462" s="16" t="n">
        <v>0</v>
      </c>
      <c r="CW462" s="16" t="n">
        <v>0</v>
      </c>
      <c r="CX462" s="16" t="n">
        <v>0</v>
      </c>
      <c r="CY462" s="16" t="n">
        <v>0</v>
      </c>
      <c r="CZ462" s="16" t="n">
        <v>0</v>
      </c>
      <c r="DA462" s="16" t="n">
        <v>2</v>
      </c>
      <c r="DB462" s="16" t="n">
        <v>3</v>
      </c>
      <c r="DC462" s="16" t="n">
        <v>0</v>
      </c>
      <c r="DD462" s="16" t="n">
        <v>0</v>
      </c>
      <c r="DE462" s="16" t="n">
        <v>0</v>
      </c>
      <c r="DF462" s="16" t="n">
        <v>0</v>
      </c>
      <c r="DG462" s="16" t="n">
        <v>0</v>
      </c>
      <c r="DH462" s="16" t="n">
        <v>0</v>
      </c>
      <c r="DI462" s="16" t="n">
        <v>0</v>
      </c>
      <c r="DJ462" s="16" t="n">
        <v>0</v>
      </c>
      <c r="DK462" s="16" t="n">
        <v>2</v>
      </c>
      <c r="DL462" s="16" t="n">
        <v>2</v>
      </c>
      <c r="DM462" s="16" t="n">
        <v>2</v>
      </c>
      <c r="DN462" s="16" t="n">
        <v>2</v>
      </c>
      <c r="DO462" s="16" t="n">
        <v>0</v>
      </c>
      <c r="DP462" s="16" t="n">
        <v>0</v>
      </c>
      <c r="DQ462" s="16" t="n">
        <v>0</v>
      </c>
      <c r="DR462" s="16" t="n">
        <v>0</v>
      </c>
      <c r="DS462" s="16" t="n">
        <v>5</v>
      </c>
      <c r="DT462" s="16" t="n">
        <v>8</v>
      </c>
      <c r="DU462" s="16" t="n">
        <v>9</v>
      </c>
      <c r="DV462" s="16" t="n">
        <v>2</v>
      </c>
      <c r="DW462" s="16" t="n">
        <v>0</v>
      </c>
      <c r="DX462" s="16" t="n">
        <v>0</v>
      </c>
      <c r="DY462" s="16" t="n">
        <v>0</v>
      </c>
      <c r="DZ462" s="16" t="n">
        <v>0</v>
      </c>
      <c r="EA462" s="16" t="n">
        <v>0</v>
      </c>
      <c r="EB462" s="16" t="n">
        <v>0</v>
      </c>
      <c r="EC462" s="16" t="n">
        <v>0</v>
      </c>
      <c r="ED462" s="16" t="n">
        <v>0</v>
      </c>
      <c r="EE462" s="16" t="n">
        <v>0</v>
      </c>
      <c r="EF462" s="16" t="n">
        <v>0</v>
      </c>
    </row>
    <row r="463" customFormat="false" ht="15" hidden="false" customHeight="true" outlineLevel="0" collapsed="false">
      <c r="A463" s="9" t="s">
        <v>12</v>
      </c>
      <c r="B463" s="9" t="s">
        <v>25</v>
      </c>
      <c r="C463" s="9" t="s">
        <v>25</v>
      </c>
      <c r="D463" s="9" t="s">
        <v>340</v>
      </c>
      <c r="E463" s="9" t="s">
        <v>16</v>
      </c>
      <c r="F463" s="9" t="s">
        <v>81</v>
      </c>
      <c r="G463" s="16" t="n">
        <v>4.4</v>
      </c>
      <c r="H463" s="16" t="n">
        <v>16.9</v>
      </c>
      <c r="I463" s="16" t="n">
        <v>0</v>
      </c>
      <c r="J463" s="16" t="n">
        <v>16.9</v>
      </c>
      <c r="K463" s="16" t="n">
        <v>0</v>
      </c>
      <c r="L463" s="16" t="n">
        <v>0</v>
      </c>
      <c r="M463" s="16" t="n">
        <v>0</v>
      </c>
      <c r="N463" s="16" t="n">
        <v>0</v>
      </c>
      <c r="O463" s="16" t="n">
        <v>0</v>
      </c>
      <c r="P463" s="16" t="n">
        <v>0</v>
      </c>
      <c r="Q463" s="16" t="n">
        <v>0</v>
      </c>
      <c r="R463" s="16" t="n">
        <v>0</v>
      </c>
      <c r="S463" s="16" t="n">
        <v>0</v>
      </c>
      <c r="T463" s="16" t="n">
        <v>0</v>
      </c>
      <c r="U463" s="16" t="n">
        <v>0</v>
      </c>
      <c r="V463" s="16" t="n">
        <v>0</v>
      </c>
      <c r="W463" s="16" t="n">
        <v>0</v>
      </c>
      <c r="X463" s="16" t="n">
        <v>0</v>
      </c>
      <c r="Y463" s="16" t="n">
        <v>0</v>
      </c>
      <c r="Z463" s="16" t="n">
        <v>0</v>
      </c>
      <c r="AA463" s="16" t="n">
        <v>0</v>
      </c>
      <c r="AB463" s="16" t="n">
        <v>0</v>
      </c>
      <c r="AC463" s="16" t="n">
        <v>0</v>
      </c>
      <c r="AD463" s="16" t="n">
        <v>0</v>
      </c>
      <c r="AE463" s="16" t="n">
        <v>0</v>
      </c>
      <c r="AF463" s="16" t="n">
        <v>0</v>
      </c>
      <c r="AG463" s="16" t="n">
        <v>0</v>
      </c>
      <c r="AH463" s="16" t="n">
        <v>0</v>
      </c>
      <c r="AI463" s="16" t="n">
        <v>0</v>
      </c>
      <c r="AJ463" s="16" t="n">
        <v>0</v>
      </c>
      <c r="AK463" s="16" t="n">
        <v>0</v>
      </c>
      <c r="AL463" s="16" t="n">
        <v>0</v>
      </c>
      <c r="AM463" s="16" t="n">
        <v>0</v>
      </c>
      <c r="AN463" s="16" t="n">
        <v>0</v>
      </c>
      <c r="AO463" s="16" t="n">
        <v>0</v>
      </c>
      <c r="AP463" s="16" t="n">
        <v>0</v>
      </c>
      <c r="AQ463" s="16" t="n">
        <v>0</v>
      </c>
      <c r="AR463" s="16" t="n">
        <v>0</v>
      </c>
      <c r="AS463" s="16" t="n">
        <v>0</v>
      </c>
      <c r="AT463" s="16" t="n">
        <v>0</v>
      </c>
      <c r="AU463" s="16" t="n">
        <v>0</v>
      </c>
      <c r="AV463" s="16" t="n">
        <v>0</v>
      </c>
      <c r="AW463" s="16" t="n">
        <v>0</v>
      </c>
      <c r="AX463" s="16" t="n">
        <v>0</v>
      </c>
      <c r="AY463" s="16" t="n">
        <v>0</v>
      </c>
      <c r="AZ463" s="16" t="n">
        <v>0</v>
      </c>
      <c r="BA463" s="16" t="n">
        <v>0</v>
      </c>
      <c r="BB463" s="16" t="n">
        <v>0</v>
      </c>
      <c r="BC463" s="16" t="n">
        <v>0</v>
      </c>
      <c r="BD463" s="16" t="n">
        <v>0</v>
      </c>
      <c r="BE463" s="16" t="n">
        <v>0</v>
      </c>
      <c r="BF463" s="16" t="n">
        <v>0</v>
      </c>
      <c r="BG463" s="16" t="n">
        <v>0</v>
      </c>
      <c r="BH463" s="16" t="n">
        <v>0</v>
      </c>
      <c r="BI463" s="16" t="n">
        <v>0</v>
      </c>
      <c r="BJ463" s="16" t="n">
        <v>0</v>
      </c>
      <c r="BK463" s="16" t="n">
        <v>0</v>
      </c>
      <c r="BL463" s="16" t="n">
        <v>0</v>
      </c>
      <c r="BM463" s="16" t="n">
        <v>0</v>
      </c>
      <c r="BN463" s="16" t="n">
        <v>0</v>
      </c>
      <c r="BO463" s="16" t="n">
        <v>0</v>
      </c>
      <c r="BP463" s="16" t="n">
        <v>0</v>
      </c>
      <c r="BQ463" s="16" t="n">
        <v>0</v>
      </c>
      <c r="BR463" s="16" t="n">
        <v>0</v>
      </c>
      <c r="BS463" s="16" t="n">
        <v>0</v>
      </c>
      <c r="BT463" s="16" t="n">
        <v>0</v>
      </c>
      <c r="BU463" s="16" t="n">
        <v>0</v>
      </c>
      <c r="BV463" s="16" t="n">
        <v>0</v>
      </c>
      <c r="BW463" s="16" t="n">
        <v>0</v>
      </c>
      <c r="BX463" s="16" t="n">
        <v>0</v>
      </c>
      <c r="BY463" s="16" t="n">
        <v>0</v>
      </c>
      <c r="BZ463" s="16" t="n">
        <v>0</v>
      </c>
      <c r="CA463" s="16" t="n">
        <v>0</v>
      </c>
      <c r="CB463" s="16" t="n">
        <v>0</v>
      </c>
      <c r="CC463" s="16" t="n">
        <v>0</v>
      </c>
      <c r="CD463" s="16" t="n">
        <v>0</v>
      </c>
      <c r="CE463" s="16" t="n">
        <v>0</v>
      </c>
      <c r="CF463" s="16" t="n">
        <v>0</v>
      </c>
      <c r="CG463" s="16" t="n">
        <v>0</v>
      </c>
      <c r="CH463" s="16" t="n">
        <v>0</v>
      </c>
      <c r="CI463" s="16" t="n">
        <v>0</v>
      </c>
      <c r="CJ463" s="16" t="n">
        <v>0</v>
      </c>
      <c r="CK463" s="16" t="n">
        <v>0</v>
      </c>
      <c r="CL463" s="16" t="n">
        <v>0</v>
      </c>
      <c r="CM463" s="16" t="n">
        <v>0</v>
      </c>
      <c r="CN463" s="16" t="n">
        <v>0</v>
      </c>
      <c r="CO463" s="16" t="n">
        <v>0</v>
      </c>
      <c r="CP463" s="16" t="n">
        <v>0</v>
      </c>
      <c r="CQ463" s="16" t="n">
        <v>0</v>
      </c>
      <c r="CR463" s="16" t="n">
        <v>0</v>
      </c>
      <c r="CS463" s="16" t="n">
        <v>0</v>
      </c>
      <c r="CT463" s="16" t="n">
        <v>0</v>
      </c>
      <c r="CU463" s="16" t="n">
        <v>0</v>
      </c>
      <c r="CV463" s="16" t="n">
        <v>0</v>
      </c>
      <c r="CW463" s="16" t="n">
        <v>0</v>
      </c>
      <c r="CX463" s="16" t="n">
        <v>0</v>
      </c>
      <c r="CY463" s="16" t="n">
        <v>0</v>
      </c>
      <c r="CZ463" s="16" t="n">
        <v>0</v>
      </c>
      <c r="DA463" s="16" t="n">
        <v>0</v>
      </c>
      <c r="DB463" s="16" t="n">
        <v>0</v>
      </c>
      <c r="DC463" s="16" t="n">
        <v>0</v>
      </c>
      <c r="DD463" s="16" t="n">
        <v>0</v>
      </c>
      <c r="DE463" s="16" t="n">
        <v>0</v>
      </c>
      <c r="DF463" s="16" t="n">
        <v>0</v>
      </c>
      <c r="DG463" s="16" t="n">
        <v>0</v>
      </c>
      <c r="DH463" s="16" t="n">
        <v>0</v>
      </c>
      <c r="DI463" s="16" t="n">
        <v>0</v>
      </c>
      <c r="DJ463" s="16" t="n">
        <v>0</v>
      </c>
      <c r="DK463" s="16" t="n">
        <v>0</v>
      </c>
      <c r="DL463" s="16" t="n">
        <v>0</v>
      </c>
      <c r="DM463" s="16" t="n">
        <v>0</v>
      </c>
      <c r="DN463" s="16" t="n">
        <v>0</v>
      </c>
      <c r="DO463" s="16" t="n">
        <v>0</v>
      </c>
      <c r="DP463" s="16" t="n">
        <v>0</v>
      </c>
      <c r="DQ463" s="16" t="n">
        <v>0</v>
      </c>
      <c r="DR463" s="16" t="n">
        <v>0</v>
      </c>
      <c r="DS463" s="16" t="n">
        <v>0</v>
      </c>
      <c r="DT463" s="16" t="n">
        <v>0</v>
      </c>
      <c r="DU463" s="16" t="n">
        <v>0</v>
      </c>
      <c r="DV463" s="16" t="n">
        <v>0</v>
      </c>
      <c r="DW463" s="16" t="n">
        <v>0</v>
      </c>
      <c r="DX463" s="16" t="n">
        <v>0</v>
      </c>
      <c r="DY463" s="16" t="n">
        <v>0</v>
      </c>
      <c r="DZ463" s="16" t="n">
        <v>0</v>
      </c>
      <c r="EA463" s="16" t="n">
        <v>0</v>
      </c>
      <c r="EB463" s="16" t="n">
        <v>0</v>
      </c>
      <c r="EC463" s="16" t="n">
        <v>0</v>
      </c>
      <c r="ED463" s="16" t="n">
        <v>0</v>
      </c>
      <c r="EE463" s="16" t="n">
        <v>0</v>
      </c>
      <c r="EF463" s="16" t="n">
        <v>0</v>
      </c>
    </row>
    <row r="464" customFormat="false" ht="15" hidden="false" customHeight="true" outlineLevel="0" collapsed="false">
      <c r="A464" s="9" t="s">
        <v>12</v>
      </c>
      <c r="B464" s="9" t="s">
        <v>25</v>
      </c>
      <c r="C464" s="9" t="s">
        <v>25</v>
      </c>
      <c r="D464" s="9" t="s">
        <v>339</v>
      </c>
      <c r="E464" s="9" t="s">
        <v>16</v>
      </c>
      <c r="F464" s="9" t="s">
        <v>81</v>
      </c>
      <c r="G464" s="16" t="n">
        <v>0</v>
      </c>
      <c r="H464" s="16" t="n">
        <v>0</v>
      </c>
      <c r="I464" s="16" t="n">
        <v>13</v>
      </c>
      <c r="J464" s="16" t="n">
        <v>-13</v>
      </c>
      <c r="K464" s="16" t="n">
        <v>0</v>
      </c>
      <c r="L464" s="16" t="n">
        <v>0</v>
      </c>
      <c r="M464" s="16" t="n">
        <v>0</v>
      </c>
      <c r="N464" s="16" t="n">
        <v>0</v>
      </c>
      <c r="O464" s="16" t="n">
        <v>0</v>
      </c>
      <c r="P464" s="16" t="n">
        <v>0</v>
      </c>
      <c r="Q464" s="16" t="n">
        <v>0</v>
      </c>
      <c r="R464" s="16" t="n">
        <v>0</v>
      </c>
      <c r="S464" s="16" t="n">
        <v>0</v>
      </c>
      <c r="T464" s="16" t="n">
        <v>0</v>
      </c>
      <c r="U464" s="16" t="n">
        <v>0</v>
      </c>
      <c r="V464" s="16" t="n">
        <v>0</v>
      </c>
      <c r="W464" s="16" t="n">
        <v>0</v>
      </c>
      <c r="X464" s="16" t="n">
        <v>0</v>
      </c>
      <c r="Y464" s="16" t="n">
        <v>0</v>
      </c>
      <c r="Z464" s="16" t="n">
        <v>0</v>
      </c>
      <c r="AA464" s="16" t="n">
        <v>0</v>
      </c>
      <c r="AB464" s="16" t="n">
        <v>0</v>
      </c>
      <c r="AC464" s="16" t="n">
        <v>0</v>
      </c>
      <c r="AD464" s="16" t="n">
        <v>0</v>
      </c>
      <c r="AE464" s="16" t="n">
        <v>0</v>
      </c>
      <c r="AF464" s="16" t="n">
        <v>0</v>
      </c>
      <c r="AG464" s="16" t="n">
        <v>0</v>
      </c>
      <c r="AH464" s="16" t="n">
        <v>0</v>
      </c>
      <c r="AI464" s="16" t="n">
        <v>0</v>
      </c>
      <c r="AJ464" s="16" t="n">
        <v>0</v>
      </c>
      <c r="AK464" s="16" t="n">
        <v>0</v>
      </c>
      <c r="AL464" s="16" t="n">
        <v>0</v>
      </c>
      <c r="AM464" s="16" t="n">
        <v>0</v>
      </c>
      <c r="AN464" s="16" t="n">
        <v>0</v>
      </c>
      <c r="AO464" s="16" t="n">
        <v>0</v>
      </c>
      <c r="AP464" s="16" t="n">
        <v>0</v>
      </c>
      <c r="AQ464" s="16" t="n">
        <v>0</v>
      </c>
      <c r="AR464" s="16" t="n">
        <v>0</v>
      </c>
      <c r="AS464" s="16" t="n">
        <v>0</v>
      </c>
      <c r="AT464" s="16" t="n">
        <v>0</v>
      </c>
      <c r="AU464" s="16" t="n">
        <v>0</v>
      </c>
      <c r="AV464" s="16" t="n">
        <v>0</v>
      </c>
      <c r="AW464" s="16" t="n">
        <v>0</v>
      </c>
      <c r="AX464" s="16" t="n">
        <v>0</v>
      </c>
      <c r="AY464" s="16" t="n">
        <v>0</v>
      </c>
      <c r="AZ464" s="16" t="n">
        <v>0</v>
      </c>
      <c r="BA464" s="16" t="n">
        <v>0</v>
      </c>
      <c r="BB464" s="16" t="n">
        <v>0</v>
      </c>
      <c r="BC464" s="16" t="n">
        <v>0</v>
      </c>
      <c r="BD464" s="16" t="n">
        <v>0</v>
      </c>
      <c r="BE464" s="16" t="n">
        <v>0</v>
      </c>
      <c r="BF464" s="16" t="n">
        <v>0</v>
      </c>
      <c r="BG464" s="16" t="n">
        <v>0</v>
      </c>
      <c r="BH464" s="16" t="n">
        <v>0</v>
      </c>
      <c r="BI464" s="16" t="n">
        <v>0</v>
      </c>
      <c r="BJ464" s="16" t="n">
        <v>0</v>
      </c>
      <c r="BK464" s="16" t="n">
        <v>0</v>
      </c>
      <c r="BL464" s="16" t="n">
        <v>0</v>
      </c>
      <c r="BM464" s="16" t="n">
        <v>0</v>
      </c>
      <c r="BN464" s="16" t="n">
        <v>0</v>
      </c>
      <c r="BO464" s="16" t="n">
        <v>0</v>
      </c>
      <c r="BP464" s="16" t="n">
        <v>0</v>
      </c>
      <c r="BQ464" s="16" t="n">
        <v>0</v>
      </c>
      <c r="BR464" s="16" t="n">
        <v>0</v>
      </c>
      <c r="BS464" s="16" t="n">
        <v>0</v>
      </c>
      <c r="BT464" s="16" t="n">
        <v>0</v>
      </c>
      <c r="BU464" s="16" t="n">
        <v>0</v>
      </c>
      <c r="BV464" s="16" t="n">
        <v>0</v>
      </c>
      <c r="BW464" s="16" t="n">
        <v>0</v>
      </c>
      <c r="BX464" s="16" t="n">
        <v>0</v>
      </c>
      <c r="BY464" s="16" t="n">
        <v>0</v>
      </c>
      <c r="BZ464" s="16" t="n">
        <v>0</v>
      </c>
      <c r="CA464" s="16" t="n">
        <v>0</v>
      </c>
      <c r="CB464" s="16" t="n">
        <v>0</v>
      </c>
      <c r="CC464" s="16" t="n">
        <v>0</v>
      </c>
      <c r="CD464" s="16" t="n">
        <v>0</v>
      </c>
      <c r="CE464" s="16" t="n">
        <v>0</v>
      </c>
      <c r="CF464" s="16" t="n">
        <v>0</v>
      </c>
      <c r="CG464" s="16" t="n">
        <v>0</v>
      </c>
      <c r="CH464" s="16" t="n">
        <v>0</v>
      </c>
      <c r="CI464" s="16" t="n">
        <v>0</v>
      </c>
      <c r="CJ464" s="16" t="n">
        <v>0</v>
      </c>
      <c r="CK464" s="16" t="n">
        <v>0</v>
      </c>
      <c r="CL464" s="16" t="n">
        <v>0</v>
      </c>
      <c r="CM464" s="16" t="n">
        <v>0</v>
      </c>
      <c r="CN464" s="16" t="n">
        <v>0</v>
      </c>
      <c r="CO464" s="16" t="n">
        <v>0</v>
      </c>
      <c r="CP464" s="16" t="n">
        <v>0</v>
      </c>
      <c r="CQ464" s="16" t="n">
        <v>0</v>
      </c>
      <c r="CR464" s="16" t="n">
        <v>0</v>
      </c>
      <c r="CS464" s="16" t="n">
        <v>0.350877</v>
      </c>
      <c r="CT464" s="16" t="n">
        <v>0.350877</v>
      </c>
      <c r="CU464" s="16" t="n">
        <v>0.350877</v>
      </c>
      <c r="CV464" s="16" t="n">
        <v>0.350877</v>
      </c>
      <c r="CW464" s="16" t="n">
        <v>0.350877</v>
      </c>
      <c r="CX464" s="16" t="n">
        <v>0.350877</v>
      </c>
      <c r="CY464" s="16" t="n">
        <v>0.350877</v>
      </c>
      <c r="CZ464" s="16" t="n">
        <v>0.350877</v>
      </c>
      <c r="DA464" s="16" t="n">
        <v>0.350877</v>
      </c>
      <c r="DB464" s="16" t="n">
        <v>0.350877</v>
      </c>
      <c r="DC464" s="16" t="n">
        <v>0.350877</v>
      </c>
      <c r="DD464" s="16" t="n">
        <v>0.350877</v>
      </c>
      <c r="DE464" s="16" t="n">
        <v>0.350877</v>
      </c>
      <c r="DF464" s="16" t="n">
        <v>0.350877</v>
      </c>
      <c r="DG464" s="16" t="n">
        <v>0.350877</v>
      </c>
      <c r="DH464" s="16" t="n">
        <v>0.350877</v>
      </c>
      <c r="DI464" s="16" t="n">
        <v>0.350877</v>
      </c>
      <c r="DJ464" s="16" t="n">
        <v>0.350877</v>
      </c>
      <c r="DK464" s="16" t="n">
        <v>0.6</v>
      </c>
      <c r="DL464" s="16" t="n">
        <v>0.6</v>
      </c>
      <c r="DM464" s="16" t="n">
        <v>0.7</v>
      </c>
      <c r="DN464" s="16" t="n">
        <v>1</v>
      </c>
      <c r="DO464" s="16" t="n">
        <v>1</v>
      </c>
      <c r="DP464" s="16" t="n">
        <v>1</v>
      </c>
      <c r="DQ464" s="16" t="n">
        <v>1</v>
      </c>
      <c r="DR464" s="16" t="n">
        <v>0.8</v>
      </c>
      <c r="DS464" s="16" t="n">
        <v>0</v>
      </c>
      <c r="DT464" s="16" t="n">
        <v>0</v>
      </c>
      <c r="DU464" s="16" t="n">
        <v>0</v>
      </c>
      <c r="DV464" s="16" t="n">
        <v>0</v>
      </c>
      <c r="DW464" s="16" t="n">
        <v>0</v>
      </c>
      <c r="DX464" s="16" t="n">
        <v>0</v>
      </c>
      <c r="DY464" s="16" t="n">
        <v>0</v>
      </c>
      <c r="DZ464" s="16" t="n">
        <v>0</v>
      </c>
      <c r="EA464" s="16" t="n">
        <v>0</v>
      </c>
      <c r="EB464" s="16" t="n">
        <v>0</v>
      </c>
      <c r="EC464" s="16" t="n">
        <v>0</v>
      </c>
      <c r="ED464" s="16" t="n">
        <v>0</v>
      </c>
      <c r="EE464" s="16" t="n">
        <v>0</v>
      </c>
      <c r="EF464" s="16" t="n">
        <v>0</v>
      </c>
    </row>
    <row r="465" customFormat="false" ht="15" hidden="false" customHeight="true" outlineLevel="0" collapsed="false">
      <c r="A465" s="9" t="s">
        <v>12</v>
      </c>
      <c r="B465" s="9" t="s">
        <v>25</v>
      </c>
      <c r="C465" s="9" t="s">
        <v>25</v>
      </c>
      <c r="D465" s="9" t="s">
        <v>340</v>
      </c>
      <c r="E465" s="9" t="s">
        <v>16</v>
      </c>
      <c r="F465" s="9" t="s">
        <v>102</v>
      </c>
      <c r="G465" s="16" t="n">
        <v>6</v>
      </c>
      <c r="H465" s="16" t="n">
        <v>65</v>
      </c>
      <c r="I465" s="16" t="n">
        <v>0</v>
      </c>
      <c r="J465" s="16" t="n">
        <v>65</v>
      </c>
      <c r="K465" s="16" t="n">
        <v>0</v>
      </c>
      <c r="L465" s="16" t="n">
        <v>0</v>
      </c>
      <c r="M465" s="16" t="n">
        <v>0</v>
      </c>
      <c r="N465" s="16" t="n">
        <v>0</v>
      </c>
      <c r="O465" s="16" t="n">
        <v>0</v>
      </c>
      <c r="P465" s="16" t="n">
        <v>0</v>
      </c>
      <c r="Q465" s="16" t="n">
        <v>0</v>
      </c>
      <c r="R465" s="16" t="n">
        <v>0</v>
      </c>
      <c r="S465" s="16" t="n">
        <v>0</v>
      </c>
      <c r="T465" s="16" t="n">
        <v>0</v>
      </c>
      <c r="U465" s="16" t="n">
        <v>0</v>
      </c>
      <c r="V465" s="16" t="n">
        <v>0</v>
      </c>
      <c r="W465" s="16" t="n">
        <v>0</v>
      </c>
      <c r="X465" s="16" t="n">
        <v>0</v>
      </c>
      <c r="Y465" s="16" t="n">
        <v>0</v>
      </c>
      <c r="Z465" s="16" t="n">
        <v>0</v>
      </c>
      <c r="AA465" s="16" t="n">
        <v>0</v>
      </c>
      <c r="AB465" s="16" t="n">
        <v>0</v>
      </c>
      <c r="AC465" s="16" t="n">
        <v>0</v>
      </c>
      <c r="AD465" s="16" t="n">
        <v>0</v>
      </c>
      <c r="AE465" s="16" t="n">
        <v>0</v>
      </c>
      <c r="AF465" s="16" t="n">
        <v>0</v>
      </c>
      <c r="AG465" s="16" t="n">
        <v>0</v>
      </c>
      <c r="AH465" s="16" t="n">
        <v>0</v>
      </c>
      <c r="AI465" s="16" t="n">
        <v>0</v>
      </c>
      <c r="AJ465" s="16" t="n">
        <v>0</v>
      </c>
      <c r="AK465" s="16" t="n">
        <v>0</v>
      </c>
      <c r="AL465" s="16" t="n">
        <v>0</v>
      </c>
      <c r="AM465" s="16" t="n">
        <v>0</v>
      </c>
      <c r="AN465" s="16" t="n">
        <v>0</v>
      </c>
      <c r="AO465" s="16" t="n">
        <v>0</v>
      </c>
      <c r="AP465" s="16" t="n">
        <v>0</v>
      </c>
      <c r="AQ465" s="16" t="n">
        <v>0</v>
      </c>
      <c r="AR465" s="16" t="n">
        <v>0</v>
      </c>
      <c r="AS465" s="16" t="n">
        <v>0</v>
      </c>
      <c r="AT465" s="16" t="n">
        <v>0</v>
      </c>
      <c r="AU465" s="16" t="n">
        <v>0</v>
      </c>
      <c r="AV465" s="16" t="n">
        <v>0</v>
      </c>
      <c r="AW465" s="16" t="n">
        <v>0</v>
      </c>
      <c r="AX465" s="16" t="n">
        <v>0</v>
      </c>
      <c r="AY465" s="16" t="n">
        <v>0</v>
      </c>
      <c r="AZ465" s="16" t="n">
        <v>0</v>
      </c>
      <c r="BA465" s="16" t="n">
        <v>0</v>
      </c>
      <c r="BB465" s="16" t="n">
        <v>0</v>
      </c>
      <c r="BC465" s="16" t="n">
        <v>0</v>
      </c>
      <c r="BD465" s="16" t="n">
        <v>0</v>
      </c>
      <c r="BE465" s="16" t="n">
        <v>0</v>
      </c>
      <c r="BF465" s="16" t="n">
        <v>0</v>
      </c>
      <c r="BG465" s="16" t="n">
        <v>0</v>
      </c>
      <c r="BH465" s="16" t="n">
        <v>0</v>
      </c>
      <c r="BI465" s="16" t="n">
        <v>0</v>
      </c>
      <c r="BJ465" s="16" t="n">
        <v>0</v>
      </c>
      <c r="BK465" s="16" t="n">
        <v>0</v>
      </c>
      <c r="BL465" s="16" t="n">
        <v>0</v>
      </c>
      <c r="BM465" s="16" t="n">
        <v>0</v>
      </c>
      <c r="BN465" s="16" t="n">
        <v>0</v>
      </c>
      <c r="BO465" s="16" t="n">
        <v>0</v>
      </c>
      <c r="BP465" s="16" t="n">
        <v>0</v>
      </c>
      <c r="BQ465" s="16" t="n">
        <v>0</v>
      </c>
      <c r="BR465" s="16" t="n">
        <v>0</v>
      </c>
      <c r="BS465" s="16" t="n">
        <v>0</v>
      </c>
      <c r="BT465" s="16" t="n">
        <v>0</v>
      </c>
      <c r="BU465" s="16" t="n">
        <v>0</v>
      </c>
      <c r="BV465" s="16" t="n">
        <v>0</v>
      </c>
      <c r="BW465" s="16" t="n">
        <v>0</v>
      </c>
      <c r="BX465" s="16" t="n">
        <v>0</v>
      </c>
      <c r="BY465" s="16" t="n">
        <v>0</v>
      </c>
      <c r="BZ465" s="16" t="n">
        <v>0</v>
      </c>
      <c r="CA465" s="16" t="n">
        <v>0</v>
      </c>
      <c r="CB465" s="16" t="n">
        <v>0</v>
      </c>
      <c r="CC465" s="16" t="n">
        <v>0</v>
      </c>
      <c r="CD465" s="16" t="n">
        <v>0</v>
      </c>
      <c r="CE465" s="16" t="n">
        <v>0</v>
      </c>
      <c r="CF465" s="16" t="n">
        <v>0</v>
      </c>
      <c r="CG465" s="16" t="n">
        <v>0</v>
      </c>
      <c r="CH465" s="16" t="n">
        <v>0</v>
      </c>
      <c r="CI465" s="16" t="n">
        <v>0</v>
      </c>
      <c r="CJ465" s="16" t="n">
        <v>0</v>
      </c>
      <c r="CK465" s="16" t="n">
        <v>0</v>
      </c>
      <c r="CL465" s="16" t="n">
        <v>0</v>
      </c>
      <c r="CM465" s="16" t="n">
        <v>0</v>
      </c>
      <c r="CN465" s="16" t="n">
        <v>0</v>
      </c>
      <c r="CO465" s="16" t="n">
        <v>0</v>
      </c>
      <c r="CP465" s="16" t="n">
        <v>0</v>
      </c>
      <c r="CQ465" s="16" t="n">
        <v>0</v>
      </c>
      <c r="CR465" s="16" t="n">
        <v>0</v>
      </c>
      <c r="CS465" s="16" t="n">
        <v>0</v>
      </c>
      <c r="CT465" s="16" t="n">
        <v>0</v>
      </c>
      <c r="CU465" s="16" t="n">
        <v>0</v>
      </c>
      <c r="CV465" s="16" t="n">
        <v>0</v>
      </c>
      <c r="CW465" s="16" t="n">
        <v>0</v>
      </c>
      <c r="CX465" s="16" t="n">
        <v>0</v>
      </c>
      <c r="CY465" s="16" t="n">
        <v>0</v>
      </c>
      <c r="CZ465" s="16" t="n">
        <v>0</v>
      </c>
      <c r="DA465" s="16" t="n">
        <v>0</v>
      </c>
      <c r="DB465" s="16" t="n">
        <v>0</v>
      </c>
      <c r="DC465" s="16" t="n">
        <v>0</v>
      </c>
      <c r="DD465" s="16" t="n">
        <v>0</v>
      </c>
      <c r="DE465" s="16" t="n">
        <v>0</v>
      </c>
      <c r="DF465" s="16" t="n">
        <v>0</v>
      </c>
      <c r="DG465" s="16" t="n">
        <v>0</v>
      </c>
      <c r="DH465" s="16" t="n">
        <v>0</v>
      </c>
      <c r="DI465" s="16" t="n">
        <v>0</v>
      </c>
      <c r="DJ465" s="16" t="n">
        <v>0</v>
      </c>
      <c r="DK465" s="16" t="n">
        <v>0</v>
      </c>
      <c r="DL465" s="16" t="n">
        <v>0</v>
      </c>
      <c r="DM465" s="16" t="n">
        <v>0</v>
      </c>
      <c r="DN465" s="16" t="n">
        <v>0</v>
      </c>
      <c r="DO465" s="16" t="n">
        <v>0</v>
      </c>
      <c r="DP465" s="16" t="n">
        <v>0</v>
      </c>
      <c r="DQ465" s="16" t="n">
        <v>0</v>
      </c>
      <c r="DR465" s="16" t="n">
        <v>0</v>
      </c>
      <c r="DS465" s="16" t="n">
        <v>0</v>
      </c>
      <c r="DT465" s="16" t="n">
        <v>0</v>
      </c>
      <c r="DU465" s="16" t="n">
        <v>0</v>
      </c>
      <c r="DV465" s="16" t="n">
        <v>0</v>
      </c>
      <c r="DW465" s="16" t="n">
        <v>0</v>
      </c>
      <c r="DX465" s="16" t="n">
        <v>0</v>
      </c>
      <c r="DY465" s="16" t="n">
        <v>0</v>
      </c>
      <c r="DZ465" s="16" t="n">
        <v>0</v>
      </c>
      <c r="EA465" s="16" t="n">
        <v>0</v>
      </c>
      <c r="EB465" s="16" t="n">
        <v>0</v>
      </c>
      <c r="EC465" s="16" t="n">
        <v>0</v>
      </c>
      <c r="ED465" s="16" t="n">
        <v>0</v>
      </c>
      <c r="EE465" s="16" t="n">
        <v>0</v>
      </c>
      <c r="EF465" s="16" t="n">
        <v>0</v>
      </c>
    </row>
    <row r="466" customFormat="false" ht="15" hidden="false" customHeight="true" outlineLevel="0" collapsed="false">
      <c r="A466" s="9" t="s">
        <v>12</v>
      </c>
      <c r="B466" s="9" t="s">
        <v>25</v>
      </c>
      <c r="C466" s="9" t="s">
        <v>25</v>
      </c>
      <c r="D466" s="9" t="s">
        <v>339</v>
      </c>
      <c r="E466" s="9" t="s">
        <v>16</v>
      </c>
      <c r="F466" s="9" t="s">
        <v>102</v>
      </c>
      <c r="G466" s="16" t="n">
        <v>0</v>
      </c>
      <c r="H466" s="16" t="n">
        <v>0</v>
      </c>
      <c r="I466" s="16" t="n">
        <v>65</v>
      </c>
      <c r="J466" s="16" t="n">
        <v>-65</v>
      </c>
      <c r="K466" s="16" t="n">
        <v>0</v>
      </c>
      <c r="L466" s="16" t="n">
        <v>0</v>
      </c>
      <c r="M466" s="16" t="n">
        <v>0</v>
      </c>
      <c r="N466" s="16" t="n">
        <v>0</v>
      </c>
      <c r="O466" s="16" t="n">
        <v>0</v>
      </c>
      <c r="P466" s="16" t="n">
        <v>0</v>
      </c>
      <c r="Q466" s="16" t="n">
        <v>0</v>
      </c>
      <c r="R466" s="16" t="n">
        <v>0</v>
      </c>
      <c r="S466" s="16" t="n">
        <v>0</v>
      </c>
      <c r="T466" s="16" t="n">
        <v>0</v>
      </c>
      <c r="U466" s="16" t="n">
        <v>0</v>
      </c>
      <c r="V466" s="16" t="n">
        <v>0</v>
      </c>
      <c r="W466" s="16" t="n">
        <v>0</v>
      </c>
      <c r="X466" s="16" t="n">
        <v>0</v>
      </c>
      <c r="Y466" s="16" t="n">
        <v>0</v>
      </c>
      <c r="Z466" s="16" t="n">
        <v>0</v>
      </c>
      <c r="AA466" s="16" t="n">
        <v>0</v>
      </c>
      <c r="AB466" s="16" t="n">
        <v>0</v>
      </c>
      <c r="AC466" s="16" t="n">
        <v>0</v>
      </c>
      <c r="AD466" s="16" t="n">
        <v>0</v>
      </c>
      <c r="AE466" s="16" t="n">
        <v>0</v>
      </c>
      <c r="AF466" s="16" t="n">
        <v>0</v>
      </c>
      <c r="AG466" s="16" t="n">
        <v>0</v>
      </c>
      <c r="AH466" s="16" t="n">
        <v>0</v>
      </c>
      <c r="AI466" s="16" t="n">
        <v>0</v>
      </c>
      <c r="AJ466" s="16" t="n">
        <v>0</v>
      </c>
      <c r="AK466" s="16" t="n">
        <v>0</v>
      </c>
      <c r="AL466" s="16" t="n">
        <v>0</v>
      </c>
      <c r="AM466" s="16" t="n">
        <v>0</v>
      </c>
      <c r="AN466" s="16" t="n">
        <v>0</v>
      </c>
      <c r="AO466" s="16" t="n">
        <v>0</v>
      </c>
      <c r="AP466" s="16" t="n">
        <v>0</v>
      </c>
      <c r="AQ466" s="16" t="n">
        <v>0</v>
      </c>
      <c r="AR466" s="16" t="n">
        <v>0</v>
      </c>
      <c r="AS466" s="16" t="n">
        <v>0</v>
      </c>
      <c r="AT466" s="16" t="n">
        <v>0</v>
      </c>
      <c r="AU466" s="16" t="n">
        <v>0</v>
      </c>
      <c r="AV466" s="16" t="n">
        <v>0</v>
      </c>
      <c r="AW466" s="16" t="n">
        <v>0</v>
      </c>
      <c r="AX466" s="16" t="n">
        <v>0</v>
      </c>
      <c r="AY466" s="16" t="n">
        <v>0</v>
      </c>
      <c r="AZ466" s="16" t="n">
        <v>0</v>
      </c>
      <c r="BA466" s="16" t="n">
        <v>0</v>
      </c>
      <c r="BB466" s="16" t="n">
        <v>0</v>
      </c>
      <c r="BC466" s="16" t="n">
        <v>0</v>
      </c>
      <c r="BD466" s="16" t="n">
        <v>0</v>
      </c>
      <c r="BE466" s="16" t="n">
        <v>0</v>
      </c>
      <c r="BF466" s="16" t="n">
        <v>0</v>
      </c>
      <c r="BG466" s="16" t="n">
        <v>0</v>
      </c>
      <c r="BH466" s="16" t="n">
        <v>0</v>
      </c>
      <c r="BI466" s="16" t="n">
        <v>0</v>
      </c>
      <c r="BJ466" s="16" t="n">
        <v>0</v>
      </c>
      <c r="BK466" s="16" t="n">
        <v>0</v>
      </c>
      <c r="BL466" s="16" t="n">
        <v>0</v>
      </c>
      <c r="BM466" s="16" t="n">
        <v>0</v>
      </c>
      <c r="BN466" s="16" t="n">
        <v>0</v>
      </c>
      <c r="BO466" s="16" t="n">
        <v>0</v>
      </c>
      <c r="BP466" s="16" t="n">
        <v>0</v>
      </c>
      <c r="BQ466" s="16" t="n">
        <v>0</v>
      </c>
      <c r="BR466" s="16" t="n">
        <v>0</v>
      </c>
      <c r="BS466" s="16" t="n">
        <v>0</v>
      </c>
      <c r="BT466" s="16" t="n">
        <v>0</v>
      </c>
      <c r="BU466" s="16" t="n">
        <v>0</v>
      </c>
      <c r="BV466" s="16" t="n">
        <v>0</v>
      </c>
      <c r="BW466" s="16" t="n">
        <v>0</v>
      </c>
      <c r="BX466" s="16" t="n">
        <v>0</v>
      </c>
      <c r="BY466" s="16" t="n">
        <v>0</v>
      </c>
      <c r="BZ466" s="16" t="n">
        <v>0</v>
      </c>
      <c r="CA466" s="16" t="n">
        <v>0</v>
      </c>
      <c r="CB466" s="16" t="n">
        <v>0</v>
      </c>
      <c r="CC466" s="16" t="n">
        <v>0</v>
      </c>
      <c r="CD466" s="16" t="n">
        <v>0</v>
      </c>
      <c r="CE466" s="16" t="n">
        <v>0</v>
      </c>
      <c r="CF466" s="16" t="n">
        <v>0</v>
      </c>
      <c r="CG466" s="16" t="n">
        <v>0</v>
      </c>
      <c r="CH466" s="16" t="n">
        <v>0</v>
      </c>
      <c r="CI466" s="16" t="n">
        <v>0</v>
      </c>
      <c r="CJ466" s="16" t="n">
        <v>0</v>
      </c>
      <c r="CK466" s="16" t="n">
        <v>0</v>
      </c>
      <c r="CL466" s="16" t="n">
        <v>0</v>
      </c>
      <c r="CM466" s="16" t="n">
        <v>0</v>
      </c>
      <c r="CN466" s="16" t="n">
        <v>0</v>
      </c>
      <c r="CO466" s="16" t="n">
        <v>0</v>
      </c>
      <c r="CP466" s="16" t="n">
        <v>0</v>
      </c>
      <c r="CQ466" s="16" t="n">
        <v>0</v>
      </c>
      <c r="CR466" s="16" t="n">
        <v>0</v>
      </c>
      <c r="CS466" s="16" t="n">
        <v>0</v>
      </c>
      <c r="CT466" s="16" t="n">
        <v>6</v>
      </c>
      <c r="CU466" s="16" t="n">
        <v>7</v>
      </c>
      <c r="CV466" s="16" t="n">
        <v>7</v>
      </c>
      <c r="CW466" s="16" t="n">
        <v>2</v>
      </c>
      <c r="CX466" s="16" t="n">
        <v>1</v>
      </c>
      <c r="CY466" s="16" t="n">
        <v>1</v>
      </c>
      <c r="CZ466" s="16" t="n">
        <v>2</v>
      </c>
      <c r="DA466" s="16" t="n">
        <v>2</v>
      </c>
      <c r="DB466" s="16" t="n">
        <v>0</v>
      </c>
      <c r="DC466" s="16" t="n">
        <v>0</v>
      </c>
      <c r="DD466" s="16" t="n">
        <v>0</v>
      </c>
      <c r="DE466" s="16" t="n">
        <v>0</v>
      </c>
      <c r="DF466" s="16" t="n">
        <v>0</v>
      </c>
      <c r="DG466" s="16" t="n">
        <v>2</v>
      </c>
      <c r="DH466" s="16" t="n">
        <v>2</v>
      </c>
      <c r="DI466" s="16" t="n">
        <v>0</v>
      </c>
      <c r="DJ466" s="16" t="n">
        <v>0</v>
      </c>
      <c r="DK466" s="16" t="n">
        <v>2</v>
      </c>
      <c r="DL466" s="16" t="n">
        <v>3</v>
      </c>
      <c r="DM466" s="16" t="n">
        <v>3</v>
      </c>
      <c r="DN466" s="16" t="n">
        <v>5</v>
      </c>
      <c r="DO466" s="16" t="n">
        <v>5</v>
      </c>
      <c r="DP466" s="16" t="n">
        <v>5</v>
      </c>
      <c r="DQ466" s="16" t="n">
        <v>5</v>
      </c>
      <c r="DR466" s="16" t="n">
        <v>5</v>
      </c>
      <c r="DS466" s="16" t="n">
        <v>0</v>
      </c>
      <c r="DT466" s="16" t="n">
        <v>0</v>
      </c>
      <c r="DU466" s="16" t="n">
        <v>0</v>
      </c>
      <c r="DV466" s="16" t="n">
        <v>0</v>
      </c>
      <c r="DW466" s="16" t="n">
        <v>0</v>
      </c>
      <c r="DX466" s="16" t="n">
        <v>0</v>
      </c>
      <c r="DY466" s="16" t="n">
        <v>0</v>
      </c>
      <c r="DZ466" s="16" t="n">
        <v>0</v>
      </c>
      <c r="EA466" s="16" t="n">
        <v>0</v>
      </c>
      <c r="EB466" s="16" t="n">
        <v>0</v>
      </c>
      <c r="EC466" s="16" t="n">
        <v>0</v>
      </c>
      <c r="ED466" s="16" t="n">
        <v>0</v>
      </c>
      <c r="EE466" s="16" t="n">
        <v>0</v>
      </c>
      <c r="EF466" s="16" t="n">
        <v>0</v>
      </c>
    </row>
    <row r="467" customFormat="false" ht="15" hidden="false" customHeight="true" outlineLevel="0" collapsed="false">
      <c r="A467" s="9" t="s">
        <v>12</v>
      </c>
      <c r="B467" s="9" t="s">
        <v>25</v>
      </c>
      <c r="C467" s="9" t="s">
        <v>25</v>
      </c>
      <c r="D467" s="9" t="s">
        <v>340</v>
      </c>
      <c r="E467" s="9" t="s">
        <v>16</v>
      </c>
      <c r="F467" s="9" t="s">
        <v>40</v>
      </c>
      <c r="G467" s="16" t="n">
        <v>0</v>
      </c>
      <c r="H467" s="16" t="n">
        <v>15</v>
      </c>
      <c r="I467" s="16" t="n">
        <v>0</v>
      </c>
      <c r="J467" s="16" t="n">
        <v>15</v>
      </c>
      <c r="K467" s="16" t="n">
        <v>0</v>
      </c>
      <c r="L467" s="16" t="n">
        <v>0</v>
      </c>
      <c r="M467" s="16" t="n">
        <v>0</v>
      </c>
      <c r="N467" s="16" t="n">
        <v>0</v>
      </c>
      <c r="O467" s="16" t="n">
        <v>0</v>
      </c>
      <c r="P467" s="16" t="n">
        <v>0</v>
      </c>
      <c r="Q467" s="16" t="n">
        <v>0</v>
      </c>
      <c r="R467" s="16" t="n">
        <v>0</v>
      </c>
      <c r="S467" s="16" t="n">
        <v>0</v>
      </c>
      <c r="T467" s="16" t="n">
        <v>0</v>
      </c>
      <c r="U467" s="16" t="n">
        <v>0</v>
      </c>
      <c r="V467" s="16" t="n">
        <v>0</v>
      </c>
      <c r="W467" s="16" t="n">
        <v>0</v>
      </c>
      <c r="X467" s="16" t="n">
        <v>0</v>
      </c>
      <c r="Y467" s="16" t="n">
        <v>0</v>
      </c>
      <c r="Z467" s="16" t="n">
        <v>0</v>
      </c>
      <c r="AA467" s="16" t="n">
        <v>0</v>
      </c>
      <c r="AB467" s="16" t="n">
        <v>0</v>
      </c>
      <c r="AC467" s="16" t="n">
        <v>0</v>
      </c>
      <c r="AD467" s="16" t="n">
        <v>0</v>
      </c>
      <c r="AE467" s="16" t="n">
        <v>0</v>
      </c>
      <c r="AF467" s="16" t="n">
        <v>0</v>
      </c>
      <c r="AG467" s="16" t="n">
        <v>0</v>
      </c>
      <c r="AH467" s="16" t="n">
        <v>0</v>
      </c>
      <c r="AI467" s="16" t="n">
        <v>0</v>
      </c>
      <c r="AJ467" s="16" t="n">
        <v>0</v>
      </c>
      <c r="AK467" s="16" t="n">
        <v>0</v>
      </c>
      <c r="AL467" s="16" t="n">
        <v>0</v>
      </c>
      <c r="AM467" s="16" t="n">
        <v>0</v>
      </c>
      <c r="AN467" s="16" t="n">
        <v>0</v>
      </c>
      <c r="AO467" s="16" t="n">
        <v>0</v>
      </c>
      <c r="AP467" s="16" t="n">
        <v>0</v>
      </c>
      <c r="AQ467" s="16" t="n">
        <v>0</v>
      </c>
      <c r="AR467" s="16" t="n">
        <v>0</v>
      </c>
      <c r="AS467" s="16" t="n">
        <v>0</v>
      </c>
      <c r="AT467" s="16" t="n">
        <v>0</v>
      </c>
      <c r="AU467" s="16" t="n">
        <v>0</v>
      </c>
      <c r="AV467" s="16" t="n">
        <v>0</v>
      </c>
      <c r="AW467" s="16" t="n">
        <v>0</v>
      </c>
      <c r="AX467" s="16" t="n">
        <v>0</v>
      </c>
      <c r="AY467" s="16" t="n">
        <v>0</v>
      </c>
      <c r="AZ467" s="16" t="n">
        <v>0</v>
      </c>
      <c r="BA467" s="16" t="n">
        <v>0</v>
      </c>
      <c r="BB467" s="16" t="n">
        <v>0</v>
      </c>
      <c r="BC467" s="16" t="n">
        <v>0</v>
      </c>
      <c r="BD467" s="16" t="n">
        <v>0</v>
      </c>
      <c r="BE467" s="16" t="n">
        <v>0</v>
      </c>
      <c r="BF467" s="16" t="n">
        <v>0</v>
      </c>
      <c r="BG467" s="16" t="n">
        <v>0</v>
      </c>
      <c r="BH467" s="16" t="n">
        <v>0</v>
      </c>
      <c r="BI467" s="16" t="n">
        <v>0</v>
      </c>
      <c r="BJ467" s="16" t="n">
        <v>0</v>
      </c>
      <c r="BK467" s="16" t="n">
        <v>0</v>
      </c>
      <c r="BL467" s="16" t="n">
        <v>0</v>
      </c>
      <c r="BM467" s="16" t="n">
        <v>0</v>
      </c>
      <c r="BN467" s="16" t="n">
        <v>0</v>
      </c>
      <c r="BO467" s="16" t="n">
        <v>0</v>
      </c>
      <c r="BP467" s="16" t="n">
        <v>0</v>
      </c>
      <c r="BQ467" s="16" t="n">
        <v>0</v>
      </c>
      <c r="BR467" s="16" t="n">
        <v>0</v>
      </c>
      <c r="BS467" s="16" t="n">
        <v>0</v>
      </c>
      <c r="BT467" s="16" t="n">
        <v>0</v>
      </c>
      <c r="BU467" s="16" t="n">
        <v>0</v>
      </c>
      <c r="BV467" s="16" t="n">
        <v>0</v>
      </c>
      <c r="BW467" s="16" t="n">
        <v>0</v>
      </c>
      <c r="BX467" s="16" t="n">
        <v>0</v>
      </c>
      <c r="BY467" s="16" t="n">
        <v>0</v>
      </c>
      <c r="BZ467" s="16" t="n">
        <v>0</v>
      </c>
      <c r="CA467" s="16" t="n">
        <v>0</v>
      </c>
      <c r="CB467" s="16" t="n">
        <v>0</v>
      </c>
      <c r="CC467" s="16" t="n">
        <v>0</v>
      </c>
      <c r="CD467" s="16" t="n">
        <v>0</v>
      </c>
      <c r="CE467" s="16" t="n">
        <v>0</v>
      </c>
      <c r="CF467" s="16" t="n">
        <v>0</v>
      </c>
      <c r="CG467" s="16" t="n">
        <v>0</v>
      </c>
      <c r="CH467" s="16" t="n">
        <v>0</v>
      </c>
      <c r="CI467" s="16" t="n">
        <v>0</v>
      </c>
      <c r="CJ467" s="16" t="n">
        <v>0</v>
      </c>
      <c r="CK467" s="16" t="n">
        <v>0</v>
      </c>
      <c r="CL467" s="16" t="n">
        <v>0</v>
      </c>
      <c r="CM467" s="16" t="n">
        <v>0</v>
      </c>
      <c r="CN467" s="16" t="n">
        <v>0</v>
      </c>
      <c r="CO467" s="16" t="n">
        <v>0</v>
      </c>
      <c r="CP467" s="16" t="n">
        <v>0</v>
      </c>
      <c r="CQ467" s="16" t="n">
        <v>0</v>
      </c>
      <c r="CR467" s="16" t="n">
        <v>0</v>
      </c>
      <c r="CS467" s="16" t="n">
        <v>0</v>
      </c>
      <c r="CT467" s="16" t="n">
        <v>0</v>
      </c>
      <c r="CU467" s="16" t="n">
        <v>0</v>
      </c>
      <c r="CV467" s="16" t="n">
        <v>0</v>
      </c>
      <c r="CW467" s="16" t="n">
        <v>0</v>
      </c>
      <c r="CX467" s="16" t="n">
        <v>0</v>
      </c>
      <c r="CY467" s="16" t="n">
        <v>0</v>
      </c>
      <c r="CZ467" s="16" t="n">
        <v>0</v>
      </c>
      <c r="DA467" s="16" t="n">
        <v>0</v>
      </c>
      <c r="DB467" s="16" t="n">
        <v>0</v>
      </c>
      <c r="DC467" s="16" t="n">
        <v>0</v>
      </c>
      <c r="DD467" s="16" t="n">
        <v>0</v>
      </c>
      <c r="DE467" s="16" t="n">
        <v>0</v>
      </c>
      <c r="DF467" s="16" t="n">
        <v>0</v>
      </c>
      <c r="DG467" s="16" t="n">
        <v>0</v>
      </c>
      <c r="DH467" s="16" t="n">
        <v>0</v>
      </c>
      <c r="DI467" s="16" t="n">
        <v>0</v>
      </c>
      <c r="DJ467" s="16" t="n">
        <v>0</v>
      </c>
      <c r="DK467" s="16" t="n">
        <v>0</v>
      </c>
      <c r="DL467" s="16" t="n">
        <v>0</v>
      </c>
      <c r="DM467" s="16" t="n">
        <v>0</v>
      </c>
      <c r="DN467" s="16" t="n">
        <v>0</v>
      </c>
      <c r="DO467" s="16" t="n">
        <v>0</v>
      </c>
      <c r="DP467" s="16" t="n">
        <v>0</v>
      </c>
      <c r="DQ467" s="16" t="n">
        <v>0</v>
      </c>
      <c r="DR467" s="16" t="n">
        <v>0</v>
      </c>
      <c r="DS467" s="16" t="n">
        <v>0</v>
      </c>
      <c r="DT467" s="16" t="n">
        <v>0</v>
      </c>
      <c r="DU467" s="16" t="n">
        <v>0</v>
      </c>
      <c r="DV467" s="16" t="n">
        <v>0</v>
      </c>
      <c r="DW467" s="16" t="n">
        <v>0</v>
      </c>
      <c r="DX467" s="16" t="n">
        <v>0</v>
      </c>
      <c r="DY467" s="16" t="n">
        <v>0</v>
      </c>
      <c r="DZ467" s="16" t="n">
        <v>0</v>
      </c>
      <c r="EA467" s="16" t="n">
        <v>0</v>
      </c>
      <c r="EB467" s="16" t="n">
        <v>0</v>
      </c>
      <c r="EC467" s="16" t="n">
        <v>0</v>
      </c>
      <c r="ED467" s="16" t="n">
        <v>0</v>
      </c>
      <c r="EE467" s="16" t="n">
        <v>0</v>
      </c>
      <c r="EF467" s="16" t="n">
        <v>0</v>
      </c>
    </row>
    <row r="468" customFormat="false" ht="15" hidden="false" customHeight="true" outlineLevel="0" collapsed="false">
      <c r="A468" s="9" t="s">
        <v>12</v>
      </c>
      <c r="B468" s="9" t="s">
        <v>25</v>
      </c>
      <c r="C468" s="9" t="s">
        <v>25</v>
      </c>
      <c r="D468" s="9" t="s">
        <v>339</v>
      </c>
      <c r="E468" s="9" t="s">
        <v>16</v>
      </c>
      <c r="F468" s="9" t="s">
        <v>40</v>
      </c>
      <c r="G468" s="16" t="n">
        <v>0</v>
      </c>
      <c r="H468" s="16" t="n">
        <v>0</v>
      </c>
      <c r="I468" s="16" t="n">
        <v>15</v>
      </c>
      <c r="J468" s="16" t="n">
        <v>-15</v>
      </c>
      <c r="K468" s="16" t="n">
        <v>0</v>
      </c>
      <c r="L468" s="16" t="n">
        <v>0</v>
      </c>
      <c r="M468" s="16" t="n">
        <v>0</v>
      </c>
      <c r="N468" s="16" t="n">
        <v>0</v>
      </c>
      <c r="O468" s="16" t="n">
        <v>0</v>
      </c>
      <c r="P468" s="16" t="n">
        <v>0</v>
      </c>
      <c r="Q468" s="16" t="n">
        <v>0</v>
      </c>
      <c r="R468" s="16" t="n">
        <v>0</v>
      </c>
      <c r="S468" s="16" t="n">
        <v>0</v>
      </c>
      <c r="T468" s="16" t="n">
        <v>0</v>
      </c>
      <c r="U468" s="16" t="n">
        <v>0</v>
      </c>
      <c r="V468" s="16" t="n">
        <v>0</v>
      </c>
      <c r="W468" s="16" t="n">
        <v>0</v>
      </c>
      <c r="X468" s="16" t="n">
        <v>0</v>
      </c>
      <c r="Y468" s="16" t="n">
        <v>0</v>
      </c>
      <c r="Z468" s="16" t="n">
        <v>0</v>
      </c>
      <c r="AA468" s="16" t="n">
        <v>0</v>
      </c>
      <c r="AB468" s="16" t="n">
        <v>0</v>
      </c>
      <c r="AC468" s="16" t="n">
        <v>0</v>
      </c>
      <c r="AD468" s="16" t="n">
        <v>0</v>
      </c>
      <c r="AE468" s="16" t="n">
        <v>0</v>
      </c>
      <c r="AF468" s="16" t="n">
        <v>0</v>
      </c>
      <c r="AG468" s="16" t="n">
        <v>0</v>
      </c>
      <c r="AH468" s="16" t="n">
        <v>0</v>
      </c>
      <c r="AI468" s="16" t="n">
        <v>0</v>
      </c>
      <c r="AJ468" s="16" t="n">
        <v>0</v>
      </c>
      <c r="AK468" s="16" t="n">
        <v>0</v>
      </c>
      <c r="AL468" s="16" t="n">
        <v>0</v>
      </c>
      <c r="AM468" s="16" t="n">
        <v>0</v>
      </c>
      <c r="AN468" s="16" t="n">
        <v>0</v>
      </c>
      <c r="AO468" s="16" t="n">
        <v>0</v>
      </c>
      <c r="AP468" s="16" t="n">
        <v>0</v>
      </c>
      <c r="AQ468" s="16" t="n">
        <v>0</v>
      </c>
      <c r="AR468" s="16" t="n">
        <v>0</v>
      </c>
      <c r="AS468" s="16" t="n">
        <v>0</v>
      </c>
      <c r="AT468" s="16" t="n">
        <v>0</v>
      </c>
      <c r="AU468" s="16" t="n">
        <v>0</v>
      </c>
      <c r="AV468" s="16" t="n">
        <v>0</v>
      </c>
      <c r="AW468" s="16" t="n">
        <v>0</v>
      </c>
      <c r="AX468" s="16" t="n">
        <v>0</v>
      </c>
      <c r="AY468" s="16" t="n">
        <v>0</v>
      </c>
      <c r="AZ468" s="16" t="n">
        <v>0</v>
      </c>
      <c r="BA468" s="16" t="n">
        <v>0</v>
      </c>
      <c r="BB468" s="16" t="n">
        <v>0</v>
      </c>
      <c r="BC468" s="16" t="n">
        <v>0</v>
      </c>
      <c r="BD468" s="16" t="n">
        <v>0</v>
      </c>
      <c r="BE468" s="16" t="n">
        <v>0</v>
      </c>
      <c r="BF468" s="16" t="n">
        <v>0</v>
      </c>
      <c r="BG468" s="16" t="n">
        <v>0</v>
      </c>
      <c r="BH468" s="16" t="n">
        <v>0</v>
      </c>
      <c r="BI468" s="16" t="n">
        <v>0</v>
      </c>
      <c r="BJ468" s="16" t="n">
        <v>0</v>
      </c>
      <c r="BK468" s="16" t="n">
        <v>0</v>
      </c>
      <c r="BL468" s="16" t="n">
        <v>0</v>
      </c>
      <c r="BM468" s="16" t="n">
        <v>0</v>
      </c>
      <c r="BN468" s="16" t="n">
        <v>0</v>
      </c>
      <c r="BO468" s="16" t="n">
        <v>0</v>
      </c>
      <c r="BP468" s="16" t="n">
        <v>0</v>
      </c>
      <c r="BQ468" s="16" t="n">
        <v>0</v>
      </c>
      <c r="BR468" s="16" t="n">
        <v>0</v>
      </c>
      <c r="BS468" s="16" t="n">
        <v>0</v>
      </c>
      <c r="BT468" s="16" t="n">
        <v>0</v>
      </c>
      <c r="BU468" s="16" t="n">
        <v>0</v>
      </c>
      <c r="BV468" s="16" t="n">
        <v>0</v>
      </c>
      <c r="BW468" s="16" t="n">
        <v>0</v>
      </c>
      <c r="BX468" s="16" t="n">
        <v>0</v>
      </c>
      <c r="BY468" s="16" t="n">
        <v>0</v>
      </c>
      <c r="BZ468" s="16" t="n">
        <v>0</v>
      </c>
      <c r="CA468" s="16" t="n">
        <v>0</v>
      </c>
      <c r="CB468" s="16" t="n">
        <v>0</v>
      </c>
      <c r="CC468" s="16" t="n">
        <v>0</v>
      </c>
      <c r="CD468" s="16" t="n">
        <v>0</v>
      </c>
      <c r="CE468" s="16" t="n">
        <v>0</v>
      </c>
      <c r="CF468" s="16" t="n">
        <v>0</v>
      </c>
      <c r="CG468" s="16" t="n">
        <v>0</v>
      </c>
      <c r="CH468" s="16" t="n">
        <v>0</v>
      </c>
      <c r="CI468" s="16" t="n">
        <v>0</v>
      </c>
      <c r="CJ468" s="16" t="n">
        <v>0</v>
      </c>
      <c r="CK468" s="16" t="n">
        <v>0</v>
      </c>
      <c r="CL468" s="16" t="n">
        <v>0</v>
      </c>
      <c r="CM468" s="16" t="n">
        <v>0</v>
      </c>
      <c r="CN468" s="16" t="n">
        <v>0</v>
      </c>
      <c r="CO468" s="16" t="n">
        <v>0</v>
      </c>
      <c r="CP468" s="16" t="n">
        <v>0</v>
      </c>
      <c r="CQ468" s="16" t="n">
        <v>0</v>
      </c>
      <c r="CR468" s="16" t="n">
        <v>0</v>
      </c>
      <c r="CS468" s="16" t="n">
        <v>0</v>
      </c>
      <c r="CT468" s="16" t="n">
        <v>0</v>
      </c>
      <c r="CU468" s="16" t="n">
        <v>0</v>
      </c>
      <c r="CV468" s="16" t="n">
        <v>0</v>
      </c>
      <c r="CW468" s="16" t="n">
        <v>0</v>
      </c>
      <c r="CX468" s="16" t="n">
        <v>0</v>
      </c>
      <c r="CY468" s="16" t="n">
        <v>0</v>
      </c>
      <c r="CZ468" s="16" t="n">
        <v>0</v>
      </c>
      <c r="DA468" s="16" t="n">
        <v>0</v>
      </c>
      <c r="DB468" s="16" t="n">
        <v>0</v>
      </c>
      <c r="DC468" s="16" t="n">
        <v>0</v>
      </c>
      <c r="DD468" s="16" t="n">
        <v>0</v>
      </c>
      <c r="DE468" s="16" t="n">
        <v>0</v>
      </c>
      <c r="DF468" s="16" t="n">
        <v>0</v>
      </c>
      <c r="DG468" s="16" t="n">
        <v>0</v>
      </c>
      <c r="DH468" s="16" t="n">
        <v>0</v>
      </c>
      <c r="DI468" s="16" t="n">
        <v>0</v>
      </c>
      <c r="DJ468" s="16" t="n">
        <v>0</v>
      </c>
      <c r="DK468" s="16" t="n">
        <v>0</v>
      </c>
      <c r="DL468" s="16" t="n">
        <v>0</v>
      </c>
      <c r="DM468" s="16" t="n">
        <v>0</v>
      </c>
      <c r="DN468" s="16" t="n">
        <v>0</v>
      </c>
      <c r="DO468" s="16" t="n">
        <v>0</v>
      </c>
      <c r="DP468" s="16" t="n">
        <v>5</v>
      </c>
      <c r="DQ468" s="16" t="n">
        <v>5</v>
      </c>
      <c r="DR468" s="16" t="n">
        <v>5</v>
      </c>
      <c r="DS468" s="16" t="n">
        <v>0</v>
      </c>
      <c r="DT468" s="16" t="n">
        <v>0</v>
      </c>
      <c r="DU468" s="16" t="n">
        <v>0</v>
      </c>
      <c r="DV468" s="16" t="n">
        <v>0</v>
      </c>
      <c r="DW468" s="16" t="n">
        <v>0</v>
      </c>
      <c r="DX468" s="16" t="n">
        <v>0</v>
      </c>
      <c r="DY468" s="16" t="n">
        <v>0</v>
      </c>
      <c r="DZ468" s="16" t="n">
        <v>0</v>
      </c>
      <c r="EA468" s="16" t="n">
        <v>0</v>
      </c>
      <c r="EB468" s="16" t="n">
        <v>0</v>
      </c>
      <c r="EC468" s="16" t="n">
        <v>0</v>
      </c>
      <c r="ED468" s="16" t="n">
        <v>0</v>
      </c>
      <c r="EE468" s="16" t="n">
        <v>0</v>
      </c>
      <c r="EF468" s="16" t="n">
        <v>0</v>
      </c>
    </row>
    <row r="469" customFormat="false" ht="15" hidden="false" customHeight="true" outlineLevel="0" collapsed="false">
      <c r="A469" s="9" t="s">
        <v>12</v>
      </c>
      <c r="B469" s="9" t="s">
        <v>25</v>
      </c>
      <c r="C469" s="9" t="s">
        <v>25</v>
      </c>
      <c r="D469" s="9" t="s">
        <v>340</v>
      </c>
      <c r="E469" s="9" t="s">
        <v>16</v>
      </c>
      <c r="F469" s="9" t="s">
        <v>103</v>
      </c>
      <c r="G469" s="16" t="n">
        <v>40.5</v>
      </c>
      <c r="H469" s="16" t="n">
        <v>265.5</v>
      </c>
      <c r="I469" s="16" t="n">
        <v>26</v>
      </c>
      <c r="J469" s="16" t="n">
        <v>239.5</v>
      </c>
      <c r="K469" s="16" t="n">
        <v>0</v>
      </c>
      <c r="L469" s="16" t="n">
        <v>0</v>
      </c>
      <c r="M469" s="16" t="n">
        <v>0</v>
      </c>
      <c r="N469" s="16" t="n">
        <v>0</v>
      </c>
      <c r="O469" s="16" t="n">
        <v>0</v>
      </c>
      <c r="P469" s="16" t="n">
        <v>0</v>
      </c>
      <c r="Q469" s="16" t="n">
        <v>0</v>
      </c>
      <c r="R469" s="16" t="n">
        <v>0</v>
      </c>
      <c r="S469" s="16" t="n">
        <v>0</v>
      </c>
      <c r="T469" s="16" t="n">
        <v>0</v>
      </c>
      <c r="U469" s="16" t="n">
        <v>0</v>
      </c>
      <c r="V469" s="16" t="n">
        <v>0</v>
      </c>
      <c r="W469" s="16" t="n">
        <v>0</v>
      </c>
      <c r="X469" s="16" t="n">
        <v>0</v>
      </c>
      <c r="Y469" s="16" t="n">
        <v>0</v>
      </c>
      <c r="Z469" s="16" t="n">
        <v>0</v>
      </c>
      <c r="AA469" s="16" t="n">
        <v>0</v>
      </c>
      <c r="AB469" s="16" t="n">
        <v>0</v>
      </c>
      <c r="AC469" s="16" t="n">
        <v>0</v>
      </c>
      <c r="AD469" s="16" t="n">
        <v>1</v>
      </c>
      <c r="AE469" s="16" t="n">
        <v>3</v>
      </c>
      <c r="AF469" s="16" t="n">
        <v>4</v>
      </c>
      <c r="AG469" s="16" t="n">
        <v>7.5</v>
      </c>
      <c r="AH469" s="16" t="n">
        <v>3.5</v>
      </c>
      <c r="AI469" s="16" t="n">
        <v>5</v>
      </c>
      <c r="AJ469" s="16" t="n">
        <v>2</v>
      </c>
      <c r="AK469" s="16" t="n">
        <v>0</v>
      </c>
      <c r="AL469" s="16" t="n">
        <v>0</v>
      </c>
      <c r="AM469" s="16" t="n">
        <v>0</v>
      </c>
      <c r="AN469" s="16" t="n">
        <v>0</v>
      </c>
      <c r="AO469" s="16" t="n">
        <v>0</v>
      </c>
      <c r="AP469" s="16" t="n">
        <v>0</v>
      </c>
      <c r="AQ469" s="16" t="n">
        <v>0</v>
      </c>
      <c r="AR469" s="16" t="n">
        <v>0</v>
      </c>
      <c r="AS469" s="16" t="n">
        <v>0</v>
      </c>
      <c r="AT469" s="16" t="n">
        <v>0</v>
      </c>
      <c r="AU469" s="16" t="n">
        <v>0</v>
      </c>
      <c r="AV469" s="16" t="n">
        <v>0</v>
      </c>
      <c r="AW469" s="16" t="n">
        <v>0</v>
      </c>
      <c r="AX469" s="16" t="n">
        <v>0</v>
      </c>
      <c r="AY469" s="16" t="n">
        <v>0</v>
      </c>
      <c r="AZ469" s="16" t="n">
        <v>0</v>
      </c>
      <c r="BA469" s="16" t="n">
        <v>0</v>
      </c>
      <c r="BB469" s="16" t="n">
        <v>0</v>
      </c>
      <c r="BC469" s="16" t="n">
        <v>0</v>
      </c>
      <c r="BD469" s="16" t="n">
        <v>0</v>
      </c>
      <c r="BE469" s="16" t="n">
        <v>0</v>
      </c>
      <c r="BF469" s="16" t="n">
        <v>0</v>
      </c>
      <c r="BG469" s="16" t="n">
        <v>0</v>
      </c>
      <c r="BH469" s="16" t="n">
        <v>0</v>
      </c>
      <c r="BI469" s="16" t="n">
        <v>0</v>
      </c>
      <c r="BJ469" s="16" t="n">
        <v>0</v>
      </c>
      <c r="BK469" s="16" t="n">
        <v>0</v>
      </c>
      <c r="BL469" s="16" t="n">
        <v>0</v>
      </c>
      <c r="BM469" s="16" t="n">
        <v>0</v>
      </c>
      <c r="BN469" s="16" t="n">
        <v>0</v>
      </c>
      <c r="BO469" s="16" t="n">
        <v>0</v>
      </c>
      <c r="BP469" s="16" t="n">
        <v>0</v>
      </c>
      <c r="BQ469" s="16" t="n">
        <v>0</v>
      </c>
      <c r="BR469" s="16" t="n">
        <v>0</v>
      </c>
      <c r="BS469" s="16" t="n">
        <v>0</v>
      </c>
      <c r="BT469" s="16" t="n">
        <v>0</v>
      </c>
      <c r="BU469" s="16" t="n">
        <v>0</v>
      </c>
      <c r="BV469" s="16" t="n">
        <v>0</v>
      </c>
      <c r="BW469" s="16" t="n">
        <v>0</v>
      </c>
      <c r="BX469" s="16" t="n">
        <v>0</v>
      </c>
      <c r="BY469" s="16" t="n">
        <v>0</v>
      </c>
      <c r="BZ469" s="16" t="n">
        <v>0</v>
      </c>
      <c r="CA469" s="16" t="n">
        <v>0</v>
      </c>
      <c r="CB469" s="16" t="n">
        <v>0</v>
      </c>
      <c r="CC469" s="16" t="n">
        <v>0</v>
      </c>
      <c r="CD469" s="16" t="n">
        <v>0</v>
      </c>
      <c r="CE469" s="16" t="n">
        <v>0</v>
      </c>
      <c r="CF469" s="16" t="n">
        <v>0</v>
      </c>
      <c r="CG469" s="16" t="n">
        <v>0</v>
      </c>
      <c r="CH469" s="16" t="n">
        <v>0</v>
      </c>
      <c r="CI469" s="16" t="n">
        <v>0</v>
      </c>
      <c r="CJ469" s="16" t="n">
        <v>0</v>
      </c>
      <c r="CK469" s="16" t="n">
        <v>0</v>
      </c>
      <c r="CL469" s="16" t="n">
        <v>0</v>
      </c>
      <c r="CM469" s="16" t="n">
        <v>0</v>
      </c>
      <c r="CN469" s="16" t="n">
        <v>0</v>
      </c>
      <c r="CO469" s="16" t="n">
        <v>0</v>
      </c>
      <c r="CP469" s="16" t="n">
        <v>0</v>
      </c>
      <c r="CQ469" s="16" t="n">
        <v>0</v>
      </c>
      <c r="CR469" s="16" t="n">
        <v>0</v>
      </c>
      <c r="CS469" s="16" t="n">
        <v>0</v>
      </c>
      <c r="CT469" s="16" t="n">
        <v>0</v>
      </c>
      <c r="CU469" s="16" t="n">
        <v>0</v>
      </c>
      <c r="CV469" s="16" t="n">
        <v>0</v>
      </c>
      <c r="CW469" s="16" t="n">
        <v>0</v>
      </c>
      <c r="CX469" s="16" t="n">
        <v>0</v>
      </c>
      <c r="CY469" s="16" t="n">
        <v>0</v>
      </c>
      <c r="CZ469" s="16" t="n">
        <v>0</v>
      </c>
      <c r="DA469" s="16" t="n">
        <v>0</v>
      </c>
      <c r="DB469" s="16" t="n">
        <v>0</v>
      </c>
      <c r="DC469" s="16" t="n">
        <v>0</v>
      </c>
      <c r="DD469" s="16" t="n">
        <v>0</v>
      </c>
      <c r="DE469" s="16" t="n">
        <v>0</v>
      </c>
      <c r="DF469" s="16" t="n">
        <v>0</v>
      </c>
      <c r="DG469" s="16" t="n">
        <v>0</v>
      </c>
      <c r="DH469" s="16" t="n">
        <v>0</v>
      </c>
      <c r="DI469" s="16" t="n">
        <v>0</v>
      </c>
      <c r="DJ469" s="16" t="n">
        <v>0</v>
      </c>
      <c r="DK469" s="16" t="n">
        <v>0</v>
      </c>
      <c r="DL469" s="16" t="n">
        <v>0</v>
      </c>
      <c r="DM469" s="16" t="n">
        <v>0</v>
      </c>
      <c r="DN469" s="16" t="n">
        <v>0</v>
      </c>
      <c r="DO469" s="16" t="n">
        <v>0</v>
      </c>
      <c r="DP469" s="16" t="n">
        <v>0</v>
      </c>
      <c r="DQ469" s="16" t="n">
        <v>0</v>
      </c>
      <c r="DR469" s="16" t="n">
        <v>0</v>
      </c>
      <c r="DS469" s="16" t="n">
        <v>0</v>
      </c>
      <c r="DT469" s="16" t="n">
        <v>0</v>
      </c>
      <c r="DU469" s="16" t="n">
        <v>0</v>
      </c>
      <c r="DV469" s="16" t="n">
        <v>0</v>
      </c>
      <c r="DW469" s="16" t="n">
        <v>0</v>
      </c>
      <c r="DX469" s="16" t="n">
        <v>0</v>
      </c>
      <c r="DY469" s="16" t="n">
        <v>0</v>
      </c>
      <c r="DZ469" s="16" t="n">
        <v>0</v>
      </c>
      <c r="EA469" s="16" t="n">
        <v>0</v>
      </c>
      <c r="EB469" s="16" t="n">
        <v>0</v>
      </c>
      <c r="EC469" s="16" t="n">
        <v>0</v>
      </c>
      <c r="ED469" s="16" t="n">
        <v>0</v>
      </c>
      <c r="EE469" s="16" t="n">
        <v>0</v>
      </c>
      <c r="EF469" s="16" t="n">
        <v>0</v>
      </c>
    </row>
    <row r="470" customFormat="false" ht="15" hidden="false" customHeight="true" outlineLevel="0" collapsed="false">
      <c r="A470" s="9" t="s">
        <v>12</v>
      </c>
      <c r="B470" s="9" t="s">
        <v>25</v>
      </c>
      <c r="C470" s="9" t="s">
        <v>25</v>
      </c>
      <c r="D470" s="9" t="s">
        <v>339</v>
      </c>
      <c r="E470" s="9" t="s">
        <v>16</v>
      </c>
      <c r="F470" s="9" t="s">
        <v>103</v>
      </c>
      <c r="G470" s="16" t="n">
        <v>0</v>
      </c>
      <c r="H470" s="16" t="n">
        <v>0</v>
      </c>
      <c r="I470" s="16" t="n">
        <v>277.5</v>
      </c>
      <c r="J470" s="16" t="n">
        <v>-277.5</v>
      </c>
      <c r="K470" s="16" t="n">
        <v>0</v>
      </c>
      <c r="L470" s="16" t="n">
        <v>0</v>
      </c>
      <c r="M470" s="16" t="n">
        <v>0</v>
      </c>
      <c r="N470" s="16" t="n">
        <v>0</v>
      </c>
      <c r="O470" s="16" t="n">
        <v>0</v>
      </c>
      <c r="P470" s="16" t="n">
        <v>0</v>
      </c>
      <c r="Q470" s="16" t="n">
        <v>0</v>
      </c>
      <c r="R470" s="16" t="n">
        <v>0</v>
      </c>
      <c r="S470" s="16" t="n">
        <v>0</v>
      </c>
      <c r="T470" s="16" t="n">
        <v>0</v>
      </c>
      <c r="U470" s="16" t="n">
        <v>0</v>
      </c>
      <c r="V470" s="16" t="n">
        <v>0</v>
      </c>
      <c r="W470" s="16" t="n">
        <v>0</v>
      </c>
      <c r="X470" s="16" t="n">
        <v>0</v>
      </c>
      <c r="Y470" s="16" t="n">
        <v>0</v>
      </c>
      <c r="Z470" s="16" t="n">
        <v>0</v>
      </c>
      <c r="AA470" s="16" t="n">
        <v>0</v>
      </c>
      <c r="AB470" s="16" t="n">
        <v>0</v>
      </c>
      <c r="AC470" s="16" t="n">
        <v>0</v>
      </c>
      <c r="AD470" s="16" t="n">
        <v>0</v>
      </c>
      <c r="AE470" s="16" t="n">
        <v>0</v>
      </c>
      <c r="AF470" s="16" t="n">
        <v>0</v>
      </c>
      <c r="AG470" s="16" t="n">
        <v>0</v>
      </c>
      <c r="AH470" s="16" t="n">
        <v>0</v>
      </c>
      <c r="AI470" s="16" t="n">
        <v>0</v>
      </c>
      <c r="AJ470" s="16" t="n">
        <v>0</v>
      </c>
      <c r="AK470" s="16" t="n">
        <v>5</v>
      </c>
      <c r="AL470" s="16" t="n">
        <v>8</v>
      </c>
      <c r="AM470" s="16" t="n">
        <v>5</v>
      </c>
      <c r="AN470" s="16" t="n">
        <v>11.5</v>
      </c>
      <c r="AO470" s="16" t="n">
        <v>1</v>
      </c>
      <c r="AP470" s="16" t="n">
        <v>5</v>
      </c>
      <c r="AQ470" s="16" t="n">
        <v>0</v>
      </c>
      <c r="AR470" s="16" t="n">
        <v>7</v>
      </c>
      <c r="AS470" s="16" t="n">
        <v>3</v>
      </c>
      <c r="AT470" s="16" t="n">
        <v>0</v>
      </c>
      <c r="AU470" s="16" t="n">
        <v>0</v>
      </c>
      <c r="AV470" s="16" t="n">
        <v>0</v>
      </c>
      <c r="AW470" s="16" t="n">
        <v>0</v>
      </c>
      <c r="AX470" s="16" t="n">
        <v>0</v>
      </c>
      <c r="AY470" s="16" t="n">
        <v>0</v>
      </c>
      <c r="AZ470" s="16" t="n">
        <v>0</v>
      </c>
      <c r="BA470" s="16" t="n">
        <v>0</v>
      </c>
      <c r="BB470" s="16" t="n">
        <v>0</v>
      </c>
      <c r="BC470" s="16" t="n">
        <v>0</v>
      </c>
      <c r="BD470" s="16" t="n">
        <v>0</v>
      </c>
      <c r="BE470" s="16" t="n">
        <v>0</v>
      </c>
      <c r="BF470" s="16" t="n">
        <v>0</v>
      </c>
      <c r="BG470" s="16" t="n">
        <v>0</v>
      </c>
      <c r="BH470" s="16" t="n">
        <v>0</v>
      </c>
      <c r="BI470" s="16" t="n">
        <v>0</v>
      </c>
      <c r="BJ470" s="16" t="n">
        <v>0</v>
      </c>
      <c r="BK470" s="16" t="n">
        <v>0</v>
      </c>
      <c r="BL470" s="16" t="n">
        <v>0</v>
      </c>
      <c r="BM470" s="16" t="n">
        <v>0</v>
      </c>
      <c r="BN470" s="16" t="n">
        <v>0</v>
      </c>
      <c r="BO470" s="16" t="n">
        <v>0</v>
      </c>
      <c r="BP470" s="16" t="n">
        <v>0</v>
      </c>
      <c r="BQ470" s="16" t="n">
        <v>0</v>
      </c>
      <c r="BR470" s="16" t="n">
        <v>0</v>
      </c>
      <c r="BS470" s="16" t="n">
        <v>0</v>
      </c>
      <c r="BT470" s="16" t="n">
        <v>0</v>
      </c>
      <c r="BU470" s="16" t="n">
        <v>0</v>
      </c>
      <c r="BV470" s="16" t="n">
        <v>0</v>
      </c>
      <c r="BW470" s="16" t="n">
        <v>0</v>
      </c>
      <c r="BX470" s="16" t="n">
        <v>0</v>
      </c>
      <c r="BY470" s="16" t="n">
        <v>0</v>
      </c>
      <c r="BZ470" s="16" t="n">
        <v>0</v>
      </c>
      <c r="CA470" s="16" t="n">
        <v>0</v>
      </c>
      <c r="CB470" s="16" t="n">
        <v>0</v>
      </c>
      <c r="CC470" s="16" t="n">
        <v>0</v>
      </c>
      <c r="CD470" s="16" t="n">
        <v>0</v>
      </c>
      <c r="CE470" s="16" t="n">
        <v>0</v>
      </c>
      <c r="CF470" s="16" t="n">
        <v>0</v>
      </c>
      <c r="CG470" s="16" t="n">
        <v>0</v>
      </c>
      <c r="CH470" s="16" t="n">
        <v>0</v>
      </c>
      <c r="CI470" s="16" t="n">
        <v>0</v>
      </c>
      <c r="CJ470" s="16" t="n">
        <v>0</v>
      </c>
      <c r="CK470" s="16" t="n">
        <v>0</v>
      </c>
      <c r="CL470" s="16" t="n">
        <v>0</v>
      </c>
      <c r="CM470" s="16" t="n">
        <v>0</v>
      </c>
      <c r="CN470" s="16" t="n">
        <v>0</v>
      </c>
      <c r="CO470" s="16" t="n">
        <v>0</v>
      </c>
      <c r="CP470" s="16" t="n">
        <v>0</v>
      </c>
      <c r="CQ470" s="16" t="n">
        <v>0</v>
      </c>
      <c r="CR470" s="16" t="n">
        <v>0</v>
      </c>
      <c r="CS470" s="16" t="n">
        <v>5</v>
      </c>
      <c r="CT470" s="16" t="n">
        <v>10</v>
      </c>
      <c r="CU470" s="16" t="n">
        <v>0</v>
      </c>
      <c r="CV470" s="16" t="n">
        <v>0</v>
      </c>
      <c r="CW470" s="16" t="n">
        <v>0</v>
      </c>
      <c r="CX470" s="16" t="n">
        <v>0</v>
      </c>
      <c r="CY470" s="16" t="n">
        <v>0</v>
      </c>
      <c r="CZ470" s="16" t="n">
        <v>15</v>
      </c>
      <c r="DA470" s="16" t="n">
        <v>15</v>
      </c>
      <c r="DB470" s="16" t="n">
        <v>5</v>
      </c>
      <c r="DC470" s="16" t="n">
        <v>0</v>
      </c>
      <c r="DD470" s="16" t="n">
        <v>0</v>
      </c>
      <c r="DE470" s="16" t="n">
        <v>0</v>
      </c>
      <c r="DF470" s="16" t="n">
        <v>0</v>
      </c>
      <c r="DG470" s="16" t="n">
        <v>5</v>
      </c>
      <c r="DH470" s="16" t="n">
        <v>5</v>
      </c>
      <c r="DI470" s="16" t="n">
        <v>0</v>
      </c>
      <c r="DJ470" s="16" t="n">
        <v>0</v>
      </c>
      <c r="DK470" s="16" t="n">
        <v>17</v>
      </c>
      <c r="DL470" s="16" t="n">
        <v>25</v>
      </c>
      <c r="DM470" s="16" t="n">
        <v>23</v>
      </c>
      <c r="DN470" s="16" t="n">
        <v>25</v>
      </c>
      <c r="DO470" s="16" t="n">
        <v>25</v>
      </c>
      <c r="DP470" s="16" t="n">
        <v>25</v>
      </c>
      <c r="DQ470" s="16" t="n">
        <v>35</v>
      </c>
      <c r="DR470" s="16" t="n">
        <v>0</v>
      </c>
      <c r="DS470" s="16" t="n">
        <v>0</v>
      </c>
      <c r="DT470" s="16" t="n">
        <v>0</v>
      </c>
      <c r="DU470" s="16" t="n">
        <v>0</v>
      </c>
      <c r="DV470" s="16" t="n">
        <v>0</v>
      </c>
      <c r="DW470" s="16" t="n">
        <v>0</v>
      </c>
      <c r="DX470" s="16" t="n">
        <v>0</v>
      </c>
      <c r="DY470" s="16" t="n">
        <v>0</v>
      </c>
      <c r="DZ470" s="16" t="n">
        <v>0</v>
      </c>
      <c r="EA470" s="16" t="n">
        <v>0</v>
      </c>
      <c r="EB470" s="16" t="n">
        <v>0</v>
      </c>
      <c r="EC470" s="16" t="n">
        <v>0</v>
      </c>
      <c r="ED470" s="16" t="n">
        <v>0</v>
      </c>
      <c r="EE470" s="16" t="n">
        <v>0</v>
      </c>
      <c r="EF470" s="16" t="n">
        <v>0</v>
      </c>
    </row>
    <row r="471" customFormat="false" ht="15" hidden="false" customHeight="true" outlineLevel="0" collapsed="false">
      <c r="A471" s="9" t="s">
        <v>12</v>
      </c>
      <c r="B471" s="9" t="s">
        <v>25</v>
      </c>
      <c r="C471" s="9" t="s">
        <v>25</v>
      </c>
      <c r="D471" s="9" t="s">
        <v>340</v>
      </c>
      <c r="E471" s="9" t="s">
        <v>16</v>
      </c>
      <c r="F471" s="9" t="s">
        <v>86</v>
      </c>
      <c r="G471" s="16" t="n">
        <v>0</v>
      </c>
      <c r="H471" s="16" t="n">
        <v>0</v>
      </c>
      <c r="I471" s="16" t="n">
        <v>4</v>
      </c>
      <c r="J471" s="16" t="n">
        <v>-4</v>
      </c>
      <c r="K471" s="16" t="n">
        <v>0</v>
      </c>
      <c r="L471" s="16" t="n">
        <v>0</v>
      </c>
      <c r="M471" s="16" t="n">
        <v>0</v>
      </c>
      <c r="N471" s="16" t="n">
        <v>0</v>
      </c>
      <c r="O471" s="16" t="n">
        <v>0</v>
      </c>
      <c r="P471" s="16" t="n">
        <v>0</v>
      </c>
      <c r="Q471" s="16" t="n">
        <v>0</v>
      </c>
      <c r="R471" s="16" t="n">
        <v>0</v>
      </c>
      <c r="S471" s="16" t="n">
        <v>0</v>
      </c>
      <c r="T471" s="16" t="n">
        <v>0</v>
      </c>
      <c r="U471" s="16" t="n">
        <v>0</v>
      </c>
      <c r="V471" s="16" t="n">
        <v>0</v>
      </c>
      <c r="W471" s="16" t="n">
        <v>0</v>
      </c>
      <c r="X471" s="16" t="n">
        <v>0</v>
      </c>
      <c r="Y471" s="16" t="n">
        <v>3</v>
      </c>
      <c r="Z471" s="16" t="n">
        <v>1</v>
      </c>
      <c r="AA471" s="16" t="n">
        <v>0</v>
      </c>
      <c r="AB471" s="16" t="n">
        <v>0</v>
      </c>
      <c r="AC471" s="16" t="n">
        <v>0</v>
      </c>
      <c r="AD471" s="16" t="n">
        <v>0</v>
      </c>
      <c r="AE471" s="16" t="n">
        <v>0</v>
      </c>
      <c r="AF471" s="16" t="n">
        <v>0</v>
      </c>
      <c r="AG471" s="16" t="n">
        <v>0</v>
      </c>
      <c r="AH471" s="16" t="n">
        <v>0</v>
      </c>
      <c r="AI471" s="16" t="n">
        <v>0</v>
      </c>
      <c r="AJ471" s="16" t="n">
        <v>0</v>
      </c>
      <c r="AK471" s="16" t="n">
        <v>0</v>
      </c>
      <c r="AL471" s="16" t="n">
        <v>0</v>
      </c>
      <c r="AM471" s="16" t="n">
        <v>0</v>
      </c>
      <c r="AN471" s="16" t="n">
        <v>0</v>
      </c>
      <c r="AO471" s="16" t="n">
        <v>0</v>
      </c>
      <c r="AP471" s="16" t="n">
        <v>0</v>
      </c>
      <c r="AQ471" s="16" t="n">
        <v>0</v>
      </c>
      <c r="AR471" s="16" t="n">
        <v>0</v>
      </c>
      <c r="AS471" s="16" t="n">
        <v>0</v>
      </c>
      <c r="AT471" s="16" t="n">
        <v>0</v>
      </c>
      <c r="AU471" s="16" t="n">
        <v>0</v>
      </c>
      <c r="AV471" s="16" t="n">
        <v>0</v>
      </c>
      <c r="AW471" s="16" t="n">
        <v>0</v>
      </c>
      <c r="AX471" s="16" t="n">
        <v>0</v>
      </c>
      <c r="AY471" s="16" t="n">
        <v>0</v>
      </c>
      <c r="AZ471" s="16" t="n">
        <v>0</v>
      </c>
      <c r="BA471" s="16" t="n">
        <v>0</v>
      </c>
      <c r="BB471" s="16" t="n">
        <v>0</v>
      </c>
      <c r="BC471" s="16" t="n">
        <v>0</v>
      </c>
      <c r="BD471" s="16" t="n">
        <v>0</v>
      </c>
      <c r="BE471" s="16" t="n">
        <v>0</v>
      </c>
      <c r="BF471" s="16" t="n">
        <v>0</v>
      </c>
      <c r="BG471" s="16" t="n">
        <v>0</v>
      </c>
      <c r="BH471" s="16" t="n">
        <v>0</v>
      </c>
      <c r="BI471" s="16" t="n">
        <v>0</v>
      </c>
      <c r="BJ471" s="16" t="n">
        <v>0</v>
      </c>
      <c r="BK471" s="16" t="n">
        <v>0</v>
      </c>
      <c r="BL471" s="16" t="n">
        <v>0</v>
      </c>
      <c r="BM471" s="16" t="n">
        <v>0</v>
      </c>
      <c r="BN471" s="16" t="n">
        <v>0</v>
      </c>
      <c r="BO471" s="16" t="n">
        <v>0</v>
      </c>
      <c r="BP471" s="16" t="n">
        <v>0</v>
      </c>
      <c r="BQ471" s="16" t="n">
        <v>0</v>
      </c>
      <c r="BR471" s="16" t="n">
        <v>0</v>
      </c>
      <c r="BS471" s="16" t="n">
        <v>0</v>
      </c>
      <c r="BT471" s="16" t="n">
        <v>0</v>
      </c>
      <c r="BU471" s="16" t="n">
        <v>0</v>
      </c>
      <c r="BV471" s="16" t="n">
        <v>0</v>
      </c>
      <c r="BW471" s="16" t="n">
        <v>0</v>
      </c>
      <c r="BX471" s="16" t="n">
        <v>0</v>
      </c>
      <c r="BY471" s="16" t="n">
        <v>0</v>
      </c>
      <c r="BZ471" s="16" t="n">
        <v>0</v>
      </c>
      <c r="CA471" s="16" t="n">
        <v>0</v>
      </c>
      <c r="CB471" s="16" t="n">
        <v>0</v>
      </c>
      <c r="CC471" s="16" t="n">
        <v>0</v>
      </c>
      <c r="CD471" s="16" t="n">
        <v>0</v>
      </c>
      <c r="CE471" s="16" t="n">
        <v>0</v>
      </c>
      <c r="CF471" s="16" t="n">
        <v>0</v>
      </c>
      <c r="CG471" s="16" t="n">
        <v>0</v>
      </c>
      <c r="CH471" s="16" t="n">
        <v>0</v>
      </c>
      <c r="CI471" s="16" t="n">
        <v>0</v>
      </c>
      <c r="CJ471" s="16" t="n">
        <v>0</v>
      </c>
      <c r="CK471" s="16" t="n">
        <v>0</v>
      </c>
      <c r="CL471" s="16" t="n">
        <v>0</v>
      </c>
      <c r="CM471" s="16" t="n">
        <v>0</v>
      </c>
      <c r="CN471" s="16" t="n">
        <v>0</v>
      </c>
      <c r="CO471" s="16" t="n">
        <v>0</v>
      </c>
      <c r="CP471" s="16" t="n">
        <v>0</v>
      </c>
      <c r="CQ471" s="16" t="n">
        <v>0</v>
      </c>
      <c r="CR471" s="16" t="n">
        <v>0</v>
      </c>
      <c r="CS471" s="16" t="n">
        <v>0</v>
      </c>
      <c r="CT471" s="16" t="n">
        <v>0</v>
      </c>
      <c r="CU471" s="16" t="n">
        <v>0</v>
      </c>
      <c r="CV471" s="16" t="n">
        <v>0</v>
      </c>
      <c r="CW471" s="16" t="n">
        <v>0</v>
      </c>
      <c r="CX471" s="16" t="n">
        <v>0</v>
      </c>
      <c r="CY471" s="16" t="n">
        <v>0</v>
      </c>
      <c r="CZ471" s="16" t="n">
        <v>0</v>
      </c>
      <c r="DA471" s="16" t="n">
        <v>0</v>
      </c>
      <c r="DB471" s="16" t="n">
        <v>0</v>
      </c>
      <c r="DC471" s="16" t="n">
        <v>0</v>
      </c>
      <c r="DD471" s="16" t="n">
        <v>0</v>
      </c>
      <c r="DE471" s="16" t="n">
        <v>0</v>
      </c>
      <c r="DF471" s="16" t="n">
        <v>0</v>
      </c>
      <c r="DG471" s="16" t="n">
        <v>0</v>
      </c>
      <c r="DH471" s="16" t="n">
        <v>0</v>
      </c>
      <c r="DI471" s="16" t="n">
        <v>0</v>
      </c>
      <c r="DJ471" s="16" t="n">
        <v>0</v>
      </c>
      <c r="DK471" s="16" t="n">
        <v>0</v>
      </c>
      <c r="DL471" s="16" t="n">
        <v>0</v>
      </c>
      <c r="DM471" s="16" t="n">
        <v>0</v>
      </c>
      <c r="DN471" s="16" t="n">
        <v>0</v>
      </c>
      <c r="DO471" s="16" t="n">
        <v>0</v>
      </c>
      <c r="DP471" s="16" t="n">
        <v>0</v>
      </c>
      <c r="DQ471" s="16" t="n">
        <v>0</v>
      </c>
      <c r="DR471" s="16" t="n">
        <v>0</v>
      </c>
      <c r="DS471" s="16" t="n">
        <v>0</v>
      </c>
      <c r="DT471" s="16" t="n">
        <v>0</v>
      </c>
      <c r="DU471" s="16" t="n">
        <v>0</v>
      </c>
      <c r="DV471" s="16" t="n">
        <v>0</v>
      </c>
      <c r="DW471" s="16" t="n">
        <v>0</v>
      </c>
      <c r="DX471" s="16" t="n">
        <v>0</v>
      </c>
      <c r="DY471" s="16" t="n">
        <v>0</v>
      </c>
      <c r="DZ471" s="16" t="n">
        <v>0</v>
      </c>
      <c r="EA471" s="16" t="n">
        <v>0</v>
      </c>
      <c r="EB471" s="16" t="n">
        <v>0</v>
      </c>
      <c r="EC471" s="16" t="n">
        <v>0</v>
      </c>
      <c r="ED471" s="16" t="n">
        <v>0</v>
      </c>
      <c r="EE471" s="16" t="n">
        <v>0</v>
      </c>
      <c r="EF471" s="16" t="n">
        <v>0</v>
      </c>
    </row>
    <row r="472" customFormat="false" ht="15" hidden="false" customHeight="true" outlineLevel="0" collapsed="false">
      <c r="A472" s="9" t="s">
        <v>12</v>
      </c>
      <c r="B472" s="9" t="s">
        <v>25</v>
      </c>
      <c r="C472" s="9" t="s">
        <v>25</v>
      </c>
      <c r="D472" s="9" t="s">
        <v>340</v>
      </c>
      <c r="E472" s="9" t="s">
        <v>16</v>
      </c>
      <c r="F472" s="9" t="s">
        <v>98</v>
      </c>
      <c r="G472" s="16" t="n">
        <v>20</v>
      </c>
      <c r="H472" s="16" t="n">
        <v>48</v>
      </c>
      <c r="I472" s="16" t="n">
        <v>4</v>
      </c>
      <c r="J472" s="16" t="n">
        <v>44</v>
      </c>
      <c r="K472" s="16" t="n">
        <v>0</v>
      </c>
      <c r="L472" s="16" t="n">
        <v>0</v>
      </c>
      <c r="M472" s="16" t="n">
        <v>0</v>
      </c>
      <c r="N472" s="16" t="n">
        <v>0</v>
      </c>
      <c r="O472" s="16" t="n">
        <v>0</v>
      </c>
      <c r="P472" s="16" t="n">
        <v>0</v>
      </c>
      <c r="Q472" s="16" t="n">
        <v>0</v>
      </c>
      <c r="R472" s="16" t="n">
        <v>0</v>
      </c>
      <c r="S472" s="16" t="n">
        <v>0</v>
      </c>
      <c r="T472" s="16" t="n">
        <v>0</v>
      </c>
      <c r="U472" s="16" t="n">
        <v>0</v>
      </c>
      <c r="V472" s="16" t="n">
        <v>0</v>
      </c>
      <c r="W472" s="16" t="n">
        <v>0</v>
      </c>
      <c r="X472" s="16" t="n">
        <v>0</v>
      </c>
      <c r="Y472" s="16" t="n">
        <v>0</v>
      </c>
      <c r="Z472" s="16" t="n">
        <v>0</v>
      </c>
      <c r="AA472" s="16" t="n">
        <v>0</v>
      </c>
      <c r="AB472" s="16" t="n">
        <v>0</v>
      </c>
      <c r="AC472" s="16" t="n">
        <v>0</v>
      </c>
      <c r="AD472" s="16" t="n">
        <v>0</v>
      </c>
      <c r="AE472" s="16" t="n">
        <v>0</v>
      </c>
      <c r="AF472" s="16" t="n">
        <v>0</v>
      </c>
      <c r="AG472" s="16" t="n">
        <v>0</v>
      </c>
      <c r="AH472" s="16" t="n">
        <v>2</v>
      </c>
      <c r="AI472" s="16" t="n">
        <v>2</v>
      </c>
      <c r="AJ472" s="16" t="n">
        <v>0</v>
      </c>
      <c r="AK472" s="16" t="n">
        <v>0</v>
      </c>
      <c r="AL472" s="16" t="n">
        <v>0</v>
      </c>
      <c r="AM472" s="16" t="n">
        <v>0</v>
      </c>
      <c r="AN472" s="16" t="n">
        <v>0</v>
      </c>
      <c r="AO472" s="16" t="n">
        <v>0</v>
      </c>
      <c r="AP472" s="16" t="n">
        <v>0</v>
      </c>
      <c r="AQ472" s="16" t="n">
        <v>0</v>
      </c>
      <c r="AR472" s="16" t="n">
        <v>0</v>
      </c>
      <c r="AS472" s="16" t="n">
        <v>0</v>
      </c>
      <c r="AT472" s="16" t="n">
        <v>0</v>
      </c>
      <c r="AU472" s="16" t="n">
        <v>0</v>
      </c>
      <c r="AV472" s="16" t="n">
        <v>0</v>
      </c>
      <c r="AW472" s="16" t="n">
        <v>0</v>
      </c>
      <c r="AX472" s="16" t="n">
        <v>0</v>
      </c>
      <c r="AY472" s="16" t="n">
        <v>0</v>
      </c>
      <c r="AZ472" s="16" t="n">
        <v>0</v>
      </c>
      <c r="BA472" s="16" t="n">
        <v>0</v>
      </c>
      <c r="BB472" s="16" t="n">
        <v>0</v>
      </c>
      <c r="BC472" s="16" t="n">
        <v>0</v>
      </c>
      <c r="BD472" s="16" t="n">
        <v>0</v>
      </c>
      <c r="BE472" s="16" t="n">
        <v>0</v>
      </c>
      <c r="BF472" s="16" t="n">
        <v>0</v>
      </c>
      <c r="BG472" s="16" t="n">
        <v>0</v>
      </c>
      <c r="BH472" s="16" t="n">
        <v>0</v>
      </c>
      <c r="BI472" s="16" t="n">
        <v>0</v>
      </c>
      <c r="BJ472" s="16" t="n">
        <v>0</v>
      </c>
      <c r="BK472" s="16" t="n">
        <v>0</v>
      </c>
      <c r="BL472" s="16" t="n">
        <v>0</v>
      </c>
      <c r="BM472" s="16" t="n">
        <v>0</v>
      </c>
      <c r="BN472" s="16" t="n">
        <v>0</v>
      </c>
      <c r="BO472" s="16" t="n">
        <v>0</v>
      </c>
      <c r="BP472" s="16" t="n">
        <v>0</v>
      </c>
      <c r="BQ472" s="16" t="n">
        <v>0</v>
      </c>
      <c r="BR472" s="16" t="n">
        <v>0</v>
      </c>
      <c r="BS472" s="16" t="n">
        <v>0</v>
      </c>
      <c r="BT472" s="16" t="n">
        <v>0</v>
      </c>
      <c r="BU472" s="16" t="n">
        <v>0</v>
      </c>
      <c r="BV472" s="16" t="n">
        <v>0</v>
      </c>
      <c r="BW472" s="16" t="n">
        <v>0</v>
      </c>
      <c r="BX472" s="16" t="n">
        <v>0</v>
      </c>
      <c r="BY472" s="16" t="n">
        <v>0</v>
      </c>
      <c r="BZ472" s="16" t="n">
        <v>0</v>
      </c>
      <c r="CA472" s="16" t="n">
        <v>0</v>
      </c>
      <c r="CB472" s="16" t="n">
        <v>0</v>
      </c>
      <c r="CC472" s="16" t="n">
        <v>0</v>
      </c>
      <c r="CD472" s="16" t="n">
        <v>0</v>
      </c>
      <c r="CE472" s="16" t="n">
        <v>0</v>
      </c>
      <c r="CF472" s="16" t="n">
        <v>0</v>
      </c>
      <c r="CG472" s="16" t="n">
        <v>0</v>
      </c>
      <c r="CH472" s="16" t="n">
        <v>0</v>
      </c>
      <c r="CI472" s="16" t="n">
        <v>0</v>
      </c>
      <c r="CJ472" s="16" t="n">
        <v>0</v>
      </c>
      <c r="CK472" s="16" t="n">
        <v>0</v>
      </c>
      <c r="CL472" s="16" t="n">
        <v>0</v>
      </c>
      <c r="CM472" s="16" t="n">
        <v>0</v>
      </c>
      <c r="CN472" s="16" t="n">
        <v>0</v>
      </c>
      <c r="CO472" s="16" t="n">
        <v>0</v>
      </c>
      <c r="CP472" s="16" t="n">
        <v>0</v>
      </c>
      <c r="CQ472" s="16" t="n">
        <v>0</v>
      </c>
      <c r="CR472" s="16" t="n">
        <v>0</v>
      </c>
      <c r="CS472" s="16" t="n">
        <v>0</v>
      </c>
      <c r="CT472" s="16" t="n">
        <v>0</v>
      </c>
      <c r="CU472" s="16" t="n">
        <v>0</v>
      </c>
      <c r="CV472" s="16" t="n">
        <v>0</v>
      </c>
      <c r="CW472" s="16" t="n">
        <v>0</v>
      </c>
      <c r="CX472" s="16" t="n">
        <v>0</v>
      </c>
      <c r="CY472" s="16" t="n">
        <v>0</v>
      </c>
      <c r="CZ472" s="16" t="n">
        <v>0</v>
      </c>
      <c r="DA472" s="16" t="n">
        <v>0</v>
      </c>
      <c r="DB472" s="16" t="n">
        <v>0</v>
      </c>
      <c r="DC472" s="16" t="n">
        <v>0</v>
      </c>
      <c r="DD472" s="16" t="n">
        <v>0</v>
      </c>
      <c r="DE472" s="16" t="n">
        <v>0</v>
      </c>
      <c r="DF472" s="16" t="n">
        <v>0</v>
      </c>
      <c r="DG472" s="16" t="n">
        <v>0</v>
      </c>
      <c r="DH472" s="16" t="n">
        <v>0</v>
      </c>
      <c r="DI472" s="16" t="n">
        <v>0</v>
      </c>
      <c r="DJ472" s="16" t="n">
        <v>0</v>
      </c>
      <c r="DK472" s="16" t="n">
        <v>0</v>
      </c>
      <c r="DL472" s="16" t="n">
        <v>0</v>
      </c>
      <c r="DM472" s="16" t="n">
        <v>0</v>
      </c>
      <c r="DN472" s="16" t="n">
        <v>0</v>
      </c>
      <c r="DO472" s="16" t="n">
        <v>0</v>
      </c>
      <c r="DP472" s="16" t="n">
        <v>0</v>
      </c>
      <c r="DQ472" s="16" t="n">
        <v>0</v>
      </c>
      <c r="DR472" s="16" t="n">
        <v>0</v>
      </c>
      <c r="DS472" s="16" t="n">
        <v>0</v>
      </c>
      <c r="DT472" s="16" t="n">
        <v>0</v>
      </c>
      <c r="DU472" s="16" t="n">
        <v>0</v>
      </c>
      <c r="DV472" s="16" t="n">
        <v>0</v>
      </c>
      <c r="DW472" s="16" t="n">
        <v>0</v>
      </c>
      <c r="DX472" s="16" t="n">
        <v>0</v>
      </c>
      <c r="DY472" s="16" t="n">
        <v>0</v>
      </c>
      <c r="DZ472" s="16" t="n">
        <v>0</v>
      </c>
      <c r="EA472" s="16" t="n">
        <v>0</v>
      </c>
      <c r="EB472" s="16" t="n">
        <v>0</v>
      </c>
      <c r="EC472" s="16" t="n">
        <v>0</v>
      </c>
      <c r="ED472" s="16" t="n">
        <v>0</v>
      </c>
      <c r="EE472" s="16" t="n">
        <v>0</v>
      </c>
      <c r="EF472" s="16" t="n">
        <v>0</v>
      </c>
    </row>
    <row r="473" customFormat="false" ht="15" hidden="false" customHeight="true" outlineLevel="0" collapsed="false">
      <c r="A473" s="9" t="s">
        <v>12</v>
      </c>
      <c r="B473" s="9" t="s">
        <v>25</v>
      </c>
      <c r="C473" s="9" t="s">
        <v>25</v>
      </c>
      <c r="D473" s="9" t="s">
        <v>339</v>
      </c>
      <c r="E473" s="9" t="s">
        <v>16</v>
      </c>
      <c r="F473" s="9" t="s">
        <v>98</v>
      </c>
      <c r="G473" s="16" t="n">
        <v>0</v>
      </c>
      <c r="H473" s="16" t="n">
        <v>0</v>
      </c>
      <c r="I473" s="16" t="n">
        <v>24.5</v>
      </c>
      <c r="J473" s="16" t="n">
        <v>-24.5</v>
      </c>
      <c r="K473" s="16" t="n">
        <v>0</v>
      </c>
      <c r="L473" s="16" t="n">
        <v>0</v>
      </c>
      <c r="M473" s="16" t="n">
        <v>0</v>
      </c>
      <c r="N473" s="16" t="n">
        <v>0</v>
      </c>
      <c r="O473" s="16" t="n">
        <v>0</v>
      </c>
      <c r="P473" s="16" t="n">
        <v>0</v>
      </c>
      <c r="Q473" s="16" t="n">
        <v>0</v>
      </c>
      <c r="R473" s="16" t="n">
        <v>0</v>
      </c>
      <c r="S473" s="16" t="n">
        <v>0</v>
      </c>
      <c r="T473" s="16" t="n">
        <v>0</v>
      </c>
      <c r="U473" s="16" t="n">
        <v>0</v>
      </c>
      <c r="V473" s="16" t="n">
        <v>0</v>
      </c>
      <c r="W473" s="16" t="n">
        <v>0</v>
      </c>
      <c r="X473" s="16" t="n">
        <v>0</v>
      </c>
      <c r="Y473" s="16" t="n">
        <v>0</v>
      </c>
      <c r="Z473" s="16" t="n">
        <v>0</v>
      </c>
      <c r="AA473" s="16" t="n">
        <v>0</v>
      </c>
      <c r="AB473" s="16" t="n">
        <v>0</v>
      </c>
      <c r="AC473" s="16" t="n">
        <v>0</v>
      </c>
      <c r="AD473" s="16" t="n">
        <v>0</v>
      </c>
      <c r="AE473" s="16" t="n">
        <v>0</v>
      </c>
      <c r="AF473" s="16" t="n">
        <v>0</v>
      </c>
      <c r="AG473" s="16" t="n">
        <v>0</v>
      </c>
      <c r="AH473" s="16" t="n">
        <v>0</v>
      </c>
      <c r="AI473" s="16" t="n">
        <v>0</v>
      </c>
      <c r="AJ473" s="16" t="n">
        <v>0</v>
      </c>
      <c r="AK473" s="16" t="n">
        <v>1</v>
      </c>
      <c r="AL473" s="16" t="n">
        <v>0.5</v>
      </c>
      <c r="AM473" s="16" t="n">
        <v>1</v>
      </c>
      <c r="AN473" s="16" t="n">
        <v>2</v>
      </c>
      <c r="AO473" s="16" t="n">
        <v>2</v>
      </c>
      <c r="AP473" s="16" t="n">
        <v>2</v>
      </c>
      <c r="AQ473" s="16" t="n">
        <v>0</v>
      </c>
      <c r="AR473" s="16" t="n">
        <v>0</v>
      </c>
      <c r="AS473" s="16" t="n">
        <v>2</v>
      </c>
      <c r="AT473" s="16" t="n">
        <v>0</v>
      </c>
      <c r="AU473" s="16" t="n">
        <v>0</v>
      </c>
      <c r="AV473" s="16" t="n">
        <v>0</v>
      </c>
      <c r="AW473" s="16" t="n">
        <v>0</v>
      </c>
      <c r="AX473" s="16" t="n">
        <v>0</v>
      </c>
      <c r="AY473" s="16" t="n">
        <v>0</v>
      </c>
      <c r="AZ473" s="16" t="n">
        <v>0</v>
      </c>
      <c r="BA473" s="16" t="n">
        <v>0</v>
      </c>
      <c r="BB473" s="16" t="n">
        <v>0</v>
      </c>
      <c r="BC473" s="16" t="n">
        <v>0</v>
      </c>
      <c r="BD473" s="16" t="n">
        <v>0</v>
      </c>
      <c r="BE473" s="16" t="n">
        <v>0</v>
      </c>
      <c r="BF473" s="16" t="n">
        <v>0</v>
      </c>
      <c r="BG473" s="16" t="n">
        <v>0</v>
      </c>
      <c r="BH473" s="16" t="n">
        <v>0</v>
      </c>
      <c r="BI473" s="16" t="n">
        <v>0</v>
      </c>
      <c r="BJ473" s="16" t="n">
        <v>0</v>
      </c>
      <c r="BK473" s="16" t="n">
        <v>0</v>
      </c>
      <c r="BL473" s="16" t="n">
        <v>0</v>
      </c>
      <c r="BM473" s="16" t="n">
        <v>0</v>
      </c>
      <c r="BN473" s="16" t="n">
        <v>0</v>
      </c>
      <c r="BO473" s="16" t="n">
        <v>0</v>
      </c>
      <c r="BP473" s="16" t="n">
        <v>0</v>
      </c>
      <c r="BQ473" s="16" t="n">
        <v>0</v>
      </c>
      <c r="BR473" s="16" t="n">
        <v>0</v>
      </c>
      <c r="BS473" s="16" t="n">
        <v>0</v>
      </c>
      <c r="BT473" s="16" t="n">
        <v>0</v>
      </c>
      <c r="BU473" s="16" t="n">
        <v>0</v>
      </c>
      <c r="BV473" s="16" t="n">
        <v>0</v>
      </c>
      <c r="BW473" s="16" t="n">
        <v>0</v>
      </c>
      <c r="BX473" s="16" t="n">
        <v>0</v>
      </c>
      <c r="BY473" s="16" t="n">
        <v>0</v>
      </c>
      <c r="BZ473" s="16" t="n">
        <v>0</v>
      </c>
      <c r="CA473" s="16" t="n">
        <v>0</v>
      </c>
      <c r="CB473" s="16" t="n">
        <v>0</v>
      </c>
      <c r="CC473" s="16" t="n">
        <v>0</v>
      </c>
      <c r="CD473" s="16" t="n">
        <v>0</v>
      </c>
      <c r="CE473" s="16" t="n">
        <v>0</v>
      </c>
      <c r="CF473" s="16" t="n">
        <v>0</v>
      </c>
      <c r="CG473" s="16" t="n">
        <v>0</v>
      </c>
      <c r="CH473" s="16" t="n">
        <v>0</v>
      </c>
      <c r="CI473" s="16" t="n">
        <v>0</v>
      </c>
      <c r="CJ473" s="16" t="n">
        <v>0</v>
      </c>
      <c r="CK473" s="16" t="n">
        <v>0</v>
      </c>
      <c r="CL473" s="16" t="n">
        <v>0</v>
      </c>
      <c r="CM473" s="16" t="n">
        <v>0</v>
      </c>
      <c r="CN473" s="16" t="n">
        <v>0</v>
      </c>
      <c r="CO473" s="16" t="n">
        <v>0</v>
      </c>
      <c r="CP473" s="16" t="n">
        <v>0</v>
      </c>
      <c r="CQ473" s="16" t="n">
        <v>0</v>
      </c>
      <c r="CR473" s="16" t="n">
        <v>0</v>
      </c>
      <c r="CS473" s="16" t="n">
        <v>2</v>
      </c>
      <c r="CT473" s="16" t="n">
        <v>0</v>
      </c>
      <c r="CU473" s="16" t="n">
        <v>0</v>
      </c>
      <c r="CV473" s="16" t="n">
        <v>0</v>
      </c>
      <c r="CW473" s="16" t="n">
        <v>0</v>
      </c>
      <c r="CX473" s="16" t="n">
        <v>0</v>
      </c>
      <c r="CY473" s="16" t="n">
        <v>0</v>
      </c>
      <c r="CZ473" s="16" t="n">
        <v>0</v>
      </c>
      <c r="DA473" s="16" t="n">
        <v>0</v>
      </c>
      <c r="DB473" s="16" t="n">
        <v>0</v>
      </c>
      <c r="DC473" s="16" t="n">
        <v>0</v>
      </c>
      <c r="DD473" s="16" t="n">
        <v>0</v>
      </c>
      <c r="DE473" s="16" t="n">
        <v>0</v>
      </c>
      <c r="DF473" s="16" t="n">
        <v>0</v>
      </c>
      <c r="DG473" s="16" t="n">
        <v>0</v>
      </c>
      <c r="DH473" s="16" t="n">
        <v>0</v>
      </c>
      <c r="DI473" s="16" t="n">
        <v>0</v>
      </c>
      <c r="DJ473" s="16" t="n">
        <v>0</v>
      </c>
      <c r="DK473" s="16" t="n">
        <v>2</v>
      </c>
      <c r="DL473" s="16" t="n">
        <v>2</v>
      </c>
      <c r="DM473" s="16" t="n">
        <v>2</v>
      </c>
      <c r="DN473" s="16" t="n">
        <v>2</v>
      </c>
      <c r="DO473" s="16" t="n">
        <v>2</v>
      </c>
      <c r="DP473" s="16" t="n">
        <v>2</v>
      </c>
      <c r="DQ473" s="16" t="n">
        <v>2</v>
      </c>
      <c r="DR473" s="16" t="n">
        <v>0</v>
      </c>
      <c r="DS473" s="16" t="n">
        <v>0</v>
      </c>
      <c r="DT473" s="16" t="n">
        <v>0</v>
      </c>
      <c r="DU473" s="16" t="n">
        <v>0</v>
      </c>
      <c r="DV473" s="16" t="n">
        <v>0</v>
      </c>
      <c r="DW473" s="16" t="n">
        <v>0</v>
      </c>
      <c r="DX473" s="16" t="n">
        <v>0</v>
      </c>
      <c r="DY473" s="16" t="n">
        <v>0</v>
      </c>
      <c r="DZ473" s="16" t="n">
        <v>0</v>
      </c>
      <c r="EA473" s="16" t="n">
        <v>0</v>
      </c>
      <c r="EB473" s="16" t="n">
        <v>0</v>
      </c>
      <c r="EC473" s="16" t="n">
        <v>0</v>
      </c>
      <c r="ED473" s="16" t="n">
        <v>0</v>
      </c>
      <c r="EE473" s="16" t="n">
        <v>0</v>
      </c>
      <c r="EF473" s="16" t="n">
        <v>0</v>
      </c>
    </row>
    <row r="474" customFormat="false" ht="15" hidden="false" customHeight="true" outlineLevel="0" collapsed="false">
      <c r="A474" s="9" t="s">
        <v>12</v>
      </c>
      <c r="B474" s="9" t="s">
        <v>25</v>
      </c>
      <c r="C474" s="9" t="s">
        <v>25</v>
      </c>
      <c r="D474" s="9" t="s">
        <v>340</v>
      </c>
      <c r="E474" s="9" t="s">
        <v>16</v>
      </c>
      <c r="F474" s="9" t="s">
        <v>99</v>
      </c>
      <c r="G474" s="16" t="n">
        <v>64</v>
      </c>
      <c r="H474" s="16" t="n">
        <v>200</v>
      </c>
      <c r="I474" s="16" t="n">
        <v>8.5</v>
      </c>
      <c r="J474" s="16" t="n">
        <v>191.5</v>
      </c>
      <c r="K474" s="16" t="n">
        <v>0</v>
      </c>
      <c r="L474" s="16" t="n">
        <v>0</v>
      </c>
      <c r="M474" s="16" t="n">
        <v>0</v>
      </c>
      <c r="N474" s="16" t="n">
        <v>0</v>
      </c>
      <c r="O474" s="16" t="n">
        <v>0</v>
      </c>
      <c r="P474" s="16" t="n">
        <v>0</v>
      </c>
      <c r="Q474" s="16" t="n">
        <v>0</v>
      </c>
      <c r="R474" s="16" t="n">
        <v>0</v>
      </c>
      <c r="S474" s="16" t="n">
        <v>0</v>
      </c>
      <c r="T474" s="16" t="n">
        <v>0</v>
      </c>
      <c r="U474" s="16" t="n">
        <v>0</v>
      </c>
      <c r="V474" s="16" t="n">
        <v>0</v>
      </c>
      <c r="W474" s="16" t="n">
        <v>0</v>
      </c>
      <c r="X474" s="16" t="n">
        <v>0</v>
      </c>
      <c r="Y474" s="16" t="n">
        <v>0</v>
      </c>
      <c r="Z474" s="16" t="n">
        <v>0</v>
      </c>
      <c r="AA474" s="16" t="n">
        <v>0</v>
      </c>
      <c r="AB474" s="16" t="n">
        <v>0</v>
      </c>
      <c r="AC474" s="16" t="n">
        <v>0</v>
      </c>
      <c r="AD474" s="16" t="n">
        <v>0</v>
      </c>
      <c r="AE474" s="16" t="n">
        <v>0</v>
      </c>
      <c r="AF474" s="16" t="n">
        <v>0</v>
      </c>
      <c r="AG474" s="16" t="n">
        <v>0</v>
      </c>
      <c r="AH474" s="16" t="n">
        <v>2.5</v>
      </c>
      <c r="AI474" s="16" t="n">
        <v>3</v>
      </c>
      <c r="AJ474" s="16" t="n">
        <v>3</v>
      </c>
      <c r="AK474" s="16" t="n">
        <v>0</v>
      </c>
      <c r="AL474" s="16" t="n">
        <v>0</v>
      </c>
      <c r="AM474" s="16" t="n">
        <v>0</v>
      </c>
      <c r="AN474" s="16" t="n">
        <v>0</v>
      </c>
      <c r="AO474" s="16" t="n">
        <v>0</v>
      </c>
      <c r="AP474" s="16" t="n">
        <v>0</v>
      </c>
      <c r="AQ474" s="16" t="n">
        <v>0</v>
      </c>
      <c r="AR474" s="16" t="n">
        <v>0</v>
      </c>
      <c r="AS474" s="16" t="n">
        <v>0</v>
      </c>
      <c r="AT474" s="16" t="n">
        <v>0</v>
      </c>
      <c r="AU474" s="16" t="n">
        <v>0</v>
      </c>
      <c r="AV474" s="16" t="n">
        <v>0</v>
      </c>
      <c r="AW474" s="16" t="n">
        <v>0</v>
      </c>
      <c r="AX474" s="16" t="n">
        <v>0</v>
      </c>
      <c r="AY474" s="16" t="n">
        <v>0</v>
      </c>
      <c r="AZ474" s="16" t="n">
        <v>0</v>
      </c>
      <c r="BA474" s="16" t="n">
        <v>0</v>
      </c>
      <c r="BB474" s="16" t="n">
        <v>0</v>
      </c>
      <c r="BC474" s="16" t="n">
        <v>0</v>
      </c>
      <c r="BD474" s="16" t="n">
        <v>0</v>
      </c>
      <c r="BE474" s="16" t="n">
        <v>0</v>
      </c>
      <c r="BF474" s="16" t="n">
        <v>0</v>
      </c>
      <c r="BG474" s="16" t="n">
        <v>0</v>
      </c>
      <c r="BH474" s="16" t="n">
        <v>0</v>
      </c>
      <c r="BI474" s="16" t="n">
        <v>0</v>
      </c>
      <c r="BJ474" s="16" t="n">
        <v>0</v>
      </c>
      <c r="BK474" s="16" t="n">
        <v>0</v>
      </c>
      <c r="BL474" s="16" t="n">
        <v>0</v>
      </c>
      <c r="BM474" s="16" t="n">
        <v>0</v>
      </c>
      <c r="BN474" s="16" t="n">
        <v>0</v>
      </c>
      <c r="BO474" s="16" t="n">
        <v>0</v>
      </c>
      <c r="BP474" s="16" t="n">
        <v>0</v>
      </c>
      <c r="BQ474" s="16" t="n">
        <v>0</v>
      </c>
      <c r="BR474" s="16" t="n">
        <v>0</v>
      </c>
      <c r="BS474" s="16" t="n">
        <v>0</v>
      </c>
      <c r="BT474" s="16" t="n">
        <v>0</v>
      </c>
      <c r="BU474" s="16" t="n">
        <v>0</v>
      </c>
      <c r="BV474" s="16" t="n">
        <v>0</v>
      </c>
      <c r="BW474" s="16" t="n">
        <v>0</v>
      </c>
      <c r="BX474" s="16" t="n">
        <v>0</v>
      </c>
      <c r="BY474" s="16" t="n">
        <v>0</v>
      </c>
      <c r="BZ474" s="16" t="n">
        <v>0</v>
      </c>
      <c r="CA474" s="16" t="n">
        <v>0</v>
      </c>
      <c r="CB474" s="16" t="n">
        <v>0</v>
      </c>
      <c r="CC474" s="16" t="n">
        <v>0</v>
      </c>
      <c r="CD474" s="16" t="n">
        <v>0</v>
      </c>
      <c r="CE474" s="16" t="n">
        <v>0</v>
      </c>
      <c r="CF474" s="16" t="n">
        <v>0</v>
      </c>
      <c r="CG474" s="16" t="n">
        <v>0</v>
      </c>
      <c r="CH474" s="16" t="n">
        <v>0</v>
      </c>
      <c r="CI474" s="16" t="n">
        <v>0</v>
      </c>
      <c r="CJ474" s="16" t="n">
        <v>0</v>
      </c>
      <c r="CK474" s="16" t="n">
        <v>0</v>
      </c>
      <c r="CL474" s="16" t="n">
        <v>0</v>
      </c>
      <c r="CM474" s="16" t="n">
        <v>0</v>
      </c>
      <c r="CN474" s="16" t="n">
        <v>0</v>
      </c>
      <c r="CO474" s="16" t="n">
        <v>0</v>
      </c>
      <c r="CP474" s="16" t="n">
        <v>0</v>
      </c>
      <c r="CQ474" s="16" t="n">
        <v>0</v>
      </c>
      <c r="CR474" s="16" t="n">
        <v>0</v>
      </c>
      <c r="CS474" s="16" t="n">
        <v>0</v>
      </c>
      <c r="CT474" s="16" t="n">
        <v>0</v>
      </c>
      <c r="CU474" s="16" t="n">
        <v>0</v>
      </c>
      <c r="CV474" s="16" t="n">
        <v>0</v>
      </c>
      <c r="CW474" s="16" t="n">
        <v>0</v>
      </c>
      <c r="CX474" s="16" t="n">
        <v>0</v>
      </c>
      <c r="CY474" s="16" t="n">
        <v>0</v>
      </c>
      <c r="CZ474" s="16" t="n">
        <v>0</v>
      </c>
      <c r="DA474" s="16" t="n">
        <v>0</v>
      </c>
      <c r="DB474" s="16" t="n">
        <v>0</v>
      </c>
      <c r="DC474" s="16" t="n">
        <v>0</v>
      </c>
      <c r="DD474" s="16" t="n">
        <v>0</v>
      </c>
      <c r="DE474" s="16" t="n">
        <v>0</v>
      </c>
      <c r="DF474" s="16" t="n">
        <v>0</v>
      </c>
      <c r="DG474" s="16" t="n">
        <v>0</v>
      </c>
      <c r="DH474" s="16" t="n">
        <v>0</v>
      </c>
      <c r="DI474" s="16" t="n">
        <v>0</v>
      </c>
      <c r="DJ474" s="16" t="n">
        <v>0</v>
      </c>
      <c r="DK474" s="16" t="n">
        <v>0</v>
      </c>
      <c r="DL474" s="16" t="n">
        <v>0</v>
      </c>
      <c r="DM474" s="16" t="n">
        <v>0</v>
      </c>
      <c r="DN474" s="16" t="n">
        <v>0</v>
      </c>
      <c r="DO474" s="16" t="n">
        <v>0</v>
      </c>
      <c r="DP474" s="16" t="n">
        <v>0</v>
      </c>
      <c r="DQ474" s="16" t="n">
        <v>0</v>
      </c>
      <c r="DR474" s="16" t="n">
        <v>0</v>
      </c>
      <c r="DS474" s="16" t="n">
        <v>0</v>
      </c>
      <c r="DT474" s="16" t="n">
        <v>0</v>
      </c>
      <c r="DU474" s="16" t="n">
        <v>0</v>
      </c>
      <c r="DV474" s="16" t="n">
        <v>0</v>
      </c>
      <c r="DW474" s="16" t="n">
        <v>0</v>
      </c>
      <c r="DX474" s="16" t="n">
        <v>0</v>
      </c>
      <c r="DY474" s="16" t="n">
        <v>0</v>
      </c>
      <c r="DZ474" s="16" t="n">
        <v>0</v>
      </c>
      <c r="EA474" s="16" t="n">
        <v>0</v>
      </c>
      <c r="EB474" s="16" t="n">
        <v>0</v>
      </c>
      <c r="EC474" s="16" t="n">
        <v>0</v>
      </c>
      <c r="ED474" s="16" t="n">
        <v>0</v>
      </c>
      <c r="EE474" s="16" t="n">
        <v>0</v>
      </c>
      <c r="EF474" s="16" t="n">
        <v>0</v>
      </c>
    </row>
    <row r="475" customFormat="false" ht="15" hidden="false" customHeight="true" outlineLevel="0" collapsed="false">
      <c r="A475" s="9" t="s">
        <v>12</v>
      </c>
      <c r="B475" s="9" t="s">
        <v>25</v>
      </c>
      <c r="C475" s="9" t="s">
        <v>25</v>
      </c>
      <c r="D475" s="9" t="s">
        <v>339</v>
      </c>
      <c r="E475" s="9" t="s">
        <v>16</v>
      </c>
      <c r="F475" s="9" t="s">
        <v>99</v>
      </c>
      <c r="G475" s="16" t="n">
        <v>0</v>
      </c>
      <c r="H475" s="16" t="n">
        <v>0</v>
      </c>
      <c r="I475" s="16" t="n">
        <v>182</v>
      </c>
      <c r="J475" s="16" t="n">
        <v>-182</v>
      </c>
      <c r="K475" s="16" t="n">
        <v>0</v>
      </c>
      <c r="L475" s="16" t="n">
        <v>0</v>
      </c>
      <c r="M475" s="16" t="n">
        <v>0</v>
      </c>
      <c r="N475" s="16" t="n">
        <v>0</v>
      </c>
      <c r="O475" s="16" t="n">
        <v>0</v>
      </c>
      <c r="P475" s="16" t="n">
        <v>0</v>
      </c>
      <c r="Q475" s="16" t="n">
        <v>0</v>
      </c>
      <c r="R475" s="16" t="n">
        <v>0</v>
      </c>
      <c r="S475" s="16" t="n">
        <v>0</v>
      </c>
      <c r="T475" s="16" t="n">
        <v>0</v>
      </c>
      <c r="U475" s="16" t="n">
        <v>0</v>
      </c>
      <c r="V475" s="16" t="n">
        <v>0</v>
      </c>
      <c r="W475" s="16" t="n">
        <v>0</v>
      </c>
      <c r="X475" s="16" t="n">
        <v>0</v>
      </c>
      <c r="Y475" s="16" t="n">
        <v>0</v>
      </c>
      <c r="Z475" s="16" t="n">
        <v>0</v>
      </c>
      <c r="AA475" s="16" t="n">
        <v>0</v>
      </c>
      <c r="AB475" s="16" t="n">
        <v>0</v>
      </c>
      <c r="AC475" s="16" t="n">
        <v>0</v>
      </c>
      <c r="AD475" s="16" t="n">
        <v>0</v>
      </c>
      <c r="AE475" s="16" t="n">
        <v>0</v>
      </c>
      <c r="AF475" s="16" t="n">
        <v>0</v>
      </c>
      <c r="AG475" s="16" t="n">
        <v>0</v>
      </c>
      <c r="AH475" s="16" t="n">
        <v>0</v>
      </c>
      <c r="AI475" s="16" t="n">
        <v>0</v>
      </c>
      <c r="AJ475" s="16" t="n">
        <v>2</v>
      </c>
      <c r="AK475" s="16" t="n">
        <v>3</v>
      </c>
      <c r="AL475" s="16" t="n">
        <v>4</v>
      </c>
      <c r="AM475" s="16" t="n">
        <v>10</v>
      </c>
      <c r="AN475" s="16" t="n">
        <v>6.5</v>
      </c>
      <c r="AO475" s="16" t="n">
        <v>10</v>
      </c>
      <c r="AP475" s="16" t="n">
        <v>5.5</v>
      </c>
      <c r="AQ475" s="16" t="n">
        <v>0</v>
      </c>
      <c r="AR475" s="16" t="n">
        <v>3.5</v>
      </c>
      <c r="AS475" s="16" t="n">
        <v>2</v>
      </c>
      <c r="AT475" s="16" t="n">
        <v>0</v>
      </c>
      <c r="AU475" s="16" t="n">
        <v>0</v>
      </c>
      <c r="AV475" s="16" t="n">
        <v>0</v>
      </c>
      <c r="AW475" s="16" t="n">
        <v>0</v>
      </c>
      <c r="AX475" s="16" t="n">
        <v>0</v>
      </c>
      <c r="AY475" s="16" t="n">
        <v>0</v>
      </c>
      <c r="AZ475" s="16" t="n">
        <v>0</v>
      </c>
      <c r="BA475" s="16" t="n">
        <v>0</v>
      </c>
      <c r="BB475" s="16" t="n">
        <v>0</v>
      </c>
      <c r="BC475" s="16" t="n">
        <v>0</v>
      </c>
      <c r="BD475" s="16" t="n">
        <v>0</v>
      </c>
      <c r="BE475" s="16" t="n">
        <v>0</v>
      </c>
      <c r="BF475" s="16" t="n">
        <v>0</v>
      </c>
      <c r="BG475" s="16" t="n">
        <v>0</v>
      </c>
      <c r="BH475" s="16" t="n">
        <v>0</v>
      </c>
      <c r="BI475" s="16" t="n">
        <v>0</v>
      </c>
      <c r="BJ475" s="16" t="n">
        <v>0</v>
      </c>
      <c r="BK475" s="16" t="n">
        <v>0</v>
      </c>
      <c r="BL475" s="16" t="n">
        <v>0</v>
      </c>
      <c r="BM475" s="16" t="n">
        <v>0</v>
      </c>
      <c r="BN475" s="16" t="n">
        <v>0</v>
      </c>
      <c r="BO475" s="16" t="n">
        <v>0</v>
      </c>
      <c r="BP475" s="16" t="n">
        <v>0</v>
      </c>
      <c r="BQ475" s="16" t="n">
        <v>0</v>
      </c>
      <c r="BR475" s="16" t="n">
        <v>0</v>
      </c>
      <c r="BS475" s="16" t="n">
        <v>0</v>
      </c>
      <c r="BT475" s="16" t="n">
        <v>0</v>
      </c>
      <c r="BU475" s="16" t="n">
        <v>0</v>
      </c>
      <c r="BV475" s="16" t="n">
        <v>0</v>
      </c>
      <c r="BW475" s="16" t="n">
        <v>0</v>
      </c>
      <c r="BX475" s="16" t="n">
        <v>0</v>
      </c>
      <c r="BY475" s="16" t="n">
        <v>0</v>
      </c>
      <c r="BZ475" s="16" t="n">
        <v>0</v>
      </c>
      <c r="CA475" s="16" t="n">
        <v>0</v>
      </c>
      <c r="CB475" s="16" t="n">
        <v>0</v>
      </c>
      <c r="CC475" s="16" t="n">
        <v>0</v>
      </c>
      <c r="CD475" s="16" t="n">
        <v>0</v>
      </c>
      <c r="CE475" s="16" t="n">
        <v>0</v>
      </c>
      <c r="CF475" s="16" t="n">
        <v>0</v>
      </c>
      <c r="CG475" s="16" t="n">
        <v>0</v>
      </c>
      <c r="CH475" s="16" t="n">
        <v>0</v>
      </c>
      <c r="CI475" s="16" t="n">
        <v>0</v>
      </c>
      <c r="CJ475" s="16" t="n">
        <v>0</v>
      </c>
      <c r="CK475" s="16" t="n">
        <v>0</v>
      </c>
      <c r="CL475" s="16" t="n">
        <v>0</v>
      </c>
      <c r="CM475" s="16" t="n">
        <v>0</v>
      </c>
      <c r="CN475" s="16" t="n">
        <v>0</v>
      </c>
      <c r="CO475" s="16" t="n">
        <v>0</v>
      </c>
      <c r="CP475" s="16" t="n">
        <v>0</v>
      </c>
      <c r="CQ475" s="16" t="n">
        <v>0</v>
      </c>
      <c r="CR475" s="16" t="n">
        <v>0</v>
      </c>
      <c r="CS475" s="16" t="n">
        <v>5.5</v>
      </c>
      <c r="CT475" s="16" t="n">
        <v>4</v>
      </c>
      <c r="CU475" s="16" t="n">
        <v>3</v>
      </c>
      <c r="CV475" s="16" t="n">
        <v>0</v>
      </c>
      <c r="CW475" s="16" t="n">
        <v>0</v>
      </c>
      <c r="CX475" s="16" t="n">
        <v>0</v>
      </c>
      <c r="CY475" s="16" t="n">
        <v>0</v>
      </c>
      <c r="CZ475" s="16" t="n">
        <v>0</v>
      </c>
      <c r="DA475" s="16" t="n">
        <v>0</v>
      </c>
      <c r="DB475" s="16" t="n">
        <v>0</v>
      </c>
      <c r="DC475" s="16" t="n">
        <v>0</v>
      </c>
      <c r="DD475" s="16" t="n">
        <v>0</v>
      </c>
      <c r="DE475" s="16" t="n">
        <v>0</v>
      </c>
      <c r="DF475" s="16" t="n">
        <v>0</v>
      </c>
      <c r="DG475" s="16" t="n">
        <v>0</v>
      </c>
      <c r="DH475" s="16" t="n">
        <v>3</v>
      </c>
      <c r="DI475" s="16" t="n">
        <v>0</v>
      </c>
      <c r="DJ475" s="16" t="n">
        <v>0</v>
      </c>
      <c r="DK475" s="16" t="n">
        <v>2</v>
      </c>
      <c r="DL475" s="16" t="n">
        <v>15</v>
      </c>
      <c r="DM475" s="16" t="n">
        <v>15</v>
      </c>
      <c r="DN475" s="16" t="n">
        <v>15</v>
      </c>
      <c r="DO475" s="16" t="n">
        <v>15</v>
      </c>
      <c r="DP475" s="16" t="n">
        <v>20</v>
      </c>
      <c r="DQ475" s="16" t="n">
        <v>20</v>
      </c>
      <c r="DR475" s="16" t="n">
        <v>20</v>
      </c>
      <c r="DS475" s="16" t="n">
        <v>0</v>
      </c>
      <c r="DT475" s="16" t="n">
        <v>0</v>
      </c>
      <c r="DU475" s="16" t="n">
        <v>0</v>
      </c>
      <c r="DV475" s="16" t="n">
        <v>0</v>
      </c>
      <c r="DW475" s="16" t="n">
        <v>0</v>
      </c>
      <c r="DX475" s="16" t="n">
        <v>0</v>
      </c>
      <c r="DY475" s="16" t="n">
        <v>0</v>
      </c>
      <c r="DZ475" s="16" t="n">
        <v>0</v>
      </c>
      <c r="EA475" s="16" t="n">
        <v>0</v>
      </c>
      <c r="EB475" s="16" t="n">
        <v>0</v>
      </c>
      <c r="EC475" s="16" t="n">
        <v>0</v>
      </c>
      <c r="ED475" s="16" t="n">
        <v>0</v>
      </c>
      <c r="EE475" s="16" t="n">
        <v>0</v>
      </c>
      <c r="EF475" s="16" t="n">
        <v>0</v>
      </c>
    </row>
    <row r="476" customFormat="false" ht="15" hidden="false" customHeight="true" outlineLevel="0" collapsed="false">
      <c r="A476" s="9" t="s">
        <v>12</v>
      </c>
      <c r="B476" s="9" t="s">
        <v>25</v>
      </c>
      <c r="C476" s="9" t="s">
        <v>25</v>
      </c>
      <c r="D476" s="9" t="s">
        <v>340</v>
      </c>
      <c r="E476" s="9" t="s">
        <v>16</v>
      </c>
      <c r="F476" s="9" t="s">
        <v>106</v>
      </c>
      <c r="G476" s="16" t="n">
        <v>0</v>
      </c>
      <c r="H476" s="16" t="n">
        <v>0</v>
      </c>
      <c r="I476" s="16" t="n">
        <v>5</v>
      </c>
      <c r="J476" s="16" t="n">
        <v>-5</v>
      </c>
      <c r="K476" s="16" t="n">
        <v>0</v>
      </c>
      <c r="L476" s="16" t="n">
        <v>0</v>
      </c>
      <c r="M476" s="16" t="n">
        <v>0</v>
      </c>
      <c r="N476" s="16" t="n">
        <v>0</v>
      </c>
      <c r="O476" s="16" t="n">
        <v>0</v>
      </c>
      <c r="P476" s="16" t="n">
        <v>0</v>
      </c>
      <c r="Q476" s="16" t="n">
        <v>0</v>
      </c>
      <c r="R476" s="16" t="n">
        <v>0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0</v>
      </c>
      <c r="X476" s="16" t="n">
        <v>0</v>
      </c>
      <c r="Y476" s="16" t="n">
        <v>0</v>
      </c>
      <c r="Z476" s="16" t="n">
        <v>0</v>
      </c>
      <c r="AA476" s="16" t="n">
        <v>5</v>
      </c>
      <c r="AB476" s="16" t="n">
        <v>0</v>
      </c>
      <c r="AC476" s="16" t="n">
        <v>0</v>
      </c>
      <c r="AD476" s="16" t="n">
        <v>0</v>
      </c>
      <c r="AE476" s="16" t="n">
        <v>0</v>
      </c>
      <c r="AF476" s="16" t="n">
        <v>0</v>
      </c>
      <c r="AG476" s="16" t="n">
        <v>0</v>
      </c>
      <c r="AH476" s="16" t="n">
        <v>0</v>
      </c>
      <c r="AI476" s="16" t="n">
        <v>0</v>
      </c>
      <c r="AJ476" s="16" t="n">
        <v>0</v>
      </c>
      <c r="AK476" s="16" t="n">
        <v>0</v>
      </c>
      <c r="AL476" s="16" t="n">
        <v>0</v>
      </c>
      <c r="AM476" s="16" t="n">
        <v>0</v>
      </c>
      <c r="AN476" s="16" t="n">
        <v>0</v>
      </c>
      <c r="AO476" s="16" t="n">
        <v>0</v>
      </c>
      <c r="AP476" s="16" t="n">
        <v>0</v>
      </c>
      <c r="AQ476" s="16" t="n">
        <v>0</v>
      </c>
      <c r="AR476" s="16" t="n">
        <v>0</v>
      </c>
      <c r="AS476" s="16" t="n">
        <v>0</v>
      </c>
      <c r="AT476" s="16" t="n">
        <v>0</v>
      </c>
      <c r="AU476" s="16" t="n">
        <v>0</v>
      </c>
      <c r="AV476" s="16" t="n">
        <v>0</v>
      </c>
      <c r="AW476" s="16" t="n">
        <v>0</v>
      </c>
      <c r="AX476" s="16" t="n">
        <v>0</v>
      </c>
      <c r="AY476" s="16" t="n">
        <v>0</v>
      </c>
      <c r="AZ476" s="16" t="n">
        <v>0</v>
      </c>
      <c r="BA476" s="16" t="n">
        <v>0</v>
      </c>
      <c r="BB476" s="16" t="n">
        <v>0</v>
      </c>
      <c r="BC476" s="16" t="n">
        <v>0</v>
      </c>
      <c r="BD476" s="16" t="n">
        <v>0</v>
      </c>
      <c r="BE476" s="16" t="n">
        <v>0</v>
      </c>
      <c r="BF476" s="16" t="n">
        <v>0</v>
      </c>
      <c r="BG476" s="16" t="n">
        <v>0</v>
      </c>
      <c r="BH476" s="16" t="n">
        <v>0</v>
      </c>
      <c r="BI476" s="16" t="n">
        <v>0</v>
      </c>
      <c r="BJ476" s="16" t="n">
        <v>0</v>
      </c>
      <c r="BK476" s="16" t="n">
        <v>0</v>
      </c>
      <c r="BL476" s="16" t="n">
        <v>0</v>
      </c>
      <c r="BM476" s="16" t="n">
        <v>0</v>
      </c>
      <c r="BN476" s="16" t="n">
        <v>0</v>
      </c>
      <c r="BO476" s="16" t="n">
        <v>0</v>
      </c>
      <c r="BP476" s="16" t="n">
        <v>0</v>
      </c>
      <c r="BQ476" s="16" t="n">
        <v>0</v>
      </c>
      <c r="BR476" s="16" t="n">
        <v>0</v>
      </c>
      <c r="BS476" s="16" t="n">
        <v>0</v>
      </c>
      <c r="BT476" s="16" t="n">
        <v>0</v>
      </c>
      <c r="BU476" s="16" t="n">
        <v>0</v>
      </c>
      <c r="BV476" s="16" t="n">
        <v>0</v>
      </c>
      <c r="BW476" s="16" t="n">
        <v>0</v>
      </c>
      <c r="BX476" s="16" t="n">
        <v>0</v>
      </c>
      <c r="BY476" s="16" t="n">
        <v>0</v>
      </c>
      <c r="BZ476" s="16" t="n">
        <v>0</v>
      </c>
      <c r="CA476" s="16" t="n">
        <v>0</v>
      </c>
      <c r="CB476" s="16" t="n">
        <v>0</v>
      </c>
      <c r="CC476" s="16" t="n">
        <v>0</v>
      </c>
      <c r="CD476" s="16" t="n">
        <v>0</v>
      </c>
      <c r="CE476" s="16" t="n">
        <v>0</v>
      </c>
      <c r="CF476" s="16" t="n">
        <v>0</v>
      </c>
      <c r="CG476" s="16" t="n">
        <v>0</v>
      </c>
      <c r="CH476" s="16" t="n">
        <v>0</v>
      </c>
      <c r="CI476" s="16" t="n">
        <v>0</v>
      </c>
      <c r="CJ476" s="16" t="n">
        <v>0</v>
      </c>
      <c r="CK476" s="16" t="n">
        <v>0</v>
      </c>
      <c r="CL476" s="16" t="n">
        <v>0</v>
      </c>
      <c r="CM476" s="16" t="n">
        <v>0</v>
      </c>
      <c r="CN476" s="16" t="n">
        <v>0</v>
      </c>
      <c r="CO476" s="16" t="n">
        <v>0</v>
      </c>
      <c r="CP476" s="16" t="n">
        <v>0</v>
      </c>
      <c r="CQ476" s="16" t="n">
        <v>0</v>
      </c>
      <c r="CR476" s="16" t="n">
        <v>0</v>
      </c>
      <c r="CS476" s="16" t="n">
        <v>0</v>
      </c>
      <c r="CT476" s="16" t="n">
        <v>0</v>
      </c>
      <c r="CU476" s="16" t="n">
        <v>0</v>
      </c>
      <c r="CV476" s="16" t="n">
        <v>0</v>
      </c>
      <c r="CW476" s="16" t="n">
        <v>0</v>
      </c>
      <c r="CX476" s="16" t="n">
        <v>0</v>
      </c>
      <c r="CY476" s="16" t="n">
        <v>0</v>
      </c>
      <c r="CZ476" s="16" t="n">
        <v>0</v>
      </c>
      <c r="DA476" s="16" t="n">
        <v>0</v>
      </c>
      <c r="DB476" s="16" t="n">
        <v>0</v>
      </c>
      <c r="DC476" s="16" t="n">
        <v>0</v>
      </c>
      <c r="DD476" s="16" t="n">
        <v>0</v>
      </c>
      <c r="DE476" s="16" t="n">
        <v>0</v>
      </c>
      <c r="DF476" s="16" t="n">
        <v>0</v>
      </c>
      <c r="DG476" s="16" t="n">
        <v>0</v>
      </c>
      <c r="DH476" s="16" t="n">
        <v>0</v>
      </c>
      <c r="DI476" s="16" t="n">
        <v>0</v>
      </c>
      <c r="DJ476" s="16" t="n">
        <v>0</v>
      </c>
      <c r="DK476" s="16" t="n">
        <v>0</v>
      </c>
      <c r="DL476" s="16" t="n">
        <v>0</v>
      </c>
      <c r="DM476" s="16" t="n">
        <v>0</v>
      </c>
      <c r="DN476" s="16" t="n">
        <v>0</v>
      </c>
      <c r="DO476" s="16" t="n">
        <v>0</v>
      </c>
      <c r="DP476" s="16" t="n">
        <v>0</v>
      </c>
      <c r="DQ476" s="16" t="n">
        <v>0</v>
      </c>
      <c r="DR476" s="16" t="n">
        <v>0</v>
      </c>
      <c r="DS476" s="16" t="n">
        <v>0</v>
      </c>
      <c r="DT476" s="16" t="n">
        <v>0</v>
      </c>
      <c r="DU476" s="16" t="n">
        <v>0</v>
      </c>
      <c r="DV476" s="16" t="n">
        <v>0</v>
      </c>
      <c r="DW476" s="16" t="n">
        <v>0</v>
      </c>
      <c r="DX476" s="16" t="n">
        <v>0</v>
      </c>
      <c r="DY476" s="16" t="n">
        <v>0</v>
      </c>
      <c r="DZ476" s="16" t="n">
        <v>0</v>
      </c>
      <c r="EA476" s="16" t="n">
        <v>0</v>
      </c>
      <c r="EB476" s="16" t="n">
        <v>0</v>
      </c>
      <c r="EC476" s="16" t="n">
        <v>0</v>
      </c>
      <c r="ED476" s="16" t="n">
        <v>0</v>
      </c>
      <c r="EE476" s="16" t="n">
        <v>0</v>
      </c>
      <c r="EF476" s="16" t="n">
        <v>0</v>
      </c>
    </row>
    <row r="477" customFormat="false" ht="15" hidden="false" customHeight="true" outlineLevel="0" collapsed="false">
      <c r="A477" s="9" t="s">
        <v>12</v>
      </c>
      <c r="B477" s="9" t="s">
        <v>25</v>
      </c>
      <c r="C477" s="9" t="s">
        <v>25</v>
      </c>
      <c r="D477" s="9" t="s">
        <v>340</v>
      </c>
      <c r="E477" s="9" t="s">
        <v>16</v>
      </c>
      <c r="F477" s="9" t="s">
        <v>106</v>
      </c>
      <c r="G477" s="16" t="n">
        <v>67</v>
      </c>
      <c r="H477" s="16" t="n">
        <v>145</v>
      </c>
      <c r="I477" s="16" t="n">
        <v>19.5</v>
      </c>
      <c r="J477" s="16" t="n">
        <v>125.5</v>
      </c>
      <c r="K477" s="16" t="n">
        <v>0</v>
      </c>
      <c r="L477" s="16" t="n">
        <v>0</v>
      </c>
      <c r="M477" s="16" t="n">
        <v>0</v>
      </c>
      <c r="N477" s="16" t="n">
        <v>0</v>
      </c>
      <c r="O477" s="16" t="n">
        <v>0</v>
      </c>
      <c r="P477" s="16" t="n">
        <v>0</v>
      </c>
      <c r="Q477" s="16" t="n">
        <v>0</v>
      </c>
      <c r="R477" s="16" t="n">
        <v>0</v>
      </c>
      <c r="S477" s="16" t="n">
        <v>0</v>
      </c>
      <c r="T477" s="16" t="n">
        <v>0</v>
      </c>
      <c r="U477" s="16" t="n">
        <v>0</v>
      </c>
      <c r="V477" s="16" t="n">
        <v>0</v>
      </c>
      <c r="W477" s="16" t="n">
        <v>0</v>
      </c>
      <c r="X477" s="16" t="n">
        <v>0</v>
      </c>
      <c r="Y477" s="16" t="n">
        <v>0</v>
      </c>
      <c r="Z477" s="16" t="n">
        <v>0</v>
      </c>
      <c r="AA477" s="16" t="n">
        <v>0</v>
      </c>
      <c r="AB477" s="16" t="n">
        <v>1</v>
      </c>
      <c r="AC477" s="16" t="n">
        <v>0</v>
      </c>
      <c r="AD477" s="16" t="n">
        <v>2</v>
      </c>
      <c r="AE477" s="16" t="n">
        <v>2</v>
      </c>
      <c r="AF477" s="16" t="n">
        <v>3</v>
      </c>
      <c r="AG477" s="16" t="n">
        <v>4</v>
      </c>
      <c r="AH477" s="16" t="n">
        <v>3.5</v>
      </c>
      <c r="AI477" s="16" t="n">
        <v>3</v>
      </c>
      <c r="AJ477" s="16" t="n">
        <v>1</v>
      </c>
      <c r="AK477" s="16" t="n">
        <v>0</v>
      </c>
      <c r="AL477" s="16" t="n">
        <v>0</v>
      </c>
      <c r="AM477" s="16" t="n">
        <v>0</v>
      </c>
      <c r="AN477" s="16" t="n">
        <v>0</v>
      </c>
      <c r="AO477" s="16" t="n">
        <v>0</v>
      </c>
      <c r="AP477" s="16" t="n">
        <v>0</v>
      </c>
      <c r="AQ477" s="16" t="n">
        <v>0</v>
      </c>
      <c r="AR477" s="16" t="n">
        <v>0</v>
      </c>
      <c r="AS477" s="16" t="n">
        <v>0</v>
      </c>
      <c r="AT477" s="16" t="n">
        <v>0</v>
      </c>
      <c r="AU477" s="16" t="n">
        <v>0</v>
      </c>
      <c r="AV477" s="16" t="n">
        <v>0</v>
      </c>
      <c r="AW477" s="16" t="n">
        <v>0</v>
      </c>
      <c r="AX477" s="16" t="n">
        <v>0</v>
      </c>
      <c r="AY477" s="16" t="n">
        <v>0</v>
      </c>
      <c r="AZ477" s="16" t="n">
        <v>0</v>
      </c>
      <c r="BA477" s="16" t="n">
        <v>0</v>
      </c>
      <c r="BB477" s="16" t="n">
        <v>0</v>
      </c>
      <c r="BC477" s="16" t="n">
        <v>0</v>
      </c>
      <c r="BD477" s="16" t="n">
        <v>0</v>
      </c>
      <c r="BE477" s="16" t="n">
        <v>0</v>
      </c>
      <c r="BF477" s="16" t="n">
        <v>0</v>
      </c>
      <c r="BG477" s="16" t="n">
        <v>0</v>
      </c>
      <c r="BH477" s="16" t="n">
        <v>0</v>
      </c>
      <c r="BI477" s="16" t="n">
        <v>0</v>
      </c>
      <c r="BJ477" s="16" t="n">
        <v>0</v>
      </c>
      <c r="BK477" s="16" t="n">
        <v>0</v>
      </c>
      <c r="BL477" s="16" t="n">
        <v>0</v>
      </c>
      <c r="BM477" s="16" t="n">
        <v>0</v>
      </c>
      <c r="BN477" s="16" t="n">
        <v>0</v>
      </c>
      <c r="BO477" s="16" t="n">
        <v>0</v>
      </c>
      <c r="BP477" s="16" t="n">
        <v>0</v>
      </c>
      <c r="BQ477" s="16" t="n">
        <v>0</v>
      </c>
      <c r="BR477" s="16" t="n">
        <v>0</v>
      </c>
      <c r="BS477" s="16" t="n">
        <v>0</v>
      </c>
      <c r="BT477" s="16" t="n">
        <v>0</v>
      </c>
      <c r="BU477" s="16" t="n">
        <v>0</v>
      </c>
      <c r="BV477" s="16" t="n">
        <v>0</v>
      </c>
      <c r="BW477" s="16" t="n">
        <v>0</v>
      </c>
      <c r="BX477" s="16" t="n">
        <v>0</v>
      </c>
      <c r="BY477" s="16" t="n">
        <v>0</v>
      </c>
      <c r="BZ477" s="16" t="n">
        <v>0</v>
      </c>
      <c r="CA477" s="16" t="n">
        <v>0</v>
      </c>
      <c r="CB477" s="16" t="n">
        <v>0</v>
      </c>
      <c r="CC477" s="16" t="n">
        <v>0</v>
      </c>
      <c r="CD477" s="16" t="n">
        <v>0</v>
      </c>
      <c r="CE477" s="16" t="n">
        <v>0</v>
      </c>
      <c r="CF477" s="16" t="n">
        <v>0</v>
      </c>
      <c r="CG477" s="16" t="n">
        <v>0</v>
      </c>
      <c r="CH477" s="16" t="n">
        <v>0</v>
      </c>
      <c r="CI477" s="16" t="n">
        <v>0</v>
      </c>
      <c r="CJ477" s="16" t="n">
        <v>0</v>
      </c>
      <c r="CK477" s="16" t="n">
        <v>0</v>
      </c>
      <c r="CL477" s="16" t="n">
        <v>0</v>
      </c>
      <c r="CM477" s="16" t="n">
        <v>0</v>
      </c>
      <c r="CN477" s="16" t="n">
        <v>0</v>
      </c>
      <c r="CO477" s="16" t="n">
        <v>0</v>
      </c>
      <c r="CP477" s="16" t="n">
        <v>0</v>
      </c>
      <c r="CQ477" s="16" t="n">
        <v>0</v>
      </c>
      <c r="CR477" s="16" t="n">
        <v>0</v>
      </c>
      <c r="CS477" s="16" t="n">
        <v>0</v>
      </c>
      <c r="CT477" s="16" t="n">
        <v>0</v>
      </c>
      <c r="CU477" s="16" t="n">
        <v>0</v>
      </c>
      <c r="CV477" s="16" t="n">
        <v>0</v>
      </c>
      <c r="CW477" s="16" t="n">
        <v>0</v>
      </c>
      <c r="CX477" s="16" t="n">
        <v>0</v>
      </c>
      <c r="CY477" s="16" t="n">
        <v>0</v>
      </c>
      <c r="CZ477" s="16" t="n">
        <v>0</v>
      </c>
      <c r="DA477" s="16" t="n">
        <v>0</v>
      </c>
      <c r="DB477" s="16" t="n">
        <v>0</v>
      </c>
      <c r="DC477" s="16" t="n">
        <v>0</v>
      </c>
      <c r="DD477" s="16" t="n">
        <v>0</v>
      </c>
      <c r="DE477" s="16" t="n">
        <v>0</v>
      </c>
      <c r="DF477" s="16" t="n">
        <v>0</v>
      </c>
      <c r="DG477" s="16" t="n">
        <v>0</v>
      </c>
      <c r="DH477" s="16" t="n">
        <v>0</v>
      </c>
      <c r="DI477" s="16" t="n">
        <v>0</v>
      </c>
      <c r="DJ477" s="16" t="n">
        <v>0</v>
      </c>
      <c r="DK477" s="16" t="n">
        <v>0</v>
      </c>
      <c r="DL477" s="16" t="n">
        <v>0</v>
      </c>
      <c r="DM477" s="16" t="n">
        <v>0</v>
      </c>
      <c r="DN477" s="16" t="n">
        <v>0</v>
      </c>
      <c r="DO477" s="16" t="n">
        <v>0</v>
      </c>
      <c r="DP477" s="16" t="n">
        <v>0</v>
      </c>
      <c r="DQ477" s="16" t="n">
        <v>0</v>
      </c>
      <c r="DR477" s="16" t="n">
        <v>0</v>
      </c>
      <c r="DS477" s="16" t="n">
        <v>0</v>
      </c>
      <c r="DT477" s="16" t="n">
        <v>0</v>
      </c>
      <c r="DU477" s="16" t="n">
        <v>0</v>
      </c>
      <c r="DV477" s="16" t="n">
        <v>0</v>
      </c>
      <c r="DW477" s="16" t="n">
        <v>0</v>
      </c>
      <c r="DX477" s="16" t="n">
        <v>0</v>
      </c>
      <c r="DY477" s="16" t="n">
        <v>0</v>
      </c>
      <c r="DZ477" s="16" t="n">
        <v>0</v>
      </c>
      <c r="EA477" s="16" t="n">
        <v>0</v>
      </c>
      <c r="EB477" s="16" t="n">
        <v>0</v>
      </c>
      <c r="EC477" s="16" t="n">
        <v>0</v>
      </c>
      <c r="ED477" s="16" t="n">
        <v>0</v>
      </c>
      <c r="EE477" s="16" t="n">
        <v>0</v>
      </c>
      <c r="EF477" s="16" t="n">
        <v>0</v>
      </c>
    </row>
    <row r="478" customFormat="false" ht="15" hidden="false" customHeight="true" outlineLevel="0" collapsed="false">
      <c r="A478" s="9" t="s">
        <v>12</v>
      </c>
      <c r="B478" s="9" t="s">
        <v>25</v>
      </c>
      <c r="C478" s="9" t="s">
        <v>25</v>
      </c>
      <c r="D478" s="9" t="s">
        <v>339</v>
      </c>
      <c r="E478" s="9" t="s">
        <v>16</v>
      </c>
      <c r="F478" s="9" t="s">
        <v>106</v>
      </c>
      <c r="G478" s="16" t="n">
        <v>0</v>
      </c>
      <c r="H478" s="16" t="n">
        <v>0</v>
      </c>
      <c r="I478" s="16" t="n">
        <v>116</v>
      </c>
      <c r="J478" s="16" t="n">
        <v>-116</v>
      </c>
      <c r="K478" s="16" t="n">
        <v>0</v>
      </c>
      <c r="L478" s="16" t="n">
        <v>0</v>
      </c>
      <c r="M478" s="16" t="n">
        <v>0</v>
      </c>
      <c r="N478" s="16" t="n">
        <v>0</v>
      </c>
      <c r="O478" s="16" t="n">
        <v>0</v>
      </c>
      <c r="P478" s="16" t="n">
        <v>0</v>
      </c>
      <c r="Q478" s="16" t="n">
        <v>0</v>
      </c>
      <c r="R478" s="16" t="n">
        <v>0</v>
      </c>
      <c r="S478" s="16" t="n">
        <v>0</v>
      </c>
      <c r="T478" s="16" t="n">
        <v>0</v>
      </c>
      <c r="U478" s="16" t="n">
        <v>0</v>
      </c>
      <c r="V478" s="16" t="n">
        <v>0</v>
      </c>
      <c r="W478" s="16" t="n">
        <v>0</v>
      </c>
      <c r="X478" s="16" t="n">
        <v>0</v>
      </c>
      <c r="Y478" s="16" t="n">
        <v>0</v>
      </c>
      <c r="Z478" s="16" t="n">
        <v>0</v>
      </c>
      <c r="AA478" s="16" t="n">
        <v>0</v>
      </c>
      <c r="AB478" s="16" t="n">
        <v>0</v>
      </c>
      <c r="AC478" s="16" t="n">
        <v>0</v>
      </c>
      <c r="AD478" s="16" t="n">
        <v>0</v>
      </c>
      <c r="AE478" s="16" t="n">
        <v>0</v>
      </c>
      <c r="AF478" s="16" t="n">
        <v>0</v>
      </c>
      <c r="AG478" s="16" t="n">
        <v>0</v>
      </c>
      <c r="AH478" s="16" t="n">
        <v>0</v>
      </c>
      <c r="AI478" s="16" t="n">
        <v>0</v>
      </c>
      <c r="AJ478" s="16" t="n">
        <v>1</v>
      </c>
      <c r="AK478" s="16" t="n">
        <v>4</v>
      </c>
      <c r="AL478" s="16" t="n">
        <v>2</v>
      </c>
      <c r="AM478" s="16" t="n">
        <v>4</v>
      </c>
      <c r="AN478" s="16" t="n">
        <v>4</v>
      </c>
      <c r="AO478" s="16" t="n">
        <v>4</v>
      </c>
      <c r="AP478" s="16" t="n">
        <v>5</v>
      </c>
      <c r="AQ478" s="16" t="n">
        <v>0</v>
      </c>
      <c r="AR478" s="16" t="n">
        <v>8</v>
      </c>
      <c r="AS478" s="16" t="n">
        <v>2</v>
      </c>
      <c r="AT478" s="16" t="n">
        <v>0</v>
      </c>
      <c r="AU478" s="16" t="n">
        <v>0</v>
      </c>
      <c r="AV478" s="16" t="n">
        <v>0</v>
      </c>
      <c r="AW478" s="16" t="n">
        <v>0</v>
      </c>
      <c r="AX478" s="16" t="n">
        <v>0</v>
      </c>
      <c r="AY478" s="16" t="n">
        <v>0</v>
      </c>
      <c r="AZ478" s="16" t="n">
        <v>0</v>
      </c>
      <c r="BA478" s="16" t="n">
        <v>0</v>
      </c>
      <c r="BB478" s="16" t="n">
        <v>0</v>
      </c>
      <c r="BC478" s="16" t="n">
        <v>0</v>
      </c>
      <c r="BD478" s="16" t="n">
        <v>0</v>
      </c>
      <c r="BE478" s="16" t="n">
        <v>0</v>
      </c>
      <c r="BF478" s="16" t="n">
        <v>0</v>
      </c>
      <c r="BG478" s="16" t="n">
        <v>0</v>
      </c>
      <c r="BH478" s="16" t="n">
        <v>0</v>
      </c>
      <c r="BI478" s="16" t="n">
        <v>0</v>
      </c>
      <c r="BJ478" s="16" t="n">
        <v>0</v>
      </c>
      <c r="BK478" s="16" t="n">
        <v>0</v>
      </c>
      <c r="BL478" s="16" t="n">
        <v>0</v>
      </c>
      <c r="BM478" s="16" t="n">
        <v>0</v>
      </c>
      <c r="BN478" s="16" t="n">
        <v>0</v>
      </c>
      <c r="BO478" s="16" t="n">
        <v>0</v>
      </c>
      <c r="BP478" s="16" t="n">
        <v>0</v>
      </c>
      <c r="BQ478" s="16" t="n">
        <v>0</v>
      </c>
      <c r="BR478" s="16" t="n">
        <v>0</v>
      </c>
      <c r="BS478" s="16" t="n">
        <v>0</v>
      </c>
      <c r="BT478" s="16" t="n">
        <v>0</v>
      </c>
      <c r="BU478" s="16" t="n">
        <v>0</v>
      </c>
      <c r="BV478" s="16" t="n">
        <v>0</v>
      </c>
      <c r="BW478" s="16" t="n">
        <v>0</v>
      </c>
      <c r="BX478" s="16" t="n">
        <v>0</v>
      </c>
      <c r="BY478" s="16" t="n">
        <v>0</v>
      </c>
      <c r="BZ478" s="16" t="n">
        <v>0</v>
      </c>
      <c r="CA478" s="16" t="n">
        <v>0</v>
      </c>
      <c r="CB478" s="16" t="n">
        <v>0</v>
      </c>
      <c r="CC478" s="16" t="n">
        <v>0</v>
      </c>
      <c r="CD478" s="16" t="n">
        <v>0</v>
      </c>
      <c r="CE478" s="16" t="n">
        <v>0</v>
      </c>
      <c r="CF478" s="16" t="n">
        <v>0</v>
      </c>
      <c r="CG478" s="16" t="n">
        <v>0</v>
      </c>
      <c r="CH478" s="16" t="n">
        <v>0</v>
      </c>
      <c r="CI478" s="16" t="n">
        <v>0</v>
      </c>
      <c r="CJ478" s="16" t="n">
        <v>0</v>
      </c>
      <c r="CK478" s="16" t="n">
        <v>0</v>
      </c>
      <c r="CL478" s="16" t="n">
        <v>0</v>
      </c>
      <c r="CM478" s="16" t="n">
        <v>0</v>
      </c>
      <c r="CN478" s="16" t="n">
        <v>0</v>
      </c>
      <c r="CO478" s="16" t="n">
        <v>0</v>
      </c>
      <c r="CP478" s="16" t="n">
        <v>0</v>
      </c>
      <c r="CQ478" s="16" t="n">
        <v>0</v>
      </c>
      <c r="CR478" s="16" t="n">
        <v>0</v>
      </c>
      <c r="CS478" s="16" t="n">
        <v>2</v>
      </c>
      <c r="CT478" s="16" t="n">
        <v>0</v>
      </c>
      <c r="CU478" s="16" t="n">
        <v>0</v>
      </c>
      <c r="CV478" s="16" t="n">
        <v>0</v>
      </c>
      <c r="CW478" s="16" t="n">
        <v>0</v>
      </c>
      <c r="CX478" s="16" t="n">
        <v>8</v>
      </c>
      <c r="CY478" s="16" t="n">
        <v>8</v>
      </c>
      <c r="CZ478" s="16" t="n">
        <v>6</v>
      </c>
      <c r="DA478" s="16" t="n">
        <v>6</v>
      </c>
      <c r="DB478" s="16" t="n">
        <v>6</v>
      </c>
      <c r="DC478" s="16" t="n">
        <v>6</v>
      </c>
      <c r="DD478" s="16" t="n">
        <v>6</v>
      </c>
      <c r="DE478" s="16" t="n">
        <v>0</v>
      </c>
      <c r="DF478" s="16" t="n">
        <v>6</v>
      </c>
      <c r="DG478" s="16" t="n">
        <v>4</v>
      </c>
      <c r="DH478" s="16" t="n">
        <v>6</v>
      </c>
      <c r="DI478" s="16" t="n">
        <v>0</v>
      </c>
      <c r="DJ478" s="16" t="n">
        <v>0</v>
      </c>
      <c r="DK478" s="16" t="n">
        <v>8</v>
      </c>
      <c r="DL478" s="16" t="n">
        <v>8</v>
      </c>
      <c r="DM478" s="16" t="n">
        <v>4</v>
      </c>
      <c r="DN478" s="16" t="n">
        <v>0</v>
      </c>
      <c r="DO478" s="16" t="n">
        <v>0</v>
      </c>
      <c r="DP478" s="16" t="n">
        <v>0</v>
      </c>
      <c r="DQ478" s="16" t="n">
        <v>0</v>
      </c>
      <c r="DR478" s="16" t="n">
        <v>0</v>
      </c>
      <c r="DS478" s="16" t="n">
        <v>0</v>
      </c>
      <c r="DT478" s="16" t="n">
        <v>0</v>
      </c>
      <c r="DU478" s="16" t="n">
        <v>0</v>
      </c>
      <c r="DV478" s="16" t="n">
        <v>0</v>
      </c>
      <c r="DW478" s="16" t="n">
        <v>0</v>
      </c>
      <c r="DX478" s="16" t="n">
        <v>0</v>
      </c>
      <c r="DY478" s="16" t="n">
        <v>0</v>
      </c>
      <c r="DZ478" s="16" t="n">
        <v>0</v>
      </c>
      <c r="EA478" s="16" t="n">
        <v>0</v>
      </c>
      <c r="EB478" s="16" t="n">
        <v>0</v>
      </c>
      <c r="EC478" s="16" t="n">
        <v>0</v>
      </c>
      <c r="ED478" s="16" t="n">
        <v>0</v>
      </c>
      <c r="EE478" s="16" t="n">
        <v>0</v>
      </c>
      <c r="EF478" s="16" t="n">
        <v>0</v>
      </c>
    </row>
    <row r="479" customFormat="false" ht="15" hidden="false" customHeight="true" outlineLevel="0" collapsed="false">
      <c r="A479" s="9" t="s">
        <v>12</v>
      </c>
      <c r="B479" s="9" t="s">
        <v>25</v>
      </c>
      <c r="C479" s="9" t="s">
        <v>25</v>
      </c>
      <c r="D479" s="9" t="s">
        <v>340</v>
      </c>
      <c r="E479" s="9" t="s">
        <v>16</v>
      </c>
      <c r="F479" s="9" t="s">
        <v>100</v>
      </c>
      <c r="G479" s="16" t="n">
        <v>3</v>
      </c>
      <c r="H479" s="16" t="n">
        <v>12</v>
      </c>
      <c r="I479" s="16" t="n">
        <v>0</v>
      </c>
      <c r="J479" s="16" t="n">
        <v>12</v>
      </c>
      <c r="K479" s="16" t="n">
        <v>0</v>
      </c>
      <c r="L479" s="16" t="n">
        <v>0</v>
      </c>
      <c r="M479" s="16" t="n">
        <v>0</v>
      </c>
      <c r="N479" s="16" t="n">
        <v>0</v>
      </c>
      <c r="O479" s="16" t="n">
        <v>0</v>
      </c>
      <c r="P479" s="16" t="n">
        <v>0</v>
      </c>
      <c r="Q479" s="16" t="n">
        <v>0</v>
      </c>
      <c r="R479" s="16" t="n">
        <v>0</v>
      </c>
      <c r="S479" s="16" t="n">
        <v>0</v>
      </c>
      <c r="T479" s="16" t="n">
        <v>0</v>
      </c>
      <c r="U479" s="16" t="n">
        <v>0</v>
      </c>
      <c r="V479" s="16" t="n">
        <v>0</v>
      </c>
      <c r="W479" s="16" t="n">
        <v>0</v>
      </c>
      <c r="X479" s="16" t="n">
        <v>0</v>
      </c>
      <c r="Y479" s="16" t="n">
        <v>0</v>
      </c>
      <c r="Z479" s="16" t="n">
        <v>0</v>
      </c>
      <c r="AA479" s="16" t="n">
        <v>0</v>
      </c>
      <c r="AB479" s="16" t="n">
        <v>0</v>
      </c>
      <c r="AC479" s="16" t="n">
        <v>0</v>
      </c>
      <c r="AD479" s="16" t="n">
        <v>0</v>
      </c>
      <c r="AE479" s="16" t="n">
        <v>0</v>
      </c>
      <c r="AF479" s="16" t="n">
        <v>0</v>
      </c>
      <c r="AG479" s="16" t="n">
        <v>0</v>
      </c>
      <c r="AH479" s="16" t="n">
        <v>0</v>
      </c>
      <c r="AI479" s="16" t="n">
        <v>0</v>
      </c>
      <c r="AJ479" s="16" t="n">
        <v>0</v>
      </c>
      <c r="AK479" s="16" t="n">
        <v>0</v>
      </c>
      <c r="AL479" s="16" t="n">
        <v>0</v>
      </c>
      <c r="AM479" s="16" t="n">
        <v>0</v>
      </c>
      <c r="AN479" s="16" t="n">
        <v>0</v>
      </c>
      <c r="AO479" s="16" t="n">
        <v>0</v>
      </c>
      <c r="AP479" s="16" t="n">
        <v>0</v>
      </c>
      <c r="AQ479" s="16" t="n">
        <v>0</v>
      </c>
      <c r="AR479" s="16" t="n">
        <v>0</v>
      </c>
      <c r="AS479" s="16" t="n">
        <v>0</v>
      </c>
      <c r="AT479" s="16" t="n">
        <v>0</v>
      </c>
      <c r="AU479" s="16" t="n">
        <v>0</v>
      </c>
      <c r="AV479" s="16" t="n">
        <v>0</v>
      </c>
      <c r="AW479" s="16" t="n">
        <v>0</v>
      </c>
      <c r="AX479" s="16" t="n">
        <v>0</v>
      </c>
      <c r="AY479" s="16" t="n">
        <v>0</v>
      </c>
      <c r="AZ479" s="16" t="n">
        <v>0</v>
      </c>
      <c r="BA479" s="16" t="n">
        <v>0</v>
      </c>
      <c r="BB479" s="16" t="n">
        <v>0</v>
      </c>
      <c r="BC479" s="16" t="n">
        <v>0</v>
      </c>
      <c r="BD479" s="16" t="n">
        <v>0</v>
      </c>
      <c r="BE479" s="16" t="n">
        <v>0</v>
      </c>
      <c r="BF479" s="16" t="n">
        <v>0</v>
      </c>
      <c r="BG479" s="16" t="n">
        <v>0</v>
      </c>
      <c r="BH479" s="16" t="n">
        <v>0</v>
      </c>
      <c r="BI479" s="16" t="n">
        <v>0</v>
      </c>
      <c r="BJ479" s="16" t="n">
        <v>0</v>
      </c>
      <c r="BK479" s="16" t="n">
        <v>0</v>
      </c>
      <c r="BL479" s="16" t="n">
        <v>0</v>
      </c>
      <c r="BM479" s="16" t="n">
        <v>0</v>
      </c>
      <c r="BN479" s="16" t="n">
        <v>0</v>
      </c>
      <c r="BO479" s="16" t="n">
        <v>0</v>
      </c>
      <c r="BP479" s="16" t="n">
        <v>0</v>
      </c>
      <c r="BQ479" s="16" t="n">
        <v>0</v>
      </c>
      <c r="BR479" s="16" t="n">
        <v>0</v>
      </c>
      <c r="BS479" s="16" t="n">
        <v>0</v>
      </c>
      <c r="BT479" s="16" t="n">
        <v>0</v>
      </c>
      <c r="BU479" s="16" t="n">
        <v>0</v>
      </c>
      <c r="BV479" s="16" t="n">
        <v>0</v>
      </c>
      <c r="BW479" s="16" t="n">
        <v>0</v>
      </c>
      <c r="BX479" s="16" t="n">
        <v>0</v>
      </c>
      <c r="BY479" s="16" t="n">
        <v>0</v>
      </c>
      <c r="BZ479" s="16" t="n">
        <v>0</v>
      </c>
      <c r="CA479" s="16" t="n">
        <v>0</v>
      </c>
      <c r="CB479" s="16" t="n">
        <v>0</v>
      </c>
      <c r="CC479" s="16" t="n">
        <v>0</v>
      </c>
      <c r="CD479" s="16" t="n">
        <v>0</v>
      </c>
      <c r="CE479" s="16" t="n">
        <v>0</v>
      </c>
      <c r="CF479" s="16" t="n">
        <v>0</v>
      </c>
      <c r="CG479" s="16" t="n">
        <v>0</v>
      </c>
      <c r="CH479" s="16" t="n">
        <v>0</v>
      </c>
      <c r="CI479" s="16" t="n">
        <v>0</v>
      </c>
      <c r="CJ479" s="16" t="n">
        <v>0</v>
      </c>
      <c r="CK479" s="16" t="n">
        <v>0</v>
      </c>
      <c r="CL479" s="16" t="n">
        <v>0</v>
      </c>
      <c r="CM479" s="16" t="n">
        <v>0</v>
      </c>
      <c r="CN479" s="16" t="n">
        <v>0</v>
      </c>
      <c r="CO479" s="16" t="n">
        <v>0</v>
      </c>
      <c r="CP479" s="16" t="n">
        <v>0</v>
      </c>
      <c r="CQ479" s="16" t="n">
        <v>0</v>
      </c>
      <c r="CR479" s="16" t="n">
        <v>0</v>
      </c>
      <c r="CS479" s="16" t="n">
        <v>0</v>
      </c>
      <c r="CT479" s="16" t="n">
        <v>0</v>
      </c>
      <c r="CU479" s="16" t="n">
        <v>0</v>
      </c>
      <c r="CV479" s="16" t="n">
        <v>0</v>
      </c>
      <c r="CW479" s="16" t="n">
        <v>0</v>
      </c>
      <c r="CX479" s="16" t="n">
        <v>0</v>
      </c>
      <c r="CY479" s="16" t="n">
        <v>0</v>
      </c>
      <c r="CZ479" s="16" t="n">
        <v>0</v>
      </c>
      <c r="DA479" s="16" t="n">
        <v>0</v>
      </c>
      <c r="DB479" s="16" t="n">
        <v>0</v>
      </c>
      <c r="DC479" s="16" t="n">
        <v>0</v>
      </c>
      <c r="DD479" s="16" t="n">
        <v>0</v>
      </c>
      <c r="DE479" s="16" t="n">
        <v>0</v>
      </c>
      <c r="DF479" s="16" t="n">
        <v>0</v>
      </c>
      <c r="DG479" s="16" t="n">
        <v>0</v>
      </c>
      <c r="DH479" s="16" t="n">
        <v>0</v>
      </c>
      <c r="DI479" s="16" t="n">
        <v>0</v>
      </c>
      <c r="DJ479" s="16" t="n">
        <v>0</v>
      </c>
      <c r="DK479" s="16" t="n">
        <v>0</v>
      </c>
      <c r="DL479" s="16" t="n">
        <v>0</v>
      </c>
      <c r="DM479" s="16" t="n">
        <v>0</v>
      </c>
      <c r="DN479" s="16" t="n">
        <v>0</v>
      </c>
      <c r="DO479" s="16" t="n">
        <v>0</v>
      </c>
      <c r="DP479" s="16" t="n">
        <v>0</v>
      </c>
      <c r="DQ479" s="16" t="n">
        <v>0</v>
      </c>
      <c r="DR479" s="16" t="n">
        <v>0</v>
      </c>
      <c r="DS479" s="16" t="n">
        <v>0</v>
      </c>
      <c r="DT479" s="16" t="n">
        <v>0</v>
      </c>
      <c r="DU479" s="16" t="n">
        <v>0</v>
      </c>
      <c r="DV479" s="16" t="n">
        <v>0</v>
      </c>
      <c r="DW479" s="16" t="n">
        <v>0</v>
      </c>
      <c r="DX479" s="16" t="n">
        <v>0</v>
      </c>
      <c r="DY479" s="16" t="n">
        <v>0</v>
      </c>
      <c r="DZ479" s="16" t="n">
        <v>0</v>
      </c>
      <c r="EA479" s="16" t="n">
        <v>0</v>
      </c>
      <c r="EB479" s="16" t="n">
        <v>0</v>
      </c>
      <c r="EC479" s="16" t="n">
        <v>0</v>
      </c>
      <c r="ED479" s="16" t="n">
        <v>0</v>
      </c>
      <c r="EE479" s="16" t="n">
        <v>0</v>
      </c>
      <c r="EF479" s="16" t="n">
        <v>0</v>
      </c>
    </row>
    <row r="480" customFormat="false" ht="15" hidden="false" customHeight="true" outlineLevel="0" collapsed="false">
      <c r="A480" s="9" t="s">
        <v>12</v>
      </c>
      <c r="B480" s="9" t="s">
        <v>25</v>
      </c>
      <c r="C480" s="9" t="s">
        <v>25</v>
      </c>
      <c r="D480" s="9" t="s">
        <v>339</v>
      </c>
      <c r="E480" s="9" t="s">
        <v>16</v>
      </c>
      <c r="F480" s="9" t="s">
        <v>100</v>
      </c>
      <c r="G480" s="16" t="n">
        <v>0</v>
      </c>
      <c r="H480" s="16" t="n">
        <v>0</v>
      </c>
      <c r="I480" s="16" t="n">
        <v>2</v>
      </c>
      <c r="J480" s="16" t="n">
        <v>-2</v>
      </c>
      <c r="K480" s="16" t="n">
        <v>0</v>
      </c>
      <c r="L480" s="16" t="n">
        <v>0</v>
      </c>
      <c r="M480" s="16" t="n">
        <v>0</v>
      </c>
      <c r="N480" s="16" t="n">
        <v>0</v>
      </c>
      <c r="O480" s="16" t="n">
        <v>0</v>
      </c>
      <c r="P480" s="16" t="n">
        <v>0</v>
      </c>
      <c r="Q480" s="16" t="n">
        <v>0</v>
      </c>
      <c r="R480" s="16" t="n">
        <v>0</v>
      </c>
      <c r="S480" s="16" t="n">
        <v>0</v>
      </c>
      <c r="T480" s="16" t="n">
        <v>0</v>
      </c>
      <c r="U480" s="16" t="n">
        <v>0</v>
      </c>
      <c r="V480" s="16" t="n">
        <v>0</v>
      </c>
      <c r="W480" s="16" t="n">
        <v>0</v>
      </c>
      <c r="X480" s="16" t="n">
        <v>0</v>
      </c>
      <c r="Y480" s="16" t="n">
        <v>0</v>
      </c>
      <c r="Z480" s="16" t="n">
        <v>0</v>
      </c>
      <c r="AA480" s="16" t="n">
        <v>0</v>
      </c>
      <c r="AB480" s="16" t="n">
        <v>0</v>
      </c>
      <c r="AC480" s="16" t="n">
        <v>0</v>
      </c>
      <c r="AD480" s="16" t="n">
        <v>0</v>
      </c>
      <c r="AE480" s="16" t="n">
        <v>0</v>
      </c>
      <c r="AF480" s="16" t="n">
        <v>0</v>
      </c>
      <c r="AG480" s="16" t="n">
        <v>0</v>
      </c>
      <c r="AH480" s="16" t="n">
        <v>0</v>
      </c>
      <c r="AI480" s="16" t="n">
        <v>0</v>
      </c>
      <c r="AJ480" s="16" t="n">
        <v>0</v>
      </c>
      <c r="AK480" s="16" t="n">
        <v>0</v>
      </c>
      <c r="AL480" s="16" t="n">
        <v>0</v>
      </c>
      <c r="AM480" s="16" t="n">
        <v>0</v>
      </c>
      <c r="AN480" s="16" t="n">
        <v>0</v>
      </c>
      <c r="AO480" s="16" t="n">
        <v>0</v>
      </c>
      <c r="AP480" s="16" t="n">
        <v>0</v>
      </c>
      <c r="AQ480" s="16" t="n">
        <v>0</v>
      </c>
      <c r="AR480" s="16" t="n">
        <v>0</v>
      </c>
      <c r="AS480" s="16" t="n">
        <v>0</v>
      </c>
      <c r="AT480" s="16" t="n">
        <v>0</v>
      </c>
      <c r="AU480" s="16" t="n">
        <v>0</v>
      </c>
      <c r="AV480" s="16" t="n">
        <v>0</v>
      </c>
      <c r="AW480" s="16" t="n">
        <v>0</v>
      </c>
      <c r="AX480" s="16" t="n">
        <v>0</v>
      </c>
      <c r="AY480" s="16" t="n">
        <v>0</v>
      </c>
      <c r="AZ480" s="16" t="n">
        <v>0</v>
      </c>
      <c r="BA480" s="16" t="n">
        <v>0</v>
      </c>
      <c r="BB480" s="16" t="n">
        <v>0</v>
      </c>
      <c r="BC480" s="16" t="n">
        <v>0</v>
      </c>
      <c r="BD480" s="16" t="n">
        <v>0</v>
      </c>
      <c r="BE480" s="16" t="n">
        <v>0</v>
      </c>
      <c r="BF480" s="16" t="n">
        <v>0</v>
      </c>
      <c r="BG480" s="16" t="n">
        <v>0</v>
      </c>
      <c r="BH480" s="16" t="n">
        <v>0</v>
      </c>
      <c r="BI480" s="16" t="n">
        <v>0</v>
      </c>
      <c r="BJ480" s="16" t="n">
        <v>0</v>
      </c>
      <c r="BK480" s="16" t="n">
        <v>0</v>
      </c>
      <c r="BL480" s="16" t="n">
        <v>0</v>
      </c>
      <c r="BM480" s="16" t="n">
        <v>0</v>
      </c>
      <c r="BN480" s="16" t="n">
        <v>0</v>
      </c>
      <c r="BO480" s="16" t="n">
        <v>0</v>
      </c>
      <c r="BP480" s="16" t="n">
        <v>0</v>
      </c>
      <c r="BQ480" s="16" t="n">
        <v>0</v>
      </c>
      <c r="BR480" s="16" t="n">
        <v>0</v>
      </c>
      <c r="BS480" s="16" t="n">
        <v>0</v>
      </c>
      <c r="BT480" s="16" t="n">
        <v>0</v>
      </c>
      <c r="BU480" s="16" t="n">
        <v>0</v>
      </c>
      <c r="BV480" s="16" t="n">
        <v>0</v>
      </c>
      <c r="BW480" s="16" t="n">
        <v>0</v>
      </c>
      <c r="BX480" s="16" t="n">
        <v>0</v>
      </c>
      <c r="BY480" s="16" t="n">
        <v>0</v>
      </c>
      <c r="BZ480" s="16" t="n">
        <v>0</v>
      </c>
      <c r="CA480" s="16" t="n">
        <v>0</v>
      </c>
      <c r="CB480" s="16" t="n">
        <v>0</v>
      </c>
      <c r="CC480" s="16" t="n">
        <v>0</v>
      </c>
      <c r="CD480" s="16" t="n">
        <v>0</v>
      </c>
      <c r="CE480" s="16" t="n">
        <v>0</v>
      </c>
      <c r="CF480" s="16" t="n">
        <v>0</v>
      </c>
      <c r="CG480" s="16" t="n">
        <v>0</v>
      </c>
      <c r="CH480" s="16" t="n">
        <v>0</v>
      </c>
      <c r="CI480" s="16" t="n">
        <v>0</v>
      </c>
      <c r="CJ480" s="16" t="n">
        <v>0</v>
      </c>
      <c r="CK480" s="16" t="n">
        <v>0</v>
      </c>
      <c r="CL480" s="16" t="n">
        <v>0</v>
      </c>
      <c r="CM480" s="16" t="n">
        <v>0</v>
      </c>
      <c r="CN480" s="16" t="n">
        <v>0</v>
      </c>
      <c r="CO480" s="16" t="n">
        <v>0</v>
      </c>
      <c r="CP480" s="16" t="n">
        <v>0</v>
      </c>
      <c r="CQ480" s="16" t="n">
        <v>0</v>
      </c>
      <c r="CR480" s="16" t="n">
        <v>0</v>
      </c>
      <c r="CS480" s="16" t="n">
        <v>0</v>
      </c>
      <c r="CT480" s="16" t="n">
        <v>0</v>
      </c>
      <c r="CU480" s="16" t="n">
        <v>0</v>
      </c>
      <c r="CV480" s="16" t="n">
        <v>0</v>
      </c>
      <c r="CW480" s="16" t="n">
        <v>0</v>
      </c>
      <c r="CX480" s="16" t="n">
        <v>0</v>
      </c>
      <c r="CY480" s="16" t="n">
        <v>0</v>
      </c>
      <c r="CZ480" s="16" t="n">
        <v>0</v>
      </c>
      <c r="DA480" s="16" t="n">
        <v>0</v>
      </c>
      <c r="DB480" s="16" t="n">
        <v>0</v>
      </c>
      <c r="DC480" s="16" t="n">
        <v>0</v>
      </c>
      <c r="DD480" s="16" t="n">
        <v>0</v>
      </c>
      <c r="DE480" s="16" t="n">
        <v>0</v>
      </c>
      <c r="DF480" s="16" t="n">
        <v>0</v>
      </c>
      <c r="DG480" s="16" t="n">
        <v>0</v>
      </c>
      <c r="DH480" s="16" t="n">
        <v>0</v>
      </c>
      <c r="DI480" s="16" t="n">
        <v>0</v>
      </c>
      <c r="DJ480" s="16" t="n">
        <v>0</v>
      </c>
      <c r="DK480" s="16" t="n">
        <v>0</v>
      </c>
      <c r="DL480" s="16" t="n">
        <v>0</v>
      </c>
      <c r="DM480" s="16" t="n">
        <v>0</v>
      </c>
      <c r="DN480" s="16" t="n">
        <v>0</v>
      </c>
      <c r="DO480" s="16" t="n">
        <v>0</v>
      </c>
      <c r="DP480" s="16" t="n">
        <v>0</v>
      </c>
      <c r="DQ480" s="16" t="n">
        <v>0</v>
      </c>
      <c r="DR480" s="16" t="n">
        <v>2</v>
      </c>
      <c r="DS480" s="16" t="n">
        <v>0</v>
      </c>
      <c r="DT480" s="16" t="n">
        <v>0</v>
      </c>
      <c r="DU480" s="16" t="n">
        <v>0</v>
      </c>
      <c r="DV480" s="16" t="n">
        <v>0</v>
      </c>
      <c r="DW480" s="16" t="n">
        <v>0</v>
      </c>
      <c r="DX480" s="16" t="n">
        <v>0</v>
      </c>
      <c r="DY480" s="16" t="n">
        <v>0</v>
      </c>
      <c r="DZ480" s="16" t="n">
        <v>0</v>
      </c>
      <c r="EA480" s="16" t="n">
        <v>0</v>
      </c>
      <c r="EB480" s="16" t="n">
        <v>0</v>
      </c>
      <c r="EC480" s="16" t="n">
        <v>0</v>
      </c>
      <c r="ED480" s="16" t="n">
        <v>0</v>
      </c>
      <c r="EE480" s="16" t="n">
        <v>0</v>
      </c>
      <c r="EF480" s="16" t="n">
        <v>0</v>
      </c>
    </row>
    <row r="481" customFormat="false" ht="15" hidden="false" customHeight="true" outlineLevel="0" collapsed="false">
      <c r="A481" s="9" t="s">
        <v>12</v>
      </c>
      <c r="B481" s="9" t="s">
        <v>25</v>
      </c>
      <c r="C481" s="9" t="s">
        <v>25</v>
      </c>
      <c r="D481" s="9" t="s">
        <v>340</v>
      </c>
      <c r="E481" s="9" t="s">
        <v>16</v>
      </c>
      <c r="F481" s="9" t="s">
        <v>87</v>
      </c>
      <c r="G481" s="16" t="n">
        <v>8</v>
      </c>
      <c r="H481" s="16" t="n">
        <v>8</v>
      </c>
      <c r="I481" s="16" t="n">
        <v>0</v>
      </c>
      <c r="J481" s="16" t="n">
        <v>8</v>
      </c>
      <c r="K481" s="16" t="n">
        <v>0</v>
      </c>
      <c r="L481" s="16" t="n">
        <v>0</v>
      </c>
      <c r="M481" s="16" t="n">
        <v>0</v>
      </c>
      <c r="N481" s="16" t="n">
        <v>0</v>
      </c>
      <c r="O481" s="16" t="n">
        <v>0</v>
      </c>
      <c r="P481" s="16" t="n">
        <v>0</v>
      </c>
      <c r="Q481" s="16" t="n">
        <v>0</v>
      </c>
      <c r="R481" s="16" t="n">
        <v>0</v>
      </c>
      <c r="S481" s="16" t="n">
        <v>0</v>
      </c>
      <c r="T481" s="16" t="n">
        <v>0</v>
      </c>
      <c r="U481" s="16" t="n">
        <v>0</v>
      </c>
      <c r="V481" s="16" t="n">
        <v>0</v>
      </c>
      <c r="W481" s="16" t="n">
        <v>0</v>
      </c>
      <c r="X481" s="16" t="n">
        <v>0</v>
      </c>
      <c r="Y481" s="16" t="n">
        <v>0</v>
      </c>
      <c r="Z481" s="16" t="n">
        <v>0</v>
      </c>
      <c r="AA481" s="16" t="n">
        <v>0</v>
      </c>
      <c r="AB481" s="16" t="n">
        <v>0</v>
      </c>
      <c r="AC481" s="16" t="n">
        <v>0</v>
      </c>
      <c r="AD481" s="16" t="n">
        <v>0</v>
      </c>
      <c r="AE481" s="16" t="n">
        <v>0</v>
      </c>
      <c r="AF481" s="16" t="n">
        <v>0</v>
      </c>
      <c r="AG481" s="16" t="n">
        <v>0</v>
      </c>
      <c r="AH481" s="16" t="n">
        <v>0</v>
      </c>
      <c r="AI481" s="16" t="n">
        <v>0</v>
      </c>
      <c r="AJ481" s="16" t="n">
        <v>0</v>
      </c>
      <c r="AK481" s="16" t="n">
        <v>0</v>
      </c>
      <c r="AL481" s="16" t="n">
        <v>0</v>
      </c>
      <c r="AM481" s="16" t="n">
        <v>0</v>
      </c>
      <c r="AN481" s="16" t="n">
        <v>0</v>
      </c>
      <c r="AO481" s="16" t="n">
        <v>0</v>
      </c>
      <c r="AP481" s="16" t="n">
        <v>0</v>
      </c>
      <c r="AQ481" s="16" t="n">
        <v>0</v>
      </c>
      <c r="AR481" s="16" t="n">
        <v>0</v>
      </c>
      <c r="AS481" s="16" t="n">
        <v>0</v>
      </c>
      <c r="AT481" s="16" t="n">
        <v>0</v>
      </c>
      <c r="AU481" s="16" t="n">
        <v>0</v>
      </c>
      <c r="AV481" s="16" t="n">
        <v>0</v>
      </c>
      <c r="AW481" s="16" t="n">
        <v>0</v>
      </c>
      <c r="AX481" s="16" t="n">
        <v>0</v>
      </c>
      <c r="AY481" s="16" t="n">
        <v>0</v>
      </c>
      <c r="AZ481" s="16" t="n">
        <v>0</v>
      </c>
      <c r="BA481" s="16" t="n">
        <v>0</v>
      </c>
      <c r="BB481" s="16" t="n">
        <v>0</v>
      </c>
      <c r="BC481" s="16" t="n">
        <v>0</v>
      </c>
      <c r="BD481" s="16" t="n">
        <v>0</v>
      </c>
      <c r="BE481" s="16" t="n">
        <v>0</v>
      </c>
      <c r="BF481" s="16" t="n">
        <v>0</v>
      </c>
      <c r="BG481" s="16" t="n">
        <v>0</v>
      </c>
      <c r="BH481" s="16" t="n">
        <v>0</v>
      </c>
      <c r="BI481" s="16" t="n">
        <v>0</v>
      </c>
      <c r="BJ481" s="16" t="n">
        <v>0</v>
      </c>
      <c r="BK481" s="16" t="n">
        <v>0</v>
      </c>
      <c r="BL481" s="16" t="n">
        <v>0</v>
      </c>
      <c r="BM481" s="16" t="n">
        <v>0</v>
      </c>
      <c r="BN481" s="16" t="n">
        <v>0</v>
      </c>
      <c r="BO481" s="16" t="n">
        <v>0</v>
      </c>
      <c r="BP481" s="16" t="n">
        <v>0</v>
      </c>
      <c r="BQ481" s="16" t="n">
        <v>0</v>
      </c>
      <c r="BR481" s="16" t="n">
        <v>0</v>
      </c>
      <c r="BS481" s="16" t="n">
        <v>0</v>
      </c>
      <c r="BT481" s="16" t="n">
        <v>0</v>
      </c>
      <c r="BU481" s="16" t="n">
        <v>0</v>
      </c>
      <c r="BV481" s="16" t="n">
        <v>0</v>
      </c>
      <c r="BW481" s="16" t="n">
        <v>0</v>
      </c>
      <c r="BX481" s="16" t="n">
        <v>0</v>
      </c>
      <c r="BY481" s="16" t="n">
        <v>0</v>
      </c>
      <c r="BZ481" s="16" t="n">
        <v>0</v>
      </c>
      <c r="CA481" s="16" t="n">
        <v>0</v>
      </c>
      <c r="CB481" s="16" t="n">
        <v>0</v>
      </c>
      <c r="CC481" s="16" t="n">
        <v>0</v>
      </c>
      <c r="CD481" s="16" t="n">
        <v>0</v>
      </c>
      <c r="CE481" s="16" t="n">
        <v>0</v>
      </c>
      <c r="CF481" s="16" t="n">
        <v>0</v>
      </c>
      <c r="CG481" s="16" t="n">
        <v>0</v>
      </c>
      <c r="CH481" s="16" t="n">
        <v>0</v>
      </c>
      <c r="CI481" s="16" t="n">
        <v>0</v>
      </c>
      <c r="CJ481" s="16" t="n">
        <v>0</v>
      </c>
      <c r="CK481" s="16" t="n">
        <v>0</v>
      </c>
      <c r="CL481" s="16" t="n">
        <v>0</v>
      </c>
      <c r="CM481" s="16" t="n">
        <v>0</v>
      </c>
      <c r="CN481" s="16" t="n">
        <v>0</v>
      </c>
      <c r="CO481" s="16" t="n">
        <v>0</v>
      </c>
      <c r="CP481" s="16" t="n">
        <v>0</v>
      </c>
      <c r="CQ481" s="16" t="n">
        <v>0</v>
      </c>
      <c r="CR481" s="16" t="n">
        <v>0</v>
      </c>
      <c r="CS481" s="16" t="n">
        <v>0</v>
      </c>
      <c r="CT481" s="16" t="n">
        <v>0</v>
      </c>
      <c r="CU481" s="16" t="n">
        <v>0</v>
      </c>
      <c r="CV481" s="16" t="n">
        <v>0</v>
      </c>
      <c r="CW481" s="16" t="n">
        <v>0</v>
      </c>
      <c r="CX481" s="16" t="n">
        <v>0</v>
      </c>
      <c r="CY481" s="16" t="n">
        <v>0</v>
      </c>
      <c r="CZ481" s="16" t="n">
        <v>0</v>
      </c>
      <c r="DA481" s="16" t="n">
        <v>0</v>
      </c>
      <c r="DB481" s="16" t="n">
        <v>0</v>
      </c>
      <c r="DC481" s="16" t="n">
        <v>0</v>
      </c>
      <c r="DD481" s="16" t="n">
        <v>0</v>
      </c>
      <c r="DE481" s="16" t="n">
        <v>0</v>
      </c>
      <c r="DF481" s="16" t="n">
        <v>0</v>
      </c>
      <c r="DG481" s="16" t="n">
        <v>0</v>
      </c>
      <c r="DH481" s="16" t="n">
        <v>0</v>
      </c>
      <c r="DI481" s="16" t="n">
        <v>0</v>
      </c>
      <c r="DJ481" s="16" t="n">
        <v>0</v>
      </c>
      <c r="DK481" s="16" t="n">
        <v>0</v>
      </c>
      <c r="DL481" s="16" t="n">
        <v>0</v>
      </c>
      <c r="DM481" s="16" t="n">
        <v>0</v>
      </c>
      <c r="DN481" s="16" t="n">
        <v>0</v>
      </c>
      <c r="DO481" s="16" t="n">
        <v>0</v>
      </c>
      <c r="DP481" s="16" t="n">
        <v>0</v>
      </c>
      <c r="DQ481" s="16" t="n">
        <v>0</v>
      </c>
      <c r="DR481" s="16" t="n">
        <v>0</v>
      </c>
      <c r="DS481" s="16" t="n">
        <v>0</v>
      </c>
      <c r="DT481" s="16" t="n">
        <v>0</v>
      </c>
      <c r="DU481" s="16" t="n">
        <v>0</v>
      </c>
      <c r="DV481" s="16" t="n">
        <v>0</v>
      </c>
      <c r="DW481" s="16" t="n">
        <v>0</v>
      </c>
      <c r="DX481" s="16" t="n">
        <v>0</v>
      </c>
      <c r="DY481" s="16" t="n">
        <v>0</v>
      </c>
      <c r="DZ481" s="16" t="n">
        <v>0</v>
      </c>
      <c r="EA481" s="16" t="n">
        <v>0</v>
      </c>
      <c r="EB481" s="16" t="n">
        <v>0</v>
      </c>
      <c r="EC481" s="16" t="n">
        <v>0</v>
      </c>
      <c r="ED481" s="16" t="n">
        <v>0</v>
      </c>
      <c r="EE481" s="16" t="n">
        <v>0</v>
      </c>
      <c r="EF481" s="16" t="n">
        <v>0</v>
      </c>
    </row>
    <row r="482" customFormat="false" ht="15" hidden="false" customHeight="true" outlineLevel="0" collapsed="false">
      <c r="A482" s="9" t="s">
        <v>12</v>
      </c>
      <c r="B482" s="9" t="s">
        <v>25</v>
      </c>
      <c r="C482" s="9" t="s">
        <v>25</v>
      </c>
      <c r="D482" s="9" t="s">
        <v>339</v>
      </c>
      <c r="E482" s="9" t="s">
        <v>16</v>
      </c>
      <c r="F482" s="9" t="s">
        <v>87</v>
      </c>
      <c r="G482" s="16" t="n">
        <v>0</v>
      </c>
      <c r="H482" s="16" t="n">
        <v>0</v>
      </c>
      <c r="I482" s="16" t="n">
        <v>2</v>
      </c>
      <c r="J482" s="16" t="n">
        <v>-2</v>
      </c>
      <c r="K482" s="16" t="n">
        <v>0</v>
      </c>
      <c r="L482" s="16" t="n">
        <v>0</v>
      </c>
      <c r="M482" s="16" t="n">
        <v>0</v>
      </c>
      <c r="N482" s="16" t="n">
        <v>0</v>
      </c>
      <c r="O482" s="16" t="n">
        <v>0</v>
      </c>
      <c r="P482" s="16" t="n">
        <v>0</v>
      </c>
      <c r="Q482" s="16" t="n">
        <v>0</v>
      </c>
      <c r="R482" s="16" t="n">
        <v>0</v>
      </c>
      <c r="S482" s="16" t="n">
        <v>0</v>
      </c>
      <c r="T482" s="16" t="n">
        <v>0</v>
      </c>
      <c r="U482" s="16" t="n">
        <v>0</v>
      </c>
      <c r="V482" s="16" t="n">
        <v>0</v>
      </c>
      <c r="W482" s="16" t="n">
        <v>0</v>
      </c>
      <c r="X482" s="16" t="n">
        <v>0</v>
      </c>
      <c r="Y482" s="16" t="n">
        <v>0</v>
      </c>
      <c r="Z482" s="16" t="n">
        <v>0</v>
      </c>
      <c r="AA482" s="16" t="n">
        <v>0</v>
      </c>
      <c r="AB482" s="16" t="n">
        <v>0</v>
      </c>
      <c r="AC482" s="16" t="n">
        <v>0</v>
      </c>
      <c r="AD482" s="16" t="n">
        <v>0</v>
      </c>
      <c r="AE482" s="16" t="n">
        <v>0</v>
      </c>
      <c r="AF482" s="16" t="n">
        <v>0</v>
      </c>
      <c r="AG482" s="16" t="n">
        <v>0</v>
      </c>
      <c r="AH482" s="16" t="n">
        <v>0</v>
      </c>
      <c r="AI482" s="16" t="n">
        <v>0</v>
      </c>
      <c r="AJ482" s="16" t="n">
        <v>0</v>
      </c>
      <c r="AK482" s="16" t="n">
        <v>0</v>
      </c>
      <c r="AL482" s="16" t="n">
        <v>2</v>
      </c>
      <c r="AM482" s="16" t="n">
        <v>0</v>
      </c>
      <c r="AN482" s="16" t="n">
        <v>0</v>
      </c>
      <c r="AO482" s="16" t="n">
        <v>0</v>
      </c>
      <c r="AP482" s="16" t="n">
        <v>0</v>
      </c>
      <c r="AQ482" s="16" t="n">
        <v>0</v>
      </c>
      <c r="AR482" s="16" t="n">
        <v>0</v>
      </c>
      <c r="AS482" s="16" t="n">
        <v>0</v>
      </c>
      <c r="AT482" s="16" t="n">
        <v>0</v>
      </c>
      <c r="AU482" s="16" t="n">
        <v>0</v>
      </c>
      <c r="AV482" s="16" t="n">
        <v>0</v>
      </c>
      <c r="AW482" s="16" t="n">
        <v>0</v>
      </c>
      <c r="AX482" s="16" t="n">
        <v>0</v>
      </c>
      <c r="AY482" s="16" t="n">
        <v>0</v>
      </c>
      <c r="AZ482" s="16" t="n">
        <v>0</v>
      </c>
      <c r="BA482" s="16" t="n">
        <v>0</v>
      </c>
      <c r="BB482" s="16" t="n">
        <v>0</v>
      </c>
      <c r="BC482" s="16" t="n">
        <v>0</v>
      </c>
      <c r="BD482" s="16" t="n">
        <v>0</v>
      </c>
      <c r="BE482" s="16" t="n">
        <v>0</v>
      </c>
      <c r="BF482" s="16" t="n">
        <v>0</v>
      </c>
      <c r="BG482" s="16" t="n">
        <v>0</v>
      </c>
      <c r="BH482" s="16" t="n">
        <v>0</v>
      </c>
      <c r="BI482" s="16" t="n">
        <v>0</v>
      </c>
      <c r="BJ482" s="16" t="n">
        <v>0</v>
      </c>
      <c r="BK482" s="16" t="n">
        <v>0</v>
      </c>
      <c r="BL482" s="16" t="n">
        <v>0</v>
      </c>
      <c r="BM482" s="16" t="n">
        <v>0</v>
      </c>
      <c r="BN482" s="16" t="n">
        <v>0</v>
      </c>
      <c r="BO482" s="16" t="n">
        <v>0</v>
      </c>
      <c r="BP482" s="16" t="n">
        <v>0</v>
      </c>
      <c r="BQ482" s="16" t="n">
        <v>0</v>
      </c>
      <c r="BR482" s="16" t="n">
        <v>0</v>
      </c>
      <c r="BS482" s="16" t="n">
        <v>0</v>
      </c>
      <c r="BT482" s="16" t="n">
        <v>0</v>
      </c>
      <c r="BU482" s="16" t="n">
        <v>0</v>
      </c>
      <c r="BV482" s="16" t="n">
        <v>0</v>
      </c>
      <c r="BW482" s="16" t="n">
        <v>0</v>
      </c>
      <c r="BX482" s="16" t="n">
        <v>0</v>
      </c>
      <c r="BY482" s="16" t="n">
        <v>0</v>
      </c>
      <c r="BZ482" s="16" t="n">
        <v>0</v>
      </c>
      <c r="CA482" s="16" t="n">
        <v>0</v>
      </c>
      <c r="CB482" s="16" t="n">
        <v>0</v>
      </c>
      <c r="CC482" s="16" t="n">
        <v>0</v>
      </c>
      <c r="CD482" s="16" t="n">
        <v>0</v>
      </c>
      <c r="CE482" s="16" t="n">
        <v>0</v>
      </c>
      <c r="CF482" s="16" t="n">
        <v>0</v>
      </c>
      <c r="CG482" s="16" t="n">
        <v>0</v>
      </c>
      <c r="CH482" s="16" t="n">
        <v>0</v>
      </c>
      <c r="CI482" s="16" t="n">
        <v>0</v>
      </c>
      <c r="CJ482" s="16" t="n">
        <v>0</v>
      </c>
      <c r="CK482" s="16" t="n">
        <v>0</v>
      </c>
      <c r="CL482" s="16" t="n">
        <v>0</v>
      </c>
      <c r="CM482" s="16" t="n">
        <v>0</v>
      </c>
      <c r="CN482" s="16" t="n">
        <v>0</v>
      </c>
      <c r="CO482" s="16" t="n">
        <v>0</v>
      </c>
      <c r="CP482" s="16" t="n">
        <v>0</v>
      </c>
      <c r="CQ482" s="16" t="n">
        <v>0</v>
      </c>
      <c r="CR482" s="16" t="n">
        <v>0</v>
      </c>
      <c r="CS482" s="16" t="n">
        <v>0</v>
      </c>
      <c r="CT482" s="16" t="n">
        <v>0</v>
      </c>
      <c r="CU482" s="16" t="n">
        <v>0</v>
      </c>
      <c r="CV482" s="16" t="n">
        <v>0</v>
      </c>
      <c r="CW482" s="16" t="n">
        <v>0</v>
      </c>
      <c r="CX482" s="16" t="n">
        <v>0</v>
      </c>
      <c r="CY482" s="16" t="n">
        <v>0</v>
      </c>
      <c r="CZ482" s="16" t="n">
        <v>0</v>
      </c>
      <c r="DA482" s="16" t="n">
        <v>0</v>
      </c>
      <c r="DB482" s="16" t="n">
        <v>0</v>
      </c>
      <c r="DC482" s="16" t="n">
        <v>0</v>
      </c>
      <c r="DD482" s="16" t="n">
        <v>0</v>
      </c>
      <c r="DE482" s="16" t="n">
        <v>0</v>
      </c>
      <c r="DF482" s="16" t="n">
        <v>0</v>
      </c>
      <c r="DG482" s="16" t="n">
        <v>0</v>
      </c>
      <c r="DH482" s="16" t="n">
        <v>0</v>
      </c>
      <c r="DI482" s="16" t="n">
        <v>0</v>
      </c>
      <c r="DJ482" s="16" t="n">
        <v>0</v>
      </c>
      <c r="DK482" s="16" t="n">
        <v>0</v>
      </c>
      <c r="DL482" s="16" t="n">
        <v>0</v>
      </c>
      <c r="DM482" s="16" t="n">
        <v>0</v>
      </c>
      <c r="DN482" s="16" t="n">
        <v>0</v>
      </c>
      <c r="DO482" s="16" t="n">
        <v>0</v>
      </c>
      <c r="DP482" s="16" t="n">
        <v>0</v>
      </c>
      <c r="DQ482" s="16" t="n">
        <v>0</v>
      </c>
      <c r="DR482" s="16" t="n">
        <v>0</v>
      </c>
      <c r="DS482" s="16" t="n">
        <v>0</v>
      </c>
      <c r="DT482" s="16" t="n">
        <v>0</v>
      </c>
      <c r="DU482" s="16" t="n">
        <v>0</v>
      </c>
      <c r="DV482" s="16" t="n">
        <v>0</v>
      </c>
      <c r="DW482" s="16" t="n">
        <v>0</v>
      </c>
      <c r="DX482" s="16" t="n">
        <v>0</v>
      </c>
      <c r="DY482" s="16" t="n">
        <v>0</v>
      </c>
      <c r="DZ482" s="16" t="n">
        <v>0</v>
      </c>
      <c r="EA482" s="16" t="n">
        <v>0</v>
      </c>
      <c r="EB482" s="16" t="n">
        <v>0</v>
      </c>
      <c r="EC482" s="16" t="n">
        <v>0</v>
      </c>
      <c r="ED482" s="16" t="n">
        <v>0</v>
      </c>
      <c r="EE482" s="16" t="n">
        <v>0</v>
      </c>
      <c r="EF482" s="16" t="n">
        <v>0</v>
      </c>
    </row>
    <row r="483" customFormat="false" ht="15" hidden="false" customHeight="true" outlineLevel="0" collapsed="false">
      <c r="A483" s="9" t="s">
        <v>12</v>
      </c>
      <c r="B483" s="9" t="s">
        <v>25</v>
      </c>
      <c r="C483" s="9" t="s">
        <v>25</v>
      </c>
      <c r="D483" s="9" t="s">
        <v>340</v>
      </c>
      <c r="E483" s="9" t="s">
        <v>16</v>
      </c>
      <c r="F483" s="9" t="s">
        <v>88</v>
      </c>
      <c r="G483" s="16" t="n">
        <v>0</v>
      </c>
      <c r="H483" s="16" t="n">
        <v>20</v>
      </c>
      <c r="I483" s="16" t="n">
        <v>0</v>
      </c>
      <c r="J483" s="16" t="n">
        <v>20</v>
      </c>
      <c r="K483" s="16" t="n">
        <v>0</v>
      </c>
      <c r="L483" s="16" t="n">
        <v>0</v>
      </c>
      <c r="M483" s="16" t="n">
        <v>0</v>
      </c>
      <c r="N483" s="16" t="n">
        <v>0</v>
      </c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>
        <v>0</v>
      </c>
      <c r="Y483" s="16" t="n">
        <v>0</v>
      </c>
      <c r="Z483" s="16" t="n">
        <v>0</v>
      </c>
      <c r="AA483" s="16" t="n">
        <v>0</v>
      </c>
      <c r="AB483" s="16" t="n">
        <v>0</v>
      </c>
      <c r="AC483" s="16" t="n">
        <v>0</v>
      </c>
      <c r="AD483" s="16" t="n">
        <v>0</v>
      </c>
      <c r="AE483" s="16" t="n">
        <v>0</v>
      </c>
      <c r="AF483" s="16" t="n">
        <v>0</v>
      </c>
      <c r="AG483" s="16" t="n">
        <v>0</v>
      </c>
      <c r="AH483" s="16" t="n">
        <v>0</v>
      </c>
      <c r="AI483" s="16" t="n">
        <v>0</v>
      </c>
      <c r="AJ483" s="16" t="n">
        <v>0</v>
      </c>
      <c r="AK483" s="16" t="n">
        <v>0</v>
      </c>
      <c r="AL483" s="16" t="n">
        <v>0</v>
      </c>
      <c r="AM483" s="16" t="n">
        <v>0</v>
      </c>
      <c r="AN483" s="16" t="n">
        <v>0</v>
      </c>
      <c r="AO483" s="16" t="n">
        <v>0</v>
      </c>
      <c r="AP483" s="16" t="n">
        <v>0</v>
      </c>
      <c r="AQ483" s="16" t="n">
        <v>0</v>
      </c>
      <c r="AR483" s="16" t="n">
        <v>0</v>
      </c>
      <c r="AS483" s="16" t="n">
        <v>0</v>
      </c>
      <c r="AT483" s="16" t="n">
        <v>0</v>
      </c>
      <c r="AU483" s="16" t="n">
        <v>0</v>
      </c>
      <c r="AV483" s="16" t="n">
        <v>0</v>
      </c>
      <c r="AW483" s="16" t="n">
        <v>0</v>
      </c>
      <c r="AX483" s="16" t="n">
        <v>0</v>
      </c>
      <c r="AY483" s="16" t="n">
        <v>0</v>
      </c>
      <c r="AZ483" s="16" t="n">
        <v>0</v>
      </c>
      <c r="BA483" s="16" t="n">
        <v>0</v>
      </c>
      <c r="BB483" s="16" t="n">
        <v>0</v>
      </c>
      <c r="BC483" s="16" t="n">
        <v>0</v>
      </c>
      <c r="BD483" s="16" t="n">
        <v>0</v>
      </c>
      <c r="BE483" s="16" t="n">
        <v>0</v>
      </c>
      <c r="BF483" s="16" t="n">
        <v>0</v>
      </c>
      <c r="BG483" s="16" t="n">
        <v>0</v>
      </c>
      <c r="BH483" s="16" t="n">
        <v>0</v>
      </c>
      <c r="BI483" s="16" t="n">
        <v>0</v>
      </c>
      <c r="BJ483" s="16" t="n">
        <v>0</v>
      </c>
      <c r="BK483" s="16" t="n">
        <v>0</v>
      </c>
      <c r="BL483" s="16" t="n">
        <v>0</v>
      </c>
      <c r="BM483" s="16" t="n">
        <v>0</v>
      </c>
      <c r="BN483" s="16" t="n">
        <v>0</v>
      </c>
      <c r="BO483" s="16" t="n">
        <v>0</v>
      </c>
      <c r="BP483" s="16" t="n">
        <v>0</v>
      </c>
      <c r="BQ483" s="16" t="n">
        <v>0</v>
      </c>
      <c r="BR483" s="16" t="n">
        <v>0</v>
      </c>
      <c r="BS483" s="16" t="n">
        <v>0</v>
      </c>
      <c r="BT483" s="16" t="n">
        <v>0</v>
      </c>
      <c r="BU483" s="16" t="n">
        <v>0</v>
      </c>
      <c r="BV483" s="16" t="n">
        <v>0</v>
      </c>
      <c r="BW483" s="16" t="n">
        <v>0</v>
      </c>
      <c r="BX483" s="16" t="n">
        <v>0</v>
      </c>
      <c r="BY483" s="16" t="n">
        <v>0</v>
      </c>
      <c r="BZ483" s="16" t="n">
        <v>0</v>
      </c>
      <c r="CA483" s="16" t="n">
        <v>0</v>
      </c>
      <c r="CB483" s="16" t="n">
        <v>0</v>
      </c>
      <c r="CC483" s="16" t="n">
        <v>0</v>
      </c>
      <c r="CD483" s="16" t="n">
        <v>0</v>
      </c>
      <c r="CE483" s="16" t="n">
        <v>0</v>
      </c>
      <c r="CF483" s="16" t="n">
        <v>0</v>
      </c>
      <c r="CG483" s="16" t="n">
        <v>0</v>
      </c>
      <c r="CH483" s="16" t="n">
        <v>0</v>
      </c>
      <c r="CI483" s="16" t="n">
        <v>0</v>
      </c>
      <c r="CJ483" s="16" t="n">
        <v>0</v>
      </c>
      <c r="CK483" s="16" t="n">
        <v>0</v>
      </c>
      <c r="CL483" s="16" t="n">
        <v>0</v>
      </c>
      <c r="CM483" s="16" t="n">
        <v>0</v>
      </c>
      <c r="CN483" s="16" t="n">
        <v>0</v>
      </c>
      <c r="CO483" s="16" t="n">
        <v>0</v>
      </c>
      <c r="CP483" s="16" t="n">
        <v>0</v>
      </c>
      <c r="CQ483" s="16" t="n">
        <v>0</v>
      </c>
      <c r="CR483" s="16" t="n">
        <v>0</v>
      </c>
      <c r="CS483" s="16" t="n">
        <v>0</v>
      </c>
      <c r="CT483" s="16" t="n">
        <v>0</v>
      </c>
      <c r="CU483" s="16" t="n">
        <v>0</v>
      </c>
      <c r="CV483" s="16" t="n">
        <v>0</v>
      </c>
      <c r="CW483" s="16" t="n">
        <v>0</v>
      </c>
      <c r="CX483" s="16" t="n">
        <v>0</v>
      </c>
      <c r="CY483" s="16" t="n">
        <v>0</v>
      </c>
      <c r="CZ483" s="16" t="n">
        <v>0</v>
      </c>
      <c r="DA483" s="16" t="n">
        <v>0</v>
      </c>
      <c r="DB483" s="16" t="n">
        <v>0</v>
      </c>
      <c r="DC483" s="16" t="n">
        <v>0</v>
      </c>
      <c r="DD483" s="16" t="n">
        <v>0</v>
      </c>
      <c r="DE483" s="16" t="n">
        <v>0</v>
      </c>
      <c r="DF483" s="16" t="n">
        <v>0</v>
      </c>
      <c r="DG483" s="16" t="n">
        <v>0</v>
      </c>
      <c r="DH483" s="16" t="n">
        <v>0</v>
      </c>
      <c r="DI483" s="16" t="n">
        <v>0</v>
      </c>
      <c r="DJ483" s="16" t="n">
        <v>0</v>
      </c>
      <c r="DK483" s="16" t="n">
        <v>0</v>
      </c>
      <c r="DL483" s="16" t="n">
        <v>0</v>
      </c>
      <c r="DM483" s="16" t="n">
        <v>0</v>
      </c>
      <c r="DN483" s="16" t="n">
        <v>0</v>
      </c>
      <c r="DO483" s="16" t="n">
        <v>0</v>
      </c>
      <c r="DP483" s="16" t="n">
        <v>0</v>
      </c>
      <c r="DQ483" s="16" t="n">
        <v>0</v>
      </c>
      <c r="DR483" s="16" t="n">
        <v>0</v>
      </c>
      <c r="DS483" s="16" t="n">
        <v>0</v>
      </c>
      <c r="DT483" s="16" t="n">
        <v>0</v>
      </c>
      <c r="DU483" s="16" t="n">
        <v>0</v>
      </c>
      <c r="DV483" s="16" t="n">
        <v>0</v>
      </c>
      <c r="DW483" s="16" t="n">
        <v>0</v>
      </c>
      <c r="DX483" s="16" t="n">
        <v>0</v>
      </c>
      <c r="DY483" s="16" t="n">
        <v>0</v>
      </c>
      <c r="DZ483" s="16" t="n">
        <v>0</v>
      </c>
      <c r="EA483" s="16" t="n">
        <v>0</v>
      </c>
      <c r="EB483" s="16" t="n">
        <v>0</v>
      </c>
      <c r="EC483" s="16" t="n">
        <v>0</v>
      </c>
      <c r="ED483" s="16" t="n">
        <v>0</v>
      </c>
      <c r="EE483" s="16" t="n">
        <v>0</v>
      </c>
      <c r="EF483" s="16" t="n">
        <v>0</v>
      </c>
    </row>
    <row r="484" customFormat="false" ht="15" hidden="false" customHeight="true" outlineLevel="0" collapsed="false">
      <c r="A484" s="9" t="s">
        <v>12</v>
      </c>
      <c r="B484" s="9" t="s">
        <v>25</v>
      </c>
      <c r="C484" s="9" t="s">
        <v>25</v>
      </c>
      <c r="D484" s="9" t="s">
        <v>339</v>
      </c>
      <c r="E484" s="9" t="s">
        <v>16</v>
      </c>
      <c r="F484" s="9" t="s">
        <v>88</v>
      </c>
      <c r="G484" s="16" t="n">
        <v>0</v>
      </c>
      <c r="H484" s="16" t="n">
        <v>0</v>
      </c>
      <c r="I484" s="16" t="n">
        <v>20</v>
      </c>
      <c r="J484" s="16" t="n">
        <v>-20</v>
      </c>
      <c r="K484" s="16" t="n">
        <v>0</v>
      </c>
      <c r="L484" s="16" t="n">
        <v>0</v>
      </c>
      <c r="M484" s="16" t="n">
        <v>0</v>
      </c>
      <c r="N484" s="16" t="n">
        <v>0</v>
      </c>
      <c r="O484" s="16" t="n">
        <v>0</v>
      </c>
      <c r="P484" s="16" t="n">
        <v>0</v>
      </c>
      <c r="Q484" s="16" t="n">
        <v>0</v>
      </c>
      <c r="R484" s="16" t="n">
        <v>0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0</v>
      </c>
      <c r="X484" s="16" t="n">
        <v>0</v>
      </c>
      <c r="Y484" s="16" t="n">
        <v>0</v>
      </c>
      <c r="Z484" s="16" t="n">
        <v>0</v>
      </c>
      <c r="AA484" s="16" t="n">
        <v>0</v>
      </c>
      <c r="AB484" s="16" t="n">
        <v>0</v>
      </c>
      <c r="AC484" s="16" t="n">
        <v>0</v>
      </c>
      <c r="AD484" s="16" t="n">
        <v>0</v>
      </c>
      <c r="AE484" s="16" t="n">
        <v>0</v>
      </c>
      <c r="AF484" s="16" t="n">
        <v>0</v>
      </c>
      <c r="AG484" s="16" t="n">
        <v>0</v>
      </c>
      <c r="AH484" s="16" t="n">
        <v>0</v>
      </c>
      <c r="AI484" s="16" t="n">
        <v>0</v>
      </c>
      <c r="AJ484" s="16" t="n">
        <v>0</v>
      </c>
      <c r="AK484" s="16" t="n">
        <v>0</v>
      </c>
      <c r="AL484" s="16" t="n">
        <v>0</v>
      </c>
      <c r="AM484" s="16" t="n">
        <v>0</v>
      </c>
      <c r="AN484" s="16" t="n">
        <v>0</v>
      </c>
      <c r="AO484" s="16" t="n">
        <v>0</v>
      </c>
      <c r="AP484" s="16" t="n">
        <v>0</v>
      </c>
      <c r="AQ484" s="16" t="n">
        <v>0</v>
      </c>
      <c r="AR484" s="16" t="n">
        <v>0</v>
      </c>
      <c r="AS484" s="16" t="n">
        <v>0</v>
      </c>
      <c r="AT484" s="16" t="n">
        <v>0</v>
      </c>
      <c r="AU484" s="16" t="n">
        <v>0</v>
      </c>
      <c r="AV484" s="16" t="n">
        <v>0</v>
      </c>
      <c r="AW484" s="16" t="n">
        <v>0</v>
      </c>
      <c r="AX484" s="16" t="n">
        <v>0</v>
      </c>
      <c r="AY484" s="16" t="n">
        <v>0</v>
      </c>
      <c r="AZ484" s="16" t="n">
        <v>0</v>
      </c>
      <c r="BA484" s="16" t="n">
        <v>0</v>
      </c>
      <c r="BB484" s="16" t="n">
        <v>0</v>
      </c>
      <c r="BC484" s="16" t="n">
        <v>0</v>
      </c>
      <c r="BD484" s="16" t="n">
        <v>0</v>
      </c>
      <c r="BE484" s="16" t="n">
        <v>0</v>
      </c>
      <c r="BF484" s="16" t="n">
        <v>0</v>
      </c>
      <c r="BG484" s="16" t="n">
        <v>0</v>
      </c>
      <c r="BH484" s="16" t="n">
        <v>0</v>
      </c>
      <c r="BI484" s="16" t="n">
        <v>0</v>
      </c>
      <c r="BJ484" s="16" t="n">
        <v>0</v>
      </c>
      <c r="BK484" s="16" t="n">
        <v>0</v>
      </c>
      <c r="BL484" s="16" t="n">
        <v>0</v>
      </c>
      <c r="BM484" s="16" t="n">
        <v>0</v>
      </c>
      <c r="BN484" s="16" t="n">
        <v>0</v>
      </c>
      <c r="BO484" s="16" t="n">
        <v>0</v>
      </c>
      <c r="BP484" s="16" t="n">
        <v>0</v>
      </c>
      <c r="BQ484" s="16" t="n">
        <v>0</v>
      </c>
      <c r="BR484" s="16" t="n">
        <v>0</v>
      </c>
      <c r="BS484" s="16" t="n">
        <v>0</v>
      </c>
      <c r="BT484" s="16" t="n">
        <v>0</v>
      </c>
      <c r="BU484" s="16" t="n">
        <v>0</v>
      </c>
      <c r="BV484" s="16" t="n">
        <v>0</v>
      </c>
      <c r="BW484" s="16" t="n">
        <v>0</v>
      </c>
      <c r="BX484" s="16" t="n">
        <v>0</v>
      </c>
      <c r="BY484" s="16" t="n">
        <v>0</v>
      </c>
      <c r="BZ484" s="16" t="n">
        <v>0</v>
      </c>
      <c r="CA484" s="16" t="n">
        <v>0</v>
      </c>
      <c r="CB484" s="16" t="n">
        <v>0</v>
      </c>
      <c r="CC484" s="16" t="n">
        <v>0</v>
      </c>
      <c r="CD484" s="16" t="n">
        <v>0</v>
      </c>
      <c r="CE484" s="16" t="n">
        <v>0</v>
      </c>
      <c r="CF484" s="16" t="n">
        <v>0</v>
      </c>
      <c r="CG484" s="16" t="n">
        <v>0</v>
      </c>
      <c r="CH484" s="16" t="n">
        <v>0</v>
      </c>
      <c r="CI484" s="16" t="n">
        <v>0</v>
      </c>
      <c r="CJ484" s="16" t="n">
        <v>0</v>
      </c>
      <c r="CK484" s="16" t="n">
        <v>0</v>
      </c>
      <c r="CL484" s="16" t="n">
        <v>0</v>
      </c>
      <c r="CM484" s="16" t="n">
        <v>0</v>
      </c>
      <c r="CN484" s="16" t="n">
        <v>0</v>
      </c>
      <c r="CO484" s="16" t="n">
        <v>0</v>
      </c>
      <c r="CP484" s="16" t="n">
        <v>0</v>
      </c>
      <c r="CQ484" s="16" t="n">
        <v>0</v>
      </c>
      <c r="CR484" s="16" t="n">
        <v>0</v>
      </c>
      <c r="CS484" s="16" t="n">
        <v>0</v>
      </c>
      <c r="CT484" s="16" t="n">
        <v>0</v>
      </c>
      <c r="CU484" s="16" t="n">
        <v>0</v>
      </c>
      <c r="CV484" s="16" t="n">
        <v>0</v>
      </c>
      <c r="CW484" s="16" t="n">
        <v>0</v>
      </c>
      <c r="CX484" s="16" t="n">
        <v>0</v>
      </c>
      <c r="CY484" s="16" t="n">
        <v>0</v>
      </c>
      <c r="CZ484" s="16" t="n">
        <v>10</v>
      </c>
      <c r="DA484" s="16" t="n">
        <v>10</v>
      </c>
      <c r="DB484" s="16" t="n">
        <v>0</v>
      </c>
      <c r="DC484" s="16" t="n">
        <v>0</v>
      </c>
      <c r="DD484" s="16" t="n">
        <v>0</v>
      </c>
      <c r="DE484" s="16" t="n">
        <v>0</v>
      </c>
      <c r="DF484" s="16" t="n">
        <v>0</v>
      </c>
      <c r="DG484" s="16" t="n">
        <v>0</v>
      </c>
      <c r="DH484" s="16" t="n">
        <v>0</v>
      </c>
      <c r="DI484" s="16" t="n">
        <v>0</v>
      </c>
      <c r="DJ484" s="16" t="n">
        <v>0</v>
      </c>
      <c r="DK484" s="16" t="n">
        <v>0</v>
      </c>
      <c r="DL484" s="16" t="n">
        <v>0</v>
      </c>
      <c r="DM484" s="16" t="n">
        <v>0</v>
      </c>
      <c r="DN484" s="16" t="n">
        <v>0</v>
      </c>
      <c r="DO484" s="16" t="n">
        <v>0</v>
      </c>
      <c r="DP484" s="16" t="n">
        <v>0</v>
      </c>
      <c r="DQ484" s="16" t="n">
        <v>0</v>
      </c>
      <c r="DR484" s="16" t="n">
        <v>0</v>
      </c>
      <c r="DS484" s="16" t="n">
        <v>0</v>
      </c>
      <c r="DT484" s="16" t="n">
        <v>0</v>
      </c>
      <c r="DU484" s="16" t="n">
        <v>0</v>
      </c>
      <c r="DV484" s="16" t="n">
        <v>0</v>
      </c>
      <c r="DW484" s="16" t="n">
        <v>0</v>
      </c>
      <c r="DX484" s="16" t="n">
        <v>0</v>
      </c>
      <c r="DY484" s="16" t="n">
        <v>0</v>
      </c>
      <c r="DZ484" s="16" t="n">
        <v>0</v>
      </c>
      <c r="EA484" s="16" t="n">
        <v>0</v>
      </c>
      <c r="EB484" s="16" t="n">
        <v>0</v>
      </c>
      <c r="EC484" s="16" t="n">
        <v>0</v>
      </c>
      <c r="ED484" s="16" t="n">
        <v>0</v>
      </c>
      <c r="EE484" s="16" t="n">
        <v>0</v>
      </c>
      <c r="EF484" s="16" t="n">
        <v>0</v>
      </c>
    </row>
    <row r="485" customFormat="false" ht="15" hidden="false" customHeight="true" outlineLevel="0" collapsed="false">
      <c r="A485" s="9" t="s">
        <v>12</v>
      </c>
      <c r="B485" s="9" t="s">
        <v>25</v>
      </c>
      <c r="C485" s="9" t="s">
        <v>25</v>
      </c>
      <c r="D485" s="9" t="s">
        <v>340</v>
      </c>
      <c r="E485" s="9" t="s">
        <v>16</v>
      </c>
      <c r="F485" s="9" t="s">
        <v>107</v>
      </c>
      <c r="G485" s="16" t="n">
        <v>4.9</v>
      </c>
      <c r="H485" s="16" t="n">
        <v>69.5</v>
      </c>
      <c r="I485" s="16" t="n">
        <v>0</v>
      </c>
      <c r="J485" s="16" t="n">
        <v>69.5</v>
      </c>
      <c r="K485" s="16" t="n">
        <v>0</v>
      </c>
      <c r="L485" s="16" t="n">
        <v>0</v>
      </c>
      <c r="M485" s="16" t="n">
        <v>0</v>
      </c>
      <c r="N485" s="16" t="n">
        <v>0</v>
      </c>
      <c r="O485" s="16" t="n">
        <v>0</v>
      </c>
      <c r="P485" s="16" t="n">
        <v>0</v>
      </c>
      <c r="Q485" s="16" t="n">
        <v>0</v>
      </c>
      <c r="R485" s="16" t="n">
        <v>0</v>
      </c>
      <c r="S485" s="16" t="n">
        <v>0</v>
      </c>
      <c r="T485" s="16" t="n">
        <v>0</v>
      </c>
      <c r="U485" s="16" t="n">
        <v>0</v>
      </c>
      <c r="V485" s="16" t="n">
        <v>0</v>
      </c>
      <c r="W485" s="16" t="n">
        <v>0</v>
      </c>
      <c r="X485" s="16" t="n">
        <v>0</v>
      </c>
      <c r="Y485" s="16" t="n">
        <v>0</v>
      </c>
      <c r="Z485" s="16" t="n">
        <v>0</v>
      </c>
      <c r="AA485" s="16" t="n">
        <v>0</v>
      </c>
      <c r="AB485" s="16" t="n">
        <v>0</v>
      </c>
      <c r="AC485" s="16" t="n">
        <v>0</v>
      </c>
      <c r="AD485" s="16" t="n">
        <v>0</v>
      </c>
      <c r="AE485" s="16" t="n">
        <v>0</v>
      </c>
      <c r="AF485" s="16" t="n">
        <v>0</v>
      </c>
      <c r="AG485" s="16" t="n">
        <v>0</v>
      </c>
      <c r="AH485" s="16" t="n">
        <v>0</v>
      </c>
      <c r="AI485" s="16" t="n">
        <v>0</v>
      </c>
      <c r="AJ485" s="16" t="n">
        <v>0</v>
      </c>
      <c r="AK485" s="16" t="n">
        <v>0</v>
      </c>
      <c r="AL485" s="16" t="n">
        <v>0</v>
      </c>
      <c r="AM485" s="16" t="n">
        <v>0</v>
      </c>
      <c r="AN485" s="16" t="n">
        <v>0</v>
      </c>
      <c r="AO485" s="16" t="n">
        <v>0</v>
      </c>
      <c r="AP485" s="16" t="n">
        <v>0</v>
      </c>
      <c r="AQ485" s="16" t="n">
        <v>0</v>
      </c>
      <c r="AR485" s="16" t="n">
        <v>0</v>
      </c>
      <c r="AS485" s="16" t="n">
        <v>0</v>
      </c>
      <c r="AT485" s="16" t="n">
        <v>0</v>
      </c>
      <c r="AU485" s="16" t="n">
        <v>0</v>
      </c>
      <c r="AV485" s="16" t="n">
        <v>0</v>
      </c>
      <c r="AW485" s="16" t="n">
        <v>0</v>
      </c>
      <c r="AX485" s="16" t="n">
        <v>0</v>
      </c>
      <c r="AY485" s="16" t="n">
        <v>0</v>
      </c>
      <c r="AZ485" s="16" t="n">
        <v>0</v>
      </c>
      <c r="BA485" s="16" t="n">
        <v>0</v>
      </c>
      <c r="BB485" s="16" t="n">
        <v>0</v>
      </c>
      <c r="BC485" s="16" t="n">
        <v>0</v>
      </c>
      <c r="BD485" s="16" t="n">
        <v>0</v>
      </c>
      <c r="BE485" s="16" t="n">
        <v>0</v>
      </c>
      <c r="BF485" s="16" t="n">
        <v>0</v>
      </c>
      <c r="BG485" s="16" t="n">
        <v>0</v>
      </c>
      <c r="BH485" s="16" t="n">
        <v>0</v>
      </c>
      <c r="BI485" s="16" t="n">
        <v>0</v>
      </c>
      <c r="BJ485" s="16" t="n">
        <v>0</v>
      </c>
      <c r="BK485" s="16" t="n">
        <v>0</v>
      </c>
      <c r="BL485" s="16" t="n">
        <v>0</v>
      </c>
      <c r="BM485" s="16" t="n">
        <v>0</v>
      </c>
      <c r="BN485" s="16" t="n">
        <v>0</v>
      </c>
      <c r="BO485" s="16" t="n">
        <v>0</v>
      </c>
      <c r="BP485" s="16" t="n">
        <v>0</v>
      </c>
      <c r="BQ485" s="16" t="n">
        <v>0</v>
      </c>
      <c r="BR485" s="16" t="n">
        <v>0</v>
      </c>
      <c r="BS485" s="16" t="n">
        <v>0</v>
      </c>
      <c r="BT485" s="16" t="n">
        <v>0</v>
      </c>
      <c r="BU485" s="16" t="n">
        <v>0</v>
      </c>
      <c r="BV485" s="16" t="n">
        <v>0</v>
      </c>
      <c r="BW485" s="16" t="n">
        <v>0</v>
      </c>
      <c r="BX485" s="16" t="n">
        <v>0</v>
      </c>
      <c r="BY485" s="16" t="n">
        <v>0</v>
      </c>
      <c r="BZ485" s="16" t="n">
        <v>0</v>
      </c>
      <c r="CA485" s="16" t="n">
        <v>0</v>
      </c>
      <c r="CB485" s="16" t="n">
        <v>0</v>
      </c>
      <c r="CC485" s="16" t="n">
        <v>0</v>
      </c>
      <c r="CD485" s="16" t="n">
        <v>0</v>
      </c>
      <c r="CE485" s="16" t="n">
        <v>0</v>
      </c>
      <c r="CF485" s="16" t="n">
        <v>0</v>
      </c>
      <c r="CG485" s="16" t="n">
        <v>0</v>
      </c>
      <c r="CH485" s="16" t="n">
        <v>0</v>
      </c>
      <c r="CI485" s="16" t="n">
        <v>0</v>
      </c>
      <c r="CJ485" s="16" t="n">
        <v>0</v>
      </c>
      <c r="CK485" s="16" t="n">
        <v>0</v>
      </c>
      <c r="CL485" s="16" t="n">
        <v>0</v>
      </c>
      <c r="CM485" s="16" t="n">
        <v>0</v>
      </c>
      <c r="CN485" s="16" t="n">
        <v>0</v>
      </c>
      <c r="CO485" s="16" t="n">
        <v>0</v>
      </c>
      <c r="CP485" s="16" t="n">
        <v>0</v>
      </c>
      <c r="CQ485" s="16" t="n">
        <v>0</v>
      </c>
      <c r="CR485" s="16" t="n">
        <v>0</v>
      </c>
      <c r="CS485" s="16" t="n">
        <v>0</v>
      </c>
      <c r="CT485" s="16" t="n">
        <v>0</v>
      </c>
      <c r="CU485" s="16" t="n">
        <v>0</v>
      </c>
      <c r="CV485" s="16" t="n">
        <v>0</v>
      </c>
      <c r="CW485" s="16" t="n">
        <v>0</v>
      </c>
      <c r="CX485" s="16" t="n">
        <v>0</v>
      </c>
      <c r="CY485" s="16" t="n">
        <v>0</v>
      </c>
      <c r="CZ485" s="16" t="n">
        <v>0</v>
      </c>
      <c r="DA485" s="16" t="n">
        <v>0</v>
      </c>
      <c r="DB485" s="16" t="n">
        <v>0</v>
      </c>
      <c r="DC485" s="16" t="n">
        <v>0</v>
      </c>
      <c r="DD485" s="16" t="n">
        <v>0</v>
      </c>
      <c r="DE485" s="16" t="n">
        <v>0</v>
      </c>
      <c r="DF485" s="16" t="n">
        <v>0</v>
      </c>
      <c r="DG485" s="16" t="n">
        <v>0</v>
      </c>
      <c r="DH485" s="16" t="n">
        <v>0</v>
      </c>
      <c r="DI485" s="16" t="n">
        <v>0</v>
      </c>
      <c r="DJ485" s="16" t="n">
        <v>0</v>
      </c>
      <c r="DK485" s="16" t="n">
        <v>0</v>
      </c>
      <c r="DL485" s="16" t="n">
        <v>0</v>
      </c>
      <c r="DM485" s="16" t="n">
        <v>0</v>
      </c>
      <c r="DN485" s="16" t="n">
        <v>0</v>
      </c>
      <c r="DO485" s="16" t="n">
        <v>0</v>
      </c>
      <c r="DP485" s="16" t="n">
        <v>0</v>
      </c>
      <c r="DQ485" s="16" t="n">
        <v>0</v>
      </c>
      <c r="DR485" s="16" t="n">
        <v>0</v>
      </c>
      <c r="DS485" s="16" t="n">
        <v>0</v>
      </c>
      <c r="DT485" s="16" t="n">
        <v>0</v>
      </c>
      <c r="DU485" s="16" t="n">
        <v>0</v>
      </c>
      <c r="DV485" s="16" t="n">
        <v>0</v>
      </c>
      <c r="DW485" s="16" t="n">
        <v>0</v>
      </c>
      <c r="DX485" s="16" t="n">
        <v>0</v>
      </c>
      <c r="DY485" s="16" t="n">
        <v>0</v>
      </c>
      <c r="DZ485" s="16" t="n">
        <v>0</v>
      </c>
      <c r="EA485" s="16" t="n">
        <v>0</v>
      </c>
      <c r="EB485" s="16" t="n">
        <v>0</v>
      </c>
      <c r="EC485" s="16" t="n">
        <v>0</v>
      </c>
      <c r="ED485" s="16" t="n">
        <v>0</v>
      </c>
      <c r="EE485" s="16" t="n">
        <v>0</v>
      </c>
      <c r="EF485" s="16" t="n">
        <v>0</v>
      </c>
    </row>
    <row r="486" customFormat="false" ht="15" hidden="false" customHeight="true" outlineLevel="0" collapsed="false">
      <c r="A486" s="9" t="s">
        <v>12</v>
      </c>
      <c r="B486" s="9" t="s">
        <v>25</v>
      </c>
      <c r="C486" s="9" t="s">
        <v>25</v>
      </c>
      <c r="D486" s="9" t="s">
        <v>339</v>
      </c>
      <c r="E486" s="9" t="s">
        <v>16</v>
      </c>
      <c r="F486" s="9" t="s">
        <v>107</v>
      </c>
      <c r="G486" s="16" t="n">
        <v>0</v>
      </c>
      <c r="H486" s="16" t="n">
        <v>0</v>
      </c>
      <c r="I486" s="16" t="n">
        <v>65.6</v>
      </c>
      <c r="J486" s="16" t="n">
        <v>-65.6</v>
      </c>
      <c r="K486" s="16" t="n">
        <v>0</v>
      </c>
      <c r="L486" s="16" t="n">
        <v>0</v>
      </c>
      <c r="M486" s="16" t="n">
        <v>0</v>
      </c>
      <c r="N486" s="16" t="n">
        <v>0</v>
      </c>
      <c r="O486" s="16" t="n">
        <v>0</v>
      </c>
      <c r="P486" s="16" t="n">
        <v>0</v>
      </c>
      <c r="Q486" s="16" t="n">
        <v>0</v>
      </c>
      <c r="R486" s="16" t="n">
        <v>0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0</v>
      </c>
      <c r="X486" s="16" t="n">
        <v>0</v>
      </c>
      <c r="Y486" s="16" t="n">
        <v>0</v>
      </c>
      <c r="Z486" s="16" t="n">
        <v>0</v>
      </c>
      <c r="AA486" s="16" t="n">
        <v>0</v>
      </c>
      <c r="AB486" s="16" t="n">
        <v>0</v>
      </c>
      <c r="AC486" s="16" t="n">
        <v>0</v>
      </c>
      <c r="AD486" s="16" t="n">
        <v>0</v>
      </c>
      <c r="AE486" s="16" t="n">
        <v>0</v>
      </c>
      <c r="AF486" s="16" t="n">
        <v>0</v>
      </c>
      <c r="AG486" s="16" t="n">
        <v>0</v>
      </c>
      <c r="AH486" s="16" t="n">
        <v>0</v>
      </c>
      <c r="AI486" s="16" t="n">
        <v>0</v>
      </c>
      <c r="AJ486" s="16" t="n">
        <v>0</v>
      </c>
      <c r="AK486" s="16" t="n">
        <v>0</v>
      </c>
      <c r="AL486" s="16" t="n">
        <v>0</v>
      </c>
      <c r="AM486" s="16" t="n">
        <v>0</v>
      </c>
      <c r="AN486" s="16" t="n">
        <v>0</v>
      </c>
      <c r="AO486" s="16" t="n">
        <v>0</v>
      </c>
      <c r="AP486" s="16" t="n">
        <v>0</v>
      </c>
      <c r="AQ486" s="16" t="n">
        <v>0</v>
      </c>
      <c r="AR486" s="16" t="n">
        <v>1</v>
      </c>
      <c r="AS486" s="16" t="n">
        <v>0</v>
      </c>
      <c r="AT486" s="16" t="n">
        <v>0</v>
      </c>
      <c r="AU486" s="16" t="n">
        <v>0</v>
      </c>
      <c r="AV486" s="16" t="n">
        <v>0</v>
      </c>
      <c r="AW486" s="16" t="n">
        <v>0</v>
      </c>
      <c r="AX486" s="16" t="n">
        <v>0</v>
      </c>
      <c r="AY486" s="16" t="n">
        <v>0</v>
      </c>
      <c r="AZ486" s="16" t="n">
        <v>0</v>
      </c>
      <c r="BA486" s="16" t="n">
        <v>0</v>
      </c>
      <c r="BB486" s="16" t="n">
        <v>0</v>
      </c>
      <c r="BC486" s="16" t="n">
        <v>0</v>
      </c>
      <c r="BD486" s="16" t="n">
        <v>0</v>
      </c>
      <c r="BE486" s="16" t="n">
        <v>0</v>
      </c>
      <c r="BF486" s="16" t="n">
        <v>0</v>
      </c>
      <c r="BG486" s="16" t="n">
        <v>0</v>
      </c>
      <c r="BH486" s="16" t="n">
        <v>0</v>
      </c>
      <c r="BI486" s="16" t="n">
        <v>0</v>
      </c>
      <c r="BJ486" s="16" t="n">
        <v>0</v>
      </c>
      <c r="BK486" s="16" t="n">
        <v>0</v>
      </c>
      <c r="BL486" s="16" t="n">
        <v>0</v>
      </c>
      <c r="BM486" s="16" t="n">
        <v>0</v>
      </c>
      <c r="BN486" s="16" t="n">
        <v>0</v>
      </c>
      <c r="BO486" s="16" t="n">
        <v>0</v>
      </c>
      <c r="BP486" s="16" t="n">
        <v>0</v>
      </c>
      <c r="BQ486" s="16" t="n">
        <v>0</v>
      </c>
      <c r="BR486" s="16" t="n">
        <v>0</v>
      </c>
      <c r="BS486" s="16" t="n">
        <v>0</v>
      </c>
      <c r="BT486" s="16" t="n">
        <v>0</v>
      </c>
      <c r="BU486" s="16" t="n">
        <v>0</v>
      </c>
      <c r="BV486" s="16" t="n">
        <v>0</v>
      </c>
      <c r="BW486" s="16" t="n">
        <v>0</v>
      </c>
      <c r="BX486" s="16" t="n">
        <v>0</v>
      </c>
      <c r="BY486" s="16" t="n">
        <v>0</v>
      </c>
      <c r="BZ486" s="16" t="n">
        <v>0</v>
      </c>
      <c r="CA486" s="16" t="n">
        <v>0</v>
      </c>
      <c r="CB486" s="16" t="n">
        <v>0</v>
      </c>
      <c r="CC486" s="16" t="n">
        <v>0</v>
      </c>
      <c r="CD486" s="16" t="n">
        <v>0</v>
      </c>
      <c r="CE486" s="16" t="n">
        <v>0</v>
      </c>
      <c r="CF486" s="16" t="n">
        <v>0</v>
      </c>
      <c r="CG486" s="16" t="n">
        <v>0</v>
      </c>
      <c r="CH486" s="16" t="n">
        <v>0</v>
      </c>
      <c r="CI486" s="16" t="n">
        <v>0</v>
      </c>
      <c r="CJ486" s="16" t="n">
        <v>0</v>
      </c>
      <c r="CK486" s="16" t="n">
        <v>0</v>
      </c>
      <c r="CL486" s="16" t="n">
        <v>0</v>
      </c>
      <c r="CM486" s="16" t="n">
        <v>0</v>
      </c>
      <c r="CN486" s="16" t="n">
        <v>0</v>
      </c>
      <c r="CO486" s="16" t="n">
        <v>0</v>
      </c>
      <c r="CP486" s="16" t="n">
        <v>0</v>
      </c>
      <c r="CQ486" s="16" t="n">
        <v>0</v>
      </c>
      <c r="CR486" s="16" t="n">
        <v>0</v>
      </c>
      <c r="CS486" s="16" t="n">
        <v>4</v>
      </c>
      <c r="CT486" s="16" t="n">
        <v>4</v>
      </c>
      <c r="CU486" s="16" t="n">
        <v>2</v>
      </c>
      <c r="CV486" s="16" t="n">
        <v>1</v>
      </c>
      <c r="CW486" s="16" t="n">
        <v>1</v>
      </c>
      <c r="CX486" s="16" t="n">
        <v>0.7</v>
      </c>
      <c r="CY486" s="16" t="n">
        <v>0.1</v>
      </c>
      <c r="CZ486" s="16" t="n">
        <v>0</v>
      </c>
      <c r="DA486" s="16" t="n">
        <v>0.1</v>
      </c>
      <c r="DB486" s="16" t="n">
        <v>0.1</v>
      </c>
      <c r="DC486" s="16" t="n">
        <v>0</v>
      </c>
      <c r="DD486" s="16" t="n">
        <v>0</v>
      </c>
      <c r="DE486" s="16" t="n">
        <v>0</v>
      </c>
      <c r="DF486" s="16" t="n">
        <v>7</v>
      </c>
      <c r="DG486" s="16" t="n">
        <v>7</v>
      </c>
      <c r="DH486" s="16" t="n">
        <v>7</v>
      </c>
      <c r="DI486" s="16" t="n">
        <v>0</v>
      </c>
      <c r="DJ486" s="16" t="n">
        <v>0</v>
      </c>
      <c r="DK486" s="16" t="n">
        <v>4.1</v>
      </c>
      <c r="DL486" s="16" t="n">
        <v>0.1</v>
      </c>
      <c r="DM486" s="16" t="n">
        <v>0</v>
      </c>
      <c r="DN486" s="16" t="n">
        <v>0</v>
      </c>
      <c r="DO486" s="16" t="n">
        <v>0</v>
      </c>
      <c r="DP486" s="16" t="n">
        <v>0</v>
      </c>
      <c r="DQ486" s="16" t="n">
        <v>0</v>
      </c>
      <c r="DR486" s="16" t="n">
        <v>0.7</v>
      </c>
      <c r="DS486" s="16" t="n">
        <v>2.2</v>
      </c>
      <c r="DT486" s="16" t="n">
        <v>3.1</v>
      </c>
      <c r="DU486" s="16" t="n">
        <v>4</v>
      </c>
      <c r="DV486" s="16" t="n">
        <v>5.1</v>
      </c>
      <c r="DW486" s="16" t="n">
        <v>5.6</v>
      </c>
      <c r="DX486" s="16" t="n">
        <v>3.9</v>
      </c>
      <c r="DY486" s="16" t="n">
        <v>1.8</v>
      </c>
      <c r="DZ486" s="16" t="n">
        <v>0</v>
      </c>
      <c r="EA486" s="16" t="n">
        <v>0</v>
      </c>
      <c r="EB486" s="16" t="n">
        <v>0</v>
      </c>
      <c r="EC486" s="16" t="n">
        <v>0</v>
      </c>
      <c r="ED486" s="16" t="n">
        <v>0</v>
      </c>
      <c r="EE486" s="16" t="n">
        <v>0</v>
      </c>
      <c r="EF486" s="1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2026-09-03T22:55:03Z</dcterms:created>
  <dc:creator>openpyxl</dc:creator>
  <dc:description/>
  <dc:language>en-US</dc:language>
  <cp:lastModifiedBy/>
  <dcterms:modified xsi:type="dcterms:W3CDTF">2026-09-03T23:53:25Z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